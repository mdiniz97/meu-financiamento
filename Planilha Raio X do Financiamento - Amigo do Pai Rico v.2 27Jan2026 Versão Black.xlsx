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/Users/alessandrogon/Library/CloudStorage/Dropbox/APR/Planilha Liberada/"/>
    </mc:Choice>
  </mc:AlternateContent>
  <xr:revisionPtr revIDLastSave="0" documentId="13_ncr:1_{281EDA52-E281-4F49-82C4-523849449217}" xr6:coauthVersionLast="47" xr6:coauthVersionMax="47" xr10:uidLastSave="{00000000-0000-0000-0000-000000000000}"/>
  <bookViews>
    <workbookView xWindow="5060" yWindow="9820" windowWidth="29400" windowHeight="18460" xr2:uid="{D82066C3-30EA-DE4F-ABF4-72706C707641}"/>
  </bookViews>
  <sheets>
    <sheet name="RAIO X DO SEU FINANCIAMENTO" sheetId="3" r:id="rId1"/>
    <sheet name="PRICE @amigodopairico" sheetId="1" r:id="rId2"/>
    <sheet name="SAC @amigodopairico" sheetId="2" r:id="rId3"/>
    <sheet name="Dados FGTS" sheetId="6" state="hidden" r:id="rId4"/>
    <sheet name="Data Tipo Finan" sheetId="4" state="hidden" r:id="rId5"/>
    <sheet name="Data Bancos" sheetId="5" state="hidden" r:id="rId6"/>
  </sheets>
  <definedNames>
    <definedName name="Juros_SAC">'SAC @amigodopairico'!$E$6:$E$426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L7" i="1"/>
  <c r="L3" i="2"/>
  <c r="L3" i="1"/>
  <c r="H3" i="1"/>
  <c r="L7" i="2"/>
  <c r="H3" i="2"/>
  <c r="D20" i="3"/>
  <c r="X430" i="2" l="1"/>
  <c r="X429" i="2"/>
  <c r="X428" i="2"/>
  <c r="X427" i="2"/>
  <c r="E21" i="3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L92" i="2" s="1"/>
  <c r="L93" i="2" s="1"/>
  <c r="L94" i="2" s="1"/>
  <c r="L95" i="2" s="1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119" i="2" s="1"/>
  <c r="L120" i="2" s="1"/>
  <c r="L121" i="2" s="1"/>
  <c r="L122" i="2" s="1"/>
  <c r="L123" i="2" s="1"/>
  <c r="L124" i="2" s="1"/>
  <c r="L125" i="2" s="1"/>
  <c r="L126" i="2" s="1"/>
  <c r="L127" i="2" s="1"/>
  <c r="L128" i="2" s="1"/>
  <c r="L129" i="2" s="1"/>
  <c r="L130" i="2" s="1"/>
  <c r="L131" i="2" s="1"/>
  <c r="L132" i="2" s="1"/>
  <c r="L133" i="2" s="1"/>
  <c r="L134" i="2" s="1"/>
  <c r="L135" i="2" s="1"/>
  <c r="L136" i="2" s="1"/>
  <c r="L137" i="2" s="1"/>
  <c r="L138" i="2" s="1"/>
  <c r="L139" i="2" s="1"/>
  <c r="L140" i="2" s="1"/>
  <c r="L141" i="2" s="1"/>
  <c r="L142" i="2" s="1"/>
  <c r="L143" i="2" s="1"/>
  <c r="L144" i="2" s="1"/>
  <c r="L145" i="2" s="1"/>
  <c r="L146" i="2" s="1"/>
  <c r="L147" i="2" s="1"/>
  <c r="L148" i="2" s="1"/>
  <c r="L149" i="2" s="1"/>
  <c r="L150" i="2" s="1"/>
  <c r="L151" i="2" s="1"/>
  <c r="L152" i="2" s="1"/>
  <c r="L153" i="2" s="1"/>
  <c r="L154" i="2" s="1"/>
  <c r="L155" i="2" s="1"/>
  <c r="L156" i="2" s="1"/>
  <c r="L157" i="2" s="1"/>
  <c r="L158" i="2" s="1"/>
  <c r="L159" i="2" s="1"/>
  <c r="L160" i="2" s="1"/>
  <c r="L161" i="2" s="1"/>
  <c r="L162" i="2" s="1"/>
  <c r="L163" i="2" s="1"/>
  <c r="L164" i="2" s="1"/>
  <c r="L165" i="2" s="1"/>
  <c r="L166" i="2" s="1"/>
  <c r="L167" i="2" s="1"/>
  <c r="L168" i="2" s="1"/>
  <c r="L169" i="2" s="1"/>
  <c r="L170" i="2" s="1"/>
  <c r="L171" i="2" s="1"/>
  <c r="L172" i="2" s="1"/>
  <c r="L173" i="2" s="1"/>
  <c r="L174" i="2" s="1"/>
  <c r="L175" i="2" s="1"/>
  <c r="L176" i="2" s="1"/>
  <c r="L177" i="2" s="1"/>
  <c r="L178" i="2" s="1"/>
  <c r="L179" i="2" s="1"/>
  <c r="L180" i="2" s="1"/>
  <c r="L181" i="2" s="1"/>
  <c r="L182" i="2" s="1"/>
  <c r="L183" i="2" s="1"/>
  <c r="L184" i="2" s="1"/>
  <c r="L185" i="2" s="1"/>
  <c r="L186" i="2" s="1"/>
  <c r="L187" i="2" s="1"/>
  <c r="L188" i="2" s="1"/>
  <c r="L189" i="2" s="1"/>
  <c r="L190" i="2" s="1"/>
  <c r="L191" i="2" s="1"/>
  <c r="L192" i="2" s="1"/>
  <c r="L193" i="2" s="1"/>
  <c r="L194" i="2" s="1"/>
  <c r="L195" i="2" s="1"/>
  <c r="L196" i="2" s="1"/>
  <c r="L197" i="2" s="1"/>
  <c r="L198" i="2" s="1"/>
  <c r="L199" i="2" s="1"/>
  <c r="L200" i="2" s="1"/>
  <c r="L201" i="2" s="1"/>
  <c r="L202" i="2" s="1"/>
  <c r="L203" i="2" s="1"/>
  <c r="L204" i="2" s="1"/>
  <c r="L205" i="2" s="1"/>
  <c r="L206" i="2" s="1"/>
  <c r="L207" i="2" s="1"/>
  <c r="L208" i="2" s="1"/>
  <c r="L209" i="2" s="1"/>
  <c r="L210" i="2" s="1"/>
  <c r="L211" i="2" s="1"/>
  <c r="L212" i="2" s="1"/>
  <c r="L213" i="2" s="1"/>
  <c r="L214" i="2" s="1"/>
  <c r="L215" i="2" s="1"/>
  <c r="L216" i="2" s="1"/>
  <c r="L217" i="2" s="1"/>
  <c r="L218" i="2" s="1"/>
  <c r="L219" i="2" s="1"/>
  <c r="L220" i="2" s="1"/>
  <c r="L221" i="2" s="1"/>
  <c r="L222" i="2" s="1"/>
  <c r="L223" i="2" s="1"/>
  <c r="L224" i="2" s="1"/>
  <c r="L225" i="2" s="1"/>
  <c r="L226" i="2" s="1"/>
  <c r="L227" i="2" s="1"/>
  <c r="L228" i="2" s="1"/>
  <c r="L229" i="2" s="1"/>
  <c r="L230" i="2" s="1"/>
  <c r="L231" i="2" s="1"/>
  <c r="L232" i="2" s="1"/>
  <c r="L233" i="2" s="1"/>
  <c r="L234" i="2" s="1"/>
  <c r="L235" i="2" s="1"/>
  <c r="L236" i="2" s="1"/>
  <c r="L237" i="2" s="1"/>
  <c r="L238" i="2" s="1"/>
  <c r="L239" i="2" s="1"/>
  <c r="L240" i="2" s="1"/>
  <c r="L241" i="2" s="1"/>
  <c r="L242" i="2" s="1"/>
  <c r="L243" i="2" s="1"/>
  <c r="L244" i="2" s="1"/>
  <c r="L245" i="2" s="1"/>
  <c r="L246" i="2" s="1"/>
  <c r="L247" i="2" s="1"/>
  <c r="L248" i="2" s="1"/>
  <c r="L249" i="2" s="1"/>
  <c r="L250" i="2" s="1"/>
  <c r="L251" i="2" s="1"/>
  <c r="L252" i="2" s="1"/>
  <c r="L253" i="2" s="1"/>
  <c r="L254" i="2" s="1"/>
  <c r="L255" i="2" s="1"/>
  <c r="L256" i="2" s="1"/>
  <c r="L257" i="2" s="1"/>
  <c r="L258" i="2" s="1"/>
  <c r="L259" i="2" s="1"/>
  <c r="L260" i="2" s="1"/>
  <c r="L261" i="2" s="1"/>
  <c r="L262" i="2" s="1"/>
  <c r="L263" i="2" s="1"/>
  <c r="L264" i="2" s="1"/>
  <c r="L265" i="2" s="1"/>
  <c r="L266" i="2" s="1"/>
  <c r="L267" i="2" s="1"/>
  <c r="L268" i="2" s="1"/>
  <c r="L269" i="2" s="1"/>
  <c r="L270" i="2" s="1"/>
  <c r="L271" i="2" s="1"/>
  <c r="L272" i="2" s="1"/>
  <c r="L273" i="2" s="1"/>
  <c r="L274" i="2" s="1"/>
  <c r="L275" i="2" s="1"/>
  <c r="L276" i="2" s="1"/>
  <c r="L277" i="2" s="1"/>
  <c r="L278" i="2" s="1"/>
  <c r="L279" i="2" s="1"/>
  <c r="L280" i="2" s="1"/>
  <c r="L281" i="2" s="1"/>
  <c r="L282" i="2" s="1"/>
  <c r="L283" i="2" s="1"/>
  <c r="L284" i="2" s="1"/>
  <c r="L285" i="2" s="1"/>
  <c r="L286" i="2" s="1"/>
  <c r="L287" i="2" s="1"/>
  <c r="L288" i="2" s="1"/>
  <c r="L289" i="2" s="1"/>
  <c r="L290" i="2" s="1"/>
  <c r="L291" i="2" s="1"/>
  <c r="L292" i="2" s="1"/>
  <c r="L293" i="2" s="1"/>
  <c r="L294" i="2" s="1"/>
  <c r="L295" i="2" s="1"/>
  <c r="L296" i="2" s="1"/>
  <c r="L297" i="2" s="1"/>
  <c r="L298" i="2" s="1"/>
  <c r="L299" i="2" s="1"/>
  <c r="L300" i="2" s="1"/>
  <c r="L301" i="2" s="1"/>
  <c r="L302" i="2" s="1"/>
  <c r="L303" i="2" s="1"/>
  <c r="L304" i="2" s="1"/>
  <c r="L305" i="2" s="1"/>
  <c r="L306" i="2" s="1"/>
  <c r="L307" i="2" s="1"/>
  <c r="L308" i="2" s="1"/>
  <c r="L309" i="2" s="1"/>
  <c r="L310" i="2" s="1"/>
  <c r="L311" i="2" s="1"/>
  <c r="L312" i="2" s="1"/>
  <c r="L313" i="2" s="1"/>
  <c r="L314" i="2" s="1"/>
  <c r="L315" i="2" s="1"/>
  <c r="L316" i="2" s="1"/>
  <c r="L317" i="2" s="1"/>
  <c r="L318" i="2" s="1"/>
  <c r="L319" i="2" s="1"/>
  <c r="L320" i="2" s="1"/>
  <c r="L321" i="2" s="1"/>
  <c r="L322" i="2" s="1"/>
  <c r="L323" i="2" s="1"/>
  <c r="L324" i="2" s="1"/>
  <c r="L325" i="2" s="1"/>
  <c r="L326" i="2" s="1"/>
  <c r="L327" i="2" s="1"/>
  <c r="L328" i="2" s="1"/>
  <c r="L329" i="2" s="1"/>
  <c r="L330" i="2" s="1"/>
  <c r="L331" i="2" s="1"/>
  <c r="L332" i="2" s="1"/>
  <c r="L333" i="2" s="1"/>
  <c r="L334" i="2" s="1"/>
  <c r="L335" i="2" s="1"/>
  <c r="L336" i="2" s="1"/>
  <c r="L337" i="2" s="1"/>
  <c r="L338" i="2" s="1"/>
  <c r="L339" i="2" s="1"/>
  <c r="L340" i="2" s="1"/>
  <c r="L341" i="2" s="1"/>
  <c r="L342" i="2" s="1"/>
  <c r="L343" i="2" s="1"/>
  <c r="L344" i="2" s="1"/>
  <c r="L345" i="2" s="1"/>
  <c r="L346" i="2" s="1"/>
  <c r="L347" i="2" s="1"/>
  <c r="L348" i="2" s="1"/>
  <c r="L349" i="2" s="1"/>
  <c r="L350" i="2" s="1"/>
  <c r="L351" i="2" s="1"/>
  <c r="L352" i="2" s="1"/>
  <c r="L353" i="2" s="1"/>
  <c r="L354" i="2" s="1"/>
  <c r="L355" i="2" s="1"/>
  <c r="L356" i="2" s="1"/>
  <c r="L357" i="2" s="1"/>
  <c r="L358" i="2" s="1"/>
  <c r="L359" i="2" s="1"/>
  <c r="L360" i="2" s="1"/>
  <c r="L361" i="2" s="1"/>
  <c r="L362" i="2" s="1"/>
  <c r="L363" i="2" s="1"/>
  <c r="L364" i="2" s="1"/>
  <c r="L365" i="2" s="1"/>
  <c r="L366" i="2" s="1"/>
  <c r="L367" i="2" s="1"/>
  <c r="L368" i="2" s="1"/>
  <c r="L369" i="2" s="1"/>
  <c r="L370" i="2" s="1"/>
  <c r="L371" i="2" s="1"/>
  <c r="L372" i="2" s="1"/>
  <c r="L373" i="2" s="1"/>
  <c r="L374" i="2" s="1"/>
  <c r="L375" i="2" s="1"/>
  <c r="L376" i="2" s="1"/>
  <c r="L377" i="2" s="1"/>
  <c r="L378" i="2" s="1"/>
  <c r="L379" i="2" s="1"/>
  <c r="L380" i="2" s="1"/>
  <c r="L381" i="2" s="1"/>
  <c r="L382" i="2" s="1"/>
  <c r="L383" i="2" s="1"/>
  <c r="L384" i="2" s="1"/>
  <c r="L385" i="2" s="1"/>
  <c r="L386" i="2" s="1"/>
  <c r="L387" i="2" s="1"/>
  <c r="L388" i="2" s="1"/>
  <c r="L389" i="2" s="1"/>
  <c r="L390" i="2" s="1"/>
  <c r="L391" i="2" s="1"/>
  <c r="L392" i="2" s="1"/>
  <c r="L393" i="2" s="1"/>
  <c r="L394" i="2" s="1"/>
  <c r="L395" i="2" s="1"/>
  <c r="L396" i="2" s="1"/>
  <c r="L397" i="2" s="1"/>
  <c r="L398" i="2" s="1"/>
  <c r="L399" i="2" s="1"/>
  <c r="L400" i="2" s="1"/>
  <c r="L401" i="2" s="1"/>
  <c r="L402" i="2" s="1"/>
  <c r="L403" i="2" s="1"/>
  <c r="L404" i="2" s="1"/>
  <c r="L405" i="2" s="1"/>
  <c r="L406" i="2" s="1"/>
  <c r="L407" i="2" s="1"/>
  <c r="L408" i="2" s="1"/>
  <c r="L409" i="2" s="1"/>
  <c r="L410" i="2" s="1"/>
  <c r="L411" i="2" s="1"/>
  <c r="L412" i="2" s="1"/>
  <c r="L413" i="2" s="1"/>
  <c r="L414" i="2" s="1"/>
  <c r="L415" i="2" s="1"/>
  <c r="L416" i="2" s="1"/>
  <c r="L417" i="2" s="1"/>
  <c r="L418" i="2" s="1"/>
  <c r="L419" i="2" s="1"/>
  <c r="L420" i="2" s="1"/>
  <c r="L421" i="2" s="1"/>
  <c r="L422" i="2" s="1"/>
  <c r="L423" i="2" s="1"/>
  <c r="L424" i="2" s="1"/>
  <c r="L425" i="2" s="1"/>
  <c r="L426" i="2" s="1"/>
  <c r="L4" i="2"/>
  <c r="J3" i="2"/>
  <c r="J4" i="2" s="1"/>
  <c r="C7" i="2"/>
  <c r="F3" i="2"/>
  <c r="L4" i="1"/>
  <c r="L8" i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J3" i="1"/>
  <c r="J4" i="1" s="1"/>
  <c r="C7" i="1"/>
  <c r="F3" i="1"/>
  <c r="B8" i="2"/>
  <c r="B9" i="2"/>
  <c r="B10" i="2"/>
  <c r="B11" i="2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8" i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X6" i="2" l="1"/>
  <c r="W6" i="1"/>
  <c r="H7" i="1"/>
  <c r="D7" i="2"/>
  <c r="C8" i="2"/>
  <c r="N7" i="2"/>
  <c r="F7" i="2"/>
  <c r="O14" i="3" s="1"/>
  <c r="H7" i="2"/>
  <c r="C8" i="1"/>
  <c r="D7" i="1"/>
  <c r="N7" i="1"/>
  <c r="E7" i="2"/>
  <c r="O7" i="2"/>
  <c r="G7" i="1"/>
  <c r="E7" i="1"/>
  <c r="F7" i="1" l="1"/>
  <c r="C9" i="2"/>
  <c r="D8" i="2"/>
  <c r="N8" i="2"/>
  <c r="O8" i="2"/>
  <c r="I7" i="2"/>
  <c r="N8" i="1"/>
  <c r="D8" i="1"/>
  <c r="C9" i="1"/>
  <c r="G7" i="2"/>
  <c r="N15" i="3"/>
  <c r="W7" i="1"/>
  <c r="I7" i="1" l="1"/>
  <c r="O9" i="2"/>
  <c r="D9" i="2"/>
  <c r="N9" i="2"/>
  <c r="C10" i="2"/>
  <c r="D10" i="2" s="1"/>
  <c r="F8" i="2"/>
  <c r="A7" i="2"/>
  <c r="O12" i="3" s="1"/>
  <c r="H8" i="2"/>
  <c r="N9" i="1"/>
  <c r="E8" i="2"/>
  <c r="D9" i="1"/>
  <c r="C10" i="1"/>
  <c r="K7" i="1"/>
  <c r="N14" i="3"/>
  <c r="C14" i="3" s="1"/>
  <c r="O15" i="3"/>
  <c r="C17" i="3" s="1"/>
  <c r="K7" i="2"/>
  <c r="X7" i="2"/>
  <c r="C15" i="3" l="1"/>
  <c r="N10" i="2"/>
  <c r="C11" i="2"/>
  <c r="O10" i="2"/>
  <c r="I8" i="2"/>
  <c r="E9" i="2" s="1"/>
  <c r="G8" i="2"/>
  <c r="C11" i="1"/>
  <c r="D10" i="1"/>
  <c r="N10" i="1"/>
  <c r="M5" i="3"/>
  <c r="H8" i="1"/>
  <c r="E8" i="1"/>
  <c r="G8" i="1"/>
  <c r="A7" i="1"/>
  <c r="N12" i="3" s="1"/>
  <c r="C13" i="3" s="1"/>
  <c r="M19" i="3" l="1"/>
  <c r="C12" i="2"/>
  <c r="D11" i="2"/>
  <c r="O11" i="2"/>
  <c r="N11" i="2"/>
  <c r="X8" i="2"/>
  <c r="K8" i="2"/>
  <c r="H9" i="2"/>
  <c r="F9" i="2"/>
  <c r="A8" i="2"/>
  <c r="D11" i="1"/>
  <c r="C12" i="1"/>
  <c r="N11" i="1"/>
  <c r="W8" i="1"/>
  <c r="F8" i="1"/>
  <c r="D12" i="2" l="1"/>
  <c r="C13" i="2"/>
  <c r="N12" i="2"/>
  <c r="O12" i="2"/>
  <c r="I9" i="2"/>
  <c r="G9" i="2"/>
  <c r="N12" i="1"/>
  <c r="D12" i="1"/>
  <c r="C13" i="1"/>
  <c r="K8" i="1"/>
  <c r="I8" i="1"/>
  <c r="D13" i="2" l="1"/>
  <c r="C14" i="2"/>
  <c r="N13" i="2"/>
  <c r="O13" i="2"/>
  <c r="F10" i="2"/>
  <c r="E10" i="2"/>
  <c r="H10" i="2"/>
  <c r="A9" i="2"/>
  <c r="K9" i="2"/>
  <c r="X9" i="2"/>
  <c r="N13" i="1"/>
  <c r="C14" i="1"/>
  <c r="D13" i="1"/>
  <c r="E9" i="1"/>
  <c r="G9" i="1"/>
  <c r="H9" i="1"/>
  <c r="A8" i="1"/>
  <c r="C15" i="2" l="1"/>
  <c r="D14" i="2"/>
  <c r="G10" i="2"/>
  <c r="I10" i="2"/>
  <c r="N14" i="2"/>
  <c r="O14" i="2"/>
  <c r="N14" i="1"/>
  <c r="D14" i="1"/>
  <c r="C15" i="1"/>
  <c r="W9" i="1"/>
  <c r="F9" i="1"/>
  <c r="D15" i="2" l="1"/>
  <c r="C16" i="2"/>
  <c r="A10" i="2"/>
  <c r="F11" i="2"/>
  <c r="E11" i="2"/>
  <c r="H11" i="2"/>
  <c r="X10" i="2"/>
  <c r="K10" i="2"/>
  <c r="N15" i="2"/>
  <c r="O15" i="2"/>
  <c r="N15" i="1"/>
  <c r="D15" i="1"/>
  <c r="C16" i="1"/>
  <c r="K9" i="1"/>
  <c r="I9" i="1"/>
  <c r="A9" i="1" l="1"/>
  <c r="D16" i="2"/>
  <c r="C17" i="2"/>
  <c r="I11" i="2"/>
  <c r="G11" i="2"/>
  <c r="O16" i="2"/>
  <c r="N16" i="2"/>
  <c r="D16" i="1"/>
  <c r="C17" i="1"/>
  <c r="N16" i="1"/>
  <c r="H10" i="1"/>
  <c r="E10" i="1"/>
  <c r="G10" i="1"/>
  <c r="C18" i="2" l="1"/>
  <c r="D17" i="2"/>
  <c r="X11" i="2"/>
  <c r="K11" i="2"/>
  <c r="H12" i="2"/>
  <c r="F12" i="2"/>
  <c r="E12" i="2"/>
  <c r="A11" i="2"/>
  <c r="N17" i="2"/>
  <c r="O17" i="2"/>
  <c r="N17" i="1"/>
  <c r="D17" i="1"/>
  <c r="C18" i="1"/>
  <c r="F10" i="1"/>
  <c r="I10" i="1" s="1"/>
  <c r="W10" i="1"/>
  <c r="D18" i="2" l="1"/>
  <c r="C19" i="2"/>
  <c r="G12" i="2"/>
  <c r="I12" i="2"/>
  <c r="A12" i="2" s="1"/>
  <c r="N18" i="2"/>
  <c r="O18" i="2"/>
  <c r="N18" i="1"/>
  <c r="D18" i="1"/>
  <c r="C19" i="1"/>
  <c r="K10" i="1"/>
  <c r="X12" i="2" l="1"/>
  <c r="K12" i="2"/>
  <c r="D19" i="2"/>
  <c r="C20" i="2"/>
  <c r="F13" i="2"/>
  <c r="E13" i="2"/>
  <c r="H13" i="2"/>
  <c r="O19" i="2"/>
  <c r="N19" i="2"/>
  <c r="N19" i="1"/>
  <c r="D19" i="1"/>
  <c r="C20" i="1"/>
  <c r="E11" i="1"/>
  <c r="G11" i="1"/>
  <c r="H11" i="1"/>
  <c r="A10" i="1"/>
  <c r="D20" i="2" l="1"/>
  <c r="C21" i="2"/>
  <c r="N20" i="2"/>
  <c r="O20" i="2"/>
  <c r="I13" i="2"/>
  <c r="G13" i="2"/>
  <c r="N20" i="1"/>
  <c r="D20" i="1"/>
  <c r="C21" i="1"/>
  <c r="W11" i="1"/>
  <c r="F11" i="1"/>
  <c r="D21" i="2" l="1"/>
  <c r="C22" i="2"/>
  <c r="O21" i="2"/>
  <c r="N21" i="2"/>
  <c r="K13" i="2"/>
  <c r="X13" i="2"/>
  <c r="E14" i="2"/>
  <c r="H14" i="2"/>
  <c r="A13" i="2"/>
  <c r="F14" i="2"/>
  <c r="N21" i="1"/>
  <c r="D21" i="1"/>
  <c r="C22" i="1"/>
  <c r="K11" i="1"/>
  <c r="I11" i="1"/>
  <c r="N22" i="2" l="1"/>
  <c r="D22" i="2"/>
  <c r="O22" i="2"/>
  <c r="C23" i="2"/>
  <c r="I14" i="2"/>
  <c r="G14" i="2"/>
  <c r="N22" i="1"/>
  <c r="D22" i="1"/>
  <c r="C23" i="1"/>
  <c r="G12" i="1"/>
  <c r="H12" i="1"/>
  <c r="E12" i="1"/>
  <c r="A11" i="1"/>
  <c r="K14" i="2" l="1"/>
  <c r="X14" i="2"/>
  <c r="D23" i="2"/>
  <c r="N23" i="2"/>
  <c r="O23" i="2"/>
  <c r="C24" i="2"/>
  <c r="D24" i="2" s="1"/>
  <c r="F15" i="2"/>
  <c r="E15" i="2"/>
  <c r="A14" i="2"/>
  <c r="H15" i="2"/>
  <c r="D23" i="1"/>
  <c r="C24" i="1"/>
  <c r="N23" i="1"/>
  <c r="F12" i="1"/>
  <c r="W12" i="1"/>
  <c r="O24" i="2" l="1"/>
  <c r="N24" i="2"/>
  <c r="C25" i="2"/>
  <c r="G15" i="2"/>
  <c r="I15" i="2"/>
  <c r="N24" i="1"/>
  <c r="D24" i="1"/>
  <c r="C25" i="1"/>
  <c r="K12" i="1"/>
  <c r="I12" i="1"/>
  <c r="N25" i="2" l="1"/>
  <c r="C26" i="2"/>
  <c r="D25" i="2"/>
  <c r="O25" i="2"/>
  <c r="X15" i="2"/>
  <c r="K15" i="2"/>
  <c r="H16" i="2"/>
  <c r="E16" i="2"/>
  <c r="F16" i="2"/>
  <c r="A15" i="2"/>
  <c r="N25" i="1"/>
  <c r="C26" i="1"/>
  <c r="D25" i="1"/>
  <c r="H13" i="1"/>
  <c r="E13" i="1"/>
  <c r="G13" i="1"/>
  <c r="A12" i="1"/>
  <c r="I16" i="2" l="1"/>
  <c r="G16" i="2"/>
  <c r="N26" i="2"/>
  <c r="D26" i="2"/>
  <c r="C27" i="2"/>
  <c r="O26" i="2"/>
  <c r="N26" i="1"/>
  <c r="C27" i="1"/>
  <c r="D26" i="1"/>
  <c r="W13" i="1"/>
  <c r="F13" i="1"/>
  <c r="F17" i="2" l="1"/>
  <c r="E17" i="2"/>
  <c r="H17" i="2"/>
  <c r="A16" i="2"/>
  <c r="K16" i="2"/>
  <c r="X16" i="2"/>
  <c r="N27" i="2"/>
  <c r="O27" i="2"/>
  <c r="D27" i="2"/>
  <c r="C28" i="2"/>
  <c r="C28" i="1"/>
  <c r="D27" i="1"/>
  <c r="N27" i="1"/>
  <c r="K13" i="1"/>
  <c r="I13" i="1"/>
  <c r="C29" i="2" l="1"/>
  <c r="D28" i="2"/>
  <c r="O28" i="2"/>
  <c r="N28" i="2"/>
  <c r="G17" i="2"/>
  <c r="I17" i="2"/>
  <c r="D28" i="1"/>
  <c r="C29" i="1"/>
  <c r="N28" i="1"/>
  <c r="H14" i="1"/>
  <c r="E14" i="1"/>
  <c r="G14" i="1"/>
  <c r="A13" i="1"/>
  <c r="O29" i="2" l="1"/>
  <c r="D29" i="2"/>
  <c r="N29" i="2"/>
  <c r="C30" i="2"/>
  <c r="X17" i="2"/>
  <c r="K17" i="2"/>
  <c r="H18" i="2"/>
  <c r="E18" i="2"/>
  <c r="F18" i="2"/>
  <c r="A17" i="2"/>
  <c r="N29" i="1"/>
  <c r="D29" i="1"/>
  <c r="C30" i="1"/>
  <c r="W14" i="1"/>
  <c r="F14" i="1"/>
  <c r="O30" i="2" l="1"/>
  <c r="N30" i="2"/>
  <c r="C31" i="2"/>
  <c r="D30" i="2"/>
  <c r="G18" i="2"/>
  <c r="O8" i="3" s="1"/>
  <c r="I18" i="2"/>
  <c r="N30" i="1"/>
  <c r="D30" i="1"/>
  <c r="C31" i="1"/>
  <c r="K14" i="1"/>
  <c r="I14" i="1"/>
  <c r="C32" i="2" l="1"/>
  <c r="O31" i="2"/>
  <c r="D31" i="2"/>
  <c r="N31" i="2"/>
  <c r="A18" i="2"/>
  <c r="O9" i="3"/>
  <c r="H19" i="2"/>
  <c r="F19" i="2"/>
  <c r="E19" i="2"/>
  <c r="X18" i="2"/>
  <c r="K18" i="2"/>
  <c r="D31" i="1"/>
  <c r="C32" i="1"/>
  <c r="N31" i="1"/>
  <c r="G15" i="1"/>
  <c r="H15" i="1"/>
  <c r="E15" i="1"/>
  <c r="A14" i="1"/>
  <c r="C33" i="2" l="1"/>
  <c r="N32" i="2"/>
  <c r="D32" i="2"/>
  <c r="O32" i="2"/>
  <c r="I19" i="2"/>
  <c r="A19" i="2" s="1"/>
  <c r="G19" i="2"/>
  <c r="N32" i="1"/>
  <c r="D32" i="1"/>
  <c r="C33" i="1"/>
  <c r="W15" i="1"/>
  <c r="F15" i="1"/>
  <c r="D33" i="2" l="1"/>
  <c r="O33" i="2"/>
  <c r="N33" i="2"/>
  <c r="C34" i="2"/>
  <c r="F20" i="2"/>
  <c r="H20" i="2"/>
  <c r="E20" i="2"/>
  <c r="X19" i="2"/>
  <c r="K19" i="2"/>
  <c r="N33" i="1"/>
  <c r="D33" i="1"/>
  <c r="C34" i="1"/>
  <c r="K15" i="1"/>
  <c r="I15" i="1"/>
  <c r="A15" i="1" s="1"/>
  <c r="D34" i="2" l="1"/>
  <c r="C35" i="2"/>
  <c r="O34" i="2"/>
  <c r="N34" i="2"/>
  <c r="G20" i="2"/>
  <c r="I20" i="2"/>
  <c r="A20" i="2" s="1"/>
  <c r="C35" i="1"/>
  <c r="D34" i="1"/>
  <c r="N34" i="1"/>
  <c r="H16" i="1"/>
  <c r="G16" i="1"/>
  <c r="E16" i="1"/>
  <c r="C36" i="2" l="1"/>
  <c r="D35" i="2"/>
  <c r="N35" i="2"/>
  <c r="O35" i="2"/>
  <c r="X20" i="2"/>
  <c r="K20" i="2"/>
  <c r="F21" i="2"/>
  <c r="E21" i="2"/>
  <c r="H21" i="2"/>
  <c r="C36" i="1"/>
  <c r="D35" i="1"/>
  <c r="N35" i="1"/>
  <c r="F16" i="1"/>
  <c r="W16" i="1"/>
  <c r="C37" i="2" l="1"/>
  <c r="D36" i="2"/>
  <c r="O36" i="2"/>
  <c r="N36" i="2"/>
  <c r="G21" i="2"/>
  <c r="I21" i="2"/>
  <c r="A21" i="2" s="1"/>
  <c r="N36" i="1"/>
  <c r="D36" i="1"/>
  <c r="C37" i="1"/>
  <c r="K16" i="1"/>
  <c r="I16" i="1"/>
  <c r="C38" i="2" l="1"/>
  <c r="D37" i="2"/>
  <c r="N37" i="2"/>
  <c r="O37" i="2"/>
  <c r="X21" i="2"/>
  <c r="K21" i="2"/>
  <c r="H22" i="2"/>
  <c r="E22" i="2"/>
  <c r="F22" i="2"/>
  <c r="N37" i="1"/>
  <c r="C38" i="1"/>
  <c r="D37" i="1"/>
  <c r="H17" i="1"/>
  <c r="E17" i="1"/>
  <c r="G17" i="1"/>
  <c r="A16" i="1"/>
  <c r="D38" i="2" l="1"/>
  <c r="C39" i="2"/>
  <c r="N38" i="2"/>
  <c r="O38" i="2"/>
  <c r="G22" i="2"/>
  <c r="I22" i="2"/>
  <c r="N38" i="1"/>
  <c r="C39" i="1"/>
  <c r="D38" i="1"/>
  <c r="W17" i="1"/>
  <c r="F17" i="1"/>
  <c r="C40" i="2" l="1"/>
  <c r="D39" i="2"/>
  <c r="N39" i="2"/>
  <c r="O39" i="2"/>
  <c r="X22" i="2"/>
  <c r="K22" i="2"/>
  <c r="A22" i="2"/>
  <c r="F23" i="2"/>
  <c r="E23" i="2"/>
  <c r="H23" i="2"/>
  <c r="D39" i="1"/>
  <c r="C40" i="1"/>
  <c r="N39" i="1"/>
  <c r="K17" i="1"/>
  <c r="I17" i="1"/>
  <c r="C41" i="2" l="1"/>
  <c r="D40" i="2"/>
  <c r="O40" i="2"/>
  <c r="N40" i="2"/>
  <c r="G23" i="2"/>
  <c r="I23" i="2"/>
  <c r="N40" i="1"/>
  <c r="C41" i="1"/>
  <c r="D40" i="1"/>
  <c r="E18" i="1"/>
  <c r="G18" i="1"/>
  <c r="N8" i="3" s="1"/>
  <c r="C7" i="3" s="1"/>
  <c r="H18" i="1"/>
  <c r="A17" i="1"/>
  <c r="C42" i="2" l="1"/>
  <c r="D41" i="2"/>
  <c r="O41" i="2"/>
  <c r="N41" i="2"/>
  <c r="K23" i="2"/>
  <c r="X23" i="2"/>
  <c r="A23" i="2"/>
  <c r="E24" i="2"/>
  <c r="H24" i="2"/>
  <c r="F24" i="2"/>
  <c r="C42" i="1"/>
  <c r="D41" i="1"/>
  <c r="N41" i="1"/>
  <c r="W18" i="1"/>
  <c r="F18" i="1"/>
  <c r="D42" i="2" l="1"/>
  <c r="C43" i="2"/>
  <c r="N42" i="2"/>
  <c r="O42" i="2"/>
  <c r="I24" i="2"/>
  <c r="G24" i="2"/>
  <c r="N42" i="1"/>
  <c r="C43" i="1"/>
  <c r="D42" i="1"/>
  <c r="K18" i="1"/>
  <c r="I18" i="1"/>
  <c r="C44" i="2" l="1"/>
  <c r="D43" i="2"/>
  <c r="N43" i="2"/>
  <c r="O43" i="2"/>
  <c r="A18" i="1"/>
  <c r="N9" i="3"/>
  <c r="C11" i="3" s="1"/>
  <c r="H25" i="2"/>
  <c r="A24" i="2"/>
  <c r="F25" i="2"/>
  <c r="E25" i="2"/>
  <c r="X24" i="2"/>
  <c r="K24" i="2"/>
  <c r="N43" i="1"/>
  <c r="C44" i="1"/>
  <c r="D43" i="1"/>
  <c r="H19" i="1"/>
  <c r="E19" i="1"/>
  <c r="C6" i="6"/>
  <c r="G19" i="1"/>
  <c r="C45" i="2" l="1"/>
  <c r="D44" i="2"/>
  <c r="N44" i="2"/>
  <c r="O44" i="2"/>
  <c r="C9" i="3"/>
  <c r="C10" i="3"/>
  <c r="I25" i="2"/>
  <c r="A25" i="2" s="1"/>
  <c r="G25" i="2"/>
  <c r="D44" i="1"/>
  <c r="C45" i="1"/>
  <c r="N44" i="1"/>
  <c r="F19" i="1"/>
  <c r="W19" i="1"/>
  <c r="C46" i="2" l="1"/>
  <c r="D45" i="2"/>
  <c r="N45" i="2"/>
  <c r="O45" i="2"/>
  <c r="X25" i="2"/>
  <c r="K25" i="2"/>
  <c r="H26" i="2"/>
  <c r="E26" i="2"/>
  <c r="F26" i="2"/>
  <c r="N45" i="1"/>
  <c r="D45" i="1"/>
  <c r="C46" i="1"/>
  <c r="K19" i="1"/>
  <c r="I19" i="1"/>
  <c r="A19" i="1" s="1"/>
  <c r="D46" i="2" l="1"/>
  <c r="C47" i="2"/>
  <c r="N46" i="2"/>
  <c r="O46" i="2"/>
  <c r="I26" i="2"/>
  <c r="A26" i="2" s="1"/>
  <c r="G26" i="2"/>
  <c r="C47" i="1"/>
  <c r="D46" i="1"/>
  <c r="N46" i="1"/>
  <c r="H20" i="1"/>
  <c r="E20" i="1"/>
  <c r="G20" i="1"/>
  <c r="C48" i="2" l="1"/>
  <c r="D47" i="2"/>
  <c r="N47" i="2"/>
  <c r="O47" i="2"/>
  <c r="E27" i="2"/>
  <c r="F27" i="2"/>
  <c r="H27" i="2"/>
  <c r="X26" i="2"/>
  <c r="K26" i="2"/>
  <c r="N47" i="1"/>
  <c r="C48" i="1"/>
  <c r="D47" i="1"/>
  <c r="F20" i="1"/>
  <c r="W20" i="1"/>
  <c r="C49" i="2" l="1"/>
  <c r="D48" i="2"/>
  <c r="O48" i="2"/>
  <c r="N48" i="2"/>
  <c r="I27" i="2"/>
  <c r="G27" i="2"/>
  <c r="C49" i="1"/>
  <c r="D48" i="1"/>
  <c r="N48" i="1"/>
  <c r="K20" i="1"/>
  <c r="I20" i="1"/>
  <c r="C50" i="2" l="1"/>
  <c r="D49" i="2"/>
  <c r="O49" i="2"/>
  <c r="N49" i="2"/>
  <c r="F28" i="2"/>
  <c r="E28" i="2"/>
  <c r="H28" i="2"/>
  <c r="A27" i="2"/>
  <c r="X27" i="2"/>
  <c r="K27" i="2"/>
  <c r="N49" i="1"/>
  <c r="D49" i="1"/>
  <c r="C50" i="1"/>
  <c r="H21" i="1"/>
  <c r="G21" i="1"/>
  <c r="E21" i="1"/>
  <c r="A20" i="1"/>
  <c r="C51" i="2" l="1"/>
  <c r="D50" i="2"/>
  <c r="N50" i="2"/>
  <c r="O50" i="2"/>
  <c r="I28" i="2"/>
  <c r="G28" i="2"/>
  <c r="N50" i="1"/>
  <c r="D50" i="1"/>
  <c r="C51" i="1"/>
  <c r="W21" i="1"/>
  <c r="F21" i="1"/>
  <c r="D51" i="2" l="1"/>
  <c r="C52" i="2"/>
  <c r="N51" i="2"/>
  <c r="O51" i="2"/>
  <c r="H29" i="2"/>
  <c r="F29" i="2"/>
  <c r="A28" i="2"/>
  <c r="E29" i="2"/>
  <c r="X28" i="2"/>
  <c r="K28" i="2"/>
  <c r="D51" i="1"/>
  <c r="C52" i="1"/>
  <c r="N51" i="1"/>
  <c r="K21" i="1"/>
  <c r="I21" i="1"/>
  <c r="A21" i="1" s="1"/>
  <c r="D52" i="2" l="1"/>
  <c r="C53" i="2"/>
  <c r="N52" i="2"/>
  <c r="O52" i="2"/>
  <c r="I29" i="2"/>
  <c r="G29" i="2"/>
  <c r="N52" i="1"/>
  <c r="D52" i="1"/>
  <c r="C53" i="1"/>
  <c r="G22" i="1"/>
  <c r="H22" i="1"/>
  <c r="E22" i="1"/>
  <c r="D53" i="2" l="1"/>
  <c r="C54" i="2"/>
  <c r="N53" i="2"/>
  <c r="O53" i="2"/>
  <c r="F30" i="2"/>
  <c r="E30" i="2"/>
  <c r="X29" i="2"/>
  <c r="K29" i="2"/>
  <c r="A29" i="2"/>
  <c r="H30" i="2"/>
  <c r="N53" i="1"/>
  <c r="C54" i="1"/>
  <c r="D53" i="1"/>
  <c r="W22" i="1"/>
  <c r="F22" i="1"/>
  <c r="C55" i="2" l="1"/>
  <c r="D54" i="2"/>
  <c r="N54" i="2"/>
  <c r="O54" i="2"/>
  <c r="G30" i="2"/>
  <c r="I30" i="2"/>
  <c r="N54" i="1"/>
  <c r="C55" i="1"/>
  <c r="D54" i="1"/>
  <c r="K22" i="1"/>
  <c r="I22" i="1"/>
  <c r="C56" i="2" l="1"/>
  <c r="D55" i="2"/>
  <c r="O55" i="2"/>
  <c r="N55" i="2"/>
  <c r="A30" i="2"/>
  <c r="H31" i="2"/>
  <c r="X30" i="2"/>
  <c r="K30" i="2"/>
  <c r="E31" i="2"/>
  <c r="F31" i="2"/>
  <c r="D55" i="1"/>
  <c r="C56" i="1"/>
  <c r="N55" i="1"/>
  <c r="H23" i="1"/>
  <c r="G23" i="1"/>
  <c r="E23" i="1"/>
  <c r="A22" i="1"/>
  <c r="C57" i="2" l="1"/>
  <c r="D56" i="2"/>
  <c r="N56" i="2"/>
  <c r="O56" i="2"/>
  <c r="G31" i="2"/>
  <c r="I31" i="2"/>
  <c r="N56" i="1"/>
  <c r="C57" i="1"/>
  <c r="D56" i="1"/>
  <c r="W23" i="1"/>
  <c r="F23" i="1"/>
  <c r="D57" i="2" l="1"/>
  <c r="C58" i="2"/>
  <c r="N57" i="2"/>
  <c r="O57" i="2"/>
  <c r="A31" i="2"/>
  <c r="F32" i="2"/>
  <c r="K31" i="2"/>
  <c r="X31" i="2"/>
  <c r="E32" i="2"/>
  <c r="H32" i="2"/>
  <c r="D57" i="1"/>
  <c r="C58" i="1"/>
  <c r="N57" i="1"/>
  <c r="K23" i="1"/>
  <c r="I23" i="1"/>
  <c r="C59" i="2" l="1"/>
  <c r="D58" i="2"/>
  <c r="O58" i="2"/>
  <c r="N58" i="2"/>
  <c r="G32" i="2"/>
  <c r="I32" i="2"/>
  <c r="N58" i="1"/>
  <c r="D58" i="1"/>
  <c r="C59" i="1"/>
  <c r="G24" i="1"/>
  <c r="H24" i="1"/>
  <c r="E24" i="1"/>
  <c r="A23" i="1"/>
  <c r="D59" i="2" l="1"/>
  <c r="C60" i="2"/>
  <c r="O59" i="2"/>
  <c r="N59" i="2"/>
  <c r="X32" i="2"/>
  <c r="K32" i="2"/>
  <c r="A32" i="2"/>
  <c r="H33" i="2"/>
  <c r="E33" i="2"/>
  <c r="F33" i="2"/>
  <c r="N59" i="1"/>
  <c r="D59" i="1"/>
  <c r="C60" i="1"/>
  <c r="F24" i="1"/>
  <c r="W24" i="1"/>
  <c r="C61" i="2" l="1"/>
  <c r="D60" i="2"/>
  <c r="O60" i="2"/>
  <c r="N60" i="2"/>
  <c r="I33" i="2"/>
  <c r="E34" i="2" s="1"/>
  <c r="G33" i="2"/>
  <c r="D60" i="1"/>
  <c r="C61" i="1"/>
  <c r="N60" i="1"/>
  <c r="K24" i="1"/>
  <c r="I24" i="1"/>
  <c r="C62" i="2" l="1"/>
  <c r="D61" i="2"/>
  <c r="N61" i="2"/>
  <c r="O61" i="2"/>
  <c r="K33" i="2"/>
  <c r="X33" i="2"/>
  <c r="H34" i="2"/>
  <c r="F34" i="2"/>
  <c r="A33" i="2"/>
  <c r="N61" i="1"/>
  <c r="C62" i="1"/>
  <c r="D61" i="1"/>
  <c r="E25" i="1"/>
  <c r="H25" i="1"/>
  <c r="G25" i="1"/>
  <c r="A24" i="1"/>
  <c r="D62" i="2" l="1"/>
  <c r="C63" i="2"/>
  <c r="O62" i="2"/>
  <c r="N62" i="2"/>
  <c r="I34" i="2"/>
  <c r="G34" i="2"/>
  <c r="D62" i="1"/>
  <c r="C63" i="1"/>
  <c r="N62" i="1"/>
  <c r="F25" i="1"/>
  <c r="W25" i="1"/>
  <c r="D63" i="2" l="1"/>
  <c r="C64" i="2"/>
  <c r="O63" i="2"/>
  <c r="N63" i="2"/>
  <c r="A34" i="2"/>
  <c r="F35" i="2"/>
  <c r="H35" i="2"/>
  <c r="E35" i="2"/>
  <c r="X34" i="2"/>
  <c r="K34" i="2"/>
  <c r="N63" i="1"/>
  <c r="C64" i="1"/>
  <c r="D63" i="1"/>
  <c r="K25" i="1"/>
  <c r="I25" i="1"/>
  <c r="D64" i="2" l="1"/>
  <c r="C65" i="2"/>
  <c r="N64" i="2"/>
  <c r="O64" i="2"/>
  <c r="G35" i="2"/>
  <c r="I35" i="2"/>
  <c r="E36" i="2" s="1"/>
  <c r="C65" i="1"/>
  <c r="D64" i="1"/>
  <c r="N64" i="1"/>
  <c r="G26" i="1"/>
  <c r="H26" i="1"/>
  <c r="E26" i="1"/>
  <c r="A25" i="1"/>
  <c r="C66" i="2" l="1"/>
  <c r="D65" i="2"/>
  <c r="N65" i="2"/>
  <c r="O65" i="2"/>
  <c r="X35" i="2"/>
  <c r="K35" i="2"/>
  <c r="F36" i="2"/>
  <c r="G36" i="2" s="1"/>
  <c r="H36" i="2"/>
  <c r="A35" i="2"/>
  <c r="C66" i="1"/>
  <c r="D65" i="1"/>
  <c r="N65" i="1"/>
  <c r="W26" i="1"/>
  <c r="F26" i="1"/>
  <c r="C67" i="2" l="1"/>
  <c r="D66" i="2"/>
  <c r="O66" i="2"/>
  <c r="N66" i="2"/>
  <c r="I36" i="2"/>
  <c r="X36" i="2"/>
  <c r="K36" i="2"/>
  <c r="D66" i="1"/>
  <c r="C67" i="1"/>
  <c r="N66" i="1"/>
  <c r="K26" i="1"/>
  <c r="I26" i="1"/>
  <c r="D67" i="2" l="1"/>
  <c r="C68" i="2"/>
  <c r="O67" i="2"/>
  <c r="N67" i="2"/>
  <c r="F37" i="2"/>
  <c r="H37" i="2"/>
  <c r="A36" i="2"/>
  <c r="E37" i="2"/>
  <c r="C68" i="1"/>
  <c r="D67" i="1"/>
  <c r="N67" i="1"/>
  <c r="G27" i="1"/>
  <c r="E27" i="1"/>
  <c r="H27" i="1"/>
  <c r="A26" i="1"/>
  <c r="C69" i="2" l="1"/>
  <c r="D68" i="2"/>
  <c r="N68" i="2"/>
  <c r="O68" i="2"/>
  <c r="G37" i="2"/>
  <c r="I37" i="2"/>
  <c r="N68" i="1"/>
  <c r="C69" i="1"/>
  <c r="D68" i="1"/>
  <c r="W27" i="1"/>
  <c r="F27" i="1"/>
  <c r="D69" i="2" l="1"/>
  <c r="C70" i="2"/>
  <c r="N69" i="2"/>
  <c r="O69" i="2"/>
  <c r="K37" i="2"/>
  <c r="X37" i="2"/>
  <c r="F38" i="2"/>
  <c r="E38" i="2"/>
  <c r="H38" i="2"/>
  <c r="A37" i="2"/>
  <c r="D69" i="1"/>
  <c r="C70" i="1"/>
  <c r="N69" i="1"/>
  <c r="K27" i="1"/>
  <c r="I27" i="1"/>
  <c r="D70" i="2" l="1"/>
  <c r="C71" i="2"/>
  <c r="O70" i="2"/>
  <c r="N70" i="2"/>
  <c r="I38" i="2"/>
  <c r="G38" i="2"/>
  <c r="N70" i="1"/>
  <c r="D70" i="1"/>
  <c r="C71" i="1"/>
  <c r="H28" i="1"/>
  <c r="G28" i="1"/>
  <c r="E28" i="1"/>
  <c r="A27" i="1"/>
  <c r="D71" i="2" l="1"/>
  <c r="C72" i="2"/>
  <c r="N71" i="2"/>
  <c r="O71" i="2"/>
  <c r="K38" i="2"/>
  <c r="X38" i="2"/>
  <c r="A38" i="2"/>
  <c r="F39" i="2"/>
  <c r="E39" i="2"/>
  <c r="H39" i="2"/>
  <c r="N71" i="1"/>
  <c r="D71" i="1"/>
  <c r="C72" i="1"/>
  <c r="F28" i="1"/>
  <c r="W28" i="1"/>
  <c r="D72" i="2" l="1"/>
  <c r="C73" i="2"/>
  <c r="N72" i="2"/>
  <c r="O72" i="2"/>
  <c r="I39" i="2"/>
  <c r="G39" i="2"/>
  <c r="C73" i="1"/>
  <c r="D72" i="1"/>
  <c r="N72" i="1"/>
  <c r="K28" i="1"/>
  <c r="I28" i="1"/>
  <c r="C74" i="2" l="1"/>
  <c r="D73" i="2"/>
  <c r="O73" i="2"/>
  <c r="N73" i="2"/>
  <c r="X39" i="2"/>
  <c r="K39" i="2"/>
  <c r="A39" i="2"/>
  <c r="E40" i="2"/>
  <c r="H40" i="2"/>
  <c r="F40" i="2"/>
  <c r="N73" i="1"/>
  <c r="D73" i="1"/>
  <c r="C74" i="1"/>
  <c r="H29" i="1"/>
  <c r="G29" i="1"/>
  <c r="E29" i="1"/>
  <c r="A28" i="1"/>
  <c r="D74" i="2" l="1"/>
  <c r="C75" i="2"/>
  <c r="N74" i="2"/>
  <c r="O74" i="2"/>
  <c r="I40" i="2"/>
  <c r="G40" i="2"/>
  <c r="N74" i="1"/>
  <c r="C75" i="1"/>
  <c r="D74" i="1"/>
  <c r="F29" i="1"/>
  <c r="W29" i="1"/>
  <c r="D75" i="2" l="1"/>
  <c r="C76" i="2"/>
  <c r="O75" i="2"/>
  <c r="N75" i="2"/>
  <c r="X40" i="2"/>
  <c r="K40" i="2"/>
  <c r="F41" i="2"/>
  <c r="H41" i="2"/>
  <c r="A40" i="2"/>
  <c r="E41" i="2"/>
  <c r="D75" i="1"/>
  <c r="C76" i="1"/>
  <c r="N75" i="1"/>
  <c r="K29" i="1"/>
  <c r="I29" i="1"/>
  <c r="D76" i="2" l="1"/>
  <c r="C77" i="2"/>
  <c r="N76" i="2"/>
  <c r="O76" i="2"/>
  <c r="I41" i="2"/>
  <c r="G41" i="2"/>
  <c r="N76" i="1"/>
  <c r="D76" i="1"/>
  <c r="C77" i="1"/>
  <c r="G30" i="1"/>
  <c r="H30" i="1"/>
  <c r="E30" i="1"/>
  <c r="A29" i="1"/>
  <c r="C78" i="2" l="1"/>
  <c r="D77" i="2"/>
  <c r="N77" i="2"/>
  <c r="O77" i="2"/>
  <c r="H42" i="2"/>
  <c r="E42" i="2"/>
  <c r="X41" i="2"/>
  <c r="K41" i="2"/>
  <c r="A41" i="2"/>
  <c r="F42" i="2"/>
  <c r="D77" i="1"/>
  <c r="C78" i="1"/>
  <c r="N77" i="1"/>
  <c r="W30" i="1"/>
  <c r="F30" i="1"/>
  <c r="D78" i="2" l="1"/>
  <c r="C79" i="2"/>
  <c r="N78" i="2"/>
  <c r="O78" i="2"/>
  <c r="G42" i="2"/>
  <c r="K42" i="2" s="1"/>
  <c r="I42" i="2"/>
  <c r="N78" i="1"/>
  <c r="D78" i="1"/>
  <c r="C79" i="1"/>
  <c r="K30" i="1"/>
  <c r="I30" i="1"/>
  <c r="A30" i="1" s="1"/>
  <c r="D79" i="2" l="1"/>
  <c r="C80" i="2"/>
  <c r="O79" i="2"/>
  <c r="N79" i="2"/>
  <c r="X42" i="2"/>
  <c r="O6" i="3"/>
  <c r="A42" i="2"/>
  <c r="H43" i="2"/>
  <c r="O7" i="3"/>
  <c r="F43" i="2"/>
  <c r="E43" i="2"/>
  <c r="C80" i="1"/>
  <c r="D79" i="1"/>
  <c r="N79" i="1"/>
  <c r="G31" i="1"/>
  <c r="E31" i="1"/>
  <c r="H31" i="1"/>
  <c r="C81" i="2" l="1"/>
  <c r="D80" i="2"/>
  <c r="O80" i="2"/>
  <c r="N80" i="2"/>
  <c r="I43" i="2"/>
  <c r="G43" i="2"/>
  <c r="N80" i="1"/>
  <c r="D80" i="1"/>
  <c r="C81" i="1"/>
  <c r="F31" i="1"/>
  <c r="W31" i="1"/>
  <c r="D81" i="2" l="1"/>
  <c r="C82" i="2"/>
  <c r="N81" i="2"/>
  <c r="O81" i="2"/>
  <c r="X43" i="2"/>
  <c r="K43" i="2"/>
  <c r="F44" i="2"/>
  <c r="A43" i="2"/>
  <c r="H44" i="2"/>
  <c r="E44" i="2"/>
  <c r="N81" i="1"/>
  <c r="D81" i="1"/>
  <c r="C82" i="1"/>
  <c r="K31" i="1"/>
  <c r="I31" i="1"/>
  <c r="C83" i="2" l="1"/>
  <c r="D82" i="2"/>
  <c r="N82" i="2"/>
  <c r="O82" i="2"/>
  <c r="G44" i="2"/>
  <c r="I44" i="2"/>
  <c r="E45" i="2" s="1"/>
  <c r="D82" i="1"/>
  <c r="C83" i="1"/>
  <c r="N82" i="1"/>
  <c r="G32" i="1"/>
  <c r="H32" i="1"/>
  <c r="E32" i="1"/>
  <c r="A31" i="1"/>
  <c r="D83" i="2" l="1"/>
  <c r="C84" i="2"/>
  <c r="N83" i="2"/>
  <c r="O83" i="2"/>
  <c r="X44" i="2"/>
  <c r="K44" i="2"/>
  <c r="F45" i="2"/>
  <c r="H45" i="2"/>
  <c r="A44" i="2"/>
  <c r="N83" i="1"/>
  <c r="C84" i="1"/>
  <c r="D83" i="1"/>
  <c r="F32" i="1"/>
  <c r="W32" i="1"/>
  <c r="D84" i="2" l="1"/>
  <c r="C85" i="2"/>
  <c r="O84" i="2"/>
  <c r="N84" i="2"/>
  <c r="I45" i="2"/>
  <c r="H46" i="2" s="1"/>
  <c r="G45" i="2"/>
  <c r="D84" i="1"/>
  <c r="C85" i="1"/>
  <c r="N84" i="1"/>
  <c r="K32" i="1"/>
  <c r="I32" i="1"/>
  <c r="C86" i="2" l="1"/>
  <c r="D85" i="2"/>
  <c r="O85" i="2"/>
  <c r="N85" i="2"/>
  <c r="A45" i="2"/>
  <c r="E46" i="2"/>
  <c r="F46" i="2"/>
  <c r="K45" i="2"/>
  <c r="X45" i="2"/>
  <c r="N85" i="1"/>
  <c r="D85" i="1"/>
  <c r="C86" i="1"/>
  <c r="E33" i="1"/>
  <c r="G33" i="1"/>
  <c r="H33" i="1"/>
  <c r="A32" i="1"/>
  <c r="D86" i="2" l="1"/>
  <c r="C87" i="2"/>
  <c r="N86" i="2"/>
  <c r="O86" i="2"/>
  <c r="I46" i="2"/>
  <c r="G46" i="2"/>
  <c r="N86" i="1"/>
  <c r="C87" i="1"/>
  <c r="D86" i="1"/>
  <c r="W33" i="1"/>
  <c r="F33" i="1"/>
  <c r="D87" i="2" l="1"/>
  <c r="C88" i="2"/>
  <c r="O87" i="2"/>
  <c r="N87" i="2"/>
  <c r="K46" i="2"/>
  <c r="X46" i="2"/>
  <c r="F47" i="2"/>
  <c r="A46" i="2"/>
  <c r="H47" i="2"/>
  <c r="E47" i="2"/>
  <c r="D87" i="1"/>
  <c r="C88" i="1"/>
  <c r="N87" i="1"/>
  <c r="K33" i="1"/>
  <c r="I33" i="1"/>
  <c r="D88" i="2" l="1"/>
  <c r="C89" i="2"/>
  <c r="N88" i="2"/>
  <c r="O88" i="2"/>
  <c r="I47" i="2"/>
  <c r="G47" i="2"/>
  <c r="N88" i="1"/>
  <c r="D88" i="1"/>
  <c r="C89" i="1"/>
  <c r="G34" i="1"/>
  <c r="E34" i="1"/>
  <c r="H34" i="1"/>
  <c r="A33" i="1"/>
  <c r="C90" i="2" l="1"/>
  <c r="D89" i="2"/>
  <c r="O89" i="2"/>
  <c r="N89" i="2"/>
  <c r="F48" i="2"/>
  <c r="E48" i="2"/>
  <c r="K47" i="2"/>
  <c r="X47" i="2"/>
  <c r="A47" i="2"/>
  <c r="H48" i="2"/>
  <c r="D89" i="1"/>
  <c r="C90" i="1"/>
  <c r="N89" i="1"/>
  <c r="W34" i="1"/>
  <c r="F34" i="1"/>
  <c r="C91" i="2" l="1"/>
  <c r="D90" i="2"/>
  <c r="O90" i="2"/>
  <c r="N90" i="2"/>
  <c r="I48" i="2"/>
  <c r="G48" i="2"/>
  <c r="N90" i="1"/>
  <c r="D90" i="1"/>
  <c r="C91" i="1"/>
  <c r="K34" i="1"/>
  <c r="I34" i="1"/>
  <c r="D91" i="2" l="1"/>
  <c r="C92" i="2"/>
  <c r="N91" i="2"/>
  <c r="O91" i="2"/>
  <c r="X48" i="2"/>
  <c r="K48" i="2"/>
  <c r="E49" i="2"/>
  <c r="H49" i="2"/>
  <c r="A48" i="2"/>
  <c r="F49" i="2"/>
  <c r="C92" i="1"/>
  <c r="D91" i="1"/>
  <c r="N91" i="1"/>
  <c r="H35" i="1"/>
  <c r="G35" i="1"/>
  <c r="E35" i="1"/>
  <c r="A34" i="1"/>
  <c r="D92" i="2" l="1"/>
  <c r="C93" i="2"/>
  <c r="O92" i="2"/>
  <c r="N92" i="2"/>
  <c r="I49" i="2"/>
  <c r="A49" i="2" s="1"/>
  <c r="G49" i="2"/>
  <c r="D92" i="1"/>
  <c r="C93" i="1"/>
  <c r="N92" i="1"/>
  <c r="W35" i="1"/>
  <c r="F35" i="1"/>
  <c r="C94" i="2" l="1"/>
  <c r="D93" i="2"/>
  <c r="O93" i="2"/>
  <c r="N93" i="2"/>
  <c r="F50" i="2"/>
  <c r="H50" i="2"/>
  <c r="E50" i="2"/>
  <c r="X49" i="2"/>
  <c r="K49" i="2"/>
  <c r="C94" i="1"/>
  <c r="D93" i="1"/>
  <c r="N93" i="1"/>
  <c r="K35" i="1"/>
  <c r="I35" i="1"/>
  <c r="A35" i="1" s="1"/>
  <c r="D94" i="2" l="1"/>
  <c r="C95" i="2"/>
  <c r="O94" i="2"/>
  <c r="N94" i="2"/>
  <c r="I50" i="2"/>
  <c r="F51" i="2" s="1"/>
  <c r="G50" i="2"/>
  <c r="N94" i="1"/>
  <c r="C95" i="1"/>
  <c r="D94" i="1"/>
  <c r="H36" i="1"/>
  <c r="G36" i="1"/>
  <c r="E36" i="1"/>
  <c r="C96" i="2" l="1"/>
  <c r="D95" i="2"/>
  <c r="N95" i="2"/>
  <c r="O95" i="2"/>
  <c r="A50" i="2"/>
  <c r="E51" i="2"/>
  <c r="G51" i="2" s="1"/>
  <c r="X51" i="2" s="1"/>
  <c r="H51" i="2"/>
  <c r="K50" i="2"/>
  <c r="X50" i="2"/>
  <c r="D95" i="1"/>
  <c r="C96" i="1"/>
  <c r="N95" i="1"/>
  <c r="W36" i="1"/>
  <c r="F36" i="1"/>
  <c r="C97" i="2" l="1"/>
  <c r="D96" i="2"/>
  <c r="O96" i="2"/>
  <c r="N96" i="2"/>
  <c r="K51" i="2"/>
  <c r="I51" i="2"/>
  <c r="N96" i="1"/>
  <c r="C97" i="1"/>
  <c r="D96" i="1"/>
  <c r="K36" i="1"/>
  <c r="I36" i="1"/>
  <c r="D97" i="2" l="1"/>
  <c r="C98" i="2"/>
  <c r="O97" i="2"/>
  <c r="N97" i="2"/>
  <c r="A51" i="2"/>
  <c r="E52" i="2"/>
  <c r="F52" i="2"/>
  <c r="H52" i="2"/>
  <c r="D97" i="1"/>
  <c r="C98" i="1"/>
  <c r="N97" i="1"/>
  <c r="G37" i="1"/>
  <c r="H37" i="1"/>
  <c r="E37" i="1"/>
  <c r="A36" i="1"/>
  <c r="D98" i="2" l="1"/>
  <c r="C99" i="2"/>
  <c r="O98" i="2"/>
  <c r="N98" i="2"/>
  <c r="G52" i="2"/>
  <c r="I52" i="2"/>
  <c r="F53" i="2" s="1"/>
  <c r="N98" i="1"/>
  <c r="D98" i="1"/>
  <c r="C99" i="1"/>
  <c r="W37" i="1"/>
  <c r="F37" i="1"/>
  <c r="C100" i="2" l="1"/>
  <c r="D99" i="2"/>
  <c r="O99" i="2"/>
  <c r="N99" i="2"/>
  <c r="K52" i="2"/>
  <c r="X52" i="2"/>
  <c r="E53" i="2"/>
  <c r="G53" i="2" s="1"/>
  <c r="H53" i="2"/>
  <c r="I53" i="2" s="1"/>
  <c r="A52" i="2"/>
  <c r="D99" i="1"/>
  <c r="C100" i="1"/>
  <c r="N99" i="1"/>
  <c r="K37" i="1"/>
  <c r="I37" i="1"/>
  <c r="C101" i="2" l="1"/>
  <c r="D100" i="2"/>
  <c r="N100" i="2"/>
  <c r="O100" i="2"/>
  <c r="A53" i="2"/>
  <c r="F54" i="2"/>
  <c r="E54" i="2"/>
  <c r="H54" i="2"/>
  <c r="X53" i="2"/>
  <c r="K53" i="2"/>
  <c r="D101" i="2"/>
  <c r="C102" i="2"/>
  <c r="D102" i="2" s="1"/>
  <c r="N100" i="1"/>
  <c r="C101" i="1"/>
  <c r="D100" i="1"/>
  <c r="H38" i="1"/>
  <c r="G38" i="1"/>
  <c r="E38" i="1"/>
  <c r="A37" i="1"/>
  <c r="N101" i="2" l="1"/>
  <c r="O101" i="2"/>
  <c r="I54" i="2"/>
  <c r="G54" i="2"/>
  <c r="C103" i="2"/>
  <c r="D101" i="1"/>
  <c r="C102" i="1"/>
  <c r="N101" i="1"/>
  <c r="F38" i="1"/>
  <c r="W38" i="1"/>
  <c r="O102" i="2" l="1"/>
  <c r="N102" i="2"/>
  <c r="F55" i="2"/>
  <c r="H55" i="2"/>
  <c r="E55" i="2"/>
  <c r="A54" i="2"/>
  <c r="K54" i="2"/>
  <c r="X54" i="2"/>
  <c r="D103" i="2"/>
  <c r="C104" i="2"/>
  <c r="N102" i="1"/>
  <c r="C103" i="1"/>
  <c r="D102" i="1"/>
  <c r="K38" i="1"/>
  <c r="I38" i="1"/>
  <c r="O103" i="2" l="1"/>
  <c r="N103" i="2"/>
  <c r="I55" i="2"/>
  <c r="G55" i="2"/>
  <c r="C105" i="2"/>
  <c r="D104" i="2"/>
  <c r="D103" i="1"/>
  <c r="C104" i="1"/>
  <c r="N103" i="1"/>
  <c r="H39" i="1"/>
  <c r="G39" i="1"/>
  <c r="E39" i="1"/>
  <c r="A38" i="1"/>
  <c r="O104" i="2" l="1"/>
  <c r="N104" i="2"/>
  <c r="F56" i="2"/>
  <c r="H56" i="2"/>
  <c r="K55" i="2"/>
  <c r="X55" i="2"/>
  <c r="A55" i="2"/>
  <c r="E56" i="2"/>
  <c r="D105" i="2"/>
  <c r="C106" i="2"/>
  <c r="D104" i="1"/>
  <c r="C105" i="1"/>
  <c r="N104" i="1"/>
  <c r="F39" i="1"/>
  <c r="W39" i="1"/>
  <c r="O105" i="2" l="1"/>
  <c r="N105" i="2"/>
  <c r="G56" i="2"/>
  <c r="I56" i="2"/>
  <c r="D106" i="2"/>
  <c r="C107" i="2"/>
  <c r="N105" i="1"/>
  <c r="D105" i="1"/>
  <c r="C106" i="1"/>
  <c r="K39" i="1"/>
  <c r="I39" i="1"/>
  <c r="O106" i="2" l="1"/>
  <c r="N106" i="2"/>
  <c r="E57" i="2"/>
  <c r="H57" i="2"/>
  <c r="X56" i="2"/>
  <c r="K56" i="2"/>
  <c r="A56" i="2"/>
  <c r="F57" i="2"/>
  <c r="C108" i="2"/>
  <c r="D107" i="2"/>
  <c r="N106" i="1"/>
  <c r="C107" i="1"/>
  <c r="D106" i="1"/>
  <c r="E40" i="1"/>
  <c r="H40" i="1"/>
  <c r="G40" i="1"/>
  <c r="A39" i="1"/>
  <c r="N107" i="2" l="1"/>
  <c r="O107" i="2"/>
  <c r="G57" i="2"/>
  <c r="I57" i="2"/>
  <c r="D108" i="2"/>
  <c r="C109" i="2"/>
  <c r="C108" i="1"/>
  <c r="D107" i="1"/>
  <c r="N107" i="1"/>
  <c r="W40" i="1"/>
  <c r="F40" i="1"/>
  <c r="N108" i="2" l="1"/>
  <c r="O108" i="2"/>
  <c r="K57" i="2"/>
  <c r="X57" i="2"/>
  <c r="F58" i="2"/>
  <c r="E58" i="2"/>
  <c r="A57" i="2"/>
  <c r="H58" i="2"/>
  <c r="C110" i="2"/>
  <c r="D109" i="2"/>
  <c r="N108" i="1"/>
  <c r="C109" i="1"/>
  <c r="D108" i="1"/>
  <c r="K40" i="1"/>
  <c r="I40" i="1"/>
  <c r="N109" i="2" l="1"/>
  <c r="O109" i="2"/>
  <c r="G58" i="2"/>
  <c r="I58" i="2"/>
  <c r="C111" i="2"/>
  <c r="D110" i="2"/>
  <c r="N109" i="1"/>
  <c r="D109" i="1"/>
  <c r="C110" i="1"/>
  <c r="G41" i="1"/>
  <c r="E41" i="1"/>
  <c r="H41" i="1"/>
  <c r="A40" i="1"/>
  <c r="X58" i="2" l="1"/>
  <c r="K58" i="2"/>
  <c r="F59" i="2"/>
  <c r="E59" i="2"/>
  <c r="O110" i="2"/>
  <c r="N110" i="2"/>
  <c r="H59" i="2"/>
  <c r="A58" i="2"/>
  <c r="C112" i="2"/>
  <c r="D111" i="2"/>
  <c r="N110" i="1"/>
  <c r="C111" i="1"/>
  <c r="D110" i="1"/>
  <c r="F41" i="1"/>
  <c r="W41" i="1"/>
  <c r="G59" i="2" l="1"/>
  <c r="N111" i="2"/>
  <c r="O111" i="2"/>
  <c r="I59" i="2"/>
  <c r="D112" i="2"/>
  <c r="C113" i="2"/>
  <c r="C112" i="1"/>
  <c r="D111" i="1"/>
  <c r="N111" i="1"/>
  <c r="K41" i="1"/>
  <c r="I41" i="1"/>
  <c r="X59" i="2" l="1"/>
  <c r="K59" i="2"/>
  <c r="O112" i="2"/>
  <c r="N112" i="2"/>
  <c r="H60" i="2"/>
  <c r="A59" i="2"/>
  <c r="E60" i="2"/>
  <c r="F60" i="2"/>
  <c r="D113" i="2"/>
  <c r="C114" i="2"/>
  <c r="N112" i="1"/>
  <c r="D112" i="1"/>
  <c r="C113" i="1"/>
  <c r="G42" i="1"/>
  <c r="N6" i="3" s="1"/>
  <c r="E7" i="3" s="1"/>
  <c r="E42" i="1"/>
  <c r="H42" i="1"/>
  <c r="A41" i="1"/>
  <c r="O113" i="2" l="1"/>
  <c r="N113" i="2"/>
  <c r="I60" i="2"/>
  <c r="A60" i="2" s="1"/>
  <c r="G60" i="2"/>
  <c r="C115" i="2"/>
  <c r="D114" i="2"/>
  <c r="N113" i="1"/>
  <c r="C114" i="1"/>
  <c r="D113" i="1"/>
  <c r="W42" i="1"/>
  <c r="F42" i="1"/>
  <c r="N114" i="2" l="1"/>
  <c r="O114" i="2"/>
  <c r="X60" i="2"/>
  <c r="K60" i="2"/>
  <c r="E61" i="2"/>
  <c r="F61" i="2"/>
  <c r="H61" i="2"/>
  <c r="C116" i="2"/>
  <c r="D115" i="2"/>
  <c r="D114" i="1"/>
  <c r="C115" i="1"/>
  <c r="N114" i="1"/>
  <c r="K42" i="1"/>
  <c r="I42" i="1"/>
  <c r="A42" i="1" s="1"/>
  <c r="O115" i="2" l="1"/>
  <c r="N115" i="2"/>
  <c r="G61" i="2"/>
  <c r="I61" i="2"/>
  <c r="D116" i="2"/>
  <c r="C117" i="2"/>
  <c r="N115" i="1"/>
  <c r="D115" i="1"/>
  <c r="C116" i="1"/>
  <c r="H43" i="1"/>
  <c r="G43" i="1"/>
  <c r="E43" i="1"/>
  <c r="N7" i="3"/>
  <c r="E10" i="3" s="1"/>
  <c r="N116" i="2" l="1"/>
  <c r="O116" i="2"/>
  <c r="X61" i="2"/>
  <c r="K61" i="2"/>
  <c r="H62" i="2"/>
  <c r="A61" i="2"/>
  <c r="E62" i="2"/>
  <c r="F62" i="2"/>
  <c r="E11" i="3"/>
  <c r="E9" i="3"/>
  <c r="C118" i="2"/>
  <c r="D117" i="2"/>
  <c r="C117" i="1"/>
  <c r="D116" i="1"/>
  <c r="N116" i="1"/>
  <c r="F43" i="1"/>
  <c r="W43" i="1"/>
  <c r="N117" i="2" l="1"/>
  <c r="O117" i="2"/>
  <c r="I62" i="2"/>
  <c r="G62" i="2"/>
  <c r="D118" i="2"/>
  <c r="C119" i="2"/>
  <c r="N117" i="1"/>
  <c r="C118" i="1"/>
  <c r="D117" i="1"/>
  <c r="K43" i="1"/>
  <c r="I43" i="1"/>
  <c r="O118" i="2" l="1"/>
  <c r="N118" i="2"/>
  <c r="A62" i="2"/>
  <c r="E63" i="2"/>
  <c r="H63" i="2"/>
  <c r="F63" i="2"/>
  <c r="K62" i="2"/>
  <c r="X62" i="2"/>
  <c r="D119" i="2"/>
  <c r="C120" i="2"/>
  <c r="C119" i="1"/>
  <c r="D118" i="1"/>
  <c r="N118" i="1"/>
  <c r="G44" i="1"/>
  <c r="E44" i="1"/>
  <c r="H44" i="1"/>
  <c r="A43" i="1"/>
  <c r="N119" i="2" l="1"/>
  <c r="O119" i="2"/>
  <c r="G63" i="2"/>
  <c r="I63" i="2"/>
  <c r="C121" i="2"/>
  <c r="D120" i="2"/>
  <c r="N119" i="1"/>
  <c r="C120" i="1"/>
  <c r="D119" i="1"/>
  <c r="W44" i="1"/>
  <c r="F44" i="1"/>
  <c r="N120" i="2" l="1"/>
  <c r="O120" i="2"/>
  <c r="X63" i="2"/>
  <c r="K63" i="2"/>
  <c r="A63" i="2"/>
  <c r="F64" i="2"/>
  <c r="H64" i="2"/>
  <c r="E64" i="2"/>
  <c r="D121" i="2"/>
  <c r="C122" i="2"/>
  <c r="C121" i="1"/>
  <c r="D120" i="1"/>
  <c r="N120" i="1"/>
  <c r="K44" i="1"/>
  <c r="I44" i="1"/>
  <c r="A44" i="1" s="1"/>
  <c r="O121" i="2" l="1"/>
  <c r="N121" i="2"/>
  <c r="I64" i="2"/>
  <c r="A64" i="2" s="1"/>
  <c r="G64" i="2"/>
  <c r="C123" i="2"/>
  <c r="C124" i="2" s="1"/>
  <c r="D122" i="2"/>
  <c r="N121" i="1"/>
  <c r="C122" i="1"/>
  <c r="D121" i="1"/>
  <c r="E45" i="1"/>
  <c r="H45" i="1"/>
  <c r="G45" i="1"/>
  <c r="O122" i="2" l="1"/>
  <c r="N122" i="2"/>
  <c r="X64" i="2"/>
  <c r="K64" i="2"/>
  <c r="F65" i="2"/>
  <c r="E65" i="2"/>
  <c r="H65" i="2"/>
  <c r="D123" i="2"/>
  <c r="C123" i="1"/>
  <c r="D122" i="1"/>
  <c r="D124" i="2"/>
  <c r="C125" i="2"/>
  <c r="N122" i="1"/>
  <c r="W45" i="1"/>
  <c r="F45" i="1"/>
  <c r="O123" i="2" l="1"/>
  <c r="N123" i="2"/>
  <c r="I65" i="2"/>
  <c r="G65" i="2"/>
  <c r="N123" i="1"/>
  <c r="D125" i="2"/>
  <c r="C126" i="2"/>
  <c r="D123" i="1"/>
  <c r="C124" i="1"/>
  <c r="K45" i="1"/>
  <c r="I45" i="1"/>
  <c r="O124" i="2" l="1"/>
  <c r="N124" i="2"/>
  <c r="E66" i="2"/>
  <c r="A65" i="2"/>
  <c r="F66" i="2"/>
  <c r="H66" i="2"/>
  <c r="K65" i="2"/>
  <c r="X65" i="2"/>
  <c r="D124" i="1"/>
  <c r="C125" i="1"/>
  <c r="C127" i="2"/>
  <c r="D126" i="2"/>
  <c r="N124" i="1"/>
  <c r="E46" i="1"/>
  <c r="G46" i="1"/>
  <c r="H46" i="1"/>
  <c r="A45" i="1"/>
  <c r="O125" i="2" l="1"/>
  <c r="N125" i="2"/>
  <c r="I66" i="2"/>
  <c r="A66" i="2" s="1"/>
  <c r="O13" i="3" s="1"/>
  <c r="G66" i="2"/>
  <c r="K66" i="2" s="1"/>
  <c r="N125" i="1"/>
  <c r="D125" i="1"/>
  <c r="C126" i="1"/>
  <c r="C128" i="2"/>
  <c r="D127" i="2"/>
  <c r="F46" i="1"/>
  <c r="W46" i="1"/>
  <c r="N126" i="2" l="1"/>
  <c r="O126" i="2"/>
  <c r="E67" i="2"/>
  <c r="F67" i="2"/>
  <c r="H67" i="2"/>
  <c r="X66" i="2"/>
  <c r="O16" i="3"/>
  <c r="N126" i="1"/>
  <c r="C127" i="1"/>
  <c r="D126" i="1"/>
  <c r="C129" i="2"/>
  <c r="D128" i="2"/>
  <c r="K46" i="1"/>
  <c r="I46" i="1"/>
  <c r="O127" i="2" l="1"/>
  <c r="N127" i="2"/>
  <c r="I67" i="2"/>
  <c r="G67" i="2"/>
  <c r="N127" i="1"/>
  <c r="C130" i="2"/>
  <c r="D129" i="2"/>
  <c r="D127" i="1"/>
  <c r="C128" i="1"/>
  <c r="G47" i="1"/>
  <c r="E47" i="1"/>
  <c r="H47" i="1"/>
  <c r="A46" i="1"/>
  <c r="N128" i="2" l="1"/>
  <c r="O128" i="2"/>
  <c r="F68" i="2"/>
  <c r="A67" i="2"/>
  <c r="E68" i="2"/>
  <c r="H68" i="2"/>
  <c r="K67" i="2"/>
  <c r="X67" i="2"/>
  <c r="N128" i="1"/>
  <c r="C131" i="2"/>
  <c r="D130" i="2"/>
  <c r="D128" i="1"/>
  <c r="C129" i="1"/>
  <c r="F47" i="1"/>
  <c r="W47" i="1"/>
  <c r="N129" i="2" l="1"/>
  <c r="O129" i="2"/>
  <c r="G68" i="2"/>
  <c r="I68" i="2"/>
  <c r="A68" i="2" s="1"/>
  <c r="N129" i="1"/>
  <c r="D129" i="1"/>
  <c r="C130" i="1"/>
  <c r="D131" i="2"/>
  <c r="C132" i="2"/>
  <c r="K47" i="1"/>
  <c r="I47" i="1"/>
  <c r="N130" i="2" l="1"/>
  <c r="O130" i="2"/>
  <c r="X68" i="2"/>
  <c r="K68" i="2"/>
  <c r="H69" i="2"/>
  <c r="F69" i="2"/>
  <c r="E69" i="2"/>
  <c r="C131" i="1"/>
  <c r="D130" i="1"/>
  <c r="D132" i="2"/>
  <c r="C133" i="2"/>
  <c r="N130" i="1"/>
  <c r="H48" i="1"/>
  <c r="E48" i="1"/>
  <c r="G48" i="1"/>
  <c r="A47" i="1"/>
  <c r="N131" i="2" l="1"/>
  <c r="O131" i="2"/>
  <c r="G69" i="2"/>
  <c r="I69" i="2"/>
  <c r="N131" i="1"/>
  <c r="C134" i="2"/>
  <c r="D133" i="2"/>
  <c r="C132" i="1"/>
  <c r="D131" i="1"/>
  <c r="W48" i="1"/>
  <c r="F48" i="1"/>
  <c r="N132" i="2" l="1"/>
  <c r="O132" i="2"/>
  <c r="X69" i="2"/>
  <c r="K69" i="2"/>
  <c r="E70" i="2"/>
  <c r="A69" i="2"/>
  <c r="H70" i="2"/>
  <c r="F70" i="2"/>
  <c r="C133" i="1"/>
  <c r="D132" i="1"/>
  <c r="N132" i="1"/>
  <c r="C135" i="2"/>
  <c r="D134" i="2"/>
  <c r="K48" i="1"/>
  <c r="I48" i="1"/>
  <c r="O133" i="2" l="1"/>
  <c r="N133" i="2"/>
  <c r="I70" i="2"/>
  <c r="G70" i="2"/>
  <c r="N133" i="1"/>
  <c r="C134" i="1"/>
  <c r="D133" i="1"/>
  <c r="C136" i="2"/>
  <c r="D135" i="2"/>
  <c r="H49" i="1"/>
  <c r="E49" i="1"/>
  <c r="G49" i="1"/>
  <c r="A48" i="1"/>
  <c r="O134" i="2" l="1"/>
  <c r="N134" i="2"/>
  <c r="H71" i="2"/>
  <c r="F71" i="2"/>
  <c r="E71" i="2"/>
  <c r="A70" i="2"/>
  <c r="K70" i="2"/>
  <c r="X70" i="2"/>
  <c r="N134" i="1"/>
  <c r="D134" i="1"/>
  <c r="C135" i="1"/>
  <c r="D136" i="2"/>
  <c r="C137" i="2"/>
  <c r="W49" i="1"/>
  <c r="F49" i="1"/>
  <c r="N135" i="2" l="1"/>
  <c r="O135" i="2"/>
  <c r="G71" i="2"/>
  <c r="I71" i="2"/>
  <c r="D137" i="2"/>
  <c r="C138" i="2"/>
  <c r="C136" i="1"/>
  <c r="D135" i="1"/>
  <c r="N135" i="1"/>
  <c r="K49" i="1"/>
  <c r="I49" i="1"/>
  <c r="O136" i="2" l="1"/>
  <c r="N136" i="2"/>
  <c r="K71" i="2"/>
  <c r="X71" i="2"/>
  <c r="E72" i="2"/>
  <c r="F72" i="2"/>
  <c r="A71" i="2"/>
  <c r="H72" i="2"/>
  <c r="N136" i="1"/>
  <c r="C137" i="1"/>
  <c r="D136" i="1"/>
  <c r="D138" i="2"/>
  <c r="C139" i="2"/>
  <c r="E50" i="1"/>
  <c r="H50" i="1"/>
  <c r="G50" i="1"/>
  <c r="A49" i="1"/>
  <c r="O137" i="2" l="1"/>
  <c r="N137" i="2"/>
  <c r="G72" i="2"/>
  <c r="I72" i="2"/>
  <c r="A72" i="2" s="1"/>
  <c r="N137" i="1"/>
  <c r="C140" i="2"/>
  <c r="D139" i="2"/>
  <c r="D137" i="1"/>
  <c r="C138" i="1"/>
  <c r="W50" i="1"/>
  <c r="F50" i="1"/>
  <c r="N138" i="2" l="1"/>
  <c r="O138" i="2"/>
  <c r="X72" i="2"/>
  <c r="K72" i="2"/>
  <c r="H73" i="2"/>
  <c r="F73" i="2"/>
  <c r="E73" i="2"/>
  <c r="C139" i="1"/>
  <c r="D138" i="1"/>
  <c r="D140" i="2"/>
  <c r="C141" i="2"/>
  <c r="N138" i="1"/>
  <c r="K50" i="1"/>
  <c r="I50" i="1"/>
  <c r="N139" i="2" l="1"/>
  <c r="O139" i="2"/>
  <c r="I73" i="2"/>
  <c r="A73" i="2" s="1"/>
  <c r="G73" i="2"/>
  <c r="N139" i="1"/>
  <c r="D141" i="2"/>
  <c r="C142" i="2"/>
  <c r="D139" i="1"/>
  <c r="C140" i="1"/>
  <c r="E51" i="1"/>
  <c r="G51" i="1"/>
  <c r="H51" i="1"/>
  <c r="A50" i="1"/>
  <c r="O140" i="2" l="1"/>
  <c r="N140" i="2"/>
  <c r="X73" i="2"/>
  <c r="K73" i="2"/>
  <c r="F74" i="2"/>
  <c r="E74" i="2"/>
  <c r="H74" i="2"/>
  <c r="N140" i="1"/>
  <c r="D142" i="2"/>
  <c r="C143" i="2"/>
  <c r="D140" i="1"/>
  <c r="C141" i="1"/>
  <c r="F51" i="1"/>
  <c r="W51" i="1"/>
  <c r="O141" i="2" l="1"/>
  <c r="N141" i="2"/>
  <c r="G74" i="2"/>
  <c r="I74" i="2"/>
  <c r="A74" i="2" s="1"/>
  <c r="C142" i="1"/>
  <c r="D141" i="1"/>
  <c r="D143" i="2"/>
  <c r="C144" i="2"/>
  <c r="N141" i="1"/>
  <c r="K51" i="1"/>
  <c r="I51" i="1"/>
  <c r="A51" i="1" s="1"/>
  <c r="O142" i="2" l="1"/>
  <c r="N142" i="2"/>
  <c r="X74" i="2"/>
  <c r="K74" i="2"/>
  <c r="H75" i="2"/>
  <c r="E75" i="2"/>
  <c r="F75" i="2"/>
  <c r="O143" i="2"/>
  <c r="N143" i="2"/>
  <c r="N142" i="1"/>
  <c r="C145" i="2"/>
  <c r="D144" i="2"/>
  <c r="D142" i="1"/>
  <c r="C143" i="1"/>
  <c r="H52" i="1"/>
  <c r="G52" i="1"/>
  <c r="E52" i="1"/>
  <c r="G75" i="2" l="1"/>
  <c r="I75" i="2"/>
  <c r="N144" i="2"/>
  <c r="O144" i="2"/>
  <c r="D145" i="2"/>
  <c r="C146" i="2"/>
  <c r="D143" i="1"/>
  <c r="C144" i="1"/>
  <c r="N143" i="1"/>
  <c r="F52" i="1"/>
  <c r="W52" i="1"/>
  <c r="K75" i="2" l="1"/>
  <c r="X75" i="2"/>
  <c r="A75" i="2"/>
  <c r="H76" i="2"/>
  <c r="E76" i="2"/>
  <c r="F76" i="2"/>
  <c r="O145" i="2"/>
  <c r="N145" i="2"/>
  <c r="D146" i="2"/>
  <c r="C147" i="2"/>
  <c r="D144" i="1"/>
  <c r="C145" i="1"/>
  <c r="N144" i="1"/>
  <c r="K52" i="1"/>
  <c r="I52" i="1"/>
  <c r="I76" i="2" l="1"/>
  <c r="A76" i="2" s="1"/>
  <c r="G76" i="2"/>
  <c r="N146" i="2"/>
  <c r="O146" i="2"/>
  <c r="N145" i="1"/>
  <c r="D147" i="2"/>
  <c r="C148" i="2"/>
  <c r="C146" i="1"/>
  <c r="D145" i="1"/>
  <c r="H53" i="1"/>
  <c r="G53" i="1"/>
  <c r="E53" i="1"/>
  <c r="A52" i="1"/>
  <c r="E77" i="2" l="1"/>
  <c r="H77" i="2"/>
  <c r="F77" i="2"/>
  <c r="X76" i="2"/>
  <c r="K76" i="2"/>
  <c r="N147" i="2"/>
  <c r="O147" i="2"/>
  <c r="D146" i="1"/>
  <c r="C147" i="1"/>
  <c r="N146" i="1"/>
  <c r="D148" i="2"/>
  <c r="C149" i="2"/>
  <c r="W53" i="1"/>
  <c r="F53" i="1"/>
  <c r="I77" i="2" l="1"/>
  <c r="G77" i="2"/>
  <c r="O148" i="2"/>
  <c r="N148" i="2"/>
  <c r="D147" i="1"/>
  <c r="C148" i="1"/>
  <c r="C150" i="2"/>
  <c r="D149" i="2"/>
  <c r="N147" i="1"/>
  <c r="K53" i="1"/>
  <c r="I53" i="1"/>
  <c r="E78" i="2" l="1"/>
  <c r="A77" i="2"/>
  <c r="H78" i="2"/>
  <c r="F78" i="2"/>
  <c r="X77" i="2"/>
  <c r="K77" i="2"/>
  <c r="O149" i="2"/>
  <c r="N149" i="2"/>
  <c r="C151" i="2"/>
  <c r="D150" i="2"/>
  <c r="C149" i="1"/>
  <c r="D148" i="1"/>
  <c r="N148" i="1"/>
  <c r="H54" i="1"/>
  <c r="E54" i="1"/>
  <c r="G54" i="1"/>
  <c r="A53" i="1"/>
  <c r="I78" i="2" l="1"/>
  <c r="G78" i="2"/>
  <c r="O150" i="2"/>
  <c r="N150" i="2"/>
  <c r="N149" i="1"/>
  <c r="C150" i="1"/>
  <c r="D149" i="1"/>
  <c r="C152" i="2"/>
  <c r="D151" i="2"/>
  <c r="W54" i="1"/>
  <c r="F54" i="1"/>
  <c r="K78" i="2" l="1"/>
  <c r="X78" i="2"/>
  <c r="A78" i="2"/>
  <c r="H79" i="2"/>
  <c r="E79" i="2"/>
  <c r="F79" i="2"/>
  <c r="O151" i="2"/>
  <c r="N151" i="2"/>
  <c r="D150" i="1"/>
  <c r="C151" i="1"/>
  <c r="N150" i="1"/>
  <c r="D152" i="2"/>
  <c r="C153" i="2"/>
  <c r="K54" i="1"/>
  <c r="I54" i="1"/>
  <c r="G79" i="2" l="1"/>
  <c r="I79" i="2"/>
  <c r="O152" i="2"/>
  <c r="N152" i="2"/>
  <c r="N151" i="1"/>
  <c r="D153" i="2"/>
  <c r="C154" i="2"/>
  <c r="D151" i="1"/>
  <c r="C152" i="1"/>
  <c r="H55" i="1"/>
  <c r="E55" i="1"/>
  <c r="G55" i="1"/>
  <c r="A54" i="1"/>
  <c r="X79" i="2" l="1"/>
  <c r="K79" i="2"/>
  <c r="A79" i="2"/>
  <c r="E80" i="2"/>
  <c r="H80" i="2"/>
  <c r="F80" i="2"/>
  <c r="N153" i="2"/>
  <c r="O153" i="2"/>
  <c r="N152" i="1"/>
  <c r="D152" i="1"/>
  <c r="C153" i="1"/>
  <c r="D154" i="2"/>
  <c r="C155" i="2"/>
  <c r="F55" i="1"/>
  <c r="W55" i="1"/>
  <c r="I80" i="2" l="1"/>
  <c r="E81" i="2" s="1"/>
  <c r="G80" i="2"/>
  <c r="O154" i="2"/>
  <c r="N154" i="2"/>
  <c r="C154" i="1"/>
  <c r="D153" i="1"/>
  <c r="C156" i="2"/>
  <c r="D155" i="2"/>
  <c r="N153" i="1"/>
  <c r="K55" i="1"/>
  <c r="I55" i="1"/>
  <c r="F81" i="2" l="1"/>
  <c r="A80" i="2"/>
  <c r="H81" i="2"/>
  <c r="X80" i="2"/>
  <c r="K80" i="2"/>
  <c r="O155" i="2"/>
  <c r="N155" i="2"/>
  <c r="N154" i="1"/>
  <c r="D156" i="2"/>
  <c r="C157" i="2"/>
  <c r="C155" i="1"/>
  <c r="D154" i="1"/>
  <c r="E56" i="1"/>
  <c r="G56" i="1"/>
  <c r="H56" i="1"/>
  <c r="A55" i="1"/>
  <c r="G81" i="2" l="1"/>
  <c r="I81" i="2"/>
  <c r="N156" i="2"/>
  <c r="O156" i="2"/>
  <c r="N155" i="1"/>
  <c r="D157" i="2"/>
  <c r="C158" i="2"/>
  <c r="D155" i="1"/>
  <c r="C156" i="1"/>
  <c r="W56" i="1"/>
  <c r="F56" i="1"/>
  <c r="X81" i="2" l="1"/>
  <c r="K81" i="2"/>
  <c r="F82" i="2"/>
  <c r="E82" i="2"/>
  <c r="A81" i="2"/>
  <c r="H82" i="2"/>
  <c r="O157" i="2"/>
  <c r="N157" i="2"/>
  <c r="C159" i="2"/>
  <c r="D158" i="2"/>
  <c r="D156" i="1"/>
  <c r="C157" i="1"/>
  <c r="N156" i="1"/>
  <c r="K56" i="1"/>
  <c r="I56" i="1"/>
  <c r="I82" i="2" l="1"/>
  <c r="F83" i="2" s="1"/>
  <c r="G82" i="2"/>
  <c r="O158" i="2"/>
  <c r="N158" i="2"/>
  <c r="D159" i="2"/>
  <c r="C160" i="2"/>
  <c r="C158" i="1"/>
  <c r="D157" i="1"/>
  <c r="N157" i="1"/>
  <c r="G57" i="1"/>
  <c r="E57" i="1"/>
  <c r="H57" i="1"/>
  <c r="A56" i="1"/>
  <c r="A82" i="2" l="1"/>
  <c r="H83" i="2"/>
  <c r="I83" i="2" s="1"/>
  <c r="E83" i="2"/>
  <c r="G83" i="2" s="1"/>
  <c r="K82" i="2"/>
  <c r="X82" i="2"/>
  <c r="O159" i="2"/>
  <c r="N159" i="2"/>
  <c r="D160" i="2"/>
  <c r="C161" i="2"/>
  <c r="C159" i="1"/>
  <c r="D158" i="1"/>
  <c r="N158" i="1"/>
  <c r="F57" i="1"/>
  <c r="W57" i="1"/>
  <c r="K83" i="2" l="1"/>
  <c r="X83" i="2"/>
  <c r="F84" i="2"/>
  <c r="E84" i="2"/>
  <c r="H84" i="2"/>
  <c r="A83" i="2"/>
  <c r="O160" i="2"/>
  <c r="N160" i="2"/>
  <c r="N159" i="1"/>
  <c r="D161" i="2"/>
  <c r="C162" i="2"/>
  <c r="D159" i="1"/>
  <c r="C160" i="1"/>
  <c r="K57" i="1"/>
  <c r="I57" i="1"/>
  <c r="I84" i="2" l="1"/>
  <c r="G84" i="2"/>
  <c r="N161" i="2"/>
  <c r="O161" i="2"/>
  <c r="N160" i="1"/>
  <c r="D162" i="2"/>
  <c r="C163" i="2"/>
  <c r="D160" i="1"/>
  <c r="C161" i="1"/>
  <c r="H58" i="1"/>
  <c r="G58" i="1"/>
  <c r="E58" i="1"/>
  <c r="A57" i="1"/>
  <c r="E85" i="2" l="1"/>
  <c r="H85" i="2"/>
  <c r="A84" i="2"/>
  <c r="F85" i="2"/>
  <c r="K84" i="2"/>
  <c r="X84" i="2"/>
  <c r="O162" i="2"/>
  <c r="N162" i="2"/>
  <c r="D163" i="2"/>
  <c r="C164" i="2"/>
  <c r="C162" i="1"/>
  <c r="D161" i="1"/>
  <c r="N161" i="1"/>
  <c r="W58" i="1"/>
  <c r="F58" i="1"/>
  <c r="G85" i="2" l="1"/>
  <c r="I85" i="2"/>
  <c r="N163" i="2"/>
  <c r="O163" i="2"/>
  <c r="N162" i="1"/>
  <c r="D162" i="1"/>
  <c r="C163" i="1"/>
  <c r="D164" i="2"/>
  <c r="C165" i="2"/>
  <c r="K58" i="1"/>
  <c r="I58" i="1"/>
  <c r="A58" i="1" s="1"/>
  <c r="X85" i="2" l="1"/>
  <c r="K85" i="2"/>
  <c r="A85" i="2"/>
  <c r="E86" i="2"/>
  <c r="F86" i="2"/>
  <c r="H86" i="2"/>
  <c r="N164" i="2"/>
  <c r="O164" i="2"/>
  <c r="N163" i="1"/>
  <c r="D165" i="2"/>
  <c r="C166" i="2"/>
  <c r="C164" i="1"/>
  <c r="D163" i="1"/>
  <c r="H59" i="1"/>
  <c r="E59" i="1"/>
  <c r="G59" i="1"/>
  <c r="I86" i="2" l="1"/>
  <c r="G86" i="2"/>
  <c r="O165" i="2"/>
  <c r="N165" i="2"/>
  <c r="D164" i="1"/>
  <c r="C165" i="1"/>
  <c r="D166" i="2"/>
  <c r="C167" i="2"/>
  <c r="N164" i="1"/>
  <c r="W59" i="1"/>
  <c r="F59" i="1"/>
  <c r="X86" i="2" l="1"/>
  <c r="K86" i="2"/>
  <c r="A86" i="2"/>
  <c r="F87" i="2"/>
  <c r="E87" i="2"/>
  <c r="H87" i="2"/>
  <c r="N166" i="2"/>
  <c r="O166" i="2"/>
  <c r="N165" i="1"/>
  <c r="C168" i="2"/>
  <c r="D167" i="2"/>
  <c r="D165" i="1"/>
  <c r="C166" i="1"/>
  <c r="K59" i="1"/>
  <c r="I59" i="1"/>
  <c r="I87" i="2" l="1"/>
  <c r="G87" i="2"/>
  <c r="N167" i="2"/>
  <c r="O167" i="2"/>
  <c r="C169" i="2"/>
  <c r="D168" i="2"/>
  <c r="D166" i="1"/>
  <c r="C167" i="1"/>
  <c r="N166" i="1"/>
  <c r="E60" i="1"/>
  <c r="G60" i="1"/>
  <c r="H60" i="1"/>
  <c r="A59" i="1"/>
  <c r="A87" i="2" l="1"/>
  <c r="H88" i="2"/>
  <c r="F88" i="2"/>
  <c r="E88" i="2"/>
  <c r="X87" i="2"/>
  <c r="K87" i="2"/>
  <c r="O168" i="2"/>
  <c r="N168" i="2"/>
  <c r="N167" i="1"/>
  <c r="D169" i="2"/>
  <c r="C170" i="2"/>
  <c r="D167" i="1"/>
  <c r="C168" i="1"/>
  <c r="W60" i="1"/>
  <c r="F60" i="1"/>
  <c r="I88" i="2" l="1"/>
  <c r="G88" i="2"/>
  <c r="N169" i="2"/>
  <c r="O169" i="2"/>
  <c r="N168" i="1"/>
  <c r="D170" i="2"/>
  <c r="C171" i="2"/>
  <c r="C169" i="1"/>
  <c r="D168" i="1"/>
  <c r="K60" i="1"/>
  <c r="I60" i="1"/>
  <c r="X88" i="2" l="1"/>
  <c r="K88" i="2"/>
  <c r="H89" i="2"/>
  <c r="F89" i="2"/>
  <c r="E89" i="2"/>
  <c r="A88" i="2"/>
  <c r="N170" i="2"/>
  <c r="O170" i="2"/>
  <c r="C170" i="1"/>
  <c r="D169" i="1"/>
  <c r="D171" i="2"/>
  <c r="C172" i="2"/>
  <c r="N169" i="1"/>
  <c r="G61" i="1"/>
  <c r="H61" i="1"/>
  <c r="E61" i="1"/>
  <c r="A60" i="1"/>
  <c r="G89" i="2" l="1"/>
  <c r="K89" i="2" s="1"/>
  <c r="I89" i="2"/>
  <c r="X89" i="2"/>
  <c r="N171" i="2"/>
  <c r="O171" i="2"/>
  <c r="N170" i="1"/>
  <c r="D172" i="2"/>
  <c r="C173" i="2"/>
  <c r="D170" i="1"/>
  <c r="C171" i="1"/>
  <c r="F61" i="1"/>
  <c r="W61" i="1"/>
  <c r="A89" i="2" l="1"/>
  <c r="H90" i="2"/>
  <c r="F90" i="2"/>
  <c r="E90" i="2"/>
  <c r="G90" i="2"/>
  <c r="O172" i="2"/>
  <c r="N172" i="2"/>
  <c r="N171" i="1"/>
  <c r="D173" i="2"/>
  <c r="C174" i="2"/>
  <c r="D171" i="1"/>
  <c r="C172" i="1"/>
  <c r="K61" i="1"/>
  <c r="I61" i="1"/>
  <c r="I90" i="2" l="1"/>
  <c r="A90" i="2" s="1"/>
  <c r="F91" i="2"/>
  <c r="E91" i="2"/>
  <c r="K90" i="2"/>
  <c r="X90" i="2"/>
  <c r="H91" i="2"/>
  <c r="N173" i="2"/>
  <c r="O173" i="2"/>
  <c r="C175" i="2"/>
  <c r="D174" i="2"/>
  <c r="C173" i="1"/>
  <c r="D172" i="1"/>
  <c r="N172" i="1"/>
  <c r="E62" i="1"/>
  <c r="G62" i="1"/>
  <c r="H62" i="1"/>
  <c r="A61" i="1"/>
  <c r="G91" i="2" l="1"/>
  <c r="I91" i="2"/>
  <c r="E92" i="2" s="1"/>
  <c r="N174" i="2"/>
  <c r="O174" i="2"/>
  <c r="N173" i="1"/>
  <c r="D173" i="1"/>
  <c r="C174" i="1"/>
  <c r="D175" i="2"/>
  <c r="C176" i="2"/>
  <c r="W62" i="1"/>
  <c r="F62" i="1"/>
  <c r="K91" i="2" l="1"/>
  <c r="X91" i="2"/>
  <c r="A91" i="2"/>
  <c r="H92" i="2"/>
  <c r="F92" i="2"/>
  <c r="O175" i="2"/>
  <c r="N175" i="2"/>
  <c r="C177" i="2"/>
  <c r="D176" i="2"/>
  <c r="D174" i="1"/>
  <c r="C175" i="1"/>
  <c r="N174" i="1"/>
  <c r="K62" i="1"/>
  <c r="I62" i="1"/>
  <c r="I92" i="2" l="1"/>
  <c r="G92" i="2"/>
  <c r="E63" i="1"/>
  <c r="G63" i="1"/>
  <c r="H63" i="1"/>
  <c r="O176" i="2"/>
  <c r="N176" i="2"/>
  <c r="N175" i="1"/>
  <c r="D177" i="2"/>
  <c r="C178" i="2"/>
  <c r="D175" i="1"/>
  <c r="C176" i="1"/>
  <c r="A62" i="1"/>
  <c r="F63" i="1" l="1"/>
  <c r="I63" i="1" s="1"/>
  <c r="H64" i="1" s="1"/>
  <c r="A92" i="2"/>
  <c r="H93" i="2"/>
  <c r="F93" i="2"/>
  <c r="E93" i="2"/>
  <c r="X92" i="2"/>
  <c r="K92" i="2"/>
  <c r="O177" i="2"/>
  <c r="N177" i="2"/>
  <c r="N176" i="1"/>
  <c r="C179" i="2"/>
  <c r="D178" i="2"/>
  <c r="C177" i="1"/>
  <c r="D176" i="1"/>
  <c r="W63" i="1"/>
  <c r="G93" i="2" l="1"/>
  <c r="I93" i="2"/>
  <c r="E64" i="1"/>
  <c r="G64" i="1"/>
  <c r="O178" i="2"/>
  <c r="N178" i="2"/>
  <c r="D177" i="1"/>
  <c r="C178" i="1"/>
  <c r="N177" i="1"/>
  <c r="D179" i="2"/>
  <c r="C180" i="2"/>
  <c r="K63" i="1"/>
  <c r="F64" i="1" l="1"/>
  <c r="I64" i="1" s="1"/>
  <c r="K93" i="2"/>
  <c r="X93" i="2"/>
  <c r="A93" i="2"/>
  <c r="F94" i="2"/>
  <c r="E94" i="2"/>
  <c r="H94" i="2"/>
  <c r="O179" i="2"/>
  <c r="N179" i="2"/>
  <c r="N178" i="1"/>
  <c r="C181" i="2"/>
  <c r="D180" i="2"/>
  <c r="D178" i="1"/>
  <c r="C179" i="1"/>
  <c r="A63" i="1"/>
  <c r="I94" i="2" l="1"/>
  <c r="E95" i="2" s="1"/>
  <c r="G94" i="2"/>
  <c r="E65" i="1"/>
  <c r="H65" i="1"/>
  <c r="G65" i="1"/>
  <c r="A94" i="2"/>
  <c r="H95" i="2"/>
  <c r="F95" i="2"/>
  <c r="N180" i="2"/>
  <c r="O180" i="2"/>
  <c r="N179" i="1"/>
  <c r="D179" i="1"/>
  <c r="C180" i="1"/>
  <c r="C182" i="2"/>
  <c r="D181" i="2"/>
  <c r="W64" i="1"/>
  <c r="K94" i="2" l="1"/>
  <c r="X94" i="2"/>
  <c r="F65" i="1"/>
  <c r="G95" i="2"/>
  <c r="I95" i="2"/>
  <c r="N181" i="2"/>
  <c r="O181" i="2"/>
  <c r="D180" i="1"/>
  <c r="C181" i="1"/>
  <c r="D182" i="2"/>
  <c r="C183" i="2"/>
  <c r="N180" i="1"/>
  <c r="K64" i="1"/>
  <c r="A64" i="1"/>
  <c r="I65" i="1" l="1"/>
  <c r="X95" i="2"/>
  <c r="K95" i="2"/>
  <c r="F96" i="2"/>
  <c r="H96" i="2"/>
  <c r="A95" i="2"/>
  <c r="E96" i="2"/>
  <c r="N182" i="2"/>
  <c r="O182" i="2"/>
  <c r="N181" i="1"/>
  <c r="D181" i="1"/>
  <c r="C182" i="1"/>
  <c r="D183" i="2"/>
  <c r="C184" i="2"/>
  <c r="G66" i="1" l="1"/>
  <c r="H66" i="1"/>
  <c r="E66" i="1"/>
  <c r="G96" i="2"/>
  <c r="I96" i="2"/>
  <c r="N183" i="2"/>
  <c r="O183" i="2"/>
  <c r="N182" i="1"/>
  <c r="D184" i="2"/>
  <c r="C185" i="2"/>
  <c r="D182" i="1"/>
  <c r="C183" i="1"/>
  <c r="W65" i="1"/>
  <c r="F66" i="1" l="1"/>
  <c r="X96" i="2"/>
  <c r="K96" i="2"/>
  <c r="H97" i="2"/>
  <c r="F97" i="2"/>
  <c r="A96" i="2"/>
  <c r="E97" i="2"/>
  <c r="N184" i="2"/>
  <c r="O184" i="2"/>
  <c r="N183" i="1"/>
  <c r="D185" i="2"/>
  <c r="C186" i="2"/>
  <c r="D183" i="1"/>
  <c r="C184" i="1"/>
  <c r="K65" i="1"/>
  <c r="I66" i="1" l="1"/>
  <c r="I97" i="2"/>
  <c r="G97" i="2"/>
  <c r="O185" i="2"/>
  <c r="N185" i="2"/>
  <c r="C187" i="2"/>
  <c r="D186" i="2"/>
  <c r="D184" i="1"/>
  <c r="C185" i="1"/>
  <c r="N184" i="1"/>
  <c r="A65" i="1"/>
  <c r="E67" i="1" l="1"/>
  <c r="G67" i="1"/>
  <c r="F67" i="1" s="1"/>
  <c r="H67" i="1"/>
  <c r="H98" i="2"/>
  <c r="A97" i="2"/>
  <c r="E98" i="2"/>
  <c r="F98" i="2"/>
  <c r="K97" i="2"/>
  <c r="X97" i="2"/>
  <c r="N186" i="2"/>
  <c r="O186" i="2"/>
  <c r="N185" i="1"/>
  <c r="D185" i="1"/>
  <c r="C186" i="1"/>
  <c r="C188" i="2"/>
  <c r="D187" i="2"/>
  <c r="N16" i="3"/>
  <c r="W66" i="1"/>
  <c r="I67" i="1" l="1"/>
  <c r="I98" i="2"/>
  <c r="A98" i="2" s="1"/>
  <c r="G98" i="2"/>
  <c r="N187" i="2"/>
  <c r="O187" i="2"/>
  <c r="C189" i="2"/>
  <c r="D188" i="2"/>
  <c r="D186" i="1"/>
  <c r="C187" i="1"/>
  <c r="N186" i="1"/>
  <c r="K66" i="1"/>
  <c r="A66" i="1"/>
  <c r="N13" i="3" s="1"/>
  <c r="G68" i="1" l="1"/>
  <c r="H68" i="1"/>
  <c r="E68" i="1"/>
  <c r="H99" i="2"/>
  <c r="F99" i="2"/>
  <c r="E99" i="2"/>
  <c r="X98" i="2"/>
  <c r="K98" i="2"/>
  <c r="N188" i="2"/>
  <c r="O188" i="2"/>
  <c r="N187" i="1"/>
  <c r="C190" i="2"/>
  <c r="D189" i="2"/>
  <c r="C188" i="1"/>
  <c r="D187" i="1"/>
  <c r="F68" i="1" l="1"/>
  <c r="I68" i="1" s="1"/>
  <c r="I99" i="2"/>
  <c r="G99" i="2"/>
  <c r="N189" i="2"/>
  <c r="O189" i="2"/>
  <c r="N188" i="1"/>
  <c r="C191" i="2"/>
  <c r="D190" i="2"/>
  <c r="D188" i="1"/>
  <c r="C189" i="1"/>
  <c r="W67" i="1"/>
  <c r="H69" i="1" l="1"/>
  <c r="E69" i="1"/>
  <c r="G69" i="1"/>
  <c r="E100" i="2"/>
  <c r="F100" i="2"/>
  <c r="H100" i="2"/>
  <c r="A99" i="2"/>
  <c r="X99" i="2"/>
  <c r="K99" i="2"/>
  <c r="N190" i="2"/>
  <c r="O190" i="2"/>
  <c r="D189" i="1"/>
  <c r="C190" i="1"/>
  <c r="N189" i="1"/>
  <c r="D191" i="2"/>
  <c r="C192" i="2"/>
  <c r="K67" i="1"/>
  <c r="A67" i="1"/>
  <c r="F69" i="1" l="1"/>
  <c r="G100" i="2"/>
  <c r="I100" i="2"/>
  <c r="N191" i="2"/>
  <c r="O191" i="2"/>
  <c r="D192" i="2"/>
  <c r="C193" i="2"/>
  <c r="C191" i="1"/>
  <c r="D190" i="1"/>
  <c r="N190" i="1"/>
  <c r="I69" i="1" l="1"/>
  <c r="X100" i="2"/>
  <c r="K100" i="2"/>
  <c r="H101" i="2"/>
  <c r="E101" i="2"/>
  <c r="F101" i="2"/>
  <c r="A100" i="2"/>
  <c r="O192" i="2"/>
  <c r="N192" i="2"/>
  <c r="D191" i="1"/>
  <c r="C192" i="1"/>
  <c r="D193" i="2"/>
  <c r="C194" i="2"/>
  <c r="N191" i="1"/>
  <c r="W68" i="1"/>
  <c r="G101" i="2" l="1"/>
  <c r="H70" i="1"/>
  <c r="E70" i="1"/>
  <c r="G70" i="1"/>
  <c r="I101" i="2"/>
  <c r="O193" i="2"/>
  <c r="N193" i="2"/>
  <c r="N192" i="1"/>
  <c r="D192" i="1"/>
  <c r="C193" i="1"/>
  <c r="D194" i="2"/>
  <c r="C195" i="2"/>
  <c r="K68" i="1"/>
  <c r="A68" i="1"/>
  <c r="F70" i="1" l="1"/>
  <c r="I70" i="1" s="1"/>
  <c r="K101" i="2"/>
  <c r="X101" i="2"/>
  <c r="H102" i="2"/>
  <c r="F102" i="2"/>
  <c r="A101" i="2"/>
  <c r="E102" i="2"/>
  <c r="N194" i="2"/>
  <c r="O194" i="2"/>
  <c r="D195" i="2"/>
  <c r="C196" i="2"/>
  <c r="D193" i="1"/>
  <c r="C194" i="1"/>
  <c r="N193" i="1"/>
  <c r="G102" i="2" l="1"/>
  <c r="I102" i="2"/>
  <c r="H71" i="1"/>
  <c r="G71" i="1"/>
  <c r="E71" i="1"/>
  <c r="O195" i="2"/>
  <c r="N195" i="2"/>
  <c r="N194" i="1"/>
  <c r="D196" i="2"/>
  <c r="C197" i="2"/>
  <c r="C195" i="1"/>
  <c r="D194" i="1"/>
  <c r="W69" i="1"/>
  <c r="X102" i="2" l="1"/>
  <c r="K102" i="2"/>
  <c r="H103" i="2"/>
  <c r="A102" i="2"/>
  <c r="E103" i="2"/>
  <c r="F103" i="2"/>
  <c r="F71" i="1"/>
  <c r="O196" i="2"/>
  <c r="N196" i="2"/>
  <c r="N195" i="1"/>
  <c r="D195" i="1"/>
  <c r="C196" i="1"/>
  <c r="D197" i="2"/>
  <c r="C198" i="2"/>
  <c r="K69" i="1"/>
  <c r="G103" i="2" l="1"/>
  <c r="I103" i="2"/>
  <c r="H104" i="2" s="1"/>
  <c r="I71" i="1"/>
  <c r="N197" i="2"/>
  <c r="O197" i="2"/>
  <c r="C197" i="1"/>
  <c r="D196" i="1"/>
  <c r="N196" i="1"/>
  <c r="C199" i="2"/>
  <c r="D198" i="2"/>
  <c r="A69" i="1"/>
  <c r="X103" i="2" l="1"/>
  <c r="K103" i="2"/>
  <c r="F104" i="2"/>
  <c r="I104" i="2" s="1"/>
  <c r="E104" i="2"/>
  <c r="A103" i="2"/>
  <c r="E72" i="1"/>
  <c r="H72" i="1"/>
  <c r="G72" i="1"/>
  <c r="O198" i="2"/>
  <c r="N198" i="2"/>
  <c r="N197" i="1"/>
  <c r="D199" i="2"/>
  <c r="C200" i="2"/>
  <c r="D197" i="1"/>
  <c r="C198" i="1"/>
  <c r="W70" i="1"/>
  <c r="G104" i="2" l="1"/>
  <c r="F72" i="1"/>
  <c r="O199" i="2"/>
  <c r="N199" i="2"/>
  <c r="E105" i="2"/>
  <c r="F105" i="2"/>
  <c r="A104" i="2"/>
  <c r="H105" i="2"/>
  <c r="D198" i="1"/>
  <c r="C199" i="1"/>
  <c r="C201" i="2"/>
  <c r="D200" i="2"/>
  <c r="N198" i="1"/>
  <c r="K70" i="1"/>
  <c r="K104" i="2" l="1"/>
  <c r="X104" i="2"/>
  <c r="I72" i="1"/>
  <c r="N200" i="2"/>
  <c r="O200" i="2"/>
  <c r="G105" i="2"/>
  <c r="I105" i="2"/>
  <c r="N199" i="1"/>
  <c r="D201" i="2"/>
  <c r="C202" i="2"/>
  <c r="C200" i="1"/>
  <c r="D199" i="1"/>
  <c r="A70" i="1"/>
  <c r="H73" i="1" l="1"/>
  <c r="E73" i="1"/>
  <c r="G73" i="1"/>
  <c r="F73" i="1" s="1"/>
  <c r="I73" i="1" s="1"/>
  <c r="O201" i="2"/>
  <c r="N201" i="2"/>
  <c r="K105" i="2"/>
  <c r="X105" i="2"/>
  <c r="A105" i="2"/>
  <c r="H106" i="2"/>
  <c r="F106" i="2"/>
  <c r="E106" i="2"/>
  <c r="N200" i="1"/>
  <c r="C203" i="2"/>
  <c r="D202" i="2"/>
  <c r="C201" i="1"/>
  <c r="D200" i="1"/>
  <c r="W71" i="1"/>
  <c r="G74" i="1" l="1"/>
  <c r="E74" i="1"/>
  <c r="H74" i="1"/>
  <c r="O202" i="2"/>
  <c r="N202" i="2"/>
  <c r="G106" i="2"/>
  <c r="I106" i="2"/>
  <c r="D201" i="1"/>
  <c r="C202" i="1"/>
  <c r="D203" i="2"/>
  <c r="C204" i="2"/>
  <c r="N201" i="1"/>
  <c r="K71" i="1"/>
  <c r="F74" i="1" l="1"/>
  <c r="O203" i="2"/>
  <c r="N203" i="2"/>
  <c r="X106" i="2"/>
  <c r="K106" i="2"/>
  <c r="E107" i="2"/>
  <c r="A106" i="2"/>
  <c r="F107" i="2"/>
  <c r="H107" i="2"/>
  <c r="N202" i="1"/>
  <c r="C205" i="2"/>
  <c r="D204" i="2"/>
  <c r="C203" i="1"/>
  <c r="D202" i="1"/>
  <c r="A71" i="1"/>
  <c r="I74" i="1" l="1"/>
  <c r="N204" i="2"/>
  <c r="O204" i="2"/>
  <c r="I107" i="2"/>
  <c r="G107" i="2"/>
  <c r="C204" i="1"/>
  <c r="D203" i="1"/>
  <c r="C206" i="2"/>
  <c r="D205" i="2"/>
  <c r="N203" i="1"/>
  <c r="W72" i="1"/>
  <c r="H75" i="1" l="1"/>
  <c r="E75" i="1"/>
  <c r="G75" i="1"/>
  <c r="O205" i="2"/>
  <c r="N205" i="2"/>
  <c r="F108" i="2"/>
  <c r="H108" i="2"/>
  <c r="E108" i="2"/>
  <c r="A107" i="2"/>
  <c r="X107" i="2"/>
  <c r="K107" i="2"/>
  <c r="N204" i="1"/>
  <c r="D206" i="2"/>
  <c r="C207" i="2"/>
  <c r="D204" i="1"/>
  <c r="C205" i="1"/>
  <c r="K72" i="1"/>
  <c r="F75" i="1" l="1"/>
  <c r="O206" i="2"/>
  <c r="N206" i="2"/>
  <c r="G108" i="2"/>
  <c r="I108" i="2"/>
  <c r="N205" i="1"/>
  <c r="C208" i="2"/>
  <c r="D207" i="2"/>
  <c r="D205" i="1"/>
  <c r="C206" i="1"/>
  <c r="A72" i="1"/>
  <c r="I75" i="1" l="1"/>
  <c r="N207" i="2"/>
  <c r="O207" i="2"/>
  <c r="K108" i="2"/>
  <c r="X108" i="2"/>
  <c r="E109" i="2"/>
  <c r="A108" i="2"/>
  <c r="F109" i="2"/>
  <c r="H109" i="2"/>
  <c r="D206" i="1"/>
  <c r="C207" i="1"/>
  <c r="D208" i="2"/>
  <c r="C209" i="2"/>
  <c r="N206" i="1"/>
  <c r="W73" i="1"/>
  <c r="H76" i="1" l="1"/>
  <c r="G76" i="1"/>
  <c r="E76" i="1"/>
  <c r="O208" i="2"/>
  <c r="N208" i="2"/>
  <c r="I109" i="2"/>
  <c r="G109" i="2"/>
  <c r="N207" i="1"/>
  <c r="C208" i="1"/>
  <c r="D207" i="1"/>
  <c r="D209" i="2"/>
  <c r="C210" i="2"/>
  <c r="K73" i="1"/>
  <c r="F76" i="1" l="1"/>
  <c r="O209" i="2"/>
  <c r="N209" i="2"/>
  <c r="A109" i="2"/>
  <c r="E110" i="2"/>
  <c r="F110" i="2"/>
  <c r="H110" i="2"/>
  <c r="X109" i="2"/>
  <c r="K109" i="2"/>
  <c r="N208" i="1"/>
  <c r="D208" i="1"/>
  <c r="C209" i="1"/>
  <c r="C211" i="2"/>
  <c r="D210" i="2"/>
  <c r="A73" i="1"/>
  <c r="I76" i="1" l="1"/>
  <c r="O210" i="2"/>
  <c r="N210" i="2"/>
  <c r="I110" i="2"/>
  <c r="G110" i="2"/>
  <c r="C212" i="2"/>
  <c r="D211" i="2"/>
  <c r="D209" i="1"/>
  <c r="C210" i="1"/>
  <c r="N209" i="1"/>
  <c r="W74" i="1"/>
  <c r="E77" i="1" l="1"/>
  <c r="G77" i="1"/>
  <c r="F77" i="1" s="1"/>
  <c r="H77" i="1"/>
  <c r="N211" i="2"/>
  <c r="O211" i="2"/>
  <c r="A110" i="2"/>
  <c r="H111" i="2"/>
  <c r="F111" i="2"/>
  <c r="E111" i="2"/>
  <c r="X110" i="2"/>
  <c r="K110" i="2"/>
  <c r="D210" i="1"/>
  <c r="C211" i="1"/>
  <c r="D212" i="2"/>
  <c r="C213" i="2"/>
  <c r="N210" i="1"/>
  <c r="K74" i="1"/>
  <c r="I77" i="1" l="1"/>
  <c r="N212" i="2"/>
  <c r="O212" i="2"/>
  <c r="G111" i="2"/>
  <c r="I111" i="2"/>
  <c r="C214" i="2"/>
  <c r="D213" i="2"/>
  <c r="D211" i="1"/>
  <c r="C212" i="1"/>
  <c r="N211" i="1"/>
  <c r="A74" i="1"/>
  <c r="N213" i="2" l="1"/>
  <c r="O213" i="2"/>
  <c r="X111" i="2"/>
  <c r="K111" i="2"/>
  <c r="A111" i="2"/>
  <c r="H112" i="2"/>
  <c r="F112" i="2"/>
  <c r="E112" i="2"/>
  <c r="N212" i="1"/>
  <c r="D214" i="2"/>
  <c r="C215" i="2"/>
  <c r="D212" i="1"/>
  <c r="C213" i="1"/>
  <c r="W75" i="1"/>
  <c r="O214" i="2" l="1"/>
  <c r="N214" i="2"/>
  <c r="I112" i="2"/>
  <c r="A112" i="2" s="1"/>
  <c r="G112" i="2"/>
  <c r="C214" i="1"/>
  <c r="D213" i="1"/>
  <c r="N213" i="1"/>
  <c r="D215" i="2"/>
  <c r="C216" i="2"/>
  <c r="K75" i="1"/>
  <c r="O215" i="2" l="1"/>
  <c r="N215" i="2"/>
  <c r="X112" i="2"/>
  <c r="K112" i="2"/>
  <c r="E113" i="2"/>
  <c r="H113" i="2"/>
  <c r="F113" i="2"/>
  <c r="N214" i="1"/>
  <c r="C217" i="2"/>
  <c r="D216" i="2"/>
  <c r="D214" i="1"/>
  <c r="C215" i="1"/>
  <c r="A75" i="1"/>
  <c r="N216" i="2" l="1"/>
  <c r="O216" i="2"/>
  <c r="G113" i="2"/>
  <c r="I113" i="2"/>
  <c r="A113" i="2" s="1"/>
  <c r="N215" i="1"/>
  <c r="C216" i="1"/>
  <c r="D215" i="1"/>
  <c r="C218" i="2"/>
  <c r="D217" i="2"/>
  <c r="W76" i="1"/>
  <c r="N217" i="2" l="1"/>
  <c r="O217" i="2"/>
  <c r="F114" i="2"/>
  <c r="E114" i="2"/>
  <c r="H114" i="2"/>
  <c r="X113" i="2"/>
  <c r="K113" i="2"/>
  <c r="D216" i="1"/>
  <c r="C217" i="1"/>
  <c r="D218" i="2"/>
  <c r="C219" i="2"/>
  <c r="N216" i="1"/>
  <c r="K76" i="1"/>
  <c r="N218" i="2" l="1"/>
  <c r="O218" i="2"/>
  <c r="I114" i="2"/>
  <c r="G114" i="2"/>
  <c r="C218" i="1"/>
  <c r="D217" i="1"/>
  <c r="C220" i="2"/>
  <c r="D219" i="2"/>
  <c r="N217" i="1"/>
  <c r="A76" i="1"/>
  <c r="O219" i="2" l="1"/>
  <c r="N219" i="2"/>
  <c r="A114" i="2"/>
  <c r="F115" i="2"/>
  <c r="E115" i="2"/>
  <c r="H115" i="2"/>
  <c r="X114" i="2"/>
  <c r="K114" i="2"/>
  <c r="N218" i="1"/>
  <c r="D220" i="2"/>
  <c r="C221" i="2"/>
  <c r="D218" i="1"/>
  <c r="C219" i="1"/>
  <c r="W77" i="1"/>
  <c r="I115" i="2" l="1"/>
  <c r="G115" i="2"/>
  <c r="N220" i="2"/>
  <c r="O220" i="2"/>
  <c r="N219" i="1"/>
  <c r="C222" i="2"/>
  <c r="D221" i="2"/>
  <c r="C220" i="1"/>
  <c r="D219" i="1"/>
  <c r="K77" i="1"/>
  <c r="H116" i="2" l="1"/>
  <c r="A115" i="2"/>
  <c r="F116" i="2"/>
  <c r="E116" i="2"/>
  <c r="X115" i="2"/>
  <c r="K115" i="2"/>
  <c r="O221" i="2"/>
  <c r="N221" i="2"/>
  <c r="D220" i="1"/>
  <c r="C221" i="1"/>
  <c r="D222" i="2"/>
  <c r="C223" i="2"/>
  <c r="N220" i="1"/>
  <c r="E78" i="1"/>
  <c r="G78" i="1"/>
  <c r="H78" i="1"/>
  <c r="A77" i="1"/>
  <c r="I116" i="2" l="1"/>
  <c r="G116" i="2"/>
  <c r="N222" i="2"/>
  <c r="O222" i="2"/>
  <c r="N221" i="1"/>
  <c r="D221" i="1"/>
  <c r="C222" i="1"/>
  <c r="C224" i="2"/>
  <c r="D223" i="2"/>
  <c r="W78" i="1"/>
  <c r="F78" i="1"/>
  <c r="H117" i="2" l="1"/>
  <c r="A116" i="2"/>
  <c r="F117" i="2"/>
  <c r="E117" i="2"/>
  <c r="K116" i="2"/>
  <c r="X116" i="2"/>
  <c r="O223" i="2"/>
  <c r="N223" i="2"/>
  <c r="N222" i="1"/>
  <c r="C225" i="2"/>
  <c r="D224" i="2"/>
  <c r="D222" i="1"/>
  <c r="C223" i="1"/>
  <c r="K78" i="1"/>
  <c r="I78" i="1"/>
  <c r="G117" i="2" l="1"/>
  <c r="I117" i="2"/>
  <c r="O224" i="2"/>
  <c r="N224" i="2"/>
  <c r="D223" i="1"/>
  <c r="C224" i="1"/>
  <c r="N223" i="1"/>
  <c r="C226" i="2"/>
  <c r="D225" i="2"/>
  <c r="G79" i="1"/>
  <c r="E79" i="1"/>
  <c r="H79" i="1"/>
  <c r="A78" i="1"/>
  <c r="K117" i="2" l="1"/>
  <c r="X117" i="2"/>
  <c r="A117" i="2"/>
  <c r="E118" i="2"/>
  <c r="F118" i="2"/>
  <c r="H118" i="2"/>
  <c r="N225" i="2"/>
  <c r="O225" i="2"/>
  <c r="N224" i="1"/>
  <c r="D226" i="2"/>
  <c r="C227" i="2"/>
  <c r="D224" i="1"/>
  <c r="C225" i="1"/>
  <c r="F79" i="1"/>
  <c r="W79" i="1"/>
  <c r="G118" i="2" l="1"/>
  <c r="I118" i="2"/>
  <c r="N226" i="2"/>
  <c r="O226" i="2"/>
  <c r="N225" i="1"/>
  <c r="C228" i="2"/>
  <c r="D227" i="2"/>
  <c r="D225" i="1"/>
  <c r="C226" i="1"/>
  <c r="K79" i="1"/>
  <c r="I79" i="1"/>
  <c r="O227" i="2" l="1"/>
  <c r="N227" i="2"/>
  <c r="K118" i="2"/>
  <c r="X118" i="2"/>
  <c r="F119" i="2"/>
  <c r="H119" i="2"/>
  <c r="E119" i="2"/>
  <c r="A118" i="2"/>
  <c r="D226" i="1"/>
  <c r="C227" i="1"/>
  <c r="C229" i="2"/>
  <c r="D228" i="2"/>
  <c r="N226" i="1"/>
  <c r="G80" i="1"/>
  <c r="E80" i="1"/>
  <c r="H80" i="1"/>
  <c r="A79" i="1"/>
  <c r="N228" i="2" l="1"/>
  <c r="O228" i="2"/>
  <c r="G119" i="2"/>
  <c r="I119" i="2"/>
  <c r="C230" i="2"/>
  <c r="D229" i="2"/>
  <c r="D227" i="1"/>
  <c r="C228" i="1"/>
  <c r="N227" i="1"/>
  <c r="W80" i="1"/>
  <c r="F80" i="1"/>
  <c r="N229" i="2" l="1"/>
  <c r="O229" i="2"/>
  <c r="X119" i="2"/>
  <c r="K119" i="2"/>
  <c r="E120" i="2"/>
  <c r="F120" i="2"/>
  <c r="H120" i="2"/>
  <c r="A119" i="2"/>
  <c r="D230" i="2"/>
  <c r="C231" i="2"/>
  <c r="N228" i="1"/>
  <c r="C229" i="1"/>
  <c r="D228" i="1"/>
  <c r="K80" i="1"/>
  <c r="I80" i="1"/>
  <c r="A80" i="1" s="1"/>
  <c r="O230" i="2" l="1"/>
  <c r="N230" i="2"/>
  <c r="N231" i="2" s="1"/>
  <c r="I120" i="2"/>
  <c r="G120" i="2"/>
  <c r="N229" i="1"/>
  <c r="C232" i="2"/>
  <c r="O231" i="2"/>
  <c r="D231" i="2"/>
  <c r="C230" i="1"/>
  <c r="D229" i="1"/>
  <c r="G81" i="1"/>
  <c r="H81" i="1"/>
  <c r="E81" i="1"/>
  <c r="F121" i="2" l="1"/>
  <c r="H121" i="2"/>
  <c r="A120" i="2"/>
  <c r="E121" i="2"/>
  <c r="X120" i="2"/>
  <c r="K120" i="2"/>
  <c r="N230" i="1"/>
  <c r="C233" i="2"/>
  <c r="O232" i="2"/>
  <c r="N232" i="2"/>
  <c r="D232" i="2"/>
  <c r="D230" i="1"/>
  <c r="C231" i="1"/>
  <c r="F81" i="1"/>
  <c r="W81" i="1"/>
  <c r="I121" i="2" l="1"/>
  <c r="G121" i="2"/>
  <c r="N231" i="1"/>
  <c r="N233" i="2"/>
  <c r="O233" i="2"/>
  <c r="C234" i="2"/>
  <c r="D233" i="2"/>
  <c r="D231" i="1"/>
  <c r="C232" i="1"/>
  <c r="K81" i="1"/>
  <c r="I81" i="1"/>
  <c r="E122" i="2" l="1"/>
  <c r="H122" i="2"/>
  <c r="F122" i="2"/>
  <c r="A121" i="2"/>
  <c r="K121" i="2"/>
  <c r="X121" i="2"/>
  <c r="I122" i="2"/>
  <c r="G122" i="2"/>
  <c r="C235" i="2"/>
  <c r="D234" i="2"/>
  <c r="N234" i="2"/>
  <c r="O234" i="2"/>
  <c r="D232" i="1"/>
  <c r="C233" i="1"/>
  <c r="N232" i="1"/>
  <c r="E82" i="1"/>
  <c r="G82" i="1"/>
  <c r="H82" i="1"/>
  <c r="A81" i="1"/>
  <c r="A122" i="2" l="1"/>
  <c r="E123" i="2"/>
  <c r="F123" i="2"/>
  <c r="H123" i="2"/>
  <c r="X122" i="2"/>
  <c r="K122" i="2"/>
  <c r="C234" i="1"/>
  <c r="D233" i="1"/>
  <c r="N233" i="1"/>
  <c r="N235" i="2"/>
  <c r="D235" i="2"/>
  <c r="O235" i="2"/>
  <c r="C236" i="2"/>
  <c r="W82" i="1"/>
  <c r="F82" i="1"/>
  <c r="I123" i="2" l="1"/>
  <c r="G123" i="2"/>
  <c r="N234" i="1"/>
  <c r="N236" i="2"/>
  <c r="O236" i="2"/>
  <c r="D236" i="2"/>
  <c r="C237" i="2"/>
  <c r="D234" i="1"/>
  <c r="C235" i="1"/>
  <c r="K82" i="1"/>
  <c r="I82" i="1"/>
  <c r="A123" i="2" l="1"/>
  <c r="F124" i="2"/>
  <c r="H124" i="2"/>
  <c r="E124" i="2"/>
  <c r="X123" i="2"/>
  <c r="K123" i="2"/>
  <c r="N235" i="1"/>
  <c r="D237" i="2"/>
  <c r="C238" i="2"/>
  <c r="O237" i="2"/>
  <c r="N237" i="2"/>
  <c r="D235" i="1"/>
  <c r="C236" i="1"/>
  <c r="G83" i="1"/>
  <c r="H83" i="1"/>
  <c r="E83" i="1"/>
  <c r="A82" i="1"/>
  <c r="I124" i="2" l="1"/>
  <c r="G124" i="2"/>
  <c r="C237" i="1"/>
  <c r="D236" i="1"/>
  <c r="C239" i="2"/>
  <c r="N238" i="2"/>
  <c r="D238" i="2"/>
  <c r="O238" i="2"/>
  <c r="N236" i="1"/>
  <c r="W83" i="1"/>
  <c r="F83" i="1"/>
  <c r="F125" i="2" l="1"/>
  <c r="E125" i="2"/>
  <c r="H125" i="2"/>
  <c r="A124" i="2"/>
  <c r="X124" i="2"/>
  <c r="K124" i="2"/>
  <c r="D239" i="2"/>
  <c r="N239" i="2"/>
  <c r="C240" i="2"/>
  <c r="O239" i="2"/>
  <c r="D237" i="1"/>
  <c r="C238" i="1"/>
  <c r="N237" i="1"/>
  <c r="K83" i="1"/>
  <c r="I83" i="1"/>
  <c r="G125" i="2" l="1"/>
  <c r="I125" i="2"/>
  <c r="D238" i="1"/>
  <c r="C239" i="1"/>
  <c r="N238" i="1"/>
  <c r="N240" i="2"/>
  <c r="D240" i="2"/>
  <c r="O240" i="2"/>
  <c r="C241" i="2"/>
  <c r="G84" i="1"/>
  <c r="H84" i="1"/>
  <c r="E84" i="1"/>
  <c r="A83" i="1"/>
  <c r="X125" i="2" l="1"/>
  <c r="K125" i="2"/>
  <c r="A125" i="2"/>
  <c r="E126" i="2"/>
  <c r="F126" i="2"/>
  <c r="H126" i="2"/>
  <c r="N239" i="1"/>
  <c r="D239" i="1"/>
  <c r="C240" i="1"/>
  <c r="N241" i="2"/>
  <c r="O241" i="2"/>
  <c r="D241" i="2"/>
  <c r="C242" i="2"/>
  <c r="F84" i="1"/>
  <c r="W84" i="1"/>
  <c r="I126" i="2" l="1"/>
  <c r="G126" i="2"/>
  <c r="D240" i="1"/>
  <c r="C241" i="1"/>
  <c r="N240" i="1"/>
  <c r="D242" i="2"/>
  <c r="C243" i="2"/>
  <c r="O242" i="2"/>
  <c r="N242" i="2"/>
  <c r="K84" i="1"/>
  <c r="I84" i="1"/>
  <c r="F127" i="2" l="1"/>
  <c r="E127" i="2"/>
  <c r="A126" i="2"/>
  <c r="H127" i="2"/>
  <c r="K126" i="2"/>
  <c r="X126" i="2"/>
  <c r="O17" i="3"/>
  <c r="N241" i="1"/>
  <c r="D241" i="1"/>
  <c r="C242" i="1"/>
  <c r="D243" i="2"/>
  <c r="C244" i="2"/>
  <c r="N243" i="2"/>
  <c r="O243" i="2"/>
  <c r="E85" i="1"/>
  <c r="H85" i="1"/>
  <c r="G85" i="1"/>
  <c r="A84" i="1"/>
  <c r="I127" i="2" l="1"/>
  <c r="A127" i="2" s="1"/>
  <c r="G127" i="2"/>
  <c r="N242" i="1"/>
  <c r="C243" i="1"/>
  <c r="D242" i="1"/>
  <c r="C245" i="2"/>
  <c r="D244" i="2"/>
  <c r="N244" i="2"/>
  <c r="O244" i="2"/>
  <c r="W85" i="1"/>
  <c r="F85" i="1"/>
  <c r="X127" i="2" l="1"/>
  <c r="K127" i="2"/>
  <c r="H128" i="2"/>
  <c r="E128" i="2"/>
  <c r="F128" i="2"/>
  <c r="C244" i="1"/>
  <c r="D243" i="1"/>
  <c r="D245" i="2"/>
  <c r="N245" i="2"/>
  <c r="C246" i="2"/>
  <c r="O245" i="2"/>
  <c r="N243" i="1"/>
  <c r="K85" i="1"/>
  <c r="I85" i="1"/>
  <c r="G128" i="2" l="1"/>
  <c r="I128" i="2"/>
  <c r="C245" i="1"/>
  <c r="D244" i="1"/>
  <c r="O246" i="2"/>
  <c r="D246" i="2"/>
  <c r="N246" i="2"/>
  <c r="C247" i="2"/>
  <c r="N244" i="1"/>
  <c r="E86" i="1"/>
  <c r="G86" i="1"/>
  <c r="H86" i="1"/>
  <c r="A85" i="1"/>
  <c r="K128" i="2" l="1"/>
  <c r="X128" i="2"/>
  <c r="F129" i="2"/>
  <c r="H129" i="2"/>
  <c r="A128" i="2"/>
  <c r="E129" i="2"/>
  <c r="D245" i="1"/>
  <c r="C246" i="1"/>
  <c r="N245" i="1"/>
  <c r="D247" i="2"/>
  <c r="N247" i="2"/>
  <c r="C248" i="2"/>
  <c r="O247" i="2"/>
  <c r="F86" i="1"/>
  <c r="W86" i="1"/>
  <c r="I129" i="2" l="1"/>
  <c r="G129" i="2"/>
  <c r="N246" i="1"/>
  <c r="C247" i="1"/>
  <c r="D246" i="1"/>
  <c r="C249" i="2"/>
  <c r="O248" i="2"/>
  <c r="N248" i="2"/>
  <c r="D248" i="2"/>
  <c r="K86" i="1"/>
  <c r="I86" i="1"/>
  <c r="A129" i="2" l="1"/>
  <c r="H130" i="2"/>
  <c r="E130" i="2"/>
  <c r="F130" i="2"/>
  <c r="X129" i="2"/>
  <c r="K129" i="2"/>
  <c r="N247" i="1"/>
  <c r="C248" i="1"/>
  <c r="D247" i="1"/>
  <c r="N249" i="2"/>
  <c r="C250" i="2"/>
  <c r="O249" i="2"/>
  <c r="D249" i="2"/>
  <c r="H87" i="1"/>
  <c r="G87" i="1"/>
  <c r="E87" i="1"/>
  <c r="A86" i="1"/>
  <c r="I130" i="2" l="1"/>
  <c r="G130" i="2"/>
  <c r="D248" i="1"/>
  <c r="C249" i="1"/>
  <c r="N250" i="2"/>
  <c r="D250" i="2"/>
  <c r="O250" i="2"/>
  <c r="C251" i="2"/>
  <c r="N248" i="1"/>
  <c r="W87" i="1"/>
  <c r="F87" i="1"/>
  <c r="H131" i="2" l="1"/>
  <c r="E131" i="2"/>
  <c r="A130" i="2"/>
  <c r="F131" i="2"/>
  <c r="K130" i="2"/>
  <c r="X130" i="2"/>
  <c r="N249" i="1"/>
  <c r="C250" i="1"/>
  <c r="D249" i="1"/>
  <c r="O251" i="2"/>
  <c r="D251" i="2"/>
  <c r="N251" i="2"/>
  <c r="C252" i="2"/>
  <c r="K87" i="1"/>
  <c r="I87" i="1"/>
  <c r="G131" i="2" l="1"/>
  <c r="I131" i="2"/>
  <c r="N252" i="2"/>
  <c r="D252" i="2"/>
  <c r="O252" i="2"/>
  <c r="C253" i="2"/>
  <c r="D250" i="1"/>
  <c r="C251" i="1"/>
  <c r="N250" i="1"/>
  <c r="E88" i="1"/>
  <c r="H88" i="1"/>
  <c r="G88" i="1"/>
  <c r="A87" i="1"/>
  <c r="K131" i="2" l="1"/>
  <c r="X131" i="2"/>
  <c r="H132" i="2"/>
  <c r="F132" i="2"/>
  <c r="E132" i="2"/>
  <c r="A131" i="2"/>
  <c r="D251" i="1"/>
  <c r="C252" i="1"/>
  <c r="N253" i="2"/>
  <c r="O253" i="2"/>
  <c r="C254" i="2"/>
  <c r="D253" i="2"/>
  <c r="N251" i="1"/>
  <c r="W88" i="1"/>
  <c r="F88" i="1"/>
  <c r="I132" i="2" l="1"/>
  <c r="G132" i="2"/>
  <c r="D252" i="1"/>
  <c r="C253" i="1"/>
  <c r="N252" i="1"/>
  <c r="N254" i="2"/>
  <c r="D254" i="2"/>
  <c r="C255" i="2"/>
  <c r="O254" i="2"/>
  <c r="K88" i="1"/>
  <c r="I88" i="1"/>
  <c r="H133" i="2" l="1"/>
  <c r="E133" i="2"/>
  <c r="F133" i="2"/>
  <c r="A132" i="2"/>
  <c r="K132" i="2"/>
  <c r="X132" i="2"/>
  <c r="D253" i="1"/>
  <c r="C254" i="1"/>
  <c r="O255" i="2"/>
  <c r="N255" i="2"/>
  <c r="C256" i="2"/>
  <c r="D255" i="2"/>
  <c r="N253" i="1"/>
  <c r="H89" i="1"/>
  <c r="G89" i="1"/>
  <c r="E89" i="1"/>
  <c r="A88" i="1"/>
  <c r="I133" i="2" l="1"/>
  <c r="G133" i="2"/>
  <c r="N254" i="1"/>
  <c r="D254" i="1"/>
  <c r="C255" i="1"/>
  <c r="N256" i="2"/>
  <c r="O256" i="2"/>
  <c r="C257" i="2"/>
  <c r="D256" i="2"/>
  <c r="W89" i="1"/>
  <c r="F89" i="1"/>
  <c r="A133" i="2" l="1"/>
  <c r="E134" i="2"/>
  <c r="H134" i="2"/>
  <c r="F134" i="2"/>
  <c r="X133" i="2"/>
  <c r="K133" i="2"/>
  <c r="N255" i="1"/>
  <c r="O257" i="2"/>
  <c r="N257" i="2"/>
  <c r="D257" i="2"/>
  <c r="C258" i="2"/>
  <c r="D255" i="1"/>
  <c r="C256" i="1"/>
  <c r="K89" i="1"/>
  <c r="I89" i="1"/>
  <c r="G134" i="2" l="1"/>
  <c r="I134" i="2"/>
  <c r="D256" i="1"/>
  <c r="C257" i="1"/>
  <c r="O258" i="2"/>
  <c r="C259" i="2"/>
  <c r="N258" i="2"/>
  <c r="D258" i="2"/>
  <c r="N256" i="1"/>
  <c r="H90" i="1"/>
  <c r="E90" i="1"/>
  <c r="G90" i="1"/>
  <c r="A89" i="1"/>
  <c r="K134" i="2" l="1"/>
  <c r="X134" i="2"/>
  <c r="A134" i="2"/>
  <c r="F135" i="2"/>
  <c r="E135" i="2"/>
  <c r="H135" i="2"/>
  <c r="C260" i="2"/>
  <c r="D259" i="2"/>
  <c r="N259" i="2"/>
  <c r="O259" i="2"/>
  <c r="C258" i="1"/>
  <c r="D257" i="1"/>
  <c r="N257" i="1"/>
  <c r="W90" i="1"/>
  <c r="F90" i="1"/>
  <c r="I135" i="2" l="1"/>
  <c r="G135" i="2"/>
  <c r="D258" i="1"/>
  <c r="C259" i="1"/>
  <c r="N260" i="2"/>
  <c r="C261" i="2"/>
  <c r="D260" i="2"/>
  <c r="O260" i="2"/>
  <c r="N258" i="1"/>
  <c r="K90" i="1"/>
  <c r="I90" i="1"/>
  <c r="A135" i="2" l="1"/>
  <c r="F136" i="2"/>
  <c r="H136" i="2"/>
  <c r="E136" i="2"/>
  <c r="K135" i="2"/>
  <c r="X135" i="2"/>
  <c r="N259" i="1"/>
  <c r="O261" i="2"/>
  <c r="N261" i="2"/>
  <c r="D261" i="2"/>
  <c r="C262" i="2"/>
  <c r="D259" i="1"/>
  <c r="C260" i="1"/>
  <c r="G91" i="1"/>
  <c r="H91" i="1"/>
  <c r="E91" i="1"/>
  <c r="A90" i="1"/>
  <c r="G136" i="2" l="1"/>
  <c r="I136" i="2"/>
  <c r="D260" i="1"/>
  <c r="C261" i="1"/>
  <c r="O262" i="2"/>
  <c r="N262" i="2"/>
  <c r="C263" i="2"/>
  <c r="D262" i="2"/>
  <c r="N260" i="1"/>
  <c r="W91" i="1"/>
  <c r="F91" i="1"/>
  <c r="K136" i="2" l="1"/>
  <c r="X136" i="2"/>
  <c r="F137" i="2"/>
  <c r="E137" i="2"/>
  <c r="A136" i="2"/>
  <c r="H137" i="2"/>
  <c r="N261" i="1"/>
  <c r="C262" i="1"/>
  <c r="D261" i="1"/>
  <c r="O263" i="2"/>
  <c r="D263" i="2"/>
  <c r="N263" i="2"/>
  <c r="C264" i="2"/>
  <c r="K91" i="1"/>
  <c r="I91" i="1"/>
  <c r="G137" i="2" l="1"/>
  <c r="I137" i="2"/>
  <c r="D262" i="1"/>
  <c r="C263" i="1"/>
  <c r="D264" i="2"/>
  <c r="N264" i="2"/>
  <c r="C265" i="2"/>
  <c r="O264" i="2"/>
  <c r="N262" i="1"/>
  <c r="H92" i="1"/>
  <c r="G92" i="1"/>
  <c r="E92" i="1"/>
  <c r="A91" i="1"/>
  <c r="K137" i="2" l="1"/>
  <c r="X137" i="2"/>
  <c r="F138" i="2"/>
  <c r="H138" i="2"/>
  <c r="E138" i="2"/>
  <c r="A137" i="2"/>
  <c r="D263" i="1"/>
  <c r="C264" i="1"/>
  <c r="N263" i="1"/>
  <c r="C266" i="2"/>
  <c r="D265" i="2"/>
  <c r="O265" i="2"/>
  <c r="N265" i="2"/>
  <c r="W92" i="1"/>
  <c r="F92" i="1"/>
  <c r="I138" i="2" l="1"/>
  <c r="A138" i="2" s="1"/>
  <c r="G138" i="2"/>
  <c r="N264" i="1"/>
  <c r="N266" i="2"/>
  <c r="D266" i="2"/>
  <c r="C267" i="2"/>
  <c r="O266" i="2"/>
  <c r="D264" i="1"/>
  <c r="C265" i="1"/>
  <c r="K92" i="1"/>
  <c r="I92" i="1"/>
  <c r="X138" i="2" l="1"/>
  <c r="K138" i="2"/>
  <c r="F139" i="2"/>
  <c r="E139" i="2"/>
  <c r="H139" i="2"/>
  <c r="D265" i="1"/>
  <c r="C266" i="1"/>
  <c r="O267" i="2"/>
  <c r="N267" i="2"/>
  <c r="D267" i="2"/>
  <c r="C268" i="2"/>
  <c r="N265" i="1"/>
  <c r="H93" i="1"/>
  <c r="E93" i="1"/>
  <c r="G93" i="1"/>
  <c r="A92" i="1"/>
  <c r="G139" i="2" l="1"/>
  <c r="I139" i="2"/>
  <c r="A139" i="2" s="1"/>
  <c r="N266" i="1"/>
  <c r="O268" i="2"/>
  <c r="N268" i="2"/>
  <c r="C269" i="2"/>
  <c r="D268" i="2"/>
  <c r="D266" i="1"/>
  <c r="C267" i="1"/>
  <c r="W93" i="1"/>
  <c r="F93" i="1"/>
  <c r="X139" i="2" l="1"/>
  <c r="K139" i="2"/>
  <c r="E140" i="2"/>
  <c r="F140" i="2"/>
  <c r="H140" i="2"/>
  <c r="N267" i="1"/>
  <c r="D267" i="1"/>
  <c r="C268" i="1"/>
  <c r="O269" i="2"/>
  <c r="N269" i="2"/>
  <c r="C270" i="2"/>
  <c r="D269" i="2"/>
  <c r="K93" i="1"/>
  <c r="I93" i="1"/>
  <c r="I140" i="2" l="1"/>
  <c r="G140" i="2"/>
  <c r="N268" i="1"/>
  <c r="D268" i="1"/>
  <c r="C269" i="1"/>
  <c r="N270" i="2"/>
  <c r="O270" i="2"/>
  <c r="D270" i="2"/>
  <c r="C271" i="2"/>
  <c r="E94" i="1"/>
  <c r="H94" i="1"/>
  <c r="G94" i="1"/>
  <c r="A93" i="1"/>
  <c r="F141" i="2" l="1"/>
  <c r="A140" i="2"/>
  <c r="E141" i="2"/>
  <c r="H141" i="2"/>
  <c r="X140" i="2"/>
  <c r="K140" i="2"/>
  <c r="D269" i="1"/>
  <c r="C270" i="1"/>
  <c r="N271" i="2"/>
  <c r="C272" i="2"/>
  <c r="D271" i="2"/>
  <c r="O271" i="2"/>
  <c r="N269" i="1"/>
  <c r="F94" i="1"/>
  <c r="W94" i="1"/>
  <c r="G141" i="2" l="1"/>
  <c r="I141" i="2"/>
  <c r="N270" i="1"/>
  <c r="N272" i="2"/>
  <c r="C273" i="2"/>
  <c r="D272" i="2"/>
  <c r="O272" i="2"/>
  <c r="D270" i="1"/>
  <c r="C271" i="1"/>
  <c r="K94" i="1"/>
  <c r="I94" i="1"/>
  <c r="X141" i="2" l="1"/>
  <c r="K141" i="2"/>
  <c r="F142" i="2"/>
  <c r="H142" i="2"/>
  <c r="E142" i="2"/>
  <c r="A141" i="2"/>
  <c r="N271" i="1"/>
  <c r="D271" i="1"/>
  <c r="C272" i="1"/>
  <c r="O273" i="2"/>
  <c r="N273" i="2"/>
  <c r="D273" i="2"/>
  <c r="C274" i="2"/>
  <c r="E95" i="1"/>
  <c r="H95" i="1"/>
  <c r="G95" i="1"/>
  <c r="A94" i="1"/>
  <c r="I142" i="2" l="1"/>
  <c r="G142" i="2"/>
  <c r="D272" i="1"/>
  <c r="C273" i="1"/>
  <c r="D274" i="2"/>
  <c r="O274" i="2"/>
  <c r="C275" i="2"/>
  <c r="N274" i="2"/>
  <c r="N272" i="1"/>
  <c r="F95" i="1"/>
  <c r="W95" i="1"/>
  <c r="X142" i="2" l="1"/>
  <c r="K142" i="2"/>
  <c r="F143" i="2"/>
  <c r="H143" i="2"/>
  <c r="E143" i="2"/>
  <c r="A142" i="2"/>
  <c r="N273" i="1"/>
  <c r="D273" i="1"/>
  <c r="C274" i="1"/>
  <c r="C276" i="2"/>
  <c r="D275" i="2"/>
  <c r="O275" i="2"/>
  <c r="N275" i="2"/>
  <c r="K95" i="1"/>
  <c r="I95" i="1"/>
  <c r="A95" i="1" s="1"/>
  <c r="I143" i="2" l="1"/>
  <c r="G143" i="2"/>
  <c r="D276" i="2"/>
  <c r="C277" i="2"/>
  <c r="O276" i="2"/>
  <c r="N276" i="2"/>
  <c r="D274" i="1"/>
  <c r="C275" i="1"/>
  <c r="N274" i="1"/>
  <c r="G96" i="1"/>
  <c r="H96" i="1"/>
  <c r="E96" i="1"/>
  <c r="A143" i="2" l="1"/>
  <c r="E144" i="2"/>
  <c r="H144" i="2"/>
  <c r="F144" i="2"/>
  <c r="K143" i="2"/>
  <c r="X143" i="2"/>
  <c r="N277" i="2"/>
  <c r="D277" i="2"/>
  <c r="C278" i="2"/>
  <c r="O277" i="2"/>
  <c r="C276" i="1"/>
  <c r="D275" i="1"/>
  <c r="N275" i="1"/>
  <c r="W96" i="1"/>
  <c r="F96" i="1"/>
  <c r="I144" i="2" l="1"/>
  <c r="G144" i="2"/>
  <c r="N276" i="1"/>
  <c r="O278" i="2"/>
  <c r="C279" i="2"/>
  <c r="N278" i="2"/>
  <c r="D278" i="2"/>
  <c r="D276" i="1"/>
  <c r="C277" i="1"/>
  <c r="K96" i="1"/>
  <c r="I96" i="1"/>
  <c r="X144" i="2" l="1"/>
  <c r="K144" i="2"/>
  <c r="A144" i="2"/>
  <c r="E145" i="2"/>
  <c r="F145" i="2"/>
  <c r="H145" i="2"/>
  <c r="N277" i="1"/>
  <c r="O279" i="2"/>
  <c r="C280" i="2"/>
  <c r="D279" i="2"/>
  <c r="N279" i="2"/>
  <c r="D277" i="1"/>
  <c r="C278" i="1"/>
  <c r="H97" i="1"/>
  <c r="E97" i="1"/>
  <c r="G97" i="1"/>
  <c r="A96" i="1"/>
  <c r="I145" i="2" l="1"/>
  <c r="E146" i="2" s="1"/>
  <c r="G145" i="2"/>
  <c r="A145" i="2"/>
  <c r="H146" i="2"/>
  <c r="F146" i="2"/>
  <c r="N280" i="2"/>
  <c r="O280" i="2"/>
  <c r="C281" i="2"/>
  <c r="D280" i="2"/>
  <c r="C279" i="1"/>
  <c r="D278" i="1"/>
  <c r="N278" i="1"/>
  <c r="W97" i="1"/>
  <c r="F97" i="1"/>
  <c r="K145" i="2" l="1"/>
  <c r="X145" i="2"/>
  <c r="G146" i="2"/>
  <c r="I146" i="2"/>
  <c r="H147" i="2" s="1"/>
  <c r="D281" i="2"/>
  <c r="C282" i="2"/>
  <c r="O281" i="2"/>
  <c r="N281" i="2"/>
  <c r="N279" i="1"/>
  <c r="D279" i="1"/>
  <c r="C280" i="1"/>
  <c r="K97" i="1"/>
  <c r="I97" i="1"/>
  <c r="K146" i="2" l="1"/>
  <c r="X146" i="2"/>
  <c r="F147" i="2"/>
  <c r="A146" i="2"/>
  <c r="E147" i="2"/>
  <c r="C281" i="1"/>
  <c r="D280" i="1"/>
  <c r="O282" i="2"/>
  <c r="N282" i="2"/>
  <c r="D282" i="2"/>
  <c r="C283" i="2"/>
  <c r="N280" i="1"/>
  <c r="H98" i="1"/>
  <c r="G98" i="1"/>
  <c r="E98" i="1"/>
  <c r="A97" i="1"/>
  <c r="I147" i="2" l="1"/>
  <c r="G147" i="2"/>
  <c r="N281" i="1"/>
  <c r="C284" i="2"/>
  <c r="N283" i="2"/>
  <c r="D283" i="2"/>
  <c r="O283" i="2"/>
  <c r="D281" i="1"/>
  <c r="C282" i="1"/>
  <c r="W98" i="1"/>
  <c r="F98" i="1"/>
  <c r="F148" i="2" l="1"/>
  <c r="A147" i="2"/>
  <c r="X147" i="2"/>
  <c r="K147" i="2"/>
  <c r="E148" i="2"/>
  <c r="H148" i="2"/>
  <c r="D282" i="1"/>
  <c r="C283" i="1"/>
  <c r="C285" i="2"/>
  <c r="D284" i="2"/>
  <c r="O284" i="2"/>
  <c r="N284" i="2"/>
  <c r="N282" i="1"/>
  <c r="K98" i="1"/>
  <c r="I98" i="1"/>
  <c r="I148" i="2" l="1"/>
  <c r="G148" i="2"/>
  <c r="C284" i="1"/>
  <c r="D283" i="1"/>
  <c r="D285" i="2"/>
  <c r="C286" i="2"/>
  <c r="O285" i="2"/>
  <c r="N285" i="2"/>
  <c r="N283" i="1"/>
  <c r="G99" i="1"/>
  <c r="H99" i="1"/>
  <c r="E99" i="1"/>
  <c r="A98" i="1"/>
  <c r="H149" i="2" l="1"/>
  <c r="F149" i="2"/>
  <c r="A148" i="2"/>
  <c r="E149" i="2"/>
  <c r="X148" i="2"/>
  <c r="K148" i="2"/>
  <c r="N284" i="1"/>
  <c r="O286" i="2"/>
  <c r="N286" i="2"/>
  <c r="D286" i="2"/>
  <c r="C287" i="2"/>
  <c r="D284" i="1"/>
  <c r="C285" i="1"/>
  <c r="F99" i="1"/>
  <c r="W99" i="1"/>
  <c r="I149" i="2" l="1"/>
  <c r="G149" i="2"/>
  <c r="C286" i="1"/>
  <c r="D285" i="1"/>
  <c r="C288" i="2"/>
  <c r="D287" i="2"/>
  <c r="N287" i="2"/>
  <c r="O287" i="2"/>
  <c r="N285" i="1"/>
  <c r="K99" i="1"/>
  <c r="I99" i="1"/>
  <c r="F150" i="2" l="1"/>
  <c r="A149" i="2"/>
  <c r="H150" i="2"/>
  <c r="E150" i="2"/>
  <c r="X149" i="2"/>
  <c r="K149" i="2"/>
  <c r="N286" i="1"/>
  <c r="D288" i="2"/>
  <c r="C289" i="2"/>
  <c r="N288" i="2"/>
  <c r="O288" i="2"/>
  <c r="D286" i="1"/>
  <c r="C287" i="1"/>
  <c r="G100" i="1"/>
  <c r="H100" i="1"/>
  <c r="E100" i="1"/>
  <c r="A99" i="1"/>
  <c r="G150" i="2" l="1"/>
  <c r="I150" i="2"/>
  <c r="D289" i="2"/>
  <c r="O289" i="2"/>
  <c r="N289" i="2"/>
  <c r="C290" i="2"/>
  <c r="C288" i="1"/>
  <c r="D287" i="1"/>
  <c r="N287" i="1"/>
  <c r="F100" i="1"/>
  <c r="W100" i="1"/>
  <c r="K150" i="2" l="1"/>
  <c r="X150" i="2"/>
  <c r="H151" i="2"/>
  <c r="F151" i="2"/>
  <c r="E151" i="2"/>
  <c r="A150" i="2"/>
  <c r="N288" i="1"/>
  <c r="N290" i="2"/>
  <c r="D290" i="2"/>
  <c r="C291" i="2"/>
  <c r="O290" i="2"/>
  <c r="D288" i="1"/>
  <c r="C289" i="1"/>
  <c r="K100" i="1"/>
  <c r="I100" i="1"/>
  <c r="G151" i="2" l="1"/>
  <c r="I151" i="2"/>
  <c r="N289" i="1"/>
  <c r="N291" i="2"/>
  <c r="D291" i="2"/>
  <c r="C292" i="2"/>
  <c r="O291" i="2"/>
  <c r="C290" i="1"/>
  <c r="D289" i="1"/>
  <c r="G101" i="1"/>
  <c r="H101" i="1"/>
  <c r="E101" i="1"/>
  <c r="A100" i="1"/>
  <c r="A151" i="2" l="1"/>
  <c r="E152" i="2"/>
  <c r="K151" i="2"/>
  <c r="X151" i="2"/>
  <c r="F152" i="2"/>
  <c r="H152" i="2"/>
  <c r="D290" i="1"/>
  <c r="C291" i="1"/>
  <c r="N290" i="1"/>
  <c r="O292" i="2"/>
  <c r="N292" i="2"/>
  <c r="C293" i="2"/>
  <c r="D292" i="2"/>
  <c r="W101" i="1"/>
  <c r="F101" i="1"/>
  <c r="G152" i="2" l="1"/>
  <c r="I152" i="2"/>
  <c r="H153" i="2" s="1"/>
  <c r="N291" i="1"/>
  <c r="D291" i="1"/>
  <c r="C292" i="1"/>
  <c r="O293" i="2"/>
  <c r="N293" i="2"/>
  <c r="D293" i="2"/>
  <c r="C294" i="2"/>
  <c r="K101" i="1"/>
  <c r="I101" i="1"/>
  <c r="X152" i="2" l="1"/>
  <c r="K152" i="2"/>
  <c r="A152" i="2"/>
  <c r="F153" i="2"/>
  <c r="I153" i="2" s="1"/>
  <c r="F154" i="2" s="1"/>
  <c r="E153" i="2"/>
  <c r="C293" i="1"/>
  <c r="D292" i="1"/>
  <c r="N292" i="1"/>
  <c r="D294" i="2"/>
  <c r="N294" i="2"/>
  <c r="C295" i="2"/>
  <c r="O294" i="2"/>
  <c r="E102" i="1"/>
  <c r="H102" i="1"/>
  <c r="G102" i="1"/>
  <c r="A101" i="1"/>
  <c r="G153" i="2" l="1"/>
  <c r="A153" i="2"/>
  <c r="H154" i="2"/>
  <c r="I154" i="2" s="1"/>
  <c r="E154" i="2"/>
  <c r="G154" i="2" s="1"/>
  <c r="N293" i="1"/>
  <c r="D295" i="2"/>
  <c r="N295" i="2"/>
  <c r="O295" i="2"/>
  <c r="C296" i="2"/>
  <c r="D293" i="1"/>
  <c r="C294" i="1"/>
  <c r="W102" i="1"/>
  <c r="F102" i="1"/>
  <c r="X153" i="2" l="1"/>
  <c r="K153" i="2"/>
  <c r="A154" i="2"/>
  <c r="F155" i="2"/>
  <c r="E155" i="2"/>
  <c r="H155" i="2"/>
  <c r="K154" i="2"/>
  <c r="X154" i="2"/>
  <c r="N294" i="1"/>
  <c r="O296" i="2"/>
  <c r="N296" i="2"/>
  <c r="D296" i="2"/>
  <c r="C297" i="2"/>
  <c r="C295" i="1"/>
  <c r="D294" i="1"/>
  <c r="K102" i="1"/>
  <c r="I102" i="1"/>
  <c r="G155" i="2" l="1"/>
  <c r="I155" i="2"/>
  <c r="D295" i="1"/>
  <c r="C296" i="1"/>
  <c r="N297" i="2"/>
  <c r="O297" i="2"/>
  <c r="D297" i="2"/>
  <c r="C298" i="2"/>
  <c r="N295" i="1"/>
  <c r="G103" i="1"/>
  <c r="H103" i="1"/>
  <c r="E103" i="1"/>
  <c r="A102" i="1"/>
  <c r="K155" i="2" l="1"/>
  <c r="X155" i="2"/>
  <c r="E156" i="2"/>
  <c r="H156" i="2"/>
  <c r="F156" i="2"/>
  <c r="A155" i="2"/>
  <c r="N296" i="1"/>
  <c r="C297" i="1"/>
  <c r="D296" i="1"/>
  <c r="C299" i="2"/>
  <c r="O298" i="2"/>
  <c r="N298" i="2"/>
  <c r="D298" i="2"/>
  <c r="W103" i="1"/>
  <c r="F103" i="1"/>
  <c r="I156" i="2" l="1"/>
  <c r="G156" i="2"/>
  <c r="O299" i="2"/>
  <c r="N299" i="2"/>
  <c r="C300" i="2"/>
  <c r="D299" i="2"/>
  <c r="C298" i="1"/>
  <c r="D297" i="1"/>
  <c r="N297" i="1"/>
  <c r="K103" i="1"/>
  <c r="I103" i="1"/>
  <c r="A103" i="1" s="1"/>
  <c r="A156" i="2" l="1"/>
  <c r="H157" i="2"/>
  <c r="E157" i="2"/>
  <c r="F157" i="2"/>
  <c r="X156" i="2"/>
  <c r="K156" i="2"/>
  <c r="N298" i="1"/>
  <c r="C299" i="1"/>
  <c r="D298" i="1"/>
  <c r="D300" i="2"/>
  <c r="N300" i="2"/>
  <c r="O300" i="2"/>
  <c r="C301" i="2"/>
  <c r="E104" i="1"/>
  <c r="H104" i="1"/>
  <c r="G104" i="1"/>
  <c r="G157" i="2" l="1"/>
  <c r="I157" i="2"/>
  <c r="H158" i="2" s="1"/>
  <c r="N299" i="1"/>
  <c r="D301" i="2"/>
  <c r="C302" i="2"/>
  <c r="O301" i="2"/>
  <c r="N301" i="2"/>
  <c r="C300" i="1"/>
  <c r="D299" i="1"/>
  <c r="F104" i="1"/>
  <c r="W104" i="1"/>
  <c r="X157" i="2" l="1"/>
  <c r="K157" i="2"/>
  <c r="A157" i="2"/>
  <c r="E158" i="2"/>
  <c r="F158" i="2"/>
  <c r="N300" i="1"/>
  <c r="C301" i="1"/>
  <c r="D300" i="1"/>
  <c r="O302" i="2"/>
  <c r="N302" i="2"/>
  <c r="C303" i="2"/>
  <c r="D302" i="2"/>
  <c r="K104" i="1"/>
  <c r="I104" i="1"/>
  <c r="A104" i="1" s="1"/>
  <c r="I158" i="2" l="1"/>
  <c r="G158" i="2"/>
  <c r="C304" i="2"/>
  <c r="D303" i="2"/>
  <c r="N303" i="2"/>
  <c r="O303" i="2"/>
  <c r="D301" i="1"/>
  <c r="C302" i="1"/>
  <c r="N301" i="1"/>
  <c r="G105" i="1"/>
  <c r="E105" i="1"/>
  <c r="H105" i="1"/>
  <c r="E159" i="2" l="1"/>
  <c r="F159" i="2"/>
  <c r="H159" i="2"/>
  <c r="A158" i="2"/>
  <c r="K158" i="2"/>
  <c r="X158" i="2"/>
  <c r="C303" i="1"/>
  <c r="D302" i="1"/>
  <c r="N304" i="2"/>
  <c r="O304" i="2"/>
  <c r="D304" i="2"/>
  <c r="C305" i="2"/>
  <c r="N302" i="1"/>
  <c r="W105" i="1"/>
  <c r="F105" i="1"/>
  <c r="G159" i="2" l="1"/>
  <c r="I159" i="2"/>
  <c r="N303" i="1"/>
  <c r="N305" i="2"/>
  <c r="O305" i="2"/>
  <c r="C306" i="2"/>
  <c r="D305" i="2"/>
  <c r="C304" i="1"/>
  <c r="D303" i="1"/>
  <c r="K105" i="1"/>
  <c r="I105" i="1"/>
  <c r="A105" i="1" s="1"/>
  <c r="X159" i="2" l="1"/>
  <c r="K159" i="2"/>
  <c r="E160" i="2"/>
  <c r="A159" i="2"/>
  <c r="F160" i="2"/>
  <c r="H160" i="2"/>
  <c r="C305" i="1"/>
  <c r="D304" i="1"/>
  <c r="N306" i="2"/>
  <c r="O306" i="2"/>
  <c r="C307" i="2"/>
  <c r="D306" i="2"/>
  <c r="N304" i="1"/>
  <c r="H106" i="1"/>
  <c r="G106" i="1"/>
  <c r="E106" i="1"/>
  <c r="G160" i="2" l="1"/>
  <c r="I160" i="2"/>
  <c r="N305" i="1"/>
  <c r="C308" i="2"/>
  <c r="N307" i="2"/>
  <c r="O307" i="2"/>
  <c r="D307" i="2"/>
  <c r="D305" i="1"/>
  <c r="C306" i="1"/>
  <c r="F106" i="1"/>
  <c r="W106" i="1"/>
  <c r="K160" i="2" l="1"/>
  <c r="X160" i="2"/>
  <c r="H161" i="2"/>
  <c r="E161" i="2"/>
  <c r="A160" i="2"/>
  <c r="F161" i="2"/>
  <c r="C307" i="1"/>
  <c r="D306" i="1"/>
  <c r="N306" i="1"/>
  <c r="C309" i="2"/>
  <c r="D308" i="2"/>
  <c r="O308" i="2"/>
  <c r="N308" i="2"/>
  <c r="K106" i="1"/>
  <c r="I106" i="1"/>
  <c r="I161" i="2" l="1"/>
  <c r="G161" i="2"/>
  <c r="N307" i="1"/>
  <c r="C310" i="2"/>
  <c r="N309" i="2"/>
  <c r="O309" i="2"/>
  <c r="D309" i="2"/>
  <c r="D307" i="1"/>
  <c r="C308" i="1"/>
  <c r="G107" i="1"/>
  <c r="E107" i="1"/>
  <c r="H107" i="1"/>
  <c r="A106" i="1"/>
  <c r="F162" i="2" l="1"/>
  <c r="A161" i="2"/>
  <c r="E162" i="2"/>
  <c r="H162" i="2"/>
  <c r="X161" i="2"/>
  <c r="K161" i="2"/>
  <c r="N308" i="1"/>
  <c r="C309" i="1"/>
  <c r="D308" i="1"/>
  <c r="N310" i="2"/>
  <c r="C311" i="2"/>
  <c r="D310" i="2"/>
  <c r="O310" i="2"/>
  <c r="F107" i="1"/>
  <c r="W107" i="1"/>
  <c r="G162" i="2" l="1"/>
  <c r="I162" i="2"/>
  <c r="E163" i="2" s="1"/>
  <c r="N309" i="1"/>
  <c r="O311" i="2"/>
  <c r="N311" i="2"/>
  <c r="C312" i="2"/>
  <c r="D311" i="2"/>
  <c r="D309" i="1"/>
  <c r="C310" i="1"/>
  <c r="K107" i="1"/>
  <c r="I107" i="1"/>
  <c r="X162" i="2" l="1"/>
  <c r="K162" i="2"/>
  <c r="A162" i="2"/>
  <c r="F163" i="2"/>
  <c r="H163" i="2"/>
  <c r="C311" i="1"/>
  <c r="D310" i="1"/>
  <c r="O312" i="2"/>
  <c r="C313" i="2"/>
  <c r="N312" i="2"/>
  <c r="D312" i="2"/>
  <c r="N310" i="1"/>
  <c r="H108" i="1"/>
  <c r="E108" i="1"/>
  <c r="G108" i="1"/>
  <c r="A107" i="1"/>
  <c r="I163" i="2" l="1"/>
  <c r="G163" i="2"/>
  <c r="N311" i="1"/>
  <c r="C314" i="2"/>
  <c r="D313" i="2"/>
  <c r="O313" i="2"/>
  <c r="N313" i="2"/>
  <c r="C312" i="1"/>
  <c r="D311" i="1"/>
  <c r="F108" i="1"/>
  <c r="W108" i="1"/>
  <c r="E164" i="2" l="1"/>
  <c r="F164" i="2"/>
  <c r="A163" i="2"/>
  <c r="H164" i="2"/>
  <c r="X163" i="2"/>
  <c r="K163" i="2"/>
  <c r="D314" i="2"/>
  <c r="O314" i="2"/>
  <c r="N314" i="2"/>
  <c r="C315" i="2"/>
  <c r="D312" i="1"/>
  <c r="C313" i="1"/>
  <c r="N312" i="1"/>
  <c r="K108" i="1"/>
  <c r="I108" i="1"/>
  <c r="G164" i="2" l="1"/>
  <c r="I164" i="2"/>
  <c r="N313" i="1"/>
  <c r="C316" i="2"/>
  <c r="D315" i="2"/>
  <c r="N315" i="2"/>
  <c r="O315" i="2"/>
  <c r="D313" i="1"/>
  <c r="C314" i="1"/>
  <c r="G109" i="1"/>
  <c r="E109" i="1"/>
  <c r="H109" i="1"/>
  <c r="A108" i="1"/>
  <c r="X164" i="2" l="1"/>
  <c r="K164" i="2"/>
  <c r="E165" i="2"/>
  <c r="F165" i="2"/>
  <c r="A164" i="2"/>
  <c r="H165" i="2"/>
  <c r="N314" i="1"/>
  <c r="D314" i="1"/>
  <c r="C315" i="1"/>
  <c r="N316" i="2"/>
  <c r="O316" i="2"/>
  <c r="D316" i="2"/>
  <c r="C317" i="2"/>
  <c r="W109" i="1"/>
  <c r="F109" i="1"/>
  <c r="G165" i="2" l="1"/>
  <c r="I165" i="2"/>
  <c r="N315" i="1"/>
  <c r="D315" i="1"/>
  <c r="C316" i="1"/>
  <c r="O317" i="2"/>
  <c r="N317" i="2"/>
  <c r="D317" i="2"/>
  <c r="C318" i="2"/>
  <c r="K109" i="1"/>
  <c r="I109" i="1"/>
  <c r="X165" i="2" l="1"/>
  <c r="K165" i="2"/>
  <c r="A165" i="2"/>
  <c r="H166" i="2"/>
  <c r="E166" i="2"/>
  <c r="F166" i="2"/>
  <c r="N316" i="1"/>
  <c r="D318" i="2"/>
  <c r="N318" i="2"/>
  <c r="O318" i="2"/>
  <c r="C319" i="2"/>
  <c r="C317" i="1"/>
  <c r="D316" i="1"/>
  <c r="G110" i="1"/>
  <c r="H110" i="1"/>
  <c r="E110" i="1"/>
  <c r="A109" i="1"/>
  <c r="G166" i="2" l="1"/>
  <c r="I166" i="2"/>
  <c r="C320" i="2"/>
  <c r="D319" i="2"/>
  <c r="O319" i="2"/>
  <c r="N319" i="2"/>
  <c r="D317" i="1"/>
  <c r="C318" i="1"/>
  <c r="N317" i="1"/>
  <c r="W110" i="1"/>
  <c r="F110" i="1"/>
  <c r="X166" i="2" l="1"/>
  <c r="K166" i="2"/>
  <c r="A166" i="2"/>
  <c r="F167" i="2"/>
  <c r="H167" i="2"/>
  <c r="E167" i="2"/>
  <c r="N318" i="1"/>
  <c r="D318" i="1"/>
  <c r="C319" i="1"/>
  <c r="N320" i="2"/>
  <c r="C321" i="2"/>
  <c r="O320" i="2"/>
  <c r="D320" i="2"/>
  <c r="K110" i="1"/>
  <c r="I110" i="1"/>
  <c r="I167" i="2" l="1"/>
  <c r="G167" i="2"/>
  <c r="N319" i="1"/>
  <c r="O321" i="2"/>
  <c r="N321" i="2"/>
  <c r="C322" i="2"/>
  <c r="D321" i="2"/>
  <c r="D319" i="1"/>
  <c r="C320" i="1"/>
  <c r="E111" i="1"/>
  <c r="H111" i="1"/>
  <c r="G111" i="1"/>
  <c r="A110" i="1"/>
  <c r="A167" i="2" l="1"/>
  <c r="F168" i="2"/>
  <c r="H168" i="2"/>
  <c r="E168" i="2"/>
  <c r="X167" i="2"/>
  <c r="K167" i="2"/>
  <c r="N320" i="1"/>
  <c r="O322" i="2"/>
  <c r="N322" i="2"/>
  <c r="D322" i="2"/>
  <c r="C323" i="2"/>
  <c r="C321" i="1"/>
  <c r="D320" i="1"/>
  <c r="W111" i="1"/>
  <c r="F111" i="1"/>
  <c r="I168" i="2" l="1"/>
  <c r="E169" i="2" s="1"/>
  <c r="G168" i="2"/>
  <c r="D321" i="1"/>
  <c r="C322" i="1"/>
  <c r="N321" i="1"/>
  <c r="O323" i="2"/>
  <c r="D323" i="2"/>
  <c r="C324" i="2"/>
  <c r="N323" i="2"/>
  <c r="K111" i="1"/>
  <c r="I111" i="1"/>
  <c r="A111" i="1" s="1"/>
  <c r="X168" i="2" l="1"/>
  <c r="K168" i="2"/>
  <c r="F169" i="2"/>
  <c r="H169" i="2"/>
  <c r="A168" i="2"/>
  <c r="N322" i="1"/>
  <c r="C325" i="2"/>
  <c r="N324" i="2"/>
  <c r="O324" i="2"/>
  <c r="D324" i="2"/>
  <c r="D322" i="1"/>
  <c r="C323" i="1"/>
  <c r="E112" i="1"/>
  <c r="G112" i="1"/>
  <c r="H112" i="1"/>
  <c r="I169" i="2" l="1"/>
  <c r="G169" i="2"/>
  <c r="F170" i="2"/>
  <c r="H170" i="2"/>
  <c r="N323" i="1"/>
  <c r="C324" i="1"/>
  <c r="D323" i="1"/>
  <c r="D325" i="2"/>
  <c r="C326" i="2"/>
  <c r="O325" i="2"/>
  <c r="N325" i="2"/>
  <c r="W112" i="1"/>
  <c r="F112" i="1"/>
  <c r="E170" i="2" l="1"/>
  <c r="G170" i="2" s="1"/>
  <c r="A169" i="2"/>
  <c r="I170" i="2"/>
  <c r="X169" i="2"/>
  <c r="K169" i="2"/>
  <c r="N324" i="1"/>
  <c r="D326" i="2"/>
  <c r="N326" i="2"/>
  <c r="O326" i="2"/>
  <c r="C327" i="2"/>
  <c r="D324" i="1"/>
  <c r="C325" i="1"/>
  <c r="K112" i="1"/>
  <c r="I112" i="1"/>
  <c r="A112" i="1" s="1"/>
  <c r="E171" i="2" l="1"/>
  <c r="A170" i="2"/>
  <c r="F171" i="2"/>
  <c r="H171" i="2"/>
  <c r="X170" i="2"/>
  <c r="K170" i="2"/>
  <c r="N325" i="1"/>
  <c r="N327" i="2"/>
  <c r="C328" i="2"/>
  <c r="D327" i="2"/>
  <c r="O327" i="2"/>
  <c r="C326" i="1"/>
  <c r="D325" i="1"/>
  <c r="H113" i="1"/>
  <c r="G113" i="1"/>
  <c r="E113" i="1"/>
  <c r="G171" i="2" l="1"/>
  <c r="I171" i="2"/>
  <c r="H172" i="2" s="1"/>
  <c r="O328" i="2"/>
  <c r="N328" i="2"/>
  <c r="C329" i="2"/>
  <c r="D328" i="2"/>
  <c r="C327" i="1"/>
  <c r="D326" i="1"/>
  <c r="N326" i="1"/>
  <c r="W113" i="1"/>
  <c r="F113" i="1"/>
  <c r="X171" i="2" l="1"/>
  <c r="K171" i="2"/>
  <c r="E172" i="2"/>
  <c r="F172" i="2"/>
  <c r="A171" i="2"/>
  <c r="N327" i="1"/>
  <c r="D327" i="1"/>
  <c r="C328" i="1"/>
  <c r="O329" i="2"/>
  <c r="N329" i="2"/>
  <c r="D329" i="2"/>
  <c r="C330" i="2"/>
  <c r="K113" i="1"/>
  <c r="I113" i="1"/>
  <c r="I172" i="2" l="1"/>
  <c r="G172" i="2"/>
  <c r="A172" i="2"/>
  <c r="N328" i="1"/>
  <c r="O330" i="2"/>
  <c r="C331" i="2"/>
  <c r="N330" i="2"/>
  <c r="D330" i="2"/>
  <c r="D328" i="1"/>
  <c r="C329" i="1"/>
  <c r="G114" i="1"/>
  <c r="H114" i="1"/>
  <c r="E114" i="1"/>
  <c r="A113" i="1"/>
  <c r="E173" i="2" l="1"/>
  <c r="H173" i="2"/>
  <c r="F173" i="2"/>
  <c r="G173" i="2" s="1"/>
  <c r="X172" i="2"/>
  <c r="K172" i="2"/>
  <c r="I173" i="2"/>
  <c r="C330" i="1"/>
  <c r="D329" i="1"/>
  <c r="D331" i="2"/>
  <c r="O331" i="2"/>
  <c r="C332" i="2"/>
  <c r="N331" i="2"/>
  <c r="N329" i="1"/>
  <c r="W114" i="1"/>
  <c r="F114" i="1"/>
  <c r="X173" i="2" l="1"/>
  <c r="K173" i="2"/>
  <c r="H174" i="2"/>
  <c r="F174" i="2"/>
  <c r="E174" i="2"/>
  <c r="A173" i="2"/>
  <c r="N330" i="1"/>
  <c r="D332" i="2"/>
  <c r="O332" i="2"/>
  <c r="N332" i="2"/>
  <c r="C333" i="2"/>
  <c r="D330" i="1"/>
  <c r="C331" i="1"/>
  <c r="K114" i="1"/>
  <c r="I114" i="1"/>
  <c r="I174" i="2" l="1"/>
  <c r="G174" i="2"/>
  <c r="E175" i="2"/>
  <c r="N331" i="1"/>
  <c r="C332" i="1"/>
  <c r="D331" i="1"/>
  <c r="N333" i="2"/>
  <c r="D333" i="2"/>
  <c r="C334" i="2"/>
  <c r="O333" i="2"/>
  <c r="G115" i="1"/>
  <c r="H115" i="1"/>
  <c r="E115" i="1"/>
  <c r="A114" i="1"/>
  <c r="F175" i="2" l="1"/>
  <c r="A174" i="2"/>
  <c r="H175" i="2"/>
  <c r="I175" i="2" s="1"/>
  <c r="X174" i="2"/>
  <c r="K174" i="2"/>
  <c r="G175" i="2"/>
  <c r="N334" i="2"/>
  <c r="O334" i="2"/>
  <c r="C335" i="2"/>
  <c r="D334" i="2"/>
  <c r="D332" i="1"/>
  <c r="C333" i="1"/>
  <c r="N332" i="1"/>
  <c r="W115" i="1"/>
  <c r="F115" i="1"/>
  <c r="F176" i="2" l="1"/>
  <c r="A175" i="2"/>
  <c r="H176" i="2"/>
  <c r="E176" i="2"/>
  <c r="K175" i="2"/>
  <c r="X175" i="2"/>
  <c r="N333" i="1"/>
  <c r="O335" i="2"/>
  <c r="D335" i="2"/>
  <c r="N335" i="2"/>
  <c r="C336" i="2"/>
  <c r="C334" i="1"/>
  <c r="D333" i="1"/>
  <c r="K115" i="1"/>
  <c r="I115" i="1"/>
  <c r="I176" i="2" l="1"/>
  <c r="G176" i="2"/>
  <c r="C335" i="1"/>
  <c r="D334" i="1"/>
  <c r="N334" i="1"/>
  <c r="D336" i="2"/>
  <c r="C337" i="2"/>
  <c r="N336" i="2"/>
  <c r="O336" i="2"/>
  <c r="G116" i="1"/>
  <c r="E116" i="1"/>
  <c r="H116" i="1"/>
  <c r="A115" i="1"/>
  <c r="E177" i="2" l="1"/>
  <c r="A176" i="2"/>
  <c r="H177" i="2"/>
  <c r="F177" i="2"/>
  <c r="X176" i="2"/>
  <c r="K176" i="2"/>
  <c r="D335" i="1"/>
  <c r="C336" i="1"/>
  <c r="O337" i="2"/>
  <c r="N337" i="2"/>
  <c r="C338" i="2"/>
  <c r="D337" i="2"/>
  <c r="N335" i="1"/>
  <c r="F116" i="1"/>
  <c r="W116" i="1"/>
  <c r="G177" i="2" l="1"/>
  <c r="I177" i="2"/>
  <c r="D336" i="1"/>
  <c r="C337" i="1"/>
  <c r="N336" i="1"/>
  <c r="N338" i="2"/>
  <c r="C339" i="2"/>
  <c r="O338" i="2"/>
  <c r="D338" i="2"/>
  <c r="K116" i="1"/>
  <c r="I116" i="1"/>
  <c r="K177" i="2" l="1"/>
  <c r="X177" i="2"/>
  <c r="A177" i="2"/>
  <c r="E178" i="2"/>
  <c r="F178" i="2"/>
  <c r="H178" i="2"/>
  <c r="N337" i="1"/>
  <c r="C340" i="2"/>
  <c r="D339" i="2"/>
  <c r="O339" i="2"/>
  <c r="N339" i="2"/>
  <c r="D337" i="1"/>
  <c r="C338" i="1"/>
  <c r="G117" i="1"/>
  <c r="E117" i="1"/>
  <c r="H117" i="1"/>
  <c r="A116" i="1"/>
  <c r="G178" i="2" l="1"/>
  <c r="I178" i="2"/>
  <c r="N338" i="1"/>
  <c r="C339" i="1"/>
  <c r="D338" i="1"/>
  <c r="O340" i="2"/>
  <c r="N340" i="2"/>
  <c r="C341" i="2"/>
  <c r="D340" i="2"/>
  <c r="W117" i="1"/>
  <c r="F117" i="1"/>
  <c r="K178" i="2" l="1"/>
  <c r="X178" i="2"/>
  <c r="E179" i="2"/>
  <c r="A178" i="2"/>
  <c r="F179" i="2"/>
  <c r="H179" i="2"/>
  <c r="N339" i="1"/>
  <c r="O341" i="2"/>
  <c r="N341" i="2"/>
  <c r="D341" i="2"/>
  <c r="C342" i="2"/>
  <c r="D339" i="1"/>
  <c r="C340" i="1"/>
  <c r="K117" i="1"/>
  <c r="I117" i="1"/>
  <c r="G179" i="2" l="1"/>
  <c r="I179" i="2"/>
  <c r="N340" i="1"/>
  <c r="C341" i="1"/>
  <c r="D340" i="1"/>
  <c r="O342" i="2"/>
  <c r="C343" i="2"/>
  <c r="N342" i="2"/>
  <c r="D342" i="2"/>
  <c r="G118" i="1"/>
  <c r="E118" i="1"/>
  <c r="H118" i="1"/>
  <c r="A117" i="1"/>
  <c r="X179" i="2" l="1"/>
  <c r="K179" i="2"/>
  <c r="H180" i="2"/>
  <c r="A179" i="2"/>
  <c r="F180" i="2"/>
  <c r="E180" i="2"/>
  <c r="C344" i="2"/>
  <c r="N343" i="2"/>
  <c r="O343" i="2"/>
  <c r="D343" i="2"/>
  <c r="C342" i="1"/>
  <c r="D341" i="1"/>
  <c r="N341" i="1"/>
  <c r="F118" i="1"/>
  <c r="W118" i="1"/>
  <c r="G180" i="2" l="1"/>
  <c r="I180" i="2"/>
  <c r="A180" i="2" s="1"/>
  <c r="C343" i="1"/>
  <c r="D342" i="1"/>
  <c r="C345" i="2"/>
  <c r="N344" i="2"/>
  <c r="D344" i="2"/>
  <c r="O344" i="2"/>
  <c r="N342" i="1"/>
  <c r="K118" i="1"/>
  <c r="I118" i="1"/>
  <c r="E181" i="2" l="1"/>
  <c r="H181" i="2"/>
  <c r="F181" i="2"/>
  <c r="X180" i="2"/>
  <c r="K180" i="2"/>
  <c r="N343" i="1"/>
  <c r="D345" i="2"/>
  <c r="O345" i="2"/>
  <c r="N345" i="2"/>
  <c r="C346" i="2"/>
  <c r="D343" i="1"/>
  <c r="C344" i="1"/>
  <c r="H119" i="1"/>
  <c r="G119" i="1"/>
  <c r="E119" i="1"/>
  <c r="A118" i="1"/>
  <c r="I181" i="2" l="1"/>
  <c r="G181" i="2"/>
  <c r="N344" i="1"/>
  <c r="N346" i="2"/>
  <c r="D346" i="2"/>
  <c r="C347" i="2"/>
  <c r="O346" i="2"/>
  <c r="C345" i="1"/>
  <c r="D344" i="1"/>
  <c r="W119" i="1"/>
  <c r="F119" i="1"/>
  <c r="A181" i="2" l="1"/>
  <c r="F182" i="2"/>
  <c r="E182" i="2"/>
  <c r="H182" i="2"/>
  <c r="X181" i="2"/>
  <c r="K181" i="2"/>
  <c r="O347" i="2"/>
  <c r="N347" i="2"/>
  <c r="C348" i="2"/>
  <c r="D347" i="2"/>
  <c r="D345" i="1"/>
  <c r="C346" i="1"/>
  <c r="N345" i="1"/>
  <c r="K119" i="1"/>
  <c r="I119" i="1"/>
  <c r="G182" i="2" l="1"/>
  <c r="I182" i="2"/>
  <c r="N346" i="1"/>
  <c r="O348" i="2"/>
  <c r="N348" i="2"/>
  <c r="D348" i="2"/>
  <c r="C349" i="2"/>
  <c r="C347" i="1"/>
  <c r="D346" i="1"/>
  <c r="H120" i="1"/>
  <c r="E120" i="1"/>
  <c r="G120" i="1"/>
  <c r="A119" i="1"/>
  <c r="F183" i="2" l="1"/>
  <c r="E183" i="2"/>
  <c r="A182" i="2"/>
  <c r="H183" i="2"/>
  <c r="K182" i="2"/>
  <c r="X182" i="2"/>
  <c r="D349" i="2"/>
  <c r="O349" i="2"/>
  <c r="N349" i="2"/>
  <c r="C350" i="2"/>
  <c r="D347" i="1"/>
  <c r="C348" i="1"/>
  <c r="N347" i="1"/>
  <c r="F120" i="1"/>
  <c r="W120" i="1"/>
  <c r="I183" i="2" l="1"/>
  <c r="G183" i="2"/>
  <c r="N348" i="1"/>
  <c r="D350" i="2"/>
  <c r="O350" i="2"/>
  <c r="C351" i="2"/>
  <c r="N350" i="2"/>
  <c r="C349" i="1"/>
  <c r="D348" i="1"/>
  <c r="K120" i="1"/>
  <c r="I120" i="1"/>
  <c r="H184" i="2" l="1"/>
  <c r="F184" i="2"/>
  <c r="E184" i="2"/>
  <c r="A183" i="2"/>
  <c r="K183" i="2"/>
  <c r="X183" i="2"/>
  <c r="N349" i="1"/>
  <c r="D351" i="2"/>
  <c r="O351" i="2"/>
  <c r="N351" i="2"/>
  <c r="C352" i="2"/>
  <c r="D349" i="1"/>
  <c r="C350" i="1"/>
  <c r="E121" i="1"/>
  <c r="G121" i="1"/>
  <c r="H121" i="1"/>
  <c r="A120" i="1"/>
  <c r="I184" i="2" l="1"/>
  <c r="G184" i="2"/>
  <c r="N352" i="2"/>
  <c r="D352" i="2"/>
  <c r="O352" i="2"/>
  <c r="C353" i="2"/>
  <c r="D350" i="1"/>
  <c r="C351" i="1"/>
  <c r="N350" i="1"/>
  <c r="W121" i="1"/>
  <c r="F121" i="1"/>
  <c r="A184" i="2" l="1"/>
  <c r="F185" i="2"/>
  <c r="H185" i="2"/>
  <c r="E185" i="2"/>
  <c r="X184" i="2"/>
  <c r="K184" i="2"/>
  <c r="N351" i="1"/>
  <c r="D353" i="2"/>
  <c r="O353" i="2"/>
  <c r="N353" i="2"/>
  <c r="C354" i="2"/>
  <c r="D351" i="1"/>
  <c r="C352" i="1"/>
  <c r="K121" i="1"/>
  <c r="I121" i="1"/>
  <c r="I185" i="2" l="1"/>
  <c r="G185" i="2"/>
  <c r="D352" i="1"/>
  <c r="C353" i="1"/>
  <c r="N352" i="1"/>
  <c r="N354" i="2"/>
  <c r="O354" i="2"/>
  <c r="D354" i="2"/>
  <c r="C355" i="2"/>
  <c r="H122" i="1"/>
  <c r="G122" i="1"/>
  <c r="E122" i="1"/>
  <c r="A121" i="1"/>
  <c r="A185" i="2" l="1"/>
  <c r="E186" i="2"/>
  <c r="F186" i="2"/>
  <c r="H186" i="2"/>
  <c r="X185" i="2"/>
  <c r="K185" i="2"/>
  <c r="C354" i="1"/>
  <c r="D353" i="1"/>
  <c r="N353" i="1"/>
  <c r="O355" i="2"/>
  <c r="D355" i="2"/>
  <c r="N355" i="2"/>
  <c r="C356" i="2"/>
  <c r="W122" i="1"/>
  <c r="F122" i="1"/>
  <c r="G186" i="2" l="1"/>
  <c r="I186" i="2"/>
  <c r="N354" i="1"/>
  <c r="C357" i="2"/>
  <c r="N356" i="2"/>
  <c r="D356" i="2"/>
  <c r="O356" i="2"/>
  <c r="D354" i="1"/>
  <c r="C355" i="1"/>
  <c r="K122" i="1"/>
  <c r="I122" i="1"/>
  <c r="K186" i="2" l="1"/>
  <c r="X186" i="2"/>
  <c r="F187" i="2"/>
  <c r="H187" i="2"/>
  <c r="A186" i="2"/>
  <c r="E187" i="2"/>
  <c r="N355" i="1"/>
  <c r="C356" i="1"/>
  <c r="D355" i="1"/>
  <c r="N357" i="2"/>
  <c r="O357" i="2"/>
  <c r="D357" i="2"/>
  <c r="C358" i="2"/>
  <c r="G123" i="1"/>
  <c r="H123" i="1"/>
  <c r="E123" i="1"/>
  <c r="A122" i="1"/>
  <c r="I187" i="2" l="1"/>
  <c r="G187" i="2"/>
  <c r="C357" i="1"/>
  <c r="D356" i="1"/>
  <c r="O358" i="2"/>
  <c r="N358" i="2"/>
  <c r="C359" i="2"/>
  <c r="D358" i="2"/>
  <c r="N356" i="1"/>
  <c r="F123" i="1"/>
  <c r="W123" i="1"/>
  <c r="H188" i="2" l="1"/>
  <c r="F188" i="2"/>
  <c r="E188" i="2"/>
  <c r="A187" i="2"/>
  <c r="X187" i="2"/>
  <c r="K187" i="2"/>
  <c r="N357" i="1"/>
  <c r="O359" i="2"/>
  <c r="N359" i="2"/>
  <c r="C360" i="2"/>
  <c r="D359" i="2"/>
  <c r="D357" i="1"/>
  <c r="C358" i="1"/>
  <c r="K123" i="1"/>
  <c r="I123" i="1"/>
  <c r="A123" i="1" s="1"/>
  <c r="G188" i="2" l="1"/>
  <c r="I188" i="2"/>
  <c r="N358" i="1"/>
  <c r="C359" i="1"/>
  <c r="D358" i="1"/>
  <c r="N360" i="2"/>
  <c r="O360" i="2"/>
  <c r="C361" i="2"/>
  <c r="D360" i="2"/>
  <c r="E124" i="1"/>
  <c r="G124" i="1"/>
  <c r="H124" i="1"/>
  <c r="X188" i="2" l="1"/>
  <c r="K188" i="2"/>
  <c r="A188" i="2"/>
  <c r="H189" i="2"/>
  <c r="F189" i="2"/>
  <c r="E189" i="2"/>
  <c r="D359" i="1"/>
  <c r="C360" i="1"/>
  <c r="N359" i="1"/>
  <c r="N361" i="2"/>
  <c r="C362" i="2"/>
  <c r="O361" i="2"/>
  <c r="D361" i="2"/>
  <c r="W124" i="1"/>
  <c r="F124" i="1"/>
  <c r="G189" i="2" l="1"/>
  <c r="I189" i="2"/>
  <c r="C361" i="1"/>
  <c r="D360" i="1"/>
  <c r="O362" i="2"/>
  <c r="C363" i="2"/>
  <c r="N362" i="2"/>
  <c r="D362" i="2"/>
  <c r="N360" i="1"/>
  <c r="K124" i="1"/>
  <c r="I124" i="1"/>
  <c r="X189" i="2" l="1"/>
  <c r="K189" i="2"/>
  <c r="E190" i="2"/>
  <c r="F190" i="2"/>
  <c r="A189" i="2"/>
  <c r="H190" i="2"/>
  <c r="N363" i="2"/>
  <c r="O363" i="2"/>
  <c r="C364" i="2"/>
  <c r="D363" i="2"/>
  <c r="N361" i="1"/>
  <c r="D361" i="1"/>
  <c r="C362" i="1"/>
  <c r="E125" i="1"/>
  <c r="G125" i="1"/>
  <c r="H125" i="1"/>
  <c r="A124" i="1"/>
  <c r="G190" i="2" l="1"/>
  <c r="I190" i="2"/>
  <c r="N362" i="1"/>
  <c r="C365" i="2"/>
  <c r="D364" i="2"/>
  <c r="O364" i="2"/>
  <c r="N364" i="2"/>
  <c r="C363" i="1"/>
  <c r="D362" i="1"/>
  <c r="W125" i="1"/>
  <c r="F125" i="1"/>
  <c r="K190" i="2" l="1"/>
  <c r="X190" i="2"/>
  <c r="E191" i="2"/>
  <c r="F191" i="2"/>
  <c r="H191" i="2"/>
  <c r="A190" i="2"/>
  <c r="D363" i="1"/>
  <c r="C364" i="1"/>
  <c r="N365" i="2"/>
  <c r="D365" i="2"/>
  <c r="O365" i="2"/>
  <c r="C366" i="2"/>
  <c r="N363" i="1"/>
  <c r="K125" i="1"/>
  <c r="I125" i="1"/>
  <c r="G191" i="2" l="1"/>
  <c r="I191" i="2"/>
  <c r="K191" i="2"/>
  <c r="X191" i="2"/>
  <c r="C365" i="1"/>
  <c r="D364" i="1"/>
  <c r="N366" i="2"/>
  <c r="D366" i="2"/>
  <c r="O366" i="2"/>
  <c r="C367" i="2"/>
  <c r="N364" i="1"/>
  <c r="E126" i="1"/>
  <c r="G126" i="1"/>
  <c r="H126" i="1"/>
  <c r="A125" i="1"/>
  <c r="F192" i="2" l="1"/>
  <c r="E192" i="2"/>
  <c r="A191" i="2"/>
  <c r="H192" i="2"/>
  <c r="O367" i="2"/>
  <c r="D367" i="2"/>
  <c r="N367" i="2"/>
  <c r="C368" i="2"/>
  <c r="D365" i="1"/>
  <c r="C366" i="1"/>
  <c r="N365" i="1"/>
  <c r="W126" i="1"/>
  <c r="N17" i="3"/>
  <c r="F126" i="1"/>
  <c r="G192" i="2" l="1"/>
  <c r="I192" i="2"/>
  <c r="N368" i="2"/>
  <c r="O368" i="2"/>
  <c r="D368" i="2"/>
  <c r="C369" i="2"/>
  <c r="D366" i="1"/>
  <c r="C367" i="1"/>
  <c r="N366" i="1"/>
  <c r="K126" i="1"/>
  <c r="I126" i="1"/>
  <c r="K192" i="2" l="1"/>
  <c r="X192" i="2"/>
  <c r="E193" i="2"/>
  <c r="H193" i="2"/>
  <c r="F193" i="2"/>
  <c r="A192" i="2"/>
  <c r="I193" i="2"/>
  <c r="D367" i="1"/>
  <c r="C368" i="1"/>
  <c r="D369" i="2"/>
  <c r="N369" i="2"/>
  <c r="C370" i="2"/>
  <c r="O369" i="2"/>
  <c r="N367" i="1"/>
  <c r="E127" i="1"/>
  <c r="G127" i="1"/>
  <c r="H127" i="1"/>
  <c r="A126" i="1"/>
  <c r="G193" i="2" l="1"/>
  <c r="A193" i="2"/>
  <c r="F194" i="2"/>
  <c r="H194" i="2"/>
  <c r="E194" i="2"/>
  <c r="N368" i="1"/>
  <c r="D368" i="1"/>
  <c r="C369" i="1"/>
  <c r="D370" i="2"/>
  <c r="C371" i="2"/>
  <c r="N370" i="2"/>
  <c r="O370" i="2"/>
  <c r="F127" i="1"/>
  <c r="W127" i="1"/>
  <c r="X193" i="2" l="1"/>
  <c r="K193" i="2"/>
  <c r="I194" i="2"/>
  <c r="G194" i="2"/>
  <c r="N369" i="1"/>
  <c r="D371" i="2"/>
  <c r="N371" i="2"/>
  <c r="O371" i="2"/>
  <c r="C372" i="2"/>
  <c r="C370" i="1"/>
  <c r="D369" i="1"/>
  <c r="K127" i="1"/>
  <c r="I127" i="1"/>
  <c r="H195" i="2" l="1"/>
  <c r="A194" i="2"/>
  <c r="F195" i="2"/>
  <c r="E195" i="2"/>
  <c r="X194" i="2"/>
  <c r="K194" i="2"/>
  <c r="O372" i="2"/>
  <c r="N372" i="2"/>
  <c r="D372" i="2"/>
  <c r="C373" i="2"/>
  <c r="C371" i="1"/>
  <c r="D370" i="1"/>
  <c r="N370" i="1"/>
  <c r="E128" i="1"/>
  <c r="G128" i="1"/>
  <c r="H128" i="1"/>
  <c r="A127" i="1"/>
  <c r="I195" i="2" l="1"/>
  <c r="G195" i="2"/>
  <c r="N371" i="1"/>
  <c r="C372" i="1"/>
  <c r="N372" i="1" s="1"/>
  <c r="D371" i="1"/>
  <c r="O373" i="2"/>
  <c r="C374" i="2"/>
  <c r="D373" i="2"/>
  <c r="N373" i="2"/>
  <c r="F128" i="1"/>
  <c r="W128" i="1"/>
  <c r="F196" i="2" l="1"/>
  <c r="H196" i="2"/>
  <c r="A195" i="2"/>
  <c r="E196" i="2"/>
  <c r="X195" i="2"/>
  <c r="K195" i="2"/>
  <c r="O374" i="2"/>
  <c r="N374" i="2"/>
  <c r="D374" i="2"/>
  <c r="C375" i="2"/>
  <c r="C373" i="1"/>
  <c r="N373" i="1" s="1"/>
  <c r="D372" i="1"/>
  <c r="K128" i="1"/>
  <c r="I128" i="1"/>
  <c r="G196" i="2" l="1"/>
  <c r="I196" i="2"/>
  <c r="O375" i="2"/>
  <c r="N375" i="2"/>
  <c r="D375" i="2"/>
  <c r="C376" i="2"/>
  <c r="C374" i="1"/>
  <c r="D373" i="1"/>
  <c r="E129" i="1"/>
  <c r="H129" i="1"/>
  <c r="G129" i="1"/>
  <c r="A128" i="1"/>
  <c r="X196" i="2" l="1"/>
  <c r="K196" i="2"/>
  <c r="H197" i="2"/>
  <c r="E197" i="2"/>
  <c r="F197" i="2"/>
  <c r="A196" i="2"/>
  <c r="C377" i="2"/>
  <c r="O376" i="2"/>
  <c r="D376" i="2"/>
  <c r="N376" i="2"/>
  <c r="D374" i="1"/>
  <c r="C375" i="1"/>
  <c r="N374" i="1"/>
  <c r="W129" i="1"/>
  <c r="F129" i="1"/>
  <c r="I197" i="2" l="1"/>
  <c r="E198" i="2" s="1"/>
  <c r="G197" i="2"/>
  <c r="N375" i="1"/>
  <c r="C378" i="2"/>
  <c r="O377" i="2"/>
  <c r="D377" i="2"/>
  <c r="N377" i="2"/>
  <c r="D375" i="1"/>
  <c r="C376" i="1"/>
  <c r="K129" i="1"/>
  <c r="I129" i="1"/>
  <c r="H198" i="2" l="1"/>
  <c r="F198" i="2"/>
  <c r="A197" i="2"/>
  <c r="X197" i="2"/>
  <c r="K197" i="2"/>
  <c r="N376" i="1"/>
  <c r="N378" i="2"/>
  <c r="O378" i="2"/>
  <c r="D378" i="2"/>
  <c r="C379" i="2"/>
  <c r="C377" i="1"/>
  <c r="D376" i="1"/>
  <c r="H130" i="1"/>
  <c r="G130" i="1"/>
  <c r="E130" i="1"/>
  <c r="A129" i="1"/>
  <c r="I198" i="2" l="1"/>
  <c r="G198" i="2"/>
  <c r="N377" i="1"/>
  <c r="N379" i="2"/>
  <c r="O379" i="2"/>
  <c r="D379" i="2"/>
  <c r="C380" i="2"/>
  <c r="C378" i="1"/>
  <c r="D377" i="1"/>
  <c r="W130" i="1"/>
  <c r="F130" i="1"/>
  <c r="A198" i="2" l="1"/>
  <c r="F199" i="2"/>
  <c r="H199" i="2"/>
  <c r="E199" i="2"/>
  <c r="K198" i="2"/>
  <c r="X198" i="2"/>
  <c r="N380" i="2"/>
  <c r="O380" i="2"/>
  <c r="D380" i="2"/>
  <c r="C381" i="2"/>
  <c r="C379" i="1"/>
  <c r="D378" i="1"/>
  <c r="N378" i="1"/>
  <c r="K130" i="1"/>
  <c r="I130" i="1"/>
  <c r="G199" i="2" l="1"/>
  <c r="I199" i="2"/>
  <c r="N379" i="1"/>
  <c r="C380" i="1"/>
  <c r="D379" i="1"/>
  <c r="C382" i="2"/>
  <c r="D381" i="2"/>
  <c r="O381" i="2"/>
  <c r="N381" i="2"/>
  <c r="G131" i="1"/>
  <c r="E131" i="1"/>
  <c r="H131" i="1"/>
  <c r="A130" i="1"/>
  <c r="X199" i="2" l="1"/>
  <c r="K199" i="2"/>
  <c r="E200" i="2"/>
  <c r="F200" i="2"/>
  <c r="A199" i="2"/>
  <c r="H200" i="2"/>
  <c r="N380" i="1"/>
  <c r="O382" i="2"/>
  <c r="N382" i="2"/>
  <c r="D382" i="2"/>
  <c r="C383" i="2"/>
  <c r="C381" i="1"/>
  <c r="D380" i="1"/>
  <c r="W131" i="1"/>
  <c r="F131" i="1"/>
  <c r="G200" i="2" l="1"/>
  <c r="I200" i="2"/>
  <c r="H201" i="2" s="1"/>
  <c r="D381" i="1"/>
  <c r="C382" i="1"/>
  <c r="N383" i="2"/>
  <c r="D383" i="2"/>
  <c r="C384" i="2"/>
  <c r="O383" i="2"/>
  <c r="N381" i="1"/>
  <c r="K131" i="1"/>
  <c r="I131" i="1"/>
  <c r="K200" i="2" l="1"/>
  <c r="X200" i="2"/>
  <c r="A200" i="2"/>
  <c r="E201" i="2"/>
  <c r="F201" i="2"/>
  <c r="N382" i="1"/>
  <c r="N384" i="2"/>
  <c r="C385" i="2"/>
  <c r="D384" i="2"/>
  <c r="O384" i="2"/>
  <c r="C383" i="1"/>
  <c r="D382" i="1"/>
  <c r="E132" i="1"/>
  <c r="H132" i="1"/>
  <c r="G132" i="1"/>
  <c r="A131" i="1"/>
  <c r="I201" i="2" l="1"/>
  <c r="G201" i="2"/>
  <c r="D383" i="1"/>
  <c r="C384" i="1"/>
  <c r="N383" i="1"/>
  <c r="N385" i="2"/>
  <c r="C386" i="2"/>
  <c r="D385" i="2"/>
  <c r="O385" i="2"/>
  <c r="W132" i="1"/>
  <c r="F132" i="1"/>
  <c r="H202" i="2" l="1"/>
  <c r="E202" i="2"/>
  <c r="F202" i="2"/>
  <c r="A201" i="2"/>
  <c r="K201" i="2"/>
  <c r="X201" i="2"/>
  <c r="N384" i="1"/>
  <c r="C385" i="1"/>
  <c r="D384" i="1"/>
  <c r="N386" i="2"/>
  <c r="D386" i="2"/>
  <c r="C387" i="2"/>
  <c r="O386" i="2"/>
  <c r="K132" i="1"/>
  <c r="I132" i="1"/>
  <c r="I202" i="2" l="1"/>
  <c r="G202" i="2"/>
  <c r="C386" i="1"/>
  <c r="D385" i="1"/>
  <c r="D387" i="2"/>
  <c r="O387" i="2"/>
  <c r="N387" i="2"/>
  <c r="C388" i="2"/>
  <c r="N385" i="1"/>
  <c r="E133" i="1"/>
  <c r="G133" i="1"/>
  <c r="H133" i="1"/>
  <c r="A132" i="1"/>
  <c r="E203" i="2" l="1"/>
  <c r="F203" i="2"/>
  <c r="A202" i="2"/>
  <c r="H203" i="2"/>
  <c r="X202" i="2"/>
  <c r="K202" i="2"/>
  <c r="N388" i="2"/>
  <c r="O388" i="2"/>
  <c r="D388" i="2"/>
  <c r="C389" i="2"/>
  <c r="D386" i="1"/>
  <c r="C387" i="1"/>
  <c r="N386" i="1"/>
  <c r="W133" i="1"/>
  <c r="F133" i="1"/>
  <c r="I203" i="2" l="1"/>
  <c r="G203" i="2"/>
  <c r="N387" i="1"/>
  <c r="O389" i="2"/>
  <c r="N389" i="2"/>
  <c r="C390" i="2"/>
  <c r="D389" i="2"/>
  <c r="C388" i="1"/>
  <c r="D387" i="1"/>
  <c r="K133" i="1"/>
  <c r="I133" i="1"/>
  <c r="F204" i="2" l="1"/>
  <c r="A203" i="2"/>
  <c r="H204" i="2"/>
  <c r="E204" i="2"/>
  <c r="X203" i="2"/>
  <c r="K203" i="2"/>
  <c r="N388" i="1"/>
  <c r="C389" i="1"/>
  <c r="D388" i="1"/>
  <c r="O390" i="2"/>
  <c r="C391" i="2"/>
  <c r="D390" i="2"/>
  <c r="N390" i="2"/>
  <c r="H134" i="1"/>
  <c r="G134" i="1"/>
  <c r="E134" i="1"/>
  <c r="A133" i="1"/>
  <c r="I204" i="2" l="1"/>
  <c r="G204" i="2"/>
  <c r="O391" i="2"/>
  <c r="N391" i="2"/>
  <c r="C392" i="2"/>
  <c r="D391" i="2"/>
  <c r="C390" i="1"/>
  <c r="D389" i="1"/>
  <c r="N389" i="1"/>
  <c r="W134" i="1"/>
  <c r="F134" i="1"/>
  <c r="A204" i="2" l="1"/>
  <c r="F205" i="2"/>
  <c r="E205" i="2"/>
  <c r="H205" i="2"/>
  <c r="X204" i="2"/>
  <c r="K204" i="2"/>
  <c r="N390" i="1"/>
  <c r="O392" i="2"/>
  <c r="D392" i="2"/>
  <c r="N392" i="2"/>
  <c r="C393" i="2"/>
  <c r="C391" i="1"/>
  <c r="D390" i="1"/>
  <c r="K134" i="1"/>
  <c r="I134" i="1"/>
  <c r="I205" i="2" l="1"/>
  <c r="G205" i="2"/>
  <c r="N391" i="1"/>
  <c r="D391" i="1"/>
  <c r="C392" i="1"/>
  <c r="C394" i="2"/>
  <c r="D393" i="2"/>
  <c r="N393" i="2"/>
  <c r="O393" i="2"/>
  <c r="H135" i="1"/>
  <c r="E135" i="1"/>
  <c r="G135" i="1"/>
  <c r="A134" i="1"/>
  <c r="H206" i="2" l="1"/>
  <c r="F206" i="2"/>
  <c r="I206" i="2" s="1"/>
  <c r="E206" i="2"/>
  <c r="A205" i="2"/>
  <c r="K205" i="2"/>
  <c r="X205" i="2"/>
  <c r="D392" i="1"/>
  <c r="C393" i="1"/>
  <c r="D394" i="2"/>
  <c r="C395" i="2"/>
  <c r="O394" i="2"/>
  <c r="N394" i="2"/>
  <c r="N392" i="1"/>
  <c r="W135" i="1"/>
  <c r="F135" i="1"/>
  <c r="G206" i="2" l="1"/>
  <c r="X206" i="2" s="1"/>
  <c r="H207" i="2"/>
  <c r="F207" i="2"/>
  <c r="E207" i="2"/>
  <c r="A206" i="2"/>
  <c r="K206" i="2"/>
  <c r="O395" i="2"/>
  <c r="N395" i="2"/>
  <c r="C396" i="2"/>
  <c r="D395" i="2"/>
  <c r="N393" i="1"/>
  <c r="C394" i="1"/>
  <c r="D393" i="1"/>
  <c r="K135" i="1"/>
  <c r="I135" i="1"/>
  <c r="G207" i="2" l="1"/>
  <c r="I207" i="2"/>
  <c r="A207" i="2" s="1"/>
  <c r="N394" i="1"/>
  <c r="D394" i="1"/>
  <c r="C395" i="1"/>
  <c r="N396" i="2"/>
  <c r="O396" i="2"/>
  <c r="D396" i="2"/>
  <c r="C397" i="2"/>
  <c r="H136" i="1"/>
  <c r="E136" i="1"/>
  <c r="G136" i="1"/>
  <c r="A135" i="1"/>
  <c r="H208" i="2" l="1"/>
  <c r="E208" i="2"/>
  <c r="F208" i="2"/>
  <c r="X207" i="2"/>
  <c r="K207" i="2"/>
  <c r="D395" i="1"/>
  <c r="C396" i="1"/>
  <c r="N395" i="1"/>
  <c r="N397" i="2"/>
  <c r="C398" i="2"/>
  <c r="D397" i="2"/>
  <c r="O397" i="2"/>
  <c r="W136" i="1"/>
  <c r="F136" i="1"/>
  <c r="I208" i="2" l="1"/>
  <c r="G208" i="2"/>
  <c r="N396" i="1"/>
  <c r="C397" i="1"/>
  <c r="D396" i="1"/>
  <c r="C399" i="2"/>
  <c r="D398" i="2"/>
  <c r="N398" i="2"/>
  <c r="O398" i="2"/>
  <c r="K136" i="1"/>
  <c r="I136" i="1"/>
  <c r="A136" i="1" s="1"/>
  <c r="F209" i="2" l="1"/>
  <c r="H209" i="2"/>
  <c r="A208" i="2"/>
  <c r="E209" i="2"/>
  <c r="X208" i="2"/>
  <c r="K208" i="2"/>
  <c r="N397" i="1"/>
  <c r="N399" i="2"/>
  <c r="D399" i="2"/>
  <c r="C400" i="2"/>
  <c r="O399" i="2"/>
  <c r="C398" i="1"/>
  <c r="D397" i="1"/>
  <c r="E137" i="1"/>
  <c r="G137" i="1"/>
  <c r="H137" i="1"/>
  <c r="I209" i="2" l="1"/>
  <c r="G209" i="2"/>
  <c r="C399" i="1"/>
  <c r="D398" i="1"/>
  <c r="D400" i="2"/>
  <c r="N400" i="2"/>
  <c r="O400" i="2"/>
  <c r="C401" i="2"/>
  <c r="N398" i="1"/>
  <c r="W137" i="1"/>
  <c r="F137" i="1"/>
  <c r="E210" i="2" l="1"/>
  <c r="H210" i="2"/>
  <c r="A209" i="2"/>
  <c r="F210" i="2"/>
  <c r="K209" i="2"/>
  <c r="X209" i="2"/>
  <c r="N399" i="1"/>
  <c r="O401" i="2"/>
  <c r="C402" i="2"/>
  <c r="D401" i="2"/>
  <c r="N401" i="2"/>
  <c r="C400" i="1"/>
  <c r="D399" i="1"/>
  <c r="K137" i="1"/>
  <c r="I137" i="1"/>
  <c r="G210" i="2" l="1"/>
  <c r="I210" i="2"/>
  <c r="D400" i="1"/>
  <c r="C401" i="1"/>
  <c r="N400" i="1"/>
  <c r="N402" i="2"/>
  <c r="C403" i="2"/>
  <c r="D402" i="2"/>
  <c r="O402" i="2"/>
  <c r="G138" i="1"/>
  <c r="E138" i="1"/>
  <c r="H138" i="1"/>
  <c r="A137" i="1"/>
  <c r="K210" i="2" l="1"/>
  <c r="X210" i="2"/>
  <c r="A210" i="2"/>
  <c r="H211" i="2"/>
  <c r="F211" i="2"/>
  <c r="E211" i="2"/>
  <c r="N401" i="1"/>
  <c r="D403" i="2"/>
  <c r="N403" i="2"/>
  <c r="C404" i="2"/>
  <c r="O403" i="2"/>
  <c r="C402" i="1"/>
  <c r="D401" i="1"/>
  <c r="W138" i="1"/>
  <c r="F138" i="1"/>
  <c r="G211" i="2" l="1"/>
  <c r="I211" i="2"/>
  <c r="N402" i="1"/>
  <c r="D404" i="2"/>
  <c r="C405" i="2"/>
  <c r="O404" i="2"/>
  <c r="N404" i="2"/>
  <c r="C403" i="1"/>
  <c r="D402" i="1"/>
  <c r="K138" i="1"/>
  <c r="I138" i="1"/>
  <c r="X211" i="2" l="1"/>
  <c r="K211" i="2"/>
  <c r="F212" i="2"/>
  <c r="H212" i="2"/>
  <c r="A211" i="2"/>
  <c r="E212" i="2"/>
  <c r="N403" i="1"/>
  <c r="N405" i="2"/>
  <c r="D405" i="2"/>
  <c r="O405" i="2"/>
  <c r="C406" i="2"/>
  <c r="D403" i="1"/>
  <c r="C404" i="1"/>
  <c r="E139" i="1"/>
  <c r="G139" i="1"/>
  <c r="H139" i="1"/>
  <c r="A138" i="1"/>
  <c r="I212" i="2" l="1"/>
  <c r="G212" i="2"/>
  <c r="C405" i="1"/>
  <c r="D404" i="1"/>
  <c r="O406" i="2"/>
  <c r="N406" i="2"/>
  <c r="D406" i="2"/>
  <c r="C407" i="2"/>
  <c r="N404" i="1"/>
  <c r="W139" i="1"/>
  <c r="F139" i="1"/>
  <c r="E213" i="2" l="1"/>
  <c r="A212" i="2"/>
  <c r="H213" i="2"/>
  <c r="F213" i="2"/>
  <c r="X212" i="2"/>
  <c r="K212" i="2"/>
  <c r="C406" i="1"/>
  <c r="D405" i="1"/>
  <c r="N405" i="1"/>
  <c r="D407" i="2"/>
  <c r="N407" i="2"/>
  <c r="O407" i="2"/>
  <c r="C408" i="2"/>
  <c r="K139" i="1"/>
  <c r="I139" i="1"/>
  <c r="G213" i="2" l="1"/>
  <c r="I213" i="2"/>
  <c r="N406" i="1"/>
  <c r="C409" i="2"/>
  <c r="N408" i="2"/>
  <c r="D408" i="2"/>
  <c r="O408" i="2"/>
  <c r="D406" i="1"/>
  <c r="C407" i="1"/>
  <c r="E140" i="1"/>
  <c r="G140" i="1"/>
  <c r="H140" i="1"/>
  <c r="A139" i="1"/>
  <c r="K213" i="2" l="1"/>
  <c r="X213" i="2"/>
  <c r="H214" i="2"/>
  <c r="E214" i="2"/>
  <c r="A213" i="2"/>
  <c r="F214" i="2"/>
  <c r="N407" i="1"/>
  <c r="C408" i="1"/>
  <c r="D407" i="1"/>
  <c r="O409" i="2"/>
  <c r="C410" i="2"/>
  <c r="D409" i="2"/>
  <c r="N409" i="2"/>
  <c r="W140" i="1"/>
  <c r="F140" i="1"/>
  <c r="I214" i="2" l="1"/>
  <c r="F215" i="2" s="1"/>
  <c r="G214" i="2"/>
  <c r="N408" i="1"/>
  <c r="C411" i="2"/>
  <c r="O410" i="2"/>
  <c r="N410" i="2"/>
  <c r="D410" i="2"/>
  <c r="D408" i="1"/>
  <c r="C409" i="1"/>
  <c r="K140" i="1"/>
  <c r="I140" i="1"/>
  <c r="H215" i="2" l="1"/>
  <c r="I215" i="2" s="1"/>
  <c r="A214" i="2"/>
  <c r="E215" i="2"/>
  <c r="G215" i="2" s="1"/>
  <c r="X214" i="2"/>
  <c r="K214" i="2"/>
  <c r="C410" i="1"/>
  <c r="D409" i="1"/>
  <c r="N409" i="1"/>
  <c r="O411" i="2"/>
  <c r="N411" i="2"/>
  <c r="D411" i="2"/>
  <c r="C412" i="2"/>
  <c r="H141" i="1"/>
  <c r="E141" i="1"/>
  <c r="G141" i="1"/>
  <c r="A140" i="1"/>
  <c r="A215" i="2" l="1"/>
  <c r="H216" i="2"/>
  <c r="F216" i="2"/>
  <c r="E216" i="2"/>
  <c r="K215" i="2"/>
  <c r="X215" i="2"/>
  <c r="C411" i="1"/>
  <c r="D410" i="1"/>
  <c r="N412" i="2"/>
  <c r="D412" i="2"/>
  <c r="C413" i="2"/>
  <c r="O412" i="2"/>
  <c r="N410" i="1"/>
  <c r="W141" i="1"/>
  <c r="F141" i="1"/>
  <c r="G216" i="2" l="1"/>
  <c r="I216" i="2"/>
  <c r="C412" i="1"/>
  <c r="D411" i="1"/>
  <c r="C414" i="2"/>
  <c r="N413" i="2"/>
  <c r="O413" i="2"/>
  <c r="D413" i="2"/>
  <c r="N411" i="1"/>
  <c r="K141" i="1"/>
  <c r="I141" i="1"/>
  <c r="X216" i="2" l="1"/>
  <c r="K216" i="2"/>
  <c r="E217" i="2"/>
  <c r="A216" i="2"/>
  <c r="F217" i="2"/>
  <c r="H217" i="2"/>
  <c r="C413" i="1"/>
  <c r="D412" i="1"/>
  <c r="N412" i="1"/>
  <c r="N414" i="2"/>
  <c r="D414" i="2"/>
  <c r="C415" i="2"/>
  <c r="O414" i="2"/>
  <c r="H142" i="1"/>
  <c r="G142" i="1"/>
  <c r="E142" i="1"/>
  <c r="A141" i="1"/>
  <c r="I217" i="2" l="1"/>
  <c r="F218" i="2" s="1"/>
  <c r="G217" i="2"/>
  <c r="N413" i="1"/>
  <c r="N415" i="2"/>
  <c r="D415" i="2"/>
  <c r="O415" i="2"/>
  <c r="C416" i="2"/>
  <c r="D413" i="1"/>
  <c r="C414" i="1"/>
  <c r="W142" i="1"/>
  <c r="F142" i="1"/>
  <c r="E218" i="2" l="1"/>
  <c r="G218" i="2" s="1"/>
  <c r="A217" i="2"/>
  <c r="H218" i="2"/>
  <c r="I218" i="2" s="1"/>
  <c r="X217" i="2"/>
  <c r="K217" i="2"/>
  <c r="D414" i="1"/>
  <c r="C415" i="1"/>
  <c r="N414" i="1"/>
  <c r="N416" i="2"/>
  <c r="D416" i="2"/>
  <c r="C417" i="2"/>
  <c r="O416" i="2"/>
  <c r="K142" i="1"/>
  <c r="I142" i="1"/>
  <c r="X218" i="2" l="1"/>
  <c r="K218" i="2"/>
  <c r="A218" i="2"/>
  <c r="F219" i="2"/>
  <c r="E219" i="2"/>
  <c r="H219" i="2"/>
  <c r="N415" i="1"/>
  <c r="D417" i="2"/>
  <c r="N417" i="2"/>
  <c r="O417" i="2"/>
  <c r="C418" i="2"/>
  <c r="C416" i="1"/>
  <c r="D415" i="1"/>
  <c r="G143" i="1"/>
  <c r="H143" i="1"/>
  <c r="E143" i="1"/>
  <c r="A142" i="1"/>
  <c r="I219" i="2" l="1"/>
  <c r="G219" i="2"/>
  <c r="C417" i="1"/>
  <c r="D416" i="1"/>
  <c r="N418" i="2"/>
  <c r="D418" i="2"/>
  <c r="O418" i="2"/>
  <c r="C419" i="2"/>
  <c r="N416" i="1"/>
  <c r="W143" i="1"/>
  <c r="F143" i="1"/>
  <c r="E220" i="2" l="1"/>
  <c r="A219" i="2"/>
  <c r="H220" i="2"/>
  <c r="F220" i="2"/>
  <c r="K219" i="2"/>
  <c r="X219" i="2"/>
  <c r="N417" i="1"/>
  <c r="N419" i="2"/>
  <c r="C420" i="2"/>
  <c r="D419" i="2"/>
  <c r="O419" i="2"/>
  <c r="D417" i="1"/>
  <c r="C418" i="1"/>
  <c r="K143" i="1"/>
  <c r="I143" i="1"/>
  <c r="I220" i="2" l="1"/>
  <c r="G220" i="2"/>
  <c r="D418" i="1"/>
  <c r="C419" i="1"/>
  <c r="O420" i="2"/>
  <c r="N420" i="2"/>
  <c r="C421" i="2"/>
  <c r="D420" i="2"/>
  <c r="N418" i="1"/>
  <c r="G144" i="1"/>
  <c r="E144" i="1"/>
  <c r="H144" i="1"/>
  <c r="A143" i="1"/>
  <c r="E221" i="2" l="1"/>
  <c r="A220" i="2"/>
  <c r="H221" i="2"/>
  <c r="F221" i="2"/>
  <c r="X220" i="2"/>
  <c r="K220" i="2"/>
  <c r="N419" i="1"/>
  <c r="C420" i="1"/>
  <c r="D419" i="1"/>
  <c r="O421" i="2"/>
  <c r="N421" i="2"/>
  <c r="D421" i="2"/>
  <c r="C422" i="2"/>
  <c r="W144" i="1"/>
  <c r="F144" i="1"/>
  <c r="G221" i="2" l="1"/>
  <c r="I221" i="2"/>
  <c r="N420" i="1"/>
  <c r="C423" i="2"/>
  <c r="O422" i="2"/>
  <c r="N422" i="2"/>
  <c r="D422" i="2"/>
  <c r="C421" i="1"/>
  <c r="D420" i="1"/>
  <c r="K144" i="1"/>
  <c r="I144" i="1"/>
  <c r="X221" i="2" l="1"/>
  <c r="K221" i="2"/>
  <c r="A221" i="2"/>
  <c r="E222" i="2"/>
  <c r="H222" i="2"/>
  <c r="F222" i="2"/>
  <c r="O423" i="2"/>
  <c r="N423" i="2"/>
  <c r="D423" i="2"/>
  <c r="C424" i="2"/>
  <c r="C422" i="1"/>
  <c r="D421" i="1"/>
  <c r="N421" i="1"/>
  <c r="H145" i="1"/>
  <c r="G145" i="1"/>
  <c r="E145" i="1"/>
  <c r="A144" i="1"/>
  <c r="G222" i="2" l="1"/>
  <c r="I222" i="2"/>
  <c r="N422" i="1"/>
  <c r="N424" i="2"/>
  <c r="C425" i="2"/>
  <c r="O424" i="2"/>
  <c r="D424" i="2"/>
  <c r="D422" i="1"/>
  <c r="C423" i="1"/>
  <c r="W145" i="1"/>
  <c r="F145" i="1"/>
  <c r="F223" i="2" l="1"/>
  <c r="A222" i="2"/>
  <c r="X222" i="2"/>
  <c r="K222" i="2"/>
  <c r="H223" i="2"/>
  <c r="E223" i="2"/>
  <c r="N425" i="2"/>
  <c r="O425" i="2"/>
  <c r="C426" i="2"/>
  <c r="D425" i="2"/>
  <c r="C424" i="1"/>
  <c r="D423" i="1"/>
  <c r="N423" i="1"/>
  <c r="K145" i="1"/>
  <c r="I145" i="1"/>
  <c r="I223" i="2" l="1"/>
  <c r="G223" i="2"/>
  <c r="N424" i="1"/>
  <c r="N426" i="2"/>
  <c r="O426" i="2"/>
  <c r="O2" i="2" s="1"/>
  <c r="D426" i="2"/>
  <c r="D424" i="1"/>
  <c r="C425" i="1"/>
  <c r="H146" i="1"/>
  <c r="E146" i="1"/>
  <c r="G146" i="1"/>
  <c r="A145" i="1"/>
  <c r="E224" i="2" l="1"/>
  <c r="A223" i="2"/>
  <c r="H224" i="2"/>
  <c r="F224" i="2"/>
  <c r="K223" i="2"/>
  <c r="X223" i="2"/>
  <c r="D425" i="1"/>
  <c r="C426" i="1"/>
  <c r="D426" i="1" s="1"/>
  <c r="N425" i="1"/>
  <c r="F146" i="1"/>
  <c r="W146" i="1"/>
  <c r="G224" i="2" l="1"/>
  <c r="I224" i="2"/>
  <c r="N426" i="1"/>
  <c r="N2" i="1" s="1"/>
  <c r="K146" i="1"/>
  <c r="I146" i="1"/>
  <c r="K224" i="2" l="1"/>
  <c r="X224" i="2"/>
  <c r="A224" i="2"/>
  <c r="E225" i="2"/>
  <c r="F225" i="2"/>
  <c r="H225" i="2"/>
  <c r="H147" i="1"/>
  <c r="G147" i="1"/>
  <c r="E147" i="1"/>
  <c r="A146" i="1"/>
  <c r="G225" i="2" l="1"/>
  <c r="I225" i="2"/>
  <c r="F147" i="1"/>
  <c r="W147" i="1"/>
  <c r="K225" i="2" l="1"/>
  <c r="X225" i="2"/>
  <c r="F226" i="2"/>
  <c r="E226" i="2"/>
  <c r="A225" i="2"/>
  <c r="H226" i="2"/>
  <c r="K147" i="1"/>
  <c r="I147" i="1"/>
  <c r="A147" i="1" s="1"/>
  <c r="G226" i="2" l="1"/>
  <c r="I226" i="2"/>
  <c r="E227" i="2" s="1"/>
  <c r="G148" i="1"/>
  <c r="H148" i="1"/>
  <c r="E148" i="1"/>
  <c r="X226" i="2" l="1"/>
  <c r="K226" i="2"/>
  <c r="F227" i="2"/>
  <c r="G227" i="2" s="1"/>
  <c r="X227" i="2" s="1"/>
  <c r="H227" i="2"/>
  <c r="A226" i="2"/>
  <c r="W148" i="1"/>
  <c r="F148" i="1"/>
  <c r="K227" i="2" l="1"/>
  <c r="I227" i="2"/>
  <c r="K148" i="1"/>
  <c r="I148" i="1"/>
  <c r="A227" i="2" l="1"/>
  <c r="H228" i="2"/>
  <c r="E228" i="2"/>
  <c r="F228" i="2"/>
  <c r="G149" i="1"/>
  <c r="E149" i="1"/>
  <c r="H149" i="1"/>
  <c r="A148" i="1"/>
  <c r="G228" i="2" l="1"/>
  <c r="I228" i="2"/>
  <c r="H229" i="2" s="1"/>
  <c r="F149" i="1"/>
  <c r="W149" i="1"/>
  <c r="X228" i="2" l="1"/>
  <c r="K228" i="2"/>
  <c r="E229" i="2"/>
  <c r="F229" i="2"/>
  <c r="A228" i="2"/>
  <c r="K149" i="1"/>
  <c r="I149" i="1"/>
  <c r="I229" i="2" l="1"/>
  <c r="F230" i="2" s="1"/>
  <c r="G229" i="2"/>
  <c r="G150" i="1"/>
  <c r="E150" i="1"/>
  <c r="H150" i="1"/>
  <c r="A149" i="1"/>
  <c r="E230" i="2" l="1"/>
  <c r="G230" i="2" s="1"/>
  <c r="A229" i="2"/>
  <c r="H230" i="2"/>
  <c r="I230" i="2" s="1"/>
  <c r="X229" i="2"/>
  <c r="K229" i="2"/>
  <c r="F150" i="1"/>
  <c r="W150" i="1"/>
  <c r="K230" i="2" l="1"/>
  <c r="X230" i="2"/>
  <c r="F231" i="2"/>
  <c r="A230" i="2"/>
  <c r="H231" i="2"/>
  <c r="E231" i="2"/>
  <c r="K150" i="1"/>
  <c r="I150" i="1"/>
  <c r="I231" i="2" l="1"/>
  <c r="A231" i="2" s="1"/>
  <c r="G231" i="2"/>
  <c r="E151" i="1"/>
  <c r="G151" i="1"/>
  <c r="H151" i="1"/>
  <c r="A150" i="1"/>
  <c r="E232" i="2" l="1"/>
  <c r="H232" i="2"/>
  <c r="F232" i="2"/>
  <c r="X231" i="2"/>
  <c r="K231" i="2"/>
  <c r="W151" i="1"/>
  <c r="F151" i="1"/>
  <c r="G232" i="2" l="1"/>
  <c r="I232" i="2"/>
  <c r="A232" i="2" s="1"/>
  <c r="K151" i="1"/>
  <c r="I151" i="1"/>
  <c r="H233" i="2" l="1"/>
  <c r="E233" i="2"/>
  <c r="F233" i="2"/>
  <c r="X232" i="2"/>
  <c r="K232" i="2"/>
  <c r="E152" i="1"/>
  <c r="G152" i="1"/>
  <c r="H152" i="1"/>
  <c r="A151" i="1"/>
  <c r="I233" i="2" l="1"/>
  <c r="A233" i="2" s="1"/>
  <c r="G233" i="2"/>
  <c r="W152" i="1"/>
  <c r="F152" i="1"/>
  <c r="H234" i="2" l="1"/>
  <c r="E234" i="2"/>
  <c r="F234" i="2"/>
  <c r="X233" i="2"/>
  <c r="K233" i="2"/>
  <c r="K152" i="1"/>
  <c r="I152" i="1"/>
  <c r="I234" i="2" l="1"/>
  <c r="G234" i="2"/>
  <c r="G153" i="1"/>
  <c r="E153" i="1"/>
  <c r="H153" i="1"/>
  <c r="A152" i="1"/>
  <c r="F235" i="2" l="1"/>
  <c r="H235" i="2"/>
  <c r="X234" i="2"/>
  <c r="K234" i="2"/>
  <c r="A234" i="2"/>
  <c r="E235" i="2"/>
  <c r="W153" i="1"/>
  <c r="F153" i="1"/>
  <c r="I235" i="2" l="1"/>
  <c r="G235" i="2"/>
  <c r="K153" i="1"/>
  <c r="I153" i="1"/>
  <c r="E236" i="2" l="1"/>
  <c r="H236" i="2"/>
  <c r="A235" i="2"/>
  <c r="F236" i="2"/>
  <c r="X235" i="2"/>
  <c r="K235" i="2"/>
  <c r="H154" i="1"/>
  <c r="G154" i="1"/>
  <c r="E154" i="1"/>
  <c r="A153" i="1"/>
  <c r="G236" i="2" l="1"/>
  <c r="I236" i="2"/>
  <c r="W154" i="1"/>
  <c r="F154" i="1"/>
  <c r="X236" i="2" l="1"/>
  <c r="K236" i="2"/>
  <c r="E237" i="2"/>
  <c r="H237" i="2"/>
  <c r="A236" i="2"/>
  <c r="F237" i="2"/>
  <c r="K154" i="1"/>
  <c r="I154" i="1"/>
  <c r="I237" i="2" l="1"/>
  <c r="G237" i="2"/>
  <c r="H155" i="1"/>
  <c r="G155" i="1"/>
  <c r="E155" i="1"/>
  <c r="A154" i="1"/>
  <c r="A237" i="2" l="1"/>
  <c r="F238" i="2"/>
  <c r="E238" i="2"/>
  <c r="H238" i="2"/>
  <c r="X237" i="2"/>
  <c r="K237" i="2"/>
  <c r="F155" i="1"/>
  <c r="W155" i="1"/>
  <c r="G238" i="2" l="1"/>
  <c r="I238" i="2"/>
  <c r="E239" i="2" s="1"/>
  <c r="K155" i="1"/>
  <c r="I155" i="1"/>
  <c r="X238" i="2" l="1"/>
  <c r="K238" i="2"/>
  <c r="H239" i="2"/>
  <c r="F239" i="2"/>
  <c r="A238" i="2"/>
  <c r="H156" i="1"/>
  <c r="G156" i="1"/>
  <c r="E156" i="1"/>
  <c r="A155" i="1"/>
  <c r="I239" i="2" l="1"/>
  <c r="G239" i="2"/>
  <c r="W156" i="1"/>
  <c r="F156" i="1"/>
  <c r="A239" i="2" l="1"/>
  <c r="H240" i="2"/>
  <c r="E240" i="2"/>
  <c r="F240" i="2"/>
  <c r="K239" i="2"/>
  <c r="X239" i="2"/>
  <c r="K156" i="1"/>
  <c r="I156" i="1"/>
  <c r="G240" i="2" l="1"/>
  <c r="I240" i="2"/>
  <c r="E157" i="1"/>
  <c r="H157" i="1"/>
  <c r="G157" i="1"/>
  <c r="A156" i="1"/>
  <c r="X240" i="2" l="1"/>
  <c r="K240" i="2"/>
  <c r="F241" i="2"/>
  <c r="H241" i="2"/>
  <c r="E241" i="2"/>
  <c r="A240" i="2"/>
  <c r="W157" i="1"/>
  <c r="F157" i="1"/>
  <c r="I241" i="2" l="1"/>
  <c r="G241" i="2"/>
  <c r="K157" i="1"/>
  <c r="I157" i="1"/>
  <c r="F242" i="2" l="1"/>
  <c r="H242" i="2"/>
  <c r="E242" i="2"/>
  <c r="A241" i="2"/>
  <c r="X241" i="2"/>
  <c r="K241" i="2"/>
  <c r="H158" i="1"/>
  <c r="G158" i="1"/>
  <c r="E158" i="1"/>
  <c r="A157" i="1"/>
  <c r="I242" i="2" l="1"/>
  <c r="G242" i="2"/>
  <c r="F158" i="1"/>
  <c r="W158" i="1"/>
  <c r="K242" i="2" l="1"/>
  <c r="X242" i="2"/>
  <c r="H243" i="2"/>
  <c r="A242" i="2"/>
  <c r="E243" i="2"/>
  <c r="F243" i="2"/>
  <c r="K158" i="1"/>
  <c r="I158" i="1"/>
  <c r="G243" i="2" l="1"/>
  <c r="I243" i="2"/>
  <c r="A243" i="2" s="1"/>
  <c r="H159" i="1"/>
  <c r="G159" i="1"/>
  <c r="E159" i="1"/>
  <c r="A158" i="1"/>
  <c r="K243" i="2" l="1"/>
  <c r="X243" i="2"/>
  <c r="E244" i="2"/>
  <c r="F244" i="2"/>
  <c r="H244" i="2"/>
  <c r="W159" i="1"/>
  <c r="F159" i="1"/>
  <c r="I244" i="2" l="1"/>
  <c r="A244" i="2" s="1"/>
  <c r="G244" i="2"/>
  <c r="K159" i="1"/>
  <c r="I159" i="1"/>
  <c r="E245" i="2" l="1"/>
  <c r="H245" i="2"/>
  <c r="F245" i="2"/>
  <c r="K244" i="2"/>
  <c r="X244" i="2"/>
  <c r="H160" i="1"/>
  <c r="G160" i="1"/>
  <c r="E160" i="1"/>
  <c r="A159" i="1"/>
  <c r="I245" i="2" l="1"/>
  <c r="G245" i="2"/>
  <c r="W160" i="1"/>
  <c r="F160" i="1"/>
  <c r="K245" i="2" l="1"/>
  <c r="X245" i="2"/>
  <c r="F246" i="2"/>
  <c r="E246" i="2"/>
  <c r="A245" i="2"/>
  <c r="H246" i="2"/>
  <c r="K160" i="1"/>
  <c r="I160" i="1"/>
  <c r="G246" i="2" l="1"/>
  <c r="X246" i="2" s="1"/>
  <c r="I246" i="2"/>
  <c r="F247" i="2" s="1"/>
  <c r="K246" i="2"/>
  <c r="A246" i="2"/>
  <c r="H161" i="1"/>
  <c r="G161" i="1"/>
  <c r="E161" i="1"/>
  <c r="A160" i="1"/>
  <c r="E247" i="2" l="1"/>
  <c r="G247" i="2" s="1"/>
  <c r="H247" i="2"/>
  <c r="I247" i="2" s="1"/>
  <c r="W161" i="1"/>
  <c r="F161" i="1"/>
  <c r="H248" i="2" l="1"/>
  <c r="F248" i="2"/>
  <c r="X247" i="2"/>
  <c r="K247" i="2"/>
  <c r="A247" i="2"/>
  <c r="E248" i="2"/>
  <c r="K161" i="1"/>
  <c r="I161" i="1"/>
  <c r="G248" i="2" l="1"/>
  <c r="I248" i="2"/>
  <c r="H162" i="1"/>
  <c r="E162" i="1"/>
  <c r="G162" i="1"/>
  <c r="A161" i="1"/>
  <c r="X248" i="2" l="1"/>
  <c r="K248" i="2"/>
  <c r="F249" i="2"/>
  <c r="A248" i="2"/>
  <c r="E249" i="2"/>
  <c r="H249" i="2"/>
  <c r="W162" i="1"/>
  <c r="F162" i="1"/>
  <c r="G249" i="2" l="1"/>
  <c r="I249" i="2"/>
  <c r="K162" i="1"/>
  <c r="I162" i="1"/>
  <c r="H250" i="2" l="1"/>
  <c r="F250" i="2"/>
  <c r="K249" i="2"/>
  <c r="X249" i="2"/>
  <c r="A249" i="2"/>
  <c r="E250" i="2"/>
  <c r="H163" i="1"/>
  <c r="G163" i="1"/>
  <c r="E163" i="1"/>
  <c r="A162" i="1"/>
  <c r="I250" i="2" l="1"/>
  <c r="G250" i="2"/>
  <c r="F163" i="1"/>
  <c r="W163" i="1"/>
  <c r="H251" i="2" l="1"/>
  <c r="F251" i="2"/>
  <c r="I251" i="2" s="1"/>
  <c r="E251" i="2"/>
  <c r="A250" i="2"/>
  <c r="K250" i="2"/>
  <c r="X250" i="2"/>
  <c r="K163" i="1"/>
  <c r="I163" i="1"/>
  <c r="G251" i="2" l="1"/>
  <c r="E252" i="2"/>
  <c r="H252" i="2"/>
  <c r="F252" i="2"/>
  <c r="A251" i="2"/>
  <c r="E164" i="1"/>
  <c r="H164" i="1"/>
  <c r="G164" i="1"/>
  <c r="A163" i="1"/>
  <c r="K251" i="2" l="1"/>
  <c r="X251" i="2"/>
  <c r="I252" i="2"/>
  <c r="A252" i="2" s="1"/>
  <c r="G252" i="2"/>
  <c r="W164" i="1"/>
  <c r="F164" i="1"/>
  <c r="X252" i="2" l="1"/>
  <c r="K252" i="2"/>
  <c r="H253" i="2"/>
  <c r="F253" i="2"/>
  <c r="E253" i="2"/>
  <c r="K164" i="1"/>
  <c r="I164" i="1"/>
  <c r="I253" i="2" l="1"/>
  <c r="A253" i="2" s="1"/>
  <c r="G253" i="2"/>
  <c r="H165" i="1"/>
  <c r="E165" i="1"/>
  <c r="G165" i="1"/>
  <c r="A164" i="1"/>
  <c r="X253" i="2" l="1"/>
  <c r="K253" i="2"/>
  <c r="E254" i="2"/>
  <c r="F254" i="2"/>
  <c r="H254" i="2"/>
  <c r="W165" i="1"/>
  <c r="F165" i="1"/>
  <c r="I254" i="2" l="1"/>
  <c r="G254" i="2"/>
  <c r="K165" i="1"/>
  <c r="I165" i="1"/>
  <c r="F255" i="2" l="1"/>
  <c r="E255" i="2"/>
  <c r="H255" i="2"/>
  <c r="A254" i="2"/>
  <c r="K254" i="2"/>
  <c r="X254" i="2"/>
  <c r="G166" i="1"/>
  <c r="E166" i="1"/>
  <c r="H166" i="1"/>
  <c r="A165" i="1"/>
  <c r="I255" i="2" l="1"/>
  <c r="G255" i="2"/>
  <c r="F166" i="1"/>
  <c r="W166" i="1"/>
  <c r="H256" i="2" l="1"/>
  <c r="E256" i="2"/>
  <c r="F256" i="2"/>
  <c r="A255" i="2"/>
  <c r="K255" i="2"/>
  <c r="X255" i="2"/>
  <c r="K166" i="1"/>
  <c r="I166" i="1"/>
  <c r="G256" i="2" l="1"/>
  <c r="I256" i="2"/>
  <c r="G167" i="1"/>
  <c r="H167" i="1"/>
  <c r="E167" i="1"/>
  <c r="A166" i="1"/>
  <c r="K256" i="2" l="1"/>
  <c r="X256" i="2"/>
  <c r="E257" i="2"/>
  <c r="A256" i="2"/>
  <c r="F257" i="2"/>
  <c r="H257" i="2"/>
  <c r="F167" i="1"/>
  <c r="W167" i="1"/>
  <c r="I257" i="2" l="1"/>
  <c r="A257" i="2" s="1"/>
  <c r="G257" i="2"/>
  <c r="K167" i="1"/>
  <c r="I167" i="1"/>
  <c r="X257" i="2" l="1"/>
  <c r="K257" i="2"/>
  <c r="F258" i="2"/>
  <c r="E258" i="2"/>
  <c r="H258" i="2"/>
  <c r="G168" i="1"/>
  <c r="H168" i="1"/>
  <c r="E168" i="1"/>
  <c r="A167" i="1"/>
  <c r="I258" i="2" l="1"/>
  <c r="G258" i="2"/>
  <c r="F168" i="1"/>
  <c r="W168" i="1"/>
  <c r="A258" i="2" l="1"/>
  <c r="E259" i="2"/>
  <c r="F259" i="2"/>
  <c r="H259" i="2"/>
  <c r="K258" i="2"/>
  <c r="X258" i="2"/>
  <c r="K168" i="1"/>
  <c r="I168" i="1"/>
  <c r="G259" i="2" l="1"/>
  <c r="I259" i="2"/>
  <c r="G169" i="1"/>
  <c r="H169" i="1"/>
  <c r="E169" i="1"/>
  <c r="A168" i="1"/>
  <c r="F260" i="2" l="1"/>
  <c r="X259" i="2"/>
  <c r="K259" i="2"/>
  <c r="A259" i="2"/>
  <c r="E260" i="2"/>
  <c r="H260" i="2"/>
  <c r="F169" i="1"/>
  <c r="W169" i="1"/>
  <c r="G260" i="2" l="1"/>
  <c r="I260" i="2"/>
  <c r="A260" i="2" s="1"/>
  <c r="K169" i="1"/>
  <c r="I169" i="1"/>
  <c r="H261" i="2" l="1"/>
  <c r="E261" i="2"/>
  <c r="F261" i="2"/>
  <c r="X260" i="2"/>
  <c r="K260" i="2"/>
  <c r="E170" i="1"/>
  <c r="H170" i="1"/>
  <c r="G170" i="1"/>
  <c r="A169" i="1"/>
  <c r="I261" i="2" l="1"/>
  <c r="G261" i="2"/>
  <c r="F170" i="1"/>
  <c r="W170" i="1"/>
  <c r="E262" i="2" l="1"/>
  <c r="F262" i="2"/>
  <c r="H262" i="2"/>
  <c r="A261" i="2"/>
  <c r="X261" i="2"/>
  <c r="K261" i="2"/>
  <c r="K170" i="1"/>
  <c r="I170" i="1"/>
  <c r="I262" i="2" l="1"/>
  <c r="A262" i="2" s="1"/>
  <c r="G262" i="2"/>
  <c r="E171" i="1"/>
  <c r="H171" i="1"/>
  <c r="G171" i="1"/>
  <c r="A170" i="1"/>
  <c r="E263" i="2" l="1"/>
  <c r="H263" i="2"/>
  <c r="F263" i="2"/>
  <c r="I263" i="2" s="1"/>
  <c r="A263" i="2" s="1"/>
  <c r="X262" i="2"/>
  <c r="K262" i="2"/>
  <c r="W171" i="1"/>
  <c r="F171" i="1"/>
  <c r="G263" i="2" l="1"/>
  <c r="K263" i="2" s="1"/>
  <c r="X263" i="2"/>
  <c r="H264" i="2"/>
  <c r="E264" i="2"/>
  <c r="F264" i="2"/>
  <c r="K171" i="1"/>
  <c r="I171" i="1"/>
  <c r="I264" i="2" l="1"/>
  <c r="A264" i="2" s="1"/>
  <c r="G264" i="2"/>
  <c r="E172" i="1"/>
  <c r="H172" i="1"/>
  <c r="G172" i="1"/>
  <c r="A171" i="1"/>
  <c r="H265" i="2" l="1"/>
  <c r="F265" i="2"/>
  <c r="E265" i="2"/>
  <c r="X264" i="2"/>
  <c r="K264" i="2"/>
  <c r="F172" i="1"/>
  <c r="W172" i="1"/>
  <c r="I265" i="2" l="1"/>
  <c r="A265" i="2"/>
  <c r="G265" i="2"/>
  <c r="K172" i="1"/>
  <c r="I172" i="1"/>
  <c r="E266" i="2" l="1"/>
  <c r="F266" i="2"/>
  <c r="H266" i="2"/>
  <c r="X265" i="2"/>
  <c r="K265" i="2"/>
  <c r="G173" i="1"/>
  <c r="H173" i="1"/>
  <c r="E173" i="1"/>
  <c r="A172" i="1"/>
  <c r="I266" i="2" l="1"/>
  <c r="H267" i="2" s="1"/>
  <c r="G266" i="2"/>
  <c r="F173" i="1"/>
  <c r="W173" i="1"/>
  <c r="A266" i="2" l="1"/>
  <c r="E267" i="2"/>
  <c r="F267" i="2"/>
  <c r="X266" i="2"/>
  <c r="K266" i="2"/>
  <c r="K173" i="1"/>
  <c r="I173" i="1"/>
  <c r="I267" i="2" l="1"/>
  <c r="A267" i="2" s="1"/>
  <c r="G267" i="2"/>
  <c r="E174" i="1"/>
  <c r="G174" i="1"/>
  <c r="H174" i="1"/>
  <c r="A173" i="1"/>
  <c r="E268" i="2" l="1"/>
  <c r="F268" i="2"/>
  <c r="H268" i="2"/>
  <c r="K267" i="2"/>
  <c r="X267" i="2"/>
  <c r="W174" i="1"/>
  <c r="F174" i="1"/>
  <c r="I268" i="2" l="1"/>
  <c r="A268" i="2" s="1"/>
  <c r="G268" i="2"/>
  <c r="K174" i="1"/>
  <c r="I174" i="1"/>
  <c r="H269" i="2" l="1"/>
  <c r="F269" i="2"/>
  <c r="G269" i="2" s="1"/>
  <c r="E269" i="2"/>
  <c r="K268" i="2"/>
  <c r="X268" i="2"/>
  <c r="G175" i="1"/>
  <c r="H175" i="1"/>
  <c r="E175" i="1"/>
  <c r="A174" i="1"/>
  <c r="I269" i="2" l="1"/>
  <c r="X269" i="2"/>
  <c r="K269" i="2"/>
  <c r="W175" i="1"/>
  <c r="F175" i="1"/>
  <c r="E270" i="2" l="1"/>
  <c r="F270" i="2"/>
  <c r="H270" i="2"/>
  <c r="A269" i="2"/>
  <c r="K175" i="1"/>
  <c r="I175" i="1"/>
  <c r="I270" i="2" l="1"/>
  <c r="G270" i="2"/>
  <c r="A270" i="2"/>
  <c r="E271" i="2"/>
  <c r="F271" i="2"/>
  <c r="H271" i="2"/>
  <c r="K270" i="2"/>
  <c r="X270" i="2"/>
  <c r="H176" i="1"/>
  <c r="G176" i="1"/>
  <c r="E176" i="1"/>
  <c r="A175" i="1"/>
  <c r="I271" i="2" l="1"/>
  <c r="G271" i="2"/>
  <c r="W176" i="1"/>
  <c r="F176" i="1"/>
  <c r="F272" i="2" l="1"/>
  <c r="E272" i="2"/>
  <c r="H272" i="2"/>
  <c r="A271" i="2"/>
  <c r="K271" i="2"/>
  <c r="X271" i="2"/>
  <c r="K176" i="1"/>
  <c r="I176" i="1"/>
  <c r="G272" i="2" l="1"/>
  <c r="I272" i="2"/>
  <c r="G177" i="1"/>
  <c r="E177" i="1"/>
  <c r="H177" i="1"/>
  <c r="A176" i="1"/>
  <c r="K272" i="2" l="1"/>
  <c r="X272" i="2"/>
  <c r="A272" i="2"/>
  <c r="E273" i="2"/>
  <c r="F273" i="2"/>
  <c r="H273" i="2"/>
  <c r="W177" i="1"/>
  <c r="F177" i="1"/>
  <c r="I273" i="2" l="1"/>
  <c r="G273" i="2"/>
  <c r="K177" i="1"/>
  <c r="I177" i="1"/>
  <c r="H274" i="2" l="1"/>
  <c r="A273" i="2"/>
  <c r="E274" i="2"/>
  <c r="F274" i="2"/>
  <c r="K273" i="2"/>
  <c r="X273" i="2"/>
  <c r="G178" i="1"/>
  <c r="E178" i="1"/>
  <c r="H178" i="1"/>
  <c r="A177" i="1"/>
  <c r="I274" i="2" l="1"/>
  <c r="G274" i="2"/>
  <c r="W178" i="1"/>
  <c r="F178" i="1"/>
  <c r="A274" i="2" l="1"/>
  <c r="E275" i="2"/>
  <c r="F275" i="2"/>
  <c r="H275" i="2"/>
  <c r="K274" i="2"/>
  <c r="X274" i="2"/>
  <c r="K178" i="1"/>
  <c r="I178" i="1"/>
  <c r="I275" i="2" l="1"/>
  <c r="G275" i="2"/>
  <c r="E179" i="1"/>
  <c r="G179" i="1"/>
  <c r="H179" i="1"/>
  <c r="A178" i="1"/>
  <c r="E276" i="2" l="1"/>
  <c r="H276" i="2"/>
  <c r="F276" i="2"/>
  <c r="A275" i="2"/>
  <c r="K275" i="2"/>
  <c r="X275" i="2"/>
  <c r="F179" i="1"/>
  <c r="W179" i="1"/>
  <c r="G276" i="2" l="1"/>
  <c r="I276" i="2"/>
  <c r="K179" i="1"/>
  <c r="I179" i="1"/>
  <c r="K276" i="2" l="1"/>
  <c r="X276" i="2"/>
  <c r="H277" i="2"/>
  <c r="E277" i="2"/>
  <c r="A276" i="2"/>
  <c r="F277" i="2"/>
  <c r="G180" i="1"/>
  <c r="E180" i="1"/>
  <c r="H180" i="1"/>
  <c r="A179" i="1"/>
  <c r="I277" i="2" l="1"/>
  <c r="G277" i="2"/>
  <c r="W180" i="1"/>
  <c r="F180" i="1"/>
  <c r="F278" i="2" l="1"/>
  <c r="H278" i="2"/>
  <c r="A277" i="2"/>
  <c r="E278" i="2"/>
  <c r="X277" i="2"/>
  <c r="K277" i="2"/>
  <c r="K180" i="1"/>
  <c r="I180" i="1"/>
  <c r="G278" i="2" l="1"/>
  <c r="K278" i="2" s="1"/>
  <c r="I278" i="2"/>
  <c r="H279" i="2"/>
  <c r="E279" i="2"/>
  <c r="F279" i="2"/>
  <c r="A278" i="2"/>
  <c r="X278" i="2"/>
  <c r="E181" i="1"/>
  <c r="G181" i="1"/>
  <c r="H181" i="1"/>
  <c r="A180" i="1"/>
  <c r="G279" i="2" l="1"/>
  <c r="I279" i="2"/>
  <c r="W181" i="1"/>
  <c r="F181" i="1"/>
  <c r="K279" i="2" l="1"/>
  <c r="X279" i="2"/>
  <c r="F280" i="2"/>
  <c r="E280" i="2"/>
  <c r="H280" i="2"/>
  <c r="A279" i="2"/>
  <c r="K181" i="1"/>
  <c r="I181" i="1"/>
  <c r="G280" i="2" l="1"/>
  <c r="I280" i="2"/>
  <c r="H182" i="1"/>
  <c r="E182" i="1"/>
  <c r="G182" i="1"/>
  <c r="A181" i="1"/>
  <c r="K280" i="2" l="1"/>
  <c r="X280" i="2"/>
  <c r="E281" i="2"/>
  <c r="H281" i="2"/>
  <c r="F281" i="2"/>
  <c r="A280" i="2"/>
  <c r="F182" i="1"/>
  <c r="W182" i="1"/>
  <c r="G281" i="2" l="1"/>
  <c r="I281" i="2"/>
  <c r="K182" i="1"/>
  <c r="I182" i="1"/>
  <c r="X281" i="2" l="1"/>
  <c r="K281" i="2"/>
  <c r="A281" i="2"/>
  <c r="E282" i="2"/>
  <c r="H282" i="2"/>
  <c r="F282" i="2"/>
  <c r="G183" i="1"/>
  <c r="E183" i="1"/>
  <c r="H183" i="1"/>
  <c r="A182" i="1"/>
  <c r="I282" i="2" l="1"/>
  <c r="A282" i="2" s="1"/>
  <c r="G282" i="2"/>
  <c r="F183" i="1"/>
  <c r="W183" i="1"/>
  <c r="F283" i="2" l="1"/>
  <c r="H283" i="2"/>
  <c r="E283" i="2"/>
  <c r="X282" i="2"/>
  <c r="K282" i="2"/>
  <c r="K183" i="1"/>
  <c r="I183" i="1"/>
  <c r="I283" i="2" l="1"/>
  <c r="G283" i="2"/>
  <c r="G184" i="1"/>
  <c r="H184" i="1"/>
  <c r="E184" i="1"/>
  <c r="A183" i="1"/>
  <c r="E284" i="2" l="1"/>
  <c r="F284" i="2"/>
  <c r="H284" i="2"/>
  <c r="A283" i="2"/>
  <c r="X283" i="2"/>
  <c r="K283" i="2"/>
  <c r="W184" i="1"/>
  <c r="F184" i="1"/>
  <c r="G284" i="2" l="1"/>
  <c r="I284" i="2"/>
  <c r="K184" i="1"/>
  <c r="I184" i="1"/>
  <c r="K284" i="2" l="1"/>
  <c r="X284" i="2"/>
  <c r="F285" i="2"/>
  <c r="A284" i="2"/>
  <c r="E285" i="2"/>
  <c r="H285" i="2"/>
  <c r="H185" i="1"/>
  <c r="E185" i="1"/>
  <c r="G185" i="1"/>
  <c r="A184" i="1"/>
  <c r="G285" i="2" l="1"/>
  <c r="I285" i="2"/>
  <c r="A285" i="2" s="1"/>
  <c r="F185" i="1"/>
  <c r="W185" i="1"/>
  <c r="X285" i="2" l="1"/>
  <c r="K285" i="2"/>
  <c r="F286" i="2"/>
  <c r="H286" i="2"/>
  <c r="E286" i="2"/>
  <c r="K185" i="1"/>
  <c r="I185" i="1"/>
  <c r="I286" i="2" l="1"/>
  <c r="F287" i="2" s="1"/>
  <c r="G286" i="2"/>
  <c r="H186" i="1"/>
  <c r="G186" i="1"/>
  <c r="E186" i="1"/>
  <c r="A185" i="1"/>
  <c r="A286" i="2" l="1"/>
  <c r="E287" i="2"/>
  <c r="G287" i="2" s="1"/>
  <c r="H287" i="2"/>
  <c r="I287" i="2" s="1"/>
  <c r="A287" i="2" s="1"/>
  <c r="X286" i="2"/>
  <c r="K286" i="2"/>
  <c r="F186" i="1"/>
  <c r="W186" i="1"/>
  <c r="X287" i="2" l="1"/>
  <c r="K287" i="2"/>
  <c r="H288" i="2"/>
  <c r="F288" i="2"/>
  <c r="E288" i="2"/>
  <c r="K186" i="1"/>
  <c r="I186" i="1"/>
  <c r="I288" i="2" l="1"/>
  <c r="G288" i="2"/>
  <c r="E187" i="1"/>
  <c r="H187" i="1"/>
  <c r="G187" i="1"/>
  <c r="A186" i="1"/>
  <c r="E289" i="2" l="1"/>
  <c r="F289" i="2"/>
  <c r="H289" i="2"/>
  <c r="A288" i="2"/>
  <c r="X288" i="2"/>
  <c r="K288" i="2"/>
  <c r="F187" i="1"/>
  <c r="W187" i="1"/>
  <c r="I289" i="2" l="1"/>
  <c r="A289" i="2" s="1"/>
  <c r="G289" i="2"/>
  <c r="K187" i="1"/>
  <c r="I187" i="1"/>
  <c r="F290" i="2" l="1"/>
  <c r="H290" i="2"/>
  <c r="E290" i="2"/>
  <c r="X289" i="2"/>
  <c r="K289" i="2"/>
  <c r="E188" i="1"/>
  <c r="G188" i="1"/>
  <c r="H188" i="1"/>
  <c r="A187" i="1"/>
  <c r="I290" i="2" l="1"/>
  <c r="G290" i="2"/>
  <c r="H291" i="2"/>
  <c r="W188" i="1"/>
  <c r="F188" i="1"/>
  <c r="E291" i="2" l="1"/>
  <c r="A290" i="2"/>
  <c r="F291" i="2"/>
  <c r="X290" i="2"/>
  <c r="K290" i="2"/>
  <c r="K188" i="1"/>
  <c r="I188" i="1"/>
  <c r="G291" i="2" l="1"/>
  <c r="I291" i="2"/>
  <c r="A291" i="2" s="1"/>
  <c r="E189" i="1"/>
  <c r="G189" i="1"/>
  <c r="H189" i="1"/>
  <c r="A188" i="1"/>
  <c r="F292" i="2" l="1"/>
  <c r="E292" i="2"/>
  <c r="H292" i="2"/>
  <c r="X291" i="2"/>
  <c r="K291" i="2"/>
  <c r="F189" i="1"/>
  <c r="W189" i="1"/>
  <c r="I292" i="2" l="1"/>
  <c r="G292" i="2"/>
  <c r="K189" i="1"/>
  <c r="I189" i="1"/>
  <c r="E293" i="2" l="1"/>
  <c r="F293" i="2"/>
  <c r="H293" i="2"/>
  <c r="A292" i="2"/>
  <c r="X292" i="2"/>
  <c r="K292" i="2"/>
  <c r="H190" i="1"/>
  <c r="G190" i="1"/>
  <c r="E190" i="1"/>
  <c r="A189" i="1"/>
  <c r="G293" i="2" l="1"/>
  <c r="I293" i="2"/>
  <c r="W190" i="1"/>
  <c r="F190" i="1"/>
  <c r="K293" i="2" l="1"/>
  <c r="X293" i="2"/>
  <c r="A293" i="2"/>
  <c r="E294" i="2"/>
  <c r="H294" i="2"/>
  <c r="F294" i="2"/>
  <c r="K190" i="1"/>
  <c r="I190" i="1"/>
  <c r="G294" i="2" l="1"/>
  <c r="I294" i="2"/>
  <c r="G191" i="1"/>
  <c r="E191" i="1"/>
  <c r="H191" i="1"/>
  <c r="A190" i="1"/>
  <c r="K294" i="2" l="1"/>
  <c r="X294" i="2"/>
  <c r="F295" i="2"/>
  <c r="E295" i="2"/>
  <c r="A294" i="2"/>
  <c r="H295" i="2"/>
  <c r="W191" i="1"/>
  <c r="F191" i="1"/>
  <c r="G295" i="2" l="1"/>
  <c r="I295" i="2"/>
  <c r="K191" i="1"/>
  <c r="I191" i="1"/>
  <c r="K295" i="2" l="1"/>
  <c r="X295" i="2"/>
  <c r="F296" i="2"/>
  <c r="H296" i="2"/>
  <c r="E296" i="2"/>
  <c r="A295" i="2"/>
  <c r="G192" i="1"/>
  <c r="H192" i="1"/>
  <c r="E192" i="1"/>
  <c r="A191" i="1"/>
  <c r="I296" i="2" l="1"/>
  <c r="A296" i="2" s="1"/>
  <c r="G296" i="2"/>
  <c r="W192" i="1"/>
  <c r="F192" i="1"/>
  <c r="X296" i="2" l="1"/>
  <c r="K296" i="2"/>
  <c r="H297" i="2"/>
  <c r="E297" i="2"/>
  <c r="F297" i="2"/>
  <c r="K192" i="1"/>
  <c r="I192" i="1"/>
  <c r="G297" i="2" l="1"/>
  <c r="I297" i="2"/>
  <c r="G193" i="1"/>
  <c r="H193" i="1"/>
  <c r="E193" i="1"/>
  <c r="A192" i="1"/>
  <c r="K297" i="2" l="1"/>
  <c r="X297" i="2"/>
  <c r="A297" i="2"/>
  <c r="E298" i="2"/>
  <c r="F298" i="2"/>
  <c r="H298" i="2"/>
  <c r="F193" i="1"/>
  <c r="W193" i="1"/>
  <c r="I298" i="2" l="1"/>
  <c r="G298" i="2"/>
  <c r="K193" i="1"/>
  <c r="I193" i="1"/>
  <c r="H299" i="2" l="1"/>
  <c r="F299" i="2"/>
  <c r="E299" i="2"/>
  <c r="A298" i="2"/>
  <c r="K298" i="2"/>
  <c r="X298" i="2"/>
  <c r="H194" i="1"/>
  <c r="G194" i="1"/>
  <c r="E194" i="1"/>
  <c r="A193" i="1"/>
  <c r="G299" i="2" l="1"/>
  <c r="I299" i="2"/>
  <c r="W194" i="1"/>
  <c r="F194" i="1"/>
  <c r="K299" i="2" l="1"/>
  <c r="X299" i="2"/>
  <c r="A299" i="2"/>
  <c r="H300" i="2"/>
  <c r="F300" i="2"/>
  <c r="E300" i="2"/>
  <c r="K194" i="1"/>
  <c r="I194" i="1"/>
  <c r="I300" i="2" l="1"/>
  <c r="G300" i="2"/>
  <c r="G195" i="1"/>
  <c r="E195" i="1"/>
  <c r="H195" i="1"/>
  <c r="A194" i="1"/>
  <c r="H301" i="2" l="1"/>
  <c r="A300" i="2"/>
  <c r="F301" i="2"/>
  <c r="E301" i="2"/>
  <c r="X300" i="2"/>
  <c r="K300" i="2"/>
  <c r="W195" i="1"/>
  <c r="F195" i="1"/>
  <c r="I301" i="2" l="1"/>
  <c r="G301" i="2"/>
  <c r="K195" i="1"/>
  <c r="I195" i="1"/>
  <c r="E302" i="2" l="1"/>
  <c r="H302" i="2"/>
  <c r="A301" i="2"/>
  <c r="F302" i="2"/>
  <c r="K301" i="2"/>
  <c r="X301" i="2"/>
  <c r="G196" i="1"/>
  <c r="E196" i="1"/>
  <c r="H196" i="1"/>
  <c r="A195" i="1"/>
  <c r="G302" i="2" l="1"/>
  <c r="I302" i="2"/>
  <c r="F196" i="1"/>
  <c r="W196" i="1"/>
  <c r="K302" i="2" l="1"/>
  <c r="X302" i="2"/>
  <c r="A302" i="2"/>
  <c r="E303" i="2"/>
  <c r="F303" i="2"/>
  <c r="H303" i="2"/>
  <c r="K196" i="1"/>
  <c r="I196" i="1"/>
  <c r="I303" i="2" l="1"/>
  <c r="F304" i="2" s="1"/>
  <c r="A303" i="2"/>
  <c r="G303" i="2"/>
  <c r="E197" i="1"/>
  <c r="G197" i="1"/>
  <c r="H197" i="1"/>
  <c r="A196" i="1"/>
  <c r="H304" i="2" l="1"/>
  <c r="I304" i="2" s="1"/>
  <c r="E304" i="2"/>
  <c r="G304" i="2" s="1"/>
  <c r="X303" i="2"/>
  <c r="K303" i="2"/>
  <c r="F197" i="1"/>
  <c r="W197" i="1"/>
  <c r="F305" i="2" l="1"/>
  <c r="E305" i="2"/>
  <c r="H305" i="2"/>
  <c r="A304" i="2"/>
  <c r="K304" i="2"/>
  <c r="X304" i="2"/>
  <c r="K197" i="1"/>
  <c r="I197" i="1"/>
  <c r="G305" i="2" l="1"/>
  <c r="I305" i="2"/>
  <c r="H198" i="1"/>
  <c r="E198" i="1"/>
  <c r="G198" i="1"/>
  <c r="A197" i="1"/>
  <c r="X305" i="2" l="1"/>
  <c r="K305" i="2"/>
  <c r="A305" i="2"/>
  <c r="F306" i="2"/>
  <c r="H306" i="2"/>
  <c r="E306" i="2"/>
  <c r="F198" i="1"/>
  <c r="W198" i="1"/>
  <c r="G306" i="2" l="1"/>
  <c r="I306" i="2"/>
  <c r="K198" i="1"/>
  <c r="I198" i="1"/>
  <c r="K306" i="2" l="1"/>
  <c r="X306" i="2"/>
  <c r="A306" i="2"/>
  <c r="E307" i="2"/>
  <c r="H307" i="2"/>
  <c r="F307" i="2"/>
  <c r="H199" i="1"/>
  <c r="G199" i="1"/>
  <c r="E199" i="1"/>
  <c r="A198" i="1"/>
  <c r="I307" i="2" l="1"/>
  <c r="G307" i="2"/>
  <c r="W199" i="1"/>
  <c r="F199" i="1"/>
  <c r="F308" i="2" l="1"/>
  <c r="A307" i="2"/>
  <c r="H308" i="2"/>
  <c r="E308" i="2"/>
  <c r="K307" i="2"/>
  <c r="X307" i="2"/>
  <c r="K199" i="1"/>
  <c r="I199" i="1"/>
  <c r="A199" i="1" s="1"/>
  <c r="G308" i="2" l="1"/>
  <c r="I308" i="2"/>
  <c r="E200" i="1"/>
  <c r="G200" i="1"/>
  <c r="H200" i="1"/>
  <c r="K308" i="2" l="1"/>
  <c r="X308" i="2"/>
  <c r="E309" i="2"/>
  <c r="A308" i="2"/>
  <c r="H309" i="2"/>
  <c r="F309" i="2"/>
  <c r="W200" i="1"/>
  <c r="F200" i="1"/>
  <c r="G309" i="2" l="1"/>
  <c r="I309" i="2"/>
  <c r="A309" i="2" s="1"/>
  <c r="K200" i="1"/>
  <c r="I200" i="1"/>
  <c r="H310" i="2" l="1"/>
  <c r="F310" i="2"/>
  <c r="E310" i="2"/>
  <c r="X309" i="2"/>
  <c r="K309" i="2"/>
  <c r="G201" i="1"/>
  <c r="H201" i="1"/>
  <c r="E201" i="1"/>
  <c r="A200" i="1"/>
  <c r="I310" i="2" l="1"/>
  <c r="F311" i="2"/>
  <c r="G310" i="2"/>
  <c r="F201" i="1"/>
  <c r="W201" i="1"/>
  <c r="E311" i="2" l="1"/>
  <c r="H311" i="2"/>
  <c r="A310" i="2"/>
  <c r="I311" i="2"/>
  <c r="E312" i="2"/>
  <c r="F312" i="2"/>
  <c r="G311" i="2"/>
  <c r="X310" i="2"/>
  <c r="K310" i="2"/>
  <c r="K201" i="1"/>
  <c r="I201" i="1"/>
  <c r="H312" i="2" l="1"/>
  <c r="I312" i="2" s="1"/>
  <c r="A312" i="2" s="1"/>
  <c r="A311" i="2"/>
  <c r="G312" i="2"/>
  <c r="X311" i="2"/>
  <c r="K311" i="2"/>
  <c r="H202" i="1"/>
  <c r="E202" i="1"/>
  <c r="G202" i="1"/>
  <c r="A201" i="1"/>
  <c r="X312" i="2" l="1"/>
  <c r="K312" i="2"/>
  <c r="H313" i="2"/>
  <c r="E313" i="2"/>
  <c r="F313" i="2"/>
  <c r="F202" i="1"/>
  <c r="W202" i="1"/>
  <c r="I313" i="2" l="1"/>
  <c r="G313" i="2"/>
  <c r="K202" i="1"/>
  <c r="I202" i="1"/>
  <c r="A313" i="2" l="1"/>
  <c r="H314" i="2"/>
  <c r="F314" i="2"/>
  <c r="I314" i="2" s="1"/>
  <c r="E314" i="2"/>
  <c r="K313" i="2"/>
  <c r="X313" i="2"/>
  <c r="H203" i="1"/>
  <c r="E203" i="1"/>
  <c r="G203" i="1"/>
  <c r="A202" i="1"/>
  <c r="A314" i="2" l="1"/>
  <c r="G314" i="2"/>
  <c r="F315" i="2"/>
  <c r="E315" i="2"/>
  <c r="H315" i="2"/>
  <c r="F203" i="1"/>
  <c r="W203" i="1"/>
  <c r="G315" i="2" l="1"/>
  <c r="I315" i="2"/>
  <c r="X314" i="2"/>
  <c r="K314" i="2"/>
  <c r="K203" i="1"/>
  <c r="I203" i="1"/>
  <c r="K315" i="2" l="1"/>
  <c r="X315" i="2"/>
  <c r="E316" i="2"/>
  <c r="H316" i="2"/>
  <c r="F316" i="2"/>
  <c r="A315" i="2"/>
  <c r="H204" i="1"/>
  <c r="G204" i="1"/>
  <c r="E204" i="1"/>
  <c r="A203" i="1"/>
  <c r="G316" i="2" l="1"/>
  <c r="I316" i="2"/>
  <c r="A316" i="2" s="1"/>
  <c r="F204" i="1"/>
  <c r="W204" i="1"/>
  <c r="K316" i="2" l="1"/>
  <c r="X316" i="2"/>
  <c r="H317" i="2"/>
  <c r="E317" i="2"/>
  <c r="F317" i="2"/>
  <c r="I317" i="2" s="1"/>
  <c r="K204" i="1"/>
  <c r="I204" i="1"/>
  <c r="G317" i="2" l="1"/>
  <c r="E318" i="2"/>
  <c r="F318" i="2"/>
  <c r="H318" i="2"/>
  <c r="A317" i="2"/>
  <c r="G205" i="1"/>
  <c r="H205" i="1"/>
  <c r="E205" i="1"/>
  <c r="A204" i="1"/>
  <c r="I318" i="2" l="1"/>
  <c r="G318" i="2"/>
  <c r="X317" i="2"/>
  <c r="K317" i="2"/>
  <c r="W205" i="1"/>
  <c r="F205" i="1"/>
  <c r="F319" i="2" l="1"/>
  <c r="E319" i="2"/>
  <c r="H319" i="2"/>
  <c r="A318" i="2"/>
  <c r="X318" i="2"/>
  <c r="K318" i="2"/>
  <c r="K205" i="1"/>
  <c r="I205" i="1"/>
  <c r="I319" i="2" l="1"/>
  <c r="G319" i="2"/>
  <c r="H206" i="1"/>
  <c r="G206" i="1"/>
  <c r="E206" i="1"/>
  <c r="A205" i="1"/>
  <c r="E320" i="2" l="1"/>
  <c r="H320" i="2"/>
  <c r="F320" i="2"/>
  <c r="A319" i="2"/>
  <c r="X319" i="2"/>
  <c r="K319" i="2"/>
  <c r="W206" i="1"/>
  <c r="F206" i="1"/>
  <c r="G320" i="2" l="1"/>
  <c r="I320" i="2"/>
  <c r="A320" i="2" s="1"/>
  <c r="K206" i="1"/>
  <c r="I206" i="1"/>
  <c r="X320" i="2" l="1"/>
  <c r="K320" i="2"/>
  <c r="E321" i="2"/>
  <c r="H321" i="2"/>
  <c r="F321" i="2"/>
  <c r="E207" i="1"/>
  <c r="G207" i="1"/>
  <c r="H207" i="1"/>
  <c r="A206" i="1"/>
  <c r="I321" i="2" l="1"/>
  <c r="G321" i="2"/>
  <c r="W207" i="1"/>
  <c r="F207" i="1"/>
  <c r="F322" i="2" l="1"/>
  <c r="H322" i="2"/>
  <c r="E322" i="2"/>
  <c r="A321" i="2"/>
  <c r="X321" i="2"/>
  <c r="K321" i="2"/>
  <c r="K207" i="1"/>
  <c r="I207" i="1"/>
  <c r="G322" i="2" l="1"/>
  <c r="I322" i="2"/>
  <c r="A322" i="2" s="1"/>
  <c r="E208" i="1"/>
  <c r="G208" i="1"/>
  <c r="H208" i="1"/>
  <c r="A207" i="1"/>
  <c r="X322" i="2" l="1"/>
  <c r="K322" i="2"/>
  <c r="E323" i="2"/>
  <c r="H323" i="2"/>
  <c r="F323" i="2"/>
  <c r="F208" i="1"/>
  <c r="W208" i="1"/>
  <c r="G323" i="2" l="1"/>
  <c r="I323" i="2"/>
  <c r="K208" i="1"/>
  <c r="I208" i="1"/>
  <c r="K323" i="2" l="1"/>
  <c r="X323" i="2"/>
  <c r="A323" i="2"/>
  <c r="H324" i="2"/>
  <c r="F324" i="2"/>
  <c r="I324" i="2" s="1"/>
  <c r="E324" i="2"/>
  <c r="E209" i="1"/>
  <c r="G209" i="1"/>
  <c r="H209" i="1"/>
  <c r="A208" i="1"/>
  <c r="A324" i="2" l="1"/>
  <c r="G324" i="2"/>
  <c r="E325" i="2"/>
  <c r="F325" i="2"/>
  <c r="H325" i="2"/>
  <c r="F209" i="1"/>
  <c r="W209" i="1"/>
  <c r="G325" i="2" l="1"/>
  <c r="I325" i="2"/>
  <c r="X324" i="2"/>
  <c r="K324" i="2"/>
  <c r="K209" i="1"/>
  <c r="I209" i="1"/>
  <c r="K325" i="2" l="1"/>
  <c r="X325" i="2"/>
  <c r="E326" i="2"/>
  <c r="F326" i="2"/>
  <c r="A325" i="2"/>
  <c r="H326" i="2"/>
  <c r="H210" i="1"/>
  <c r="E210" i="1"/>
  <c r="G210" i="1"/>
  <c r="A209" i="1"/>
  <c r="G326" i="2" l="1"/>
  <c r="I326" i="2"/>
  <c r="W210" i="1"/>
  <c r="F210" i="1"/>
  <c r="X326" i="2" l="1"/>
  <c r="K326" i="2"/>
  <c r="F327" i="2"/>
  <c r="E327" i="2"/>
  <c r="A326" i="2"/>
  <c r="H327" i="2"/>
  <c r="K210" i="1"/>
  <c r="I210" i="1"/>
  <c r="G327" i="2" l="1"/>
  <c r="I327" i="2"/>
  <c r="H211" i="1"/>
  <c r="E211" i="1"/>
  <c r="G211" i="1"/>
  <c r="A210" i="1"/>
  <c r="X327" i="2" l="1"/>
  <c r="K327" i="2"/>
  <c r="A327" i="2"/>
  <c r="F328" i="2"/>
  <c r="H328" i="2"/>
  <c r="E328" i="2"/>
  <c r="W211" i="1"/>
  <c r="F211" i="1"/>
  <c r="G328" i="2" l="1"/>
  <c r="I328" i="2"/>
  <c r="K211" i="1"/>
  <c r="I211" i="1"/>
  <c r="K328" i="2" l="1"/>
  <c r="X328" i="2"/>
  <c r="H329" i="2"/>
  <c r="E329" i="2"/>
  <c r="F329" i="2"/>
  <c r="A328" i="2"/>
  <c r="E212" i="1"/>
  <c r="H212" i="1"/>
  <c r="G212" i="1"/>
  <c r="A211" i="1"/>
  <c r="I329" i="2" l="1"/>
  <c r="G329" i="2"/>
  <c r="W212" i="1"/>
  <c r="F212" i="1"/>
  <c r="A329" i="2" l="1"/>
  <c r="H330" i="2"/>
  <c r="E330" i="2"/>
  <c r="F330" i="2"/>
  <c r="K329" i="2"/>
  <c r="X329" i="2"/>
  <c r="K212" i="1"/>
  <c r="I212" i="1"/>
  <c r="I330" i="2" l="1"/>
  <c r="G330" i="2"/>
  <c r="G213" i="1"/>
  <c r="H213" i="1"/>
  <c r="E213" i="1"/>
  <c r="A212" i="1"/>
  <c r="F331" i="2" l="1"/>
  <c r="E331" i="2"/>
  <c r="H331" i="2"/>
  <c r="A330" i="2"/>
  <c r="K330" i="2"/>
  <c r="X330" i="2"/>
  <c r="W213" i="1"/>
  <c r="F213" i="1"/>
  <c r="I331" i="2" l="1"/>
  <c r="A331" i="2" s="1"/>
  <c r="G331" i="2"/>
  <c r="K213" i="1"/>
  <c r="I213" i="1"/>
  <c r="X331" i="2" l="1"/>
  <c r="K331" i="2"/>
  <c r="F332" i="2"/>
  <c r="E332" i="2"/>
  <c r="H332" i="2"/>
  <c r="G214" i="1"/>
  <c r="E214" i="1"/>
  <c r="H214" i="1"/>
  <c r="A213" i="1"/>
  <c r="I332" i="2" l="1"/>
  <c r="G332" i="2"/>
  <c r="W214" i="1"/>
  <c r="F214" i="1"/>
  <c r="A332" i="2" l="1"/>
  <c r="H333" i="2"/>
  <c r="E333" i="2"/>
  <c r="F333" i="2"/>
  <c r="K332" i="2"/>
  <c r="X332" i="2"/>
  <c r="K214" i="1"/>
  <c r="I214" i="1"/>
  <c r="I333" i="2" l="1"/>
  <c r="G333" i="2"/>
  <c r="H215" i="1"/>
  <c r="E215" i="1"/>
  <c r="G215" i="1"/>
  <c r="A214" i="1"/>
  <c r="F334" i="2" l="1"/>
  <c r="H334" i="2"/>
  <c r="A333" i="2"/>
  <c r="E334" i="2"/>
  <c r="X333" i="2"/>
  <c r="K333" i="2"/>
  <c r="W215" i="1"/>
  <c r="F215" i="1"/>
  <c r="I334" i="2" l="1"/>
  <c r="G334" i="2"/>
  <c r="K215" i="1"/>
  <c r="I215" i="1"/>
  <c r="H335" i="2" l="1"/>
  <c r="F335" i="2"/>
  <c r="E335" i="2"/>
  <c r="A334" i="2"/>
  <c r="X334" i="2"/>
  <c r="K334" i="2"/>
  <c r="G216" i="1"/>
  <c r="E216" i="1"/>
  <c r="H216" i="1"/>
  <c r="A215" i="1"/>
  <c r="I335" i="2" l="1"/>
  <c r="H336" i="2" s="1"/>
  <c r="F336" i="2"/>
  <c r="A335" i="2"/>
  <c r="E336" i="2"/>
  <c r="G336" i="2" s="1"/>
  <c r="G335" i="2"/>
  <c r="F216" i="1"/>
  <c r="W216" i="1"/>
  <c r="I336" i="2" l="1"/>
  <c r="K335" i="2"/>
  <c r="X335" i="2"/>
  <c r="X336" i="2"/>
  <c r="K336" i="2"/>
  <c r="K216" i="1"/>
  <c r="I216" i="1"/>
  <c r="F337" i="2" l="1"/>
  <c r="G337" i="2" s="1"/>
  <c r="H337" i="2"/>
  <c r="A336" i="2"/>
  <c r="E337" i="2"/>
  <c r="G217" i="1"/>
  <c r="H217" i="1"/>
  <c r="E217" i="1"/>
  <c r="A216" i="1"/>
  <c r="I337" i="2" l="1"/>
  <c r="A337" i="2" s="1"/>
  <c r="X337" i="2"/>
  <c r="K337" i="2"/>
  <c r="F338" i="2"/>
  <c r="E338" i="2"/>
  <c r="H338" i="2"/>
  <c r="F217" i="1"/>
  <c r="W217" i="1"/>
  <c r="G338" i="2" l="1"/>
  <c r="I338" i="2"/>
  <c r="K217" i="1"/>
  <c r="I217" i="1"/>
  <c r="K338" i="2" l="1"/>
  <c r="X338" i="2"/>
  <c r="E339" i="2"/>
  <c r="A338" i="2"/>
  <c r="F339" i="2"/>
  <c r="H339" i="2"/>
  <c r="G218" i="1"/>
  <c r="E218" i="1"/>
  <c r="H218" i="1"/>
  <c r="A217" i="1"/>
  <c r="I339" i="2" l="1"/>
  <c r="G339" i="2"/>
  <c r="W218" i="1"/>
  <c r="F218" i="1"/>
  <c r="H340" i="2" l="1"/>
  <c r="F340" i="2"/>
  <c r="E340" i="2"/>
  <c r="A339" i="2"/>
  <c r="K339" i="2"/>
  <c r="X339" i="2"/>
  <c r="K218" i="1"/>
  <c r="I218" i="1"/>
  <c r="I340" i="2" l="1"/>
  <c r="A340" i="2" s="1"/>
  <c r="G340" i="2"/>
  <c r="E219" i="1"/>
  <c r="H219" i="1"/>
  <c r="G219" i="1"/>
  <c r="A218" i="1"/>
  <c r="F341" i="2" l="1"/>
  <c r="E341" i="2"/>
  <c r="H341" i="2"/>
  <c r="X340" i="2"/>
  <c r="K340" i="2"/>
  <c r="W219" i="1"/>
  <c r="F219" i="1"/>
  <c r="I341" i="2" l="1"/>
  <c r="H342" i="2" s="1"/>
  <c r="G341" i="2"/>
  <c r="K219" i="1"/>
  <c r="I219" i="1"/>
  <c r="E342" i="2" l="1"/>
  <c r="F342" i="2"/>
  <c r="I342" i="2" s="1"/>
  <c r="A341" i="2"/>
  <c r="X341" i="2"/>
  <c r="K341" i="2"/>
  <c r="E220" i="1"/>
  <c r="G220" i="1"/>
  <c r="H220" i="1"/>
  <c r="A219" i="1"/>
  <c r="G342" i="2" l="1"/>
  <c r="E343" i="2"/>
  <c r="A342" i="2"/>
  <c r="H343" i="2"/>
  <c r="F343" i="2"/>
  <c r="W220" i="1"/>
  <c r="F220" i="1"/>
  <c r="X342" i="2" l="1"/>
  <c r="K342" i="2"/>
  <c r="G343" i="2"/>
  <c r="I343" i="2"/>
  <c r="K220" i="1"/>
  <c r="I220" i="1"/>
  <c r="K343" i="2" l="1"/>
  <c r="X343" i="2"/>
  <c r="E344" i="2"/>
  <c r="F344" i="2"/>
  <c r="A343" i="2"/>
  <c r="H344" i="2"/>
  <c r="E221" i="1"/>
  <c r="H221" i="1"/>
  <c r="G221" i="1"/>
  <c r="A220" i="1"/>
  <c r="I344" i="2" l="1"/>
  <c r="G344" i="2"/>
  <c r="F221" i="1"/>
  <c r="W221" i="1"/>
  <c r="F345" i="2" l="1"/>
  <c r="A344" i="2"/>
  <c r="H345" i="2"/>
  <c r="E345" i="2"/>
  <c r="X344" i="2"/>
  <c r="K344" i="2"/>
  <c r="K221" i="1"/>
  <c r="I221" i="1"/>
  <c r="I345" i="2" l="1"/>
  <c r="G345" i="2"/>
  <c r="E222" i="1"/>
  <c r="G222" i="1"/>
  <c r="H222" i="1"/>
  <c r="A221" i="1"/>
  <c r="H346" i="2" l="1"/>
  <c r="E346" i="2"/>
  <c r="A345" i="2"/>
  <c r="F346" i="2"/>
  <c r="I346" i="2" s="1"/>
  <c r="X345" i="2"/>
  <c r="K345" i="2"/>
  <c r="W222" i="1"/>
  <c r="F222" i="1"/>
  <c r="G346" i="2" l="1"/>
  <c r="K346" i="2" s="1"/>
  <c r="E347" i="2"/>
  <c r="H347" i="2"/>
  <c r="F347" i="2"/>
  <c r="A346" i="2"/>
  <c r="X346" i="2"/>
  <c r="K222" i="1"/>
  <c r="I222" i="1"/>
  <c r="I347" i="2" l="1"/>
  <c r="A347" i="2" s="1"/>
  <c r="G347" i="2"/>
  <c r="G223" i="1"/>
  <c r="H223" i="1"/>
  <c r="E223" i="1"/>
  <c r="A222" i="1"/>
  <c r="H348" i="2" l="1"/>
  <c r="F348" i="2"/>
  <c r="E348" i="2"/>
  <c r="K347" i="2"/>
  <c r="X347" i="2"/>
  <c r="F223" i="1"/>
  <c r="W223" i="1"/>
  <c r="G348" i="2" l="1"/>
  <c r="I348" i="2"/>
  <c r="K223" i="1"/>
  <c r="I223" i="1"/>
  <c r="K348" i="2" l="1"/>
  <c r="X348" i="2"/>
  <c r="F349" i="2"/>
  <c r="H349" i="2"/>
  <c r="E349" i="2"/>
  <c r="A348" i="2"/>
  <c r="H224" i="1"/>
  <c r="G224" i="1"/>
  <c r="E224" i="1"/>
  <c r="A223" i="1"/>
  <c r="I349" i="2" l="1"/>
  <c r="G349" i="2"/>
  <c r="F224" i="1"/>
  <c r="W224" i="1"/>
  <c r="E350" i="2" l="1"/>
  <c r="H350" i="2"/>
  <c r="F350" i="2"/>
  <c r="A349" i="2"/>
  <c r="K349" i="2"/>
  <c r="X349" i="2"/>
  <c r="K224" i="1"/>
  <c r="I224" i="1"/>
  <c r="I350" i="2" l="1"/>
  <c r="G350" i="2"/>
  <c r="H225" i="1"/>
  <c r="G225" i="1"/>
  <c r="E225" i="1"/>
  <c r="A224" i="1"/>
  <c r="H351" i="2" l="1"/>
  <c r="E351" i="2"/>
  <c r="F351" i="2"/>
  <c r="A350" i="2"/>
  <c r="X350" i="2"/>
  <c r="K350" i="2"/>
  <c r="F225" i="1"/>
  <c r="W225" i="1"/>
  <c r="I351" i="2" l="1"/>
  <c r="A351" i="2" s="1"/>
  <c r="G351" i="2"/>
  <c r="F352" i="2"/>
  <c r="K225" i="1"/>
  <c r="I225" i="1"/>
  <c r="H352" i="2" l="1"/>
  <c r="E352" i="2"/>
  <c r="X351" i="2"/>
  <c r="K351" i="2"/>
  <c r="I352" i="2"/>
  <c r="G352" i="2"/>
  <c r="H226" i="1"/>
  <c r="E226" i="1"/>
  <c r="G226" i="1"/>
  <c r="A225" i="1"/>
  <c r="E353" i="2" l="1"/>
  <c r="F353" i="2"/>
  <c r="H353" i="2"/>
  <c r="A352" i="2"/>
  <c r="K352" i="2"/>
  <c r="X352" i="2"/>
  <c r="W226" i="1"/>
  <c r="F226" i="1"/>
  <c r="G353" i="2" l="1"/>
  <c r="I353" i="2"/>
  <c r="K226" i="1"/>
  <c r="I226" i="1"/>
  <c r="K353" i="2" l="1"/>
  <c r="X353" i="2"/>
  <c r="E354" i="2"/>
  <c r="H354" i="2"/>
  <c r="F354" i="2"/>
  <c r="A353" i="2"/>
  <c r="E227" i="1"/>
  <c r="G227" i="1"/>
  <c r="H227" i="1"/>
  <c r="A226" i="1"/>
  <c r="G354" i="2" l="1"/>
  <c r="I354" i="2"/>
  <c r="F227" i="1"/>
  <c r="W227" i="1"/>
  <c r="X354" i="2" l="1"/>
  <c r="K354" i="2"/>
  <c r="A354" i="2"/>
  <c r="H355" i="2"/>
  <c r="F355" i="2"/>
  <c r="E355" i="2"/>
  <c r="K227" i="1"/>
  <c r="I227" i="1"/>
  <c r="G355" i="2" l="1"/>
  <c r="I355" i="2"/>
  <c r="A355" i="2" s="1"/>
  <c r="G228" i="1"/>
  <c r="H228" i="1"/>
  <c r="E228" i="1"/>
  <c r="A227" i="1"/>
  <c r="X355" i="2" l="1"/>
  <c r="K355" i="2"/>
  <c r="H356" i="2"/>
  <c r="F356" i="2"/>
  <c r="E356" i="2"/>
  <c r="F228" i="1"/>
  <c r="W228" i="1"/>
  <c r="I356" i="2" l="1"/>
  <c r="F357" i="2"/>
  <c r="G356" i="2"/>
  <c r="K228" i="1"/>
  <c r="I228" i="1"/>
  <c r="E357" i="2" l="1"/>
  <c r="G357" i="2" s="1"/>
  <c r="X357" i="2" s="1"/>
  <c r="H357" i="2"/>
  <c r="A356" i="2"/>
  <c r="X356" i="2"/>
  <c r="K356" i="2"/>
  <c r="E229" i="1"/>
  <c r="G229" i="1"/>
  <c r="H229" i="1"/>
  <c r="A228" i="1"/>
  <c r="I357" i="2" l="1"/>
  <c r="K357" i="2"/>
  <c r="W229" i="1"/>
  <c r="F229" i="1"/>
  <c r="H358" i="2" l="1"/>
  <c r="F358" i="2"/>
  <c r="A357" i="2"/>
  <c r="E358" i="2"/>
  <c r="K229" i="1"/>
  <c r="I229" i="1"/>
  <c r="I358" i="2" l="1"/>
  <c r="G358" i="2"/>
  <c r="G230" i="1"/>
  <c r="H230" i="1"/>
  <c r="E230" i="1"/>
  <c r="A229" i="1"/>
  <c r="A358" i="2" l="1"/>
  <c r="H359" i="2"/>
  <c r="E359" i="2"/>
  <c r="F359" i="2"/>
  <c r="X358" i="2"/>
  <c r="K358" i="2"/>
  <c r="W230" i="1"/>
  <c r="F230" i="1"/>
  <c r="I359" i="2" l="1"/>
  <c r="H360" i="2" s="1"/>
  <c r="G359" i="2"/>
  <c r="K230" i="1"/>
  <c r="I230" i="1"/>
  <c r="F360" i="2" l="1"/>
  <c r="I360" i="2" s="1"/>
  <c r="E360" i="2"/>
  <c r="G360" i="2" s="1"/>
  <c r="A359" i="2"/>
  <c r="X359" i="2"/>
  <c r="K359" i="2"/>
  <c r="E231" i="1"/>
  <c r="H231" i="1"/>
  <c r="G231" i="1"/>
  <c r="A230" i="1"/>
  <c r="F361" i="2" l="1"/>
  <c r="H361" i="2"/>
  <c r="E361" i="2"/>
  <c r="A360" i="2"/>
  <c r="K360" i="2"/>
  <c r="X360" i="2"/>
  <c r="F231" i="1"/>
  <c r="W231" i="1"/>
  <c r="I361" i="2" l="1"/>
  <c r="G361" i="2"/>
  <c r="K231" i="1"/>
  <c r="I231" i="1"/>
  <c r="F362" i="2" l="1"/>
  <c r="H362" i="2"/>
  <c r="E362" i="2"/>
  <c r="A361" i="2"/>
  <c r="K361" i="2"/>
  <c r="X361" i="2"/>
  <c r="E232" i="1"/>
  <c r="H232" i="1"/>
  <c r="G232" i="1"/>
  <c r="A231" i="1"/>
  <c r="G362" i="2" l="1"/>
  <c r="I362" i="2"/>
  <c r="A362" i="2" s="1"/>
  <c r="W232" i="1"/>
  <c r="F232" i="1"/>
  <c r="K362" i="2" l="1"/>
  <c r="X362" i="2"/>
  <c r="E363" i="2"/>
  <c r="F363" i="2"/>
  <c r="H363" i="2"/>
  <c r="K232" i="1"/>
  <c r="I232" i="1"/>
  <c r="I363" i="2" l="1"/>
  <c r="F364" i="2" s="1"/>
  <c r="G363" i="2"/>
  <c r="G233" i="1"/>
  <c r="H233" i="1"/>
  <c r="E233" i="1"/>
  <c r="A232" i="1"/>
  <c r="E364" i="2" l="1"/>
  <c r="G364" i="2" s="1"/>
  <c r="H364" i="2"/>
  <c r="I364" i="2" s="1"/>
  <c r="F365" i="2" s="1"/>
  <c r="A363" i="2"/>
  <c r="X363" i="2"/>
  <c r="K363" i="2"/>
  <c r="F233" i="1"/>
  <c r="W233" i="1"/>
  <c r="A364" i="2" l="1"/>
  <c r="E365" i="2"/>
  <c r="G365" i="2" s="1"/>
  <c r="H365" i="2"/>
  <c r="I365" i="2" s="1"/>
  <c r="X364" i="2"/>
  <c r="K364" i="2"/>
  <c r="K233" i="1"/>
  <c r="I233" i="1"/>
  <c r="A365" i="2" l="1"/>
  <c r="H366" i="2"/>
  <c r="E366" i="2"/>
  <c r="F366" i="2"/>
  <c r="G366" i="2" s="1"/>
  <c r="X365" i="2"/>
  <c r="K365" i="2"/>
  <c r="H234" i="1"/>
  <c r="G234" i="1"/>
  <c r="E234" i="1"/>
  <c r="A233" i="1"/>
  <c r="I366" i="2" l="1"/>
  <c r="X366" i="2"/>
  <c r="K366" i="2"/>
  <c r="W234" i="1"/>
  <c r="F234" i="1"/>
  <c r="F367" i="2" l="1"/>
  <c r="H367" i="2"/>
  <c r="E367" i="2"/>
  <c r="A366" i="2"/>
  <c r="K234" i="1"/>
  <c r="I234" i="1"/>
  <c r="I367" i="2" l="1"/>
  <c r="H368" i="2" s="1"/>
  <c r="F368" i="2"/>
  <c r="E368" i="2"/>
  <c r="A367" i="2"/>
  <c r="G367" i="2"/>
  <c r="H235" i="1"/>
  <c r="G235" i="1"/>
  <c r="E235" i="1"/>
  <c r="A234" i="1"/>
  <c r="I368" i="2" l="1"/>
  <c r="G368" i="2"/>
  <c r="X367" i="2"/>
  <c r="K367" i="2"/>
  <c r="W235" i="1"/>
  <c r="F235" i="1"/>
  <c r="H369" i="2" l="1"/>
  <c r="F369" i="2"/>
  <c r="I369" i="2" s="1"/>
  <c r="E369" i="2"/>
  <c r="A368" i="2"/>
  <c r="X368" i="2"/>
  <c r="K368" i="2"/>
  <c r="K235" i="1"/>
  <c r="I235" i="1"/>
  <c r="G369" i="2" l="1"/>
  <c r="H370" i="2"/>
  <c r="E370" i="2"/>
  <c r="F370" i="2"/>
  <c r="A369" i="2"/>
  <c r="E236" i="1"/>
  <c r="G236" i="1"/>
  <c r="H236" i="1"/>
  <c r="A235" i="1"/>
  <c r="K369" i="2" l="1"/>
  <c r="X369" i="2"/>
  <c r="G370" i="2"/>
  <c r="I370" i="2"/>
  <c r="A370" i="2" s="1"/>
  <c r="F236" i="1"/>
  <c r="W236" i="1"/>
  <c r="K370" i="2" l="1"/>
  <c r="X370" i="2"/>
  <c r="H371" i="2"/>
  <c r="F371" i="2"/>
  <c r="I371" i="2" s="1"/>
  <c r="E371" i="2"/>
  <c r="K236" i="1"/>
  <c r="I236" i="1"/>
  <c r="H372" i="2" l="1"/>
  <c r="F372" i="2"/>
  <c r="E372" i="2"/>
  <c r="A371" i="2"/>
  <c r="G371" i="2"/>
  <c r="E237" i="1"/>
  <c r="G237" i="1"/>
  <c r="H237" i="1"/>
  <c r="A236" i="1"/>
  <c r="I372" i="2" l="1"/>
  <c r="G372" i="2"/>
  <c r="X371" i="2"/>
  <c r="K371" i="2"/>
  <c r="W237" i="1"/>
  <c r="F237" i="1"/>
  <c r="A372" i="2" l="1"/>
  <c r="H373" i="2"/>
  <c r="F373" i="2"/>
  <c r="E373" i="2"/>
  <c r="X372" i="2"/>
  <c r="K372" i="2"/>
  <c r="K237" i="1"/>
  <c r="I237" i="1"/>
  <c r="G373" i="2" l="1"/>
  <c r="I373" i="2"/>
  <c r="F374" i="2"/>
  <c r="H238" i="1"/>
  <c r="G238" i="1"/>
  <c r="E238" i="1"/>
  <c r="A237" i="1"/>
  <c r="K373" i="2" l="1"/>
  <c r="X373" i="2"/>
  <c r="H374" i="2"/>
  <c r="I374" i="2" s="1"/>
  <c r="E374" i="2"/>
  <c r="A373" i="2"/>
  <c r="G374" i="2"/>
  <c r="X374" i="2" s="1"/>
  <c r="K374" i="2"/>
  <c r="F238" i="1"/>
  <c r="W238" i="1"/>
  <c r="F375" i="2" l="1"/>
  <c r="A374" i="2"/>
  <c r="H375" i="2"/>
  <c r="E375" i="2"/>
  <c r="G375" i="2"/>
  <c r="I375" i="2"/>
  <c r="K238" i="1"/>
  <c r="I238" i="1"/>
  <c r="A375" i="2" l="1"/>
  <c r="E376" i="2"/>
  <c r="F376" i="2"/>
  <c r="H376" i="2"/>
  <c r="X375" i="2"/>
  <c r="K375" i="2"/>
  <c r="H239" i="1"/>
  <c r="G239" i="1"/>
  <c r="E239" i="1"/>
  <c r="A238" i="1"/>
  <c r="I376" i="2" l="1"/>
  <c r="G376" i="2"/>
  <c r="W239" i="1"/>
  <c r="F239" i="1"/>
  <c r="E377" i="2" l="1"/>
  <c r="A376" i="2"/>
  <c r="H377" i="2"/>
  <c r="F377" i="2"/>
  <c r="G377" i="2" s="1"/>
  <c r="X376" i="2"/>
  <c r="K376" i="2"/>
  <c r="K239" i="1"/>
  <c r="I239" i="1"/>
  <c r="I377" i="2" l="1"/>
  <c r="K377" i="2"/>
  <c r="X377" i="2"/>
  <c r="G240" i="1"/>
  <c r="H240" i="1"/>
  <c r="E240" i="1"/>
  <c r="A239" i="1"/>
  <c r="H378" i="2" l="1"/>
  <c r="A377" i="2"/>
  <c r="F378" i="2"/>
  <c r="E378" i="2"/>
  <c r="W240" i="1"/>
  <c r="F240" i="1"/>
  <c r="I378" i="2" l="1"/>
  <c r="G378" i="2"/>
  <c r="K240" i="1"/>
  <c r="I240" i="1"/>
  <c r="X378" i="2" l="1"/>
  <c r="K378" i="2"/>
  <c r="E379" i="2"/>
  <c r="H379" i="2"/>
  <c r="F379" i="2"/>
  <c r="I379" i="2" s="1"/>
  <c r="A378" i="2"/>
  <c r="E241" i="1"/>
  <c r="G241" i="1"/>
  <c r="H241" i="1"/>
  <c r="A240" i="1"/>
  <c r="G379" i="2" l="1"/>
  <c r="X379" i="2" s="1"/>
  <c r="H380" i="2"/>
  <c r="E380" i="2"/>
  <c r="F380" i="2"/>
  <c r="A379" i="2"/>
  <c r="K379" i="2"/>
  <c r="F241" i="1"/>
  <c r="W241" i="1"/>
  <c r="G380" i="2" l="1"/>
  <c r="I380" i="2"/>
  <c r="K241" i="1"/>
  <c r="I241" i="1"/>
  <c r="X380" i="2" l="1"/>
  <c r="K380" i="2"/>
  <c r="F381" i="2"/>
  <c r="H381" i="2"/>
  <c r="E381" i="2"/>
  <c r="I381" i="2"/>
  <c r="F382" i="2" s="1"/>
  <c r="A380" i="2"/>
  <c r="H242" i="1"/>
  <c r="E242" i="1"/>
  <c r="G242" i="1"/>
  <c r="A241" i="1"/>
  <c r="G381" i="2" l="1"/>
  <c r="A381" i="2"/>
  <c r="E382" i="2"/>
  <c r="G382" i="2" s="1"/>
  <c r="X382" i="2" s="1"/>
  <c r="H382" i="2"/>
  <c r="F242" i="1"/>
  <c r="W242" i="1"/>
  <c r="I382" i="2" l="1"/>
  <c r="K382" i="2"/>
  <c r="K381" i="2"/>
  <c r="X381" i="2"/>
  <c r="K242" i="1"/>
  <c r="I242" i="1"/>
  <c r="A382" i="2" l="1"/>
  <c r="F383" i="2"/>
  <c r="H383" i="2"/>
  <c r="E383" i="2"/>
  <c r="G243" i="1"/>
  <c r="H243" i="1"/>
  <c r="E243" i="1"/>
  <c r="A242" i="1"/>
  <c r="G383" i="2" l="1"/>
  <c r="I383" i="2"/>
  <c r="W243" i="1"/>
  <c r="F243" i="1"/>
  <c r="X383" i="2" l="1"/>
  <c r="K383" i="2"/>
  <c r="H384" i="2"/>
  <c r="E384" i="2"/>
  <c r="F384" i="2"/>
  <c r="A383" i="2"/>
  <c r="K243" i="1"/>
  <c r="I243" i="1"/>
  <c r="I384" i="2" l="1"/>
  <c r="G384" i="2"/>
  <c r="E244" i="1"/>
  <c r="G244" i="1"/>
  <c r="H244" i="1"/>
  <c r="A243" i="1"/>
  <c r="H385" i="2" l="1"/>
  <c r="F385" i="2"/>
  <c r="E385" i="2"/>
  <c r="A384" i="2"/>
  <c r="K384" i="2"/>
  <c r="X384" i="2"/>
  <c r="F244" i="1"/>
  <c r="W244" i="1"/>
  <c r="G385" i="2" l="1"/>
  <c r="I385" i="2"/>
  <c r="A385" i="2" s="1"/>
  <c r="K244" i="1"/>
  <c r="I244" i="1"/>
  <c r="K385" i="2" l="1"/>
  <c r="X385" i="2"/>
  <c r="H386" i="2"/>
  <c r="E386" i="2"/>
  <c r="F386" i="2"/>
  <c r="G245" i="1"/>
  <c r="E245" i="1"/>
  <c r="H245" i="1"/>
  <c r="A244" i="1"/>
  <c r="I386" i="2" l="1"/>
  <c r="G386" i="2"/>
  <c r="F245" i="1"/>
  <c r="W245" i="1"/>
  <c r="A386" i="2" l="1"/>
  <c r="H387" i="2"/>
  <c r="F387" i="2"/>
  <c r="E387" i="2"/>
  <c r="G387" i="2" s="1"/>
  <c r="I387" i="2"/>
  <c r="X386" i="2"/>
  <c r="K386" i="2"/>
  <c r="K245" i="1"/>
  <c r="I245" i="1"/>
  <c r="A387" i="2" l="1"/>
  <c r="F388" i="2"/>
  <c r="E388" i="2"/>
  <c r="H388" i="2"/>
  <c r="K387" i="2"/>
  <c r="X387" i="2"/>
  <c r="H246" i="1"/>
  <c r="G246" i="1"/>
  <c r="E246" i="1"/>
  <c r="A245" i="1"/>
  <c r="I388" i="2" l="1"/>
  <c r="G388" i="2"/>
  <c r="W246" i="1"/>
  <c r="F246" i="1"/>
  <c r="E389" i="2" l="1"/>
  <c r="F389" i="2"/>
  <c r="H389" i="2"/>
  <c r="A388" i="2"/>
  <c r="K388" i="2"/>
  <c r="X388" i="2"/>
  <c r="I389" i="2"/>
  <c r="K246" i="1"/>
  <c r="I246" i="1"/>
  <c r="A389" i="2" l="1"/>
  <c r="G389" i="2"/>
  <c r="E390" i="2"/>
  <c r="F390" i="2"/>
  <c r="H390" i="2"/>
  <c r="E247" i="1"/>
  <c r="G247" i="1"/>
  <c r="H247" i="1"/>
  <c r="A246" i="1"/>
  <c r="K389" i="2" l="1"/>
  <c r="X389" i="2"/>
  <c r="G390" i="2"/>
  <c r="I390" i="2"/>
  <c r="A390" i="2" s="1"/>
  <c r="W247" i="1"/>
  <c r="F247" i="1"/>
  <c r="X390" i="2" l="1"/>
  <c r="K390" i="2"/>
  <c r="H391" i="2"/>
  <c r="E391" i="2"/>
  <c r="F391" i="2"/>
  <c r="I391" i="2" s="1"/>
  <c r="K247" i="1"/>
  <c r="I247" i="1"/>
  <c r="E392" i="2" l="1"/>
  <c r="H392" i="2"/>
  <c r="F392" i="2"/>
  <c r="I392" i="2" s="1"/>
  <c r="A391" i="2"/>
  <c r="G391" i="2"/>
  <c r="G248" i="1"/>
  <c r="H248" i="1"/>
  <c r="E248" i="1"/>
  <c r="A247" i="1"/>
  <c r="F393" i="2" l="1"/>
  <c r="E393" i="2"/>
  <c r="H393" i="2"/>
  <c r="A392" i="2"/>
  <c r="G392" i="2"/>
  <c r="X391" i="2"/>
  <c r="K391" i="2"/>
  <c r="F248" i="1"/>
  <c r="W248" i="1"/>
  <c r="I393" i="2" l="1"/>
  <c r="A393" i="2" s="1"/>
  <c r="G393" i="2"/>
  <c r="X392" i="2"/>
  <c r="K392" i="2"/>
  <c r="K248" i="1"/>
  <c r="I248" i="1"/>
  <c r="X393" i="2" l="1"/>
  <c r="K393" i="2"/>
  <c r="E394" i="2"/>
  <c r="F394" i="2"/>
  <c r="H394" i="2"/>
  <c r="H249" i="1"/>
  <c r="E249" i="1"/>
  <c r="G249" i="1"/>
  <c r="A248" i="1"/>
  <c r="G394" i="2" l="1"/>
  <c r="I394" i="2"/>
  <c r="A394" i="2" s="1"/>
  <c r="F249" i="1"/>
  <c r="W249" i="1"/>
  <c r="K394" i="2" l="1"/>
  <c r="X394" i="2"/>
  <c r="F395" i="2"/>
  <c r="H395" i="2"/>
  <c r="E395" i="2"/>
  <c r="K249" i="1"/>
  <c r="I249" i="1"/>
  <c r="I395" i="2" l="1"/>
  <c r="G395" i="2"/>
  <c r="H250" i="1"/>
  <c r="G250" i="1"/>
  <c r="E250" i="1"/>
  <c r="A249" i="1"/>
  <c r="A395" i="2" l="1"/>
  <c r="H396" i="2"/>
  <c r="F396" i="2"/>
  <c r="I396" i="2" s="1"/>
  <c r="A396" i="2" s="1"/>
  <c r="E396" i="2"/>
  <c r="G396" i="2"/>
  <c r="X395" i="2"/>
  <c r="K395" i="2"/>
  <c r="W250" i="1"/>
  <c r="F250" i="1"/>
  <c r="K396" i="2" l="1"/>
  <c r="X396" i="2"/>
  <c r="H397" i="2"/>
  <c r="E397" i="2"/>
  <c r="F397" i="2"/>
  <c r="K250" i="1"/>
  <c r="I250" i="1"/>
  <c r="I397" i="2" l="1"/>
  <c r="G397" i="2"/>
  <c r="G251" i="1"/>
  <c r="E251" i="1"/>
  <c r="H251" i="1"/>
  <c r="A250" i="1"/>
  <c r="F398" i="2" l="1"/>
  <c r="H398" i="2"/>
  <c r="I398" i="2" s="1"/>
  <c r="E399" i="2" s="1"/>
  <c r="E398" i="2"/>
  <c r="A397" i="2"/>
  <c r="X397" i="2"/>
  <c r="K397" i="2"/>
  <c r="W251" i="1"/>
  <c r="F251" i="1"/>
  <c r="A398" i="2" l="1"/>
  <c r="G398" i="2"/>
  <c r="F399" i="2"/>
  <c r="H399" i="2"/>
  <c r="G399" i="2"/>
  <c r="I399" i="2"/>
  <c r="A399" i="2" s="1"/>
  <c r="K251" i="1"/>
  <c r="I251" i="1"/>
  <c r="X398" i="2" l="1"/>
  <c r="K398" i="2"/>
  <c r="E400" i="2"/>
  <c r="H400" i="2"/>
  <c r="F400" i="2"/>
  <c r="X399" i="2"/>
  <c r="K399" i="2"/>
  <c r="E252" i="1"/>
  <c r="G252" i="1"/>
  <c r="H252" i="1"/>
  <c r="A251" i="1"/>
  <c r="G400" i="2" l="1"/>
  <c r="I400" i="2"/>
  <c r="A400" i="2" s="1"/>
  <c r="F252" i="1"/>
  <c r="W252" i="1"/>
  <c r="F401" i="2" l="1"/>
  <c r="H401" i="2"/>
  <c r="E401" i="2"/>
  <c r="X400" i="2"/>
  <c r="K400" i="2"/>
  <c r="K252" i="1"/>
  <c r="I252" i="1"/>
  <c r="G401" i="2" l="1"/>
  <c r="I401" i="2"/>
  <c r="A401" i="2" s="1"/>
  <c r="E253" i="1"/>
  <c r="H253" i="1"/>
  <c r="G253" i="1"/>
  <c r="A252" i="1"/>
  <c r="E402" i="2" l="1"/>
  <c r="H402" i="2"/>
  <c r="F402" i="2"/>
  <c r="I402" i="2" s="1"/>
  <c r="X401" i="2"/>
  <c r="K401" i="2"/>
  <c r="F253" i="1"/>
  <c r="W253" i="1"/>
  <c r="F403" i="2" l="1"/>
  <c r="H403" i="2"/>
  <c r="E403" i="2"/>
  <c r="A402" i="2"/>
  <c r="G402" i="2"/>
  <c r="K253" i="1"/>
  <c r="I253" i="1"/>
  <c r="G403" i="2" l="1"/>
  <c r="I403" i="2"/>
  <c r="A403" i="2" s="1"/>
  <c r="X402" i="2"/>
  <c r="K402" i="2"/>
  <c r="E254" i="1"/>
  <c r="H254" i="1"/>
  <c r="G254" i="1"/>
  <c r="A253" i="1"/>
  <c r="F404" i="2" l="1"/>
  <c r="E404" i="2"/>
  <c r="H404" i="2"/>
  <c r="X403" i="2"/>
  <c r="K403" i="2"/>
  <c r="W254" i="1"/>
  <c r="F254" i="1"/>
  <c r="I404" i="2" l="1"/>
  <c r="G404" i="2"/>
  <c r="K254" i="1"/>
  <c r="I254" i="1"/>
  <c r="F405" i="2" l="1"/>
  <c r="A404" i="2"/>
  <c r="E405" i="2"/>
  <c r="H405" i="2"/>
  <c r="I405" i="2" s="1"/>
  <c r="F406" i="2"/>
  <c r="G405" i="2"/>
  <c r="X404" i="2"/>
  <c r="K404" i="2"/>
  <c r="H255" i="1"/>
  <c r="G255" i="1"/>
  <c r="E255" i="1"/>
  <c r="A254" i="1"/>
  <c r="A405" i="2" l="1"/>
  <c r="H406" i="2"/>
  <c r="E406" i="2"/>
  <c r="G406" i="2"/>
  <c r="I406" i="2"/>
  <c r="A406" i="2" s="1"/>
  <c r="X405" i="2"/>
  <c r="K405" i="2"/>
  <c r="F255" i="1"/>
  <c r="W255" i="1"/>
  <c r="X406" i="2" l="1"/>
  <c r="K406" i="2"/>
  <c r="E407" i="2"/>
  <c r="H407" i="2"/>
  <c r="F407" i="2"/>
  <c r="K255" i="1"/>
  <c r="I255" i="1"/>
  <c r="I407" i="2" l="1"/>
  <c r="G407" i="2"/>
  <c r="E256" i="1"/>
  <c r="G256" i="1"/>
  <c r="H256" i="1"/>
  <c r="A255" i="1"/>
  <c r="E408" i="2" l="1"/>
  <c r="H408" i="2"/>
  <c r="F408" i="2"/>
  <c r="A407" i="2"/>
  <c r="X407" i="2"/>
  <c r="K407" i="2"/>
  <c r="F256" i="1"/>
  <c r="W256" i="1"/>
  <c r="I408" i="2" l="1"/>
  <c r="A408" i="2"/>
  <c r="G408" i="2"/>
  <c r="K256" i="1"/>
  <c r="I256" i="1"/>
  <c r="E409" i="2" l="1"/>
  <c r="F409" i="2"/>
  <c r="H409" i="2"/>
  <c r="X408" i="2"/>
  <c r="K408" i="2"/>
  <c r="G257" i="1"/>
  <c r="E257" i="1"/>
  <c r="H257" i="1"/>
  <c r="A256" i="1"/>
  <c r="I409" i="2" l="1"/>
  <c r="G409" i="2"/>
  <c r="W257" i="1"/>
  <c r="F257" i="1"/>
  <c r="F410" i="2" l="1"/>
  <c r="H410" i="2"/>
  <c r="E410" i="2"/>
  <c r="A409" i="2"/>
  <c r="K409" i="2"/>
  <c r="X409" i="2"/>
  <c r="K257" i="1"/>
  <c r="I257" i="1"/>
  <c r="G410" i="2" l="1"/>
  <c r="I410" i="2"/>
  <c r="H258" i="1"/>
  <c r="E258" i="1"/>
  <c r="G258" i="1"/>
  <c r="A257" i="1"/>
  <c r="K410" i="2" l="1"/>
  <c r="X410" i="2"/>
  <c r="A410" i="2"/>
  <c r="H411" i="2"/>
  <c r="E411" i="2"/>
  <c r="F411" i="2"/>
  <c r="F258" i="1"/>
  <c r="W258" i="1"/>
  <c r="I411" i="2" l="1"/>
  <c r="A411" i="2" s="1"/>
  <c r="G411" i="2"/>
  <c r="K258" i="1"/>
  <c r="I258" i="1"/>
  <c r="F412" i="2" l="1"/>
  <c r="H412" i="2"/>
  <c r="E412" i="2"/>
  <c r="I412" i="2"/>
  <c r="X411" i="2"/>
  <c r="K411" i="2"/>
  <c r="H259" i="1"/>
  <c r="E259" i="1"/>
  <c r="G259" i="1"/>
  <c r="A258" i="1"/>
  <c r="A412" i="2" l="1"/>
  <c r="G412" i="2"/>
  <c r="E413" i="2"/>
  <c r="H413" i="2"/>
  <c r="F413" i="2"/>
  <c r="W259" i="1"/>
  <c r="F259" i="1"/>
  <c r="G413" i="2" l="1"/>
  <c r="X413" i="2" s="1"/>
  <c r="X412" i="2"/>
  <c r="K412" i="2"/>
  <c r="I413" i="2"/>
  <c r="A413" i="2" s="1"/>
  <c r="K413" i="2"/>
  <c r="K259" i="1"/>
  <c r="I259" i="1"/>
  <c r="H414" i="2" l="1"/>
  <c r="F414" i="2"/>
  <c r="E414" i="2"/>
  <c r="I414" i="2"/>
  <c r="G260" i="1"/>
  <c r="E260" i="1"/>
  <c r="H260" i="1"/>
  <c r="A259" i="1"/>
  <c r="A414" i="2" l="1"/>
  <c r="G414" i="2"/>
  <c r="F415" i="2"/>
  <c r="H415" i="2"/>
  <c r="E415" i="2"/>
  <c r="W260" i="1"/>
  <c r="F260" i="1"/>
  <c r="G415" i="2" l="1"/>
  <c r="I415" i="2"/>
  <c r="X414" i="2"/>
  <c r="K414" i="2"/>
  <c r="K260" i="1"/>
  <c r="I260" i="1"/>
  <c r="K415" i="2" l="1"/>
  <c r="X415" i="2"/>
  <c r="F416" i="2"/>
  <c r="H416" i="2"/>
  <c r="E416" i="2"/>
  <c r="A415" i="2"/>
  <c r="E261" i="1"/>
  <c r="H261" i="1"/>
  <c r="G261" i="1"/>
  <c r="A260" i="1"/>
  <c r="I416" i="2" l="1"/>
  <c r="G416" i="2"/>
  <c r="F261" i="1"/>
  <c r="W261" i="1"/>
  <c r="F417" i="2" l="1"/>
  <c r="E417" i="2"/>
  <c r="H417" i="2"/>
  <c r="A416" i="2"/>
  <c r="K416" i="2"/>
  <c r="X416" i="2"/>
  <c r="K261" i="1"/>
  <c r="I261" i="1"/>
  <c r="I417" i="2" l="1"/>
  <c r="G417" i="2"/>
  <c r="H262" i="1"/>
  <c r="G262" i="1"/>
  <c r="E262" i="1"/>
  <c r="A261" i="1"/>
  <c r="E418" i="2" l="1"/>
  <c r="F418" i="2"/>
  <c r="H418" i="2"/>
  <c r="A417" i="2"/>
  <c r="K417" i="2"/>
  <c r="X417" i="2"/>
  <c r="W262" i="1"/>
  <c r="F262" i="1"/>
  <c r="I418" i="2" l="1"/>
  <c r="G418" i="2"/>
  <c r="K262" i="1"/>
  <c r="I262" i="1"/>
  <c r="F419" i="2" l="1"/>
  <c r="H419" i="2"/>
  <c r="E419" i="2"/>
  <c r="A418" i="2"/>
  <c r="X418" i="2"/>
  <c r="K418" i="2"/>
  <c r="E263" i="1"/>
  <c r="H263" i="1"/>
  <c r="G263" i="1"/>
  <c r="A262" i="1"/>
  <c r="G419" i="2" l="1"/>
  <c r="I419" i="2"/>
  <c r="W263" i="1"/>
  <c r="F263" i="1"/>
  <c r="K419" i="2" l="1"/>
  <c r="X419" i="2"/>
  <c r="E420" i="2"/>
  <c r="H420" i="2"/>
  <c r="F420" i="2"/>
  <c r="I420" i="2" s="1"/>
  <c r="A419" i="2"/>
  <c r="K263" i="1"/>
  <c r="I263" i="1"/>
  <c r="H421" i="2" l="1"/>
  <c r="E421" i="2"/>
  <c r="F421" i="2"/>
  <c r="A420" i="2"/>
  <c r="G420" i="2"/>
  <c r="H264" i="1"/>
  <c r="G264" i="1"/>
  <c r="E264" i="1"/>
  <c r="A263" i="1"/>
  <c r="I421" i="2" l="1"/>
  <c r="G421" i="2"/>
  <c r="X420" i="2"/>
  <c r="K420" i="2"/>
  <c r="F264" i="1"/>
  <c r="W264" i="1"/>
  <c r="A421" i="2" l="1"/>
  <c r="H422" i="2"/>
  <c r="F422" i="2"/>
  <c r="I422" i="2" s="1"/>
  <c r="E422" i="2"/>
  <c r="K421" i="2"/>
  <c r="X421" i="2"/>
  <c r="K264" i="1"/>
  <c r="I264" i="1"/>
  <c r="F423" i="2" l="1"/>
  <c r="E423" i="2"/>
  <c r="H423" i="2"/>
  <c r="A422" i="2"/>
  <c r="G422" i="2"/>
  <c r="E265" i="1"/>
  <c r="G265" i="1"/>
  <c r="H265" i="1"/>
  <c r="A264" i="1"/>
  <c r="G423" i="2" l="1"/>
  <c r="I423" i="2"/>
  <c r="A423" i="2" s="1"/>
  <c r="X422" i="2"/>
  <c r="K422" i="2"/>
  <c r="W265" i="1"/>
  <c r="F265" i="1"/>
  <c r="X423" i="2" l="1"/>
  <c r="K423" i="2"/>
  <c r="F424" i="2"/>
  <c r="H424" i="2"/>
  <c r="E424" i="2"/>
  <c r="K265" i="1"/>
  <c r="I265" i="1"/>
  <c r="K424" i="2" l="1"/>
  <c r="G424" i="2"/>
  <c r="I424" i="2"/>
  <c r="A424" i="2" s="1"/>
  <c r="G266" i="1"/>
  <c r="H266" i="1"/>
  <c r="E266" i="1"/>
  <c r="A265" i="1"/>
  <c r="X424" i="2" l="1"/>
  <c r="F425" i="2"/>
  <c r="E425" i="2"/>
  <c r="H425" i="2"/>
  <c r="W266" i="1"/>
  <c r="F266" i="1"/>
  <c r="K425" i="2" l="1"/>
  <c r="G425" i="2"/>
  <c r="I425" i="2"/>
  <c r="A425" i="2" s="1"/>
  <c r="K266" i="1"/>
  <c r="I266" i="1"/>
  <c r="X425" i="2" l="1"/>
  <c r="E426" i="2"/>
  <c r="E2" i="2" s="1"/>
  <c r="F426" i="2"/>
  <c r="I426" i="2" s="1"/>
  <c r="A426" i="2" s="1"/>
  <c r="H426" i="2"/>
  <c r="H2" i="2" s="1"/>
  <c r="E267" i="1"/>
  <c r="G267" i="1"/>
  <c r="H267" i="1"/>
  <c r="A266" i="1"/>
  <c r="F2" i="2" l="1"/>
  <c r="K426" i="2"/>
  <c r="G426" i="2"/>
  <c r="W267" i="1"/>
  <c r="F267" i="1"/>
  <c r="G2" i="2" l="1"/>
  <c r="F4" i="2" s="1"/>
  <c r="O10" i="3" s="1"/>
  <c r="O11" i="3" s="1"/>
  <c r="X426" i="2"/>
  <c r="X4" i="2" s="1"/>
  <c r="X3" i="2" s="1"/>
  <c r="O18" i="3" s="1"/>
  <c r="K267" i="1"/>
  <c r="I267" i="1"/>
  <c r="E268" i="1" l="1"/>
  <c r="G268" i="1"/>
  <c r="H268" i="1"/>
  <c r="A267" i="1"/>
  <c r="F268" i="1" l="1"/>
  <c r="W268" i="1"/>
  <c r="K268" i="1" l="1"/>
  <c r="I268" i="1"/>
  <c r="H269" i="1" l="1"/>
  <c r="E269" i="1"/>
  <c r="G269" i="1"/>
  <c r="A268" i="1"/>
  <c r="F269" i="1" l="1"/>
  <c r="W269" i="1"/>
  <c r="K269" i="1" l="1"/>
  <c r="I269" i="1"/>
  <c r="G270" i="1" l="1"/>
  <c r="H270" i="1"/>
  <c r="E270" i="1"/>
  <c r="A269" i="1"/>
  <c r="F270" i="1" l="1"/>
  <c r="W270" i="1"/>
  <c r="K270" i="1" l="1"/>
  <c r="I270" i="1"/>
  <c r="H271" i="1" l="1"/>
  <c r="G271" i="1"/>
  <c r="E271" i="1"/>
  <c r="A270" i="1"/>
  <c r="W271" i="1" l="1"/>
  <c r="F271" i="1"/>
  <c r="K271" i="1" l="1"/>
  <c r="I271" i="1"/>
  <c r="E272" i="1" l="1"/>
  <c r="G272" i="1"/>
  <c r="H272" i="1"/>
  <c r="A271" i="1"/>
  <c r="W272" i="1" l="1"/>
  <c r="F272" i="1"/>
  <c r="K272" i="1" l="1"/>
  <c r="I272" i="1"/>
  <c r="H273" i="1" l="1"/>
  <c r="G273" i="1"/>
  <c r="E273" i="1"/>
  <c r="A272" i="1"/>
  <c r="F273" i="1" l="1"/>
  <c r="W273" i="1"/>
  <c r="K273" i="1" l="1"/>
  <c r="I273" i="1"/>
  <c r="H274" i="1" l="1"/>
  <c r="E274" i="1"/>
  <c r="G274" i="1"/>
  <c r="A273" i="1"/>
  <c r="W274" i="1" l="1"/>
  <c r="F274" i="1"/>
  <c r="K274" i="1" l="1"/>
  <c r="I274" i="1"/>
  <c r="H275" i="1" l="1"/>
  <c r="E275" i="1"/>
  <c r="G275" i="1"/>
  <c r="A274" i="1"/>
  <c r="F275" i="1" l="1"/>
  <c r="W275" i="1"/>
  <c r="K275" i="1" l="1"/>
  <c r="I275" i="1"/>
  <c r="H276" i="1" l="1"/>
  <c r="G276" i="1"/>
  <c r="E276" i="1"/>
  <c r="A275" i="1"/>
  <c r="F276" i="1" l="1"/>
  <c r="W276" i="1"/>
  <c r="K276" i="1" l="1"/>
  <c r="I276" i="1"/>
  <c r="G277" i="1" l="1"/>
  <c r="E277" i="1"/>
  <c r="H277" i="1"/>
  <c r="A276" i="1"/>
  <c r="W277" i="1" l="1"/>
  <c r="F277" i="1"/>
  <c r="K277" i="1" l="1"/>
  <c r="I277" i="1"/>
  <c r="G278" i="1" l="1"/>
  <c r="E278" i="1"/>
  <c r="H278" i="1"/>
  <c r="A277" i="1"/>
  <c r="W278" i="1" l="1"/>
  <c r="F278" i="1"/>
  <c r="K278" i="1" l="1"/>
  <c r="I278" i="1"/>
  <c r="H279" i="1" l="1"/>
  <c r="G279" i="1"/>
  <c r="E279" i="1"/>
  <c r="A278" i="1"/>
  <c r="F279" i="1" l="1"/>
  <c r="W279" i="1"/>
  <c r="K279" i="1" l="1"/>
  <c r="I279" i="1"/>
  <c r="G280" i="1" l="1"/>
  <c r="H280" i="1"/>
  <c r="E280" i="1"/>
  <c r="A279" i="1"/>
  <c r="W280" i="1" l="1"/>
  <c r="F280" i="1"/>
  <c r="K280" i="1" l="1"/>
  <c r="I280" i="1"/>
  <c r="H281" i="1" l="1"/>
  <c r="E281" i="1"/>
  <c r="G281" i="1"/>
  <c r="A280" i="1"/>
  <c r="F281" i="1" l="1"/>
  <c r="W281" i="1"/>
  <c r="K281" i="1" l="1"/>
  <c r="I281" i="1"/>
  <c r="H282" i="1" l="1"/>
  <c r="G282" i="1"/>
  <c r="E282" i="1"/>
  <c r="A281" i="1"/>
  <c r="W282" i="1" l="1"/>
  <c r="F282" i="1"/>
  <c r="K282" i="1" l="1"/>
  <c r="I282" i="1"/>
  <c r="G283" i="1" l="1"/>
  <c r="H283" i="1"/>
  <c r="E283" i="1"/>
  <c r="A282" i="1"/>
  <c r="F283" i="1" l="1"/>
  <c r="W283" i="1"/>
  <c r="K283" i="1" l="1"/>
  <c r="I283" i="1"/>
  <c r="G284" i="1" l="1"/>
  <c r="H284" i="1"/>
  <c r="E284" i="1"/>
  <c r="A283" i="1"/>
  <c r="F284" i="1" l="1"/>
  <c r="W284" i="1"/>
  <c r="K284" i="1" l="1"/>
  <c r="I284" i="1"/>
  <c r="G285" i="1" l="1"/>
  <c r="H285" i="1"/>
  <c r="E285" i="1"/>
  <c r="A284" i="1"/>
  <c r="F285" i="1" l="1"/>
  <c r="W285" i="1"/>
  <c r="K285" i="1" l="1"/>
  <c r="I285" i="1"/>
  <c r="H286" i="1" l="1"/>
  <c r="E286" i="1"/>
  <c r="G286" i="1"/>
  <c r="A285" i="1"/>
  <c r="F286" i="1" l="1"/>
  <c r="W286" i="1"/>
  <c r="K286" i="1" l="1"/>
  <c r="I286" i="1"/>
  <c r="G287" i="1" l="1"/>
  <c r="E287" i="1"/>
  <c r="H287" i="1"/>
  <c r="A286" i="1"/>
  <c r="F287" i="1" l="1"/>
  <c r="W287" i="1"/>
  <c r="K287" i="1" l="1"/>
  <c r="I287" i="1"/>
  <c r="E288" i="1" l="1"/>
  <c r="H288" i="1"/>
  <c r="G288" i="1"/>
  <c r="A287" i="1"/>
  <c r="F288" i="1" l="1"/>
  <c r="W288" i="1"/>
  <c r="K288" i="1" l="1"/>
  <c r="I288" i="1"/>
  <c r="E289" i="1" l="1"/>
  <c r="H289" i="1"/>
  <c r="G289" i="1"/>
  <c r="A288" i="1"/>
  <c r="F289" i="1" l="1"/>
  <c r="W289" i="1"/>
  <c r="K289" i="1" l="1"/>
  <c r="I289" i="1"/>
  <c r="E290" i="1" l="1"/>
  <c r="H290" i="1"/>
  <c r="G290" i="1"/>
  <c r="A289" i="1"/>
  <c r="W290" i="1" l="1"/>
  <c r="F290" i="1"/>
  <c r="K290" i="1" l="1"/>
  <c r="I290" i="1"/>
  <c r="G291" i="1" l="1"/>
  <c r="E291" i="1"/>
  <c r="H291" i="1"/>
  <c r="A290" i="1"/>
  <c r="W291" i="1" l="1"/>
  <c r="F291" i="1"/>
  <c r="K291" i="1" l="1"/>
  <c r="I291" i="1"/>
  <c r="E292" i="1" l="1"/>
  <c r="H292" i="1"/>
  <c r="G292" i="1"/>
  <c r="A291" i="1"/>
  <c r="W292" i="1" l="1"/>
  <c r="F292" i="1"/>
  <c r="K292" i="1" l="1"/>
  <c r="I292" i="1"/>
  <c r="E293" i="1" l="1"/>
  <c r="H293" i="1"/>
  <c r="G293" i="1"/>
  <c r="A292" i="1"/>
  <c r="F293" i="1" l="1"/>
  <c r="W293" i="1"/>
  <c r="K293" i="1" l="1"/>
  <c r="I293" i="1"/>
  <c r="E294" i="1" l="1"/>
  <c r="H294" i="1"/>
  <c r="G294" i="1"/>
  <c r="A293" i="1"/>
  <c r="F294" i="1" l="1"/>
  <c r="W294" i="1"/>
  <c r="K294" i="1" l="1"/>
  <c r="I294" i="1"/>
  <c r="E295" i="1" l="1"/>
  <c r="G295" i="1"/>
  <c r="H295" i="1"/>
  <c r="A294" i="1"/>
  <c r="W295" i="1" l="1"/>
  <c r="F295" i="1"/>
  <c r="K295" i="1" l="1"/>
  <c r="I295" i="1"/>
  <c r="E296" i="1" l="1"/>
  <c r="H296" i="1"/>
  <c r="G296" i="1"/>
  <c r="A295" i="1"/>
  <c r="W296" i="1" l="1"/>
  <c r="F296" i="1"/>
  <c r="K296" i="1" l="1"/>
  <c r="I296" i="1"/>
  <c r="E297" i="1" l="1"/>
  <c r="G297" i="1"/>
  <c r="W297" i="1" s="1"/>
  <c r="H297" i="1"/>
  <c r="A296" i="1"/>
  <c r="F297" i="1" l="1"/>
  <c r="K297" i="1" s="1"/>
  <c r="I297" i="1" l="1"/>
  <c r="A297" i="1" l="1"/>
  <c r="E298" i="1"/>
  <c r="H298" i="1"/>
  <c r="G298" i="1"/>
  <c r="F298" i="1" l="1"/>
  <c r="W298" i="1"/>
  <c r="I298" i="1" l="1"/>
  <c r="K298" i="1"/>
  <c r="H299" i="1" l="1"/>
  <c r="G299" i="1"/>
  <c r="W299" i="1" s="1"/>
  <c r="E299" i="1"/>
  <c r="A298" i="1"/>
  <c r="F299" i="1" l="1"/>
  <c r="I299" i="1" l="1"/>
  <c r="K299" i="1"/>
  <c r="A299" i="1" l="1"/>
  <c r="E300" i="1"/>
  <c r="H300" i="1"/>
  <c r="G300" i="1"/>
  <c r="F300" i="1" l="1"/>
  <c r="W300" i="1"/>
  <c r="K300" i="1" l="1"/>
  <c r="I300" i="1"/>
  <c r="A300" i="1" l="1"/>
  <c r="G301" i="1"/>
  <c r="H301" i="1"/>
  <c r="E301" i="1"/>
  <c r="W301" i="1" l="1"/>
  <c r="F301" i="1"/>
  <c r="I301" i="1" l="1"/>
  <c r="K301" i="1"/>
  <c r="A301" i="1" l="1"/>
  <c r="E302" i="1"/>
  <c r="H302" i="1"/>
  <c r="G302" i="1"/>
  <c r="W302" i="1" l="1"/>
  <c r="F302" i="1"/>
  <c r="K302" i="1" l="1"/>
  <c r="I302" i="1"/>
  <c r="G303" i="1" l="1"/>
  <c r="W303" i="1" s="1"/>
  <c r="E303" i="1"/>
  <c r="A302" i="1"/>
  <c r="H303" i="1"/>
  <c r="F303" i="1" l="1"/>
  <c r="I303" i="1" l="1"/>
  <c r="K303" i="1"/>
  <c r="E304" i="1" l="1"/>
  <c r="H304" i="1"/>
  <c r="A303" i="1"/>
  <c r="G304" i="1"/>
  <c r="W304" i="1" l="1"/>
  <c r="F304" i="1"/>
  <c r="K304" i="1" l="1"/>
  <c r="I304" i="1"/>
  <c r="G305" i="1" l="1"/>
  <c r="H305" i="1"/>
  <c r="A304" i="1"/>
  <c r="E305" i="1"/>
  <c r="F305" i="1" l="1"/>
  <c r="W305" i="1"/>
  <c r="I305" i="1" l="1"/>
  <c r="K305" i="1"/>
  <c r="G306" i="1" l="1"/>
  <c r="W306" i="1" s="1"/>
  <c r="H306" i="1"/>
  <c r="A305" i="1"/>
  <c r="E306" i="1"/>
  <c r="F306" i="1" l="1"/>
  <c r="K306" i="1" l="1"/>
  <c r="I306" i="1"/>
  <c r="A306" i="1" l="1"/>
  <c r="E307" i="1"/>
  <c r="G307" i="1"/>
  <c r="H307" i="1"/>
  <c r="F307" i="1" l="1"/>
  <c r="W307" i="1"/>
  <c r="I307" i="1" l="1"/>
  <c r="K307" i="1"/>
  <c r="A307" i="1" l="1"/>
  <c r="E308" i="1"/>
  <c r="G308" i="1"/>
  <c r="W308" i="1" s="1"/>
  <c r="H308" i="1"/>
  <c r="F308" i="1" l="1"/>
  <c r="I308" i="1" l="1"/>
  <c r="K308" i="1"/>
  <c r="A308" i="1" l="1"/>
  <c r="G309" i="1"/>
  <c r="W309" i="1" s="1"/>
  <c r="H309" i="1"/>
  <c r="E309" i="1"/>
  <c r="F309" i="1" l="1"/>
  <c r="K309" i="1" l="1"/>
  <c r="I309" i="1"/>
  <c r="E310" i="1" s="1"/>
  <c r="A309" i="1" l="1"/>
  <c r="G310" i="1"/>
  <c r="H310" i="1"/>
  <c r="F310" i="1" l="1"/>
  <c r="W310" i="1"/>
  <c r="I310" i="1" l="1"/>
  <c r="K310" i="1"/>
  <c r="H311" i="1" l="1"/>
  <c r="A310" i="1"/>
  <c r="E311" i="1"/>
  <c r="G311" i="1"/>
  <c r="W311" i="1" l="1"/>
  <c r="F311" i="1"/>
  <c r="I311" i="1" l="1"/>
  <c r="K311" i="1"/>
  <c r="A311" i="1" l="1"/>
  <c r="E312" i="1"/>
  <c r="G312" i="1"/>
  <c r="H312" i="1"/>
  <c r="F312" i="1" l="1"/>
  <c r="W312" i="1"/>
  <c r="I312" i="1" l="1"/>
  <c r="K312" i="1"/>
  <c r="A312" i="1" l="1"/>
  <c r="G313" i="1"/>
  <c r="H313" i="1"/>
  <c r="E313" i="1"/>
  <c r="F313" i="1" l="1"/>
  <c r="W313" i="1"/>
  <c r="I313" i="1"/>
  <c r="A313" i="1" s="1"/>
  <c r="K313" i="1"/>
  <c r="G314" i="1" l="1"/>
  <c r="E314" i="1"/>
  <c r="H314" i="1"/>
  <c r="F314" i="1" l="1"/>
  <c r="W314" i="1"/>
  <c r="I314" i="1" l="1"/>
  <c r="A314" i="1" s="1"/>
  <c r="K314" i="1"/>
  <c r="G315" i="1" l="1"/>
  <c r="H315" i="1"/>
  <c r="E315" i="1"/>
  <c r="F315" i="1" l="1"/>
  <c r="W315" i="1"/>
  <c r="I315" i="1" l="1"/>
  <c r="A315" i="1" s="1"/>
  <c r="K315" i="1"/>
  <c r="E316" i="1" l="1"/>
  <c r="G316" i="1"/>
  <c r="H316" i="1"/>
  <c r="W316" i="1" l="1"/>
  <c r="F316" i="1"/>
  <c r="K316" i="1" l="1"/>
  <c r="I316" i="1"/>
  <c r="A316" i="1" s="1"/>
  <c r="G317" i="1" l="1"/>
  <c r="H317" i="1"/>
  <c r="E317" i="1"/>
  <c r="W317" i="1" l="1"/>
  <c r="F317" i="1"/>
  <c r="I317" i="1" l="1"/>
  <c r="A317" i="1" s="1"/>
  <c r="K317" i="1"/>
  <c r="G318" i="1" l="1"/>
  <c r="H318" i="1"/>
  <c r="E318" i="1"/>
  <c r="F318" i="1" l="1"/>
  <c r="W318" i="1"/>
  <c r="I318" i="1" l="1"/>
  <c r="K318" i="1"/>
  <c r="A318" i="1" l="1"/>
  <c r="G319" i="1"/>
  <c r="H319" i="1"/>
  <c r="E319" i="1"/>
  <c r="F319" i="1" l="1"/>
  <c r="W319" i="1"/>
  <c r="I319" i="1" l="1"/>
  <c r="A319" i="1" s="1"/>
  <c r="K319" i="1"/>
  <c r="G320" i="1" l="1"/>
  <c r="E320" i="1"/>
  <c r="H320" i="1"/>
  <c r="W320" i="1" l="1"/>
  <c r="F320" i="1"/>
  <c r="I320" i="1" l="1"/>
  <c r="A320" i="1" s="1"/>
  <c r="K320" i="1"/>
  <c r="G321" i="1" l="1"/>
  <c r="E321" i="1"/>
  <c r="H321" i="1"/>
  <c r="W321" i="1" l="1"/>
  <c r="F321" i="1"/>
  <c r="I321" i="1" l="1"/>
  <c r="A321" i="1" s="1"/>
  <c r="K321" i="1"/>
  <c r="G322" i="1" l="1"/>
  <c r="H322" i="1"/>
  <c r="E322" i="1"/>
  <c r="W322" i="1" l="1"/>
  <c r="F322" i="1"/>
  <c r="I322" i="1" l="1"/>
  <c r="A322" i="1" s="1"/>
  <c r="K322" i="1"/>
  <c r="G323" i="1" l="1"/>
  <c r="E323" i="1"/>
  <c r="H323" i="1"/>
  <c r="W323" i="1" l="1"/>
  <c r="F323" i="1"/>
  <c r="I323" i="1" l="1"/>
  <c r="A323" i="1" s="1"/>
  <c r="K323" i="1"/>
  <c r="E324" i="1" l="1"/>
  <c r="G324" i="1"/>
  <c r="H324" i="1"/>
  <c r="F324" i="1" l="1"/>
  <c r="W324" i="1"/>
  <c r="I324" i="1" l="1"/>
  <c r="A324" i="1" s="1"/>
  <c r="K324" i="1"/>
  <c r="G325" i="1" l="1"/>
  <c r="H325" i="1"/>
  <c r="E325" i="1"/>
  <c r="W325" i="1" l="1"/>
  <c r="F325" i="1"/>
  <c r="I325" i="1" l="1"/>
  <c r="A325" i="1" s="1"/>
  <c r="K325" i="1"/>
  <c r="G326" i="1" l="1"/>
  <c r="E326" i="1"/>
  <c r="H326" i="1"/>
  <c r="W326" i="1" l="1"/>
  <c r="F326" i="1"/>
  <c r="I326" i="1" l="1"/>
  <c r="A326" i="1" s="1"/>
  <c r="K326" i="1"/>
  <c r="G327" i="1" l="1"/>
  <c r="H327" i="1"/>
  <c r="E327" i="1"/>
  <c r="W327" i="1" l="1"/>
  <c r="F327" i="1"/>
  <c r="I327" i="1" l="1"/>
  <c r="A327" i="1" s="1"/>
  <c r="K327" i="1"/>
  <c r="G328" i="1" l="1"/>
  <c r="E328" i="1"/>
  <c r="H328" i="1"/>
  <c r="F328" i="1" l="1"/>
  <c r="W328" i="1"/>
  <c r="I328" i="1" l="1"/>
  <c r="A328" i="1" s="1"/>
  <c r="K328" i="1"/>
  <c r="H329" i="1" l="1"/>
  <c r="E329" i="1"/>
  <c r="G329" i="1"/>
  <c r="F329" i="1" l="1"/>
  <c r="W329" i="1"/>
  <c r="I329" i="1" l="1"/>
  <c r="A329" i="1" s="1"/>
  <c r="K329" i="1"/>
  <c r="H330" i="1" l="1"/>
  <c r="G330" i="1"/>
  <c r="E330" i="1"/>
  <c r="F330" i="1" l="1"/>
  <c r="W330" i="1"/>
  <c r="I330" i="1" l="1"/>
  <c r="K330" i="1"/>
  <c r="A330" i="1" l="1"/>
  <c r="G331" i="1"/>
  <c r="E331" i="1"/>
  <c r="H331" i="1"/>
  <c r="W331" i="1" l="1"/>
  <c r="F331" i="1"/>
  <c r="I331" i="1" l="1"/>
  <c r="K331" i="1"/>
  <c r="A331" i="1" l="1"/>
  <c r="G332" i="1"/>
  <c r="E332" i="1"/>
  <c r="H332" i="1"/>
  <c r="W332" i="1" l="1"/>
  <c r="F332" i="1"/>
  <c r="I332" i="1" l="1"/>
  <c r="A332" i="1" s="1"/>
  <c r="K332" i="1"/>
  <c r="H333" i="1" l="1"/>
  <c r="E333" i="1"/>
  <c r="G333" i="1"/>
  <c r="W333" i="1" l="1"/>
  <c r="F333" i="1"/>
  <c r="I333" i="1" l="1"/>
  <c r="A333" i="1" s="1"/>
  <c r="K333" i="1"/>
  <c r="G334" i="1" l="1"/>
  <c r="E334" i="1"/>
  <c r="H334" i="1"/>
  <c r="W334" i="1" l="1"/>
  <c r="F334" i="1"/>
  <c r="I334" i="1" l="1"/>
  <c r="A334" i="1" s="1"/>
  <c r="K334" i="1"/>
  <c r="E335" i="1" l="1"/>
  <c r="G335" i="1"/>
  <c r="H335" i="1"/>
  <c r="W335" i="1" l="1"/>
  <c r="F335" i="1"/>
  <c r="I335" i="1" l="1"/>
  <c r="A335" i="1" s="1"/>
  <c r="K335" i="1"/>
  <c r="G336" i="1" l="1"/>
  <c r="H336" i="1"/>
  <c r="E336" i="1"/>
  <c r="F336" i="1" l="1"/>
  <c r="W336" i="1"/>
  <c r="I336" i="1" l="1"/>
  <c r="A336" i="1" s="1"/>
  <c r="K336" i="1"/>
  <c r="H337" i="1" l="1"/>
  <c r="E337" i="1"/>
  <c r="G337" i="1"/>
  <c r="F337" i="1" l="1"/>
  <c r="W337" i="1"/>
  <c r="I337" i="1" l="1"/>
  <c r="A337" i="1" s="1"/>
  <c r="K337" i="1"/>
  <c r="E338" i="1" l="1"/>
  <c r="H338" i="1"/>
  <c r="G338" i="1"/>
  <c r="F338" i="1" l="1"/>
  <c r="W338" i="1"/>
  <c r="I338" i="1" l="1"/>
  <c r="A338" i="1" s="1"/>
  <c r="K338" i="1"/>
  <c r="G339" i="1" l="1"/>
  <c r="E339" i="1"/>
  <c r="H339" i="1"/>
  <c r="W339" i="1" l="1"/>
  <c r="F339" i="1"/>
  <c r="I339" i="1" l="1"/>
  <c r="A339" i="1" s="1"/>
  <c r="K339" i="1"/>
  <c r="E340" i="1" l="1"/>
  <c r="G340" i="1"/>
  <c r="H340" i="1"/>
  <c r="F340" i="1" l="1"/>
  <c r="W340" i="1"/>
  <c r="I340" i="1" l="1"/>
  <c r="A340" i="1" s="1"/>
  <c r="K340" i="1"/>
  <c r="E341" i="1" l="1"/>
  <c r="G341" i="1"/>
  <c r="H341" i="1"/>
  <c r="F341" i="1" l="1"/>
  <c r="W341" i="1"/>
  <c r="I341" i="1" l="1"/>
  <c r="A341" i="1" s="1"/>
  <c r="K341" i="1"/>
  <c r="E342" i="1" l="1"/>
  <c r="G342" i="1"/>
  <c r="H342" i="1"/>
  <c r="W342" i="1" l="1"/>
  <c r="F342" i="1"/>
  <c r="I342" i="1" l="1"/>
  <c r="A342" i="1" s="1"/>
  <c r="K342" i="1"/>
  <c r="G343" i="1" l="1"/>
  <c r="E343" i="1"/>
  <c r="H343" i="1"/>
  <c r="W343" i="1" l="1"/>
  <c r="F343" i="1"/>
  <c r="I343" i="1" l="1"/>
  <c r="A343" i="1" s="1"/>
  <c r="K343" i="1"/>
  <c r="E344" i="1" l="1"/>
  <c r="H344" i="1"/>
  <c r="G344" i="1"/>
  <c r="W344" i="1" l="1"/>
  <c r="F344" i="1"/>
  <c r="I344" i="1" l="1"/>
  <c r="A344" i="1" s="1"/>
  <c r="K344" i="1"/>
  <c r="H345" i="1" l="1"/>
  <c r="E345" i="1"/>
  <c r="G345" i="1"/>
  <c r="F345" i="1" l="1"/>
  <c r="W345" i="1"/>
  <c r="I345" i="1" l="1"/>
  <c r="K345" i="1"/>
  <c r="A345" i="1" l="1"/>
  <c r="E346" i="1"/>
  <c r="H346" i="1"/>
  <c r="G346" i="1"/>
  <c r="W346" i="1" l="1"/>
  <c r="F346" i="1"/>
  <c r="I346" i="1" l="1"/>
  <c r="A346" i="1" s="1"/>
  <c r="K346" i="1"/>
  <c r="G347" i="1" l="1"/>
  <c r="H347" i="1"/>
  <c r="E347" i="1"/>
  <c r="W347" i="1" l="1"/>
  <c r="F347" i="1"/>
  <c r="I347" i="1" l="1"/>
  <c r="A347" i="1" s="1"/>
  <c r="K347" i="1"/>
  <c r="G348" i="1" l="1"/>
  <c r="H348" i="1"/>
  <c r="E348" i="1"/>
  <c r="W348" i="1" l="1"/>
  <c r="F348" i="1"/>
  <c r="I348" i="1" l="1"/>
  <c r="A348" i="1" s="1"/>
  <c r="K348" i="1"/>
  <c r="E349" i="1" l="1"/>
  <c r="G349" i="1"/>
  <c r="H349" i="1"/>
  <c r="F349" i="1" l="1"/>
  <c r="W349" i="1"/>
  <c r="I349" i="1" l="1"/>
  <c r="A349" i="1" s="1"/>
  <c r="K349" i="1"/>
  <c r="E350" i="1" l="1"/>
  <c r="G350" i="1"/>
  <c r="H350" i="1"/>
  <c r="W350" i="1" l="1"/>
  <c r="F350" i="1"/>
  <c r="I350" i="1" l="1"/>
  <c r="A350" i="1" s="1"/>
  <c r="K350" i="1"/>
  <c r="E351" i="1" l="1"/>
  <c r="G351" i="1"/>
  <c r="H351" i="1"/>
  <c r="W351" i="1" l="1"/>
  <c r="F351" i="1"/>
  <c r="I351" i="1" l="1"/>
  <c r="A351" i="1" s="1"/>
  <c r="K351" i="1"/>
  <c r="H352" i="1" l="1"/>
  <c r="G352" i="1"/>
  <c r="E352" i="1"/>
  <c r="F352" i="1" l="1"/>
  <c r="W352" i="1"/>
  <c r="I352" i="1" l="1"/>
  <c r="A352" i="1" s="1"/>
  <c r="K352" i="1"/>
  <c r="G353" i="1" l="1"/>
  <c r="E353" i="1"/>
  <c r="H353" i="1"/>
  <c r="W353" i="1" l="1"/>
  <c r="F353" i="1"/>
  <c r="I353" i="1" l="1"/>
  <c r="A353" i="1" s="1"/>
  <c r="K353" i="1"/>
  <c r="G354" i="1" l="1"/>
  <c r="H354" i="1"/>
  <c r="E354" i="1"/>
  <c r="F354" i="1" l="1"/>
  <c r="W354" i="1"/>
  <c r="I354" i="1" l="1"/>
  <c r="A354" i="1" s="1"/>
  <c r="K354" i="1"/>
  <c r="G355" i="1" l="1"/>
  <c r="H355" i="1"/>
  <c r="E355" i="1"/>
  <c r="F355" i="1" l="1"/>
  <c r="W355" i="1"/>
  <c r="I355" i="1" l="1"/>
  <c r="K355" i="1"/>
  <c r="A355" i="1" l="1"/>
  <c r="E356" i="1"/>
  <c r="H356" i="1"/>
  <c r="G356" i="1"/>
  <c r="F356" i="1" l="1"/>
  <c r="W356" i="1"/>
  <c r="I356" i="1" l="1"/>
  <c r="A356" i="1" s="1"/>
  <c r="K356" i="1"/>
  <c r="G357" i="1" l="1"/>
  <c r="H357" i="1"/>
  <c r="E357" i="1"/>
  <c r="F357" i="1" l="1"/>
  <c r="W357" i="1"/>
  <c r="I357" i="1" l="1"/>
  <c r="A357" i="1" s="1"/>
  <c r="K357" i="1"/>
  <c r="E358" i="1" l="1"/>
  <c r="H358" i="1"/>
  <c r="G358" i="1"/>
  <c r="W358" i="1" l="1"/>
  <c r="F358" i="1"/>
  <c r="I358" i="1" l="1"/>
  <c r="A358" i="1" s="1"/>
  <c r="K358" i="1"/>
  <c r="E359" i="1" l="1"/>
  <c r="H359" i="1"/>
  <c r="G359" i="1"/>
  <c r="W359" i="1" l="1"/>
  <c r="F359" i="1"/>
  <c r="I359" i="1" l="1"/>
  <c r="A359" i="1" s="1"/>
  <c r="K359" i="1"/>
  <c r="E360" i="1" l="1"/>
  <c r="G360" i="1"/>
  <c r="H360" i="1"/>
  <c r="W360" i="1" l="1"/>
  <c r="F360" i="1"/>
  <c r="I360" i="1" l="1"/>
  <c r="A360" i="1" s="1"/>
  <c r="K360" i="1"/>
  <c r="G361" i="1" l="1"/>
  <c r="H361" i="1"/>
  <c r="E361" i="1"/>
  <c r="F361" i="1" l="1"/>
  <c r="W361" i="1"/>
  <c r="I361" i="1" l="1"/>
  <c r="A361" i="1" s="1"/>
  <c r="K361" i="1"/>
  <c r="E362" i="1" l="1"/>
  <c r="H362" i="1"/>
  <c r="G362" i="1"/>
  <c r="W362" i="1" l="1"/>
  <c r="F362" i="1"/>
  <c r="I362" i="1" l="1"/>
  <c r="A362" i="1" s="1"/>
  <c r="K362" i="1"/>
  <c r="H363" i="1" l="1"/>
  <c r="G363" i="1"/>
  <c r="E363" i="1"/>
  <c r="F363" i="1" l="1"/>
  <c r="W363" i="1"/>
  <c r="I363" i="1" l="1"/>
  <c r="A363" i="1" s="1"/>
  <c r="K363" i="1"/>
  <c r="E364" i="1" l="1"/>
  <c r="H364" i="1"/>
  <c r="G364" i="1"/>
  <c r="W364" i="1" l="1"/>
  <c r="F364" i="1"/>
  <c r="I364" i="1" l="1"/>
  <c r="A364" i="1" s="1"/>
  <c r="K364" i="1"/>
  <c r="H365" i="1" l="1"/>
  <c r="G365" i="1"/>
  <c r="E365" i="1"/>
  <c r="F365" i="1" l="1"/>
  <c r="W365" i="1"/>
  <c r="I365" i="1" l="1"/>
  <c r="A365" i="1" s="1"/>
  <c r="K365" i="1"/>
  <c r="H366" i="1" l="1"/>
  <c r="E366" i="1"/>
  <c r="G366" i="1"/>
  <c r="W366" i="1" l="1"/>
  <c r="F366" i="1"/>
  <c r="I366" i="1" l="1"/>
  <c r="K366" i="1"/>
  <c r="A366" i="1" l="1"/>
  <c r="E367" i="1"/>
  <c r="G367" i="1"/>
  <c r="H367" i="1"/>
  <c r="W367" i="1" l="1"/>
  <c r="F367" i="1"/>
  <c r="I367" i="1" l="1"/>
  <c r="A367" i="1" s="1"/>
  <c r="K367" i="1"/>
  <c r="H368" i="1" l="1"/>
  <c r="E368" i="1"/>
  <c r="G368" i="1"/>
  <c r="W368" i="1" l="1"/>
  <c r="F368" i="1"/>
  <c r="I368" i="1" l="1"/>
  <c r="A368" i="1" s="1"/>
  <c r="K368" i="1"/>
  <c r="G369" i="1" l="1"/>
  <c r="E369" i="1"/>
  <c r="H369" i="1"/>
  <c r="F369" i="1" l="1"/>
  <c r="W369" i="1"/>
  <c r="I369" i="1" l="1"/>
  <c r="A369" i="1" s="1"/>
  <c r="K369" i="1"/>
  <c r="E370" i="1" l="1"/>
  <c r="H370" i="1"/>
  <c r="G370" i="1"/>
  <c r="W370" i="1" l="1"/>
  <c r="F370" i="1"/>
  <c r="I370" i="1" l="1"/>
  <c r="K370" i="1"/>
  <c r="A370" i="1" l="1"/>
  <c r="G371" i="1"/>
  <c r="E371" i="1"/>
  <c r="H371" i="1"/>
  <c r="F371" i="1" l="1"/>
  <c r="W371" i="1"/>
  <c r="I371" i="1" l="1"/>
  <c r="A371" i="1" s="1"/>
  <c r="K371" i="1"/>
  <c r="G372" i="1" l="1"/>
  <c r="E372" i="1"/>
  <c r="H372" i="1"/>
  <c r="F372" i="1" l="1"/>
  <c r="W372" i="1"/>
  <c r="I372" i="1" l="1"/>
  <c r="A372" i="1" s="1"/>
  <c r="K372" i="1"/>
  <c r="H373" i="1" l="1"/>
  <c r="E373" i="1"/>
  <c r="G373" i="1"/>
  <c r="W373" i="1" l="1"/>
  <c r="F373" i="1"/>
  <c r="I373" i="1" l="1"/>
  <c r="A373" i="1" s="1"/>
  <c r="K373" i="1"/>
  <c r="H374" i="1" l="1"/>
  <c r="G374" i="1"/>
  <c r="E374" i="1"/>
  <c r="F374" i="1" l="1"/>
  <c r="W374" i="1"/>
  <c r="I374" i="1" l="1"/>
  <c r="A374" i="1" s="1"/>
  <c r="K374" i="1"/>
  <c r="G375" i="1" l="1"/>
  <c r="H375" i="1"/>
  <c r="E375" i="1"/>
  <c r="F375" i="1" l="1"/>
  <c r="W375" i="1"/>
  <c r="I375" i="1" l="1"/>
  <c r="A375" i="1" s="1"/>
  <c r="K375" i="1"/>
  <c r="G376" i="1" l="1"/>
  <c r="E376" i="1"/>
  <c r="H376" i="1"/>
  <c r="F376" i="1" l="1"/>
  <c r="W376" i="1"/>
  <c r="I376" i="1" l="1"/>
  <c r="A376" i="1" s="1"/>
  <c r="K376" i="1"/>
  <c r="H377" i="1" l="1"/>
  <c r="E377" i="1"/>
  <c r="G377" i="1"/>
  <c r="W377" i="1" l="1"/>
  <c r="F377" i="1"/>
  <c r="I377" i="1" l="1"/>
  <c r="A377" i="1" s="1"/>
  <c r="K377" i="1"/>
  <c r="E378" i="1" l="1"/>
  <c r="G378" i="1"/>
  <c r="H378" i="1"/>
  <c r="W378" i="1" l="1"/>
  <c r="F378" i="1"/>
  <c r="I378" i="1" l="1"/>
  <c r="A378" i="1" s="1"/>
  <c r="K378" i="1"/>
  <c r="G379" i="1" l="1"/>
  <c r="H379" i="1"/>
  <c r="E379" i="1"/>
  <c r="F379" i="1" l="1"/>
  <c r="W379" i="1"/>
  <c r="I379" i="1" l="1"/>
  <c r="A379" i="1" s="1"/>
  <c r="K379" i="1"/>
  <c r="H380" i="1" l="1"/>
  <c r="G380" i="1"/>
  <c r="E380" i="1"/>
  <c r="F380" i="1" l="1"/>
  <c r="W380" i="1"/>
  <c r="I380" i="1" l="1"/>
  <c r="A380" i="1" s="1"/>
  <c r="K380" i="1"/>
  <c r="G381" i="1" l="1"/>
  <c r="H381" i="1"/>
  <c r="E381" i="1"/>
  <c r="F381" i="1" l="1"/>
  <c r="W381" i="1"/>
  <c r="I381" i="1" l="1"/>
  <c r="A381" i="1" s="1"/>
  <c r="K381" i="1"/>
  <c r="H382" i="1" l="1"/>
  <c r="G382" i="1"/>
  <c r="E382" i="1"/>
  <c r="F382" i="1" l="1"/>
  <c r="W382" i="1"/>
  <c r="I382" i="1" l="1"/>
  <c r="A382" i="1" s="1"/>
  <c r="K382" i="1"/>
  <c r="G383" i="1" l="1"/>
  <c r="H383" i="1"/>
  <c r="E383" i="1"/>
  <c r="F383" i="1" l="1"/>
  <c r="W383" i="1"/>
  <c r="I383" i="1" l="1"/>
  <c r="A383" i="1" s="1"/>
  <c r="K383" i="1"/>
  <c r="H384" i="1" l="1"/>
  <c r="G384" i="1"/>
  <c r="E384" i="1"/>
  <c r="F384" i="1" l="1"/>
  <c r="W384" i="1"/>
  <c r="I384" i="1" l="1"/>
  <c r="A384" i="1" s="1"/>
  <c r="K384" i="1"/>
  <c r="G385" i="1" l="1"/>
  <c r="E385" i="1"/>
  <c r="H385" i="1"/>
  <c r="F385" i="1" l="1"/>
  <c r="W385" i="1"/>
  <c r="I385" i="1" l="1"/>
  <c r="K385" i="1"/>
  <c r="A385" i="1" l="1"/>
  <c r="H386" i="1"/>
  <c r="G386" i="1"/>
  <c r="E386" i="1"/>
  <c r="F386" i="1" l="1"/>
  <c r="W386" i="1"/>
  <c r="I386" i="1" l="1"/>
  <c r="A386" i="1" s="1"/>
  <c r="K386" i="1"/>
  <c r="E387" i="1" l="1"/>
  <c r="G387" i="1"/>
  <c r="H387" i="1"/>
  <c r="W387" i="1" l="1"/>
  <c r="F387" i="1"/>
  <c r="I387" i="1" l="1"/>
  <c r="A387" i="1" s="1"/>
  <c r="K387" i="1"/>
  <c r="H388" i="1" l="1"/>
  <c r="G388" i="1"/>
  <c r="E388" i="1"/>
  <c r="F388" i="1" l="1"/>
  <c r="W388" i="1"/>
  <c r="I388" i="1" l="1"/>
  <c r="K388" i="1"/>
  <c r="A388" i="1" l="1"/>
  <c r="H389" i="1"/>
  <c r="G389" i="1"/>
  <c r="E389" i="1"/>
  <c r="F389" i="1" l="1"/>
  <c r="W389" i="1"/>
  <c r="I389" i="1" l="1"/>
  <c r="A389" i="1" s="1"/>
  <c r="K389" i="1"/>
  <c r="E390" i="1" l="1"/>
  <c r="H390" i="1"/>
  <c r="G390" i="1"/>
  <c r="W390" i="1" l="1"/>
  <c r="F390" i="1"/>
  <c r="I390" i="1" l="1"/>
  <c r="K390" i="1"/>
  <c r="A390" i="1" l="1"/>
  <c r="H391" i="1"/>
  <c r="G391" i="1"/>
  <c r="E391" i="1"/>
  <c r="F391" i="1" l="1"/>
  <c r="W391" i="1"/>
  <c r="I391" i="1" l="1"/>
  <c r="A391" i="1" s="1"/>
  <c r="K391" i="1"/>
  <c r="E392" i="1" l="1"/>
  <c r="G392" i="1"/>
  <c r="H392" i="1"/>
  <c r="W392" i="1" l="1"/>
  <c r="F392" i="1"/>
  <c r="I392" i="1" l="1"/>
  <c r="A392" i="1" s="1"/>
  <c r="K392" i="1"/>
  <c r="H393" i="1" l="1"/>
  <c r="E393" i="1"/>
  <c r="G393" i="1"/>
  <c r="W393" i="1" l="1"/>
  <c r="F393" i="1"/>
  <c r="I393" i="1" l="1"/>
  <c r="K393" i="1"/>
  <c r="A393" i="1" l="1"/>
  <c r="G394" i="1"/>
  <c r="H394" i="1"/>
  <c r="E394" i="1"/>
  <c r="F394" i="1" l="1"/>
  <c r="W394" i="1"/>
  <c r="I394" i="1" l="1"/>
  <c r="A394" i="1" s="1"/>
  <c r="K394" i="1"/>
  <c r="G395" i="1" l="1"/>
  <c r="E395" i="1"/>
  <c r="H395" i="1"/>
  <c r="F395" i="1" l="1"/>
  <c r="W395" i="1"/>
  <c r="I395" i="1" l="1"/>
  <c r="A395" i="1" s="1"/>
  <c r="K395" i="1"/>
  <c r="E396" i="1" l="1"/>
  <c r="G396" i="1"/>
  <c r="H396" i="1"/>
  <c r="W396" i="1" l="1"/>
  <c r="F396" i="1"/>
  <c r="I396" i="1" l="1"/>
  <c r="A396" i="1" s="1"/>
  <c r="K396" i="1"/>
  <c r="G397" i="1" l="1"/>
  <c r="E397" i="1"/>
  <c r="H397" i="1"/>
  <c r="W397" i="1" l="1"/>
  <c r="F397" i="1"/>
  <c r="I397" i="1" l="1"/>
  <c r="A397" i="1" s="1"/>
  <c r="K397" i="1"/>
  <c r="E398" i="1" l="1"/>
  <c r="G398" i="1"/>
  <c r="H398" i="1"/>
  <c r="W398" i="1" l="1"/>
  <c r="F398" i="1"/>
  <c r="I398" i="1" l="1"/>
  <c r="A398" i="1" s="1"/>
  <c r="K398" i="1"/>
  <c r="G399" i="1" l="1"/>
  <c r="E399" i="1"/>
  <c r="H399" i="1"/>
  <c r="F399" i="1" l="1"/>
  <c r="W399" i="1"/>
  <c r="I399" i="1" l="1"/>
  <c r="A399" i="1" s="1"/>
  <c r="K399" i="1"/>
  <c r="G400" i="1" l="1"/>
  <c r="E400" i="1"/>
  <c r="H400" i="1"/>
  <c r="F400" i="1" l="1"/>
  <c r="W400" i="1"/>
  <c r="I400" i="1" l="1"/>
  <c r="A400" i="1" s="1"/>
  <c r="K400" i="1"/>
  <c r="G401" i="1" l="1"/>
  <c r="E401" i="1"/>
  <c r="H401" i="1"/>
  <c r="F401" i="1" l="1"/>
  <c r="W401" i="1"/>
  <c r="I401" i="1" l="1"/>
  <c r="A401" i="1" s="1"/>
  <c r="K401" i="1"/>
  <c r="H402" i="1" l="1"/>
  <c r="E402" i="1"/>
  <c r="G402" i="1"/>
  <c r="W402" i="1" l="1"/>
  <c r="F402" i="1"/>
  <c r="I402" i="1" l="1"/>
  <c r="A402" i="1" s="1"/>
  <c r="K402" i="1"/>
  <c r="H403" i="1" l="1"/>
  <c r="G403" i="1"/>
  <c r="E403" i="1"/>
  <c r="F403" i="1" l="1"/>
  <c r="W403" i="1"/>
  <c r="I403" i="1" l="1"/>
  <c r="A403" i="1" s="1"/>
  <c r="K403" i="1"/>
  <c r="E404" i="1" l="1"/>
  <c r="H404" i="1"/>
  <c r="G404" i="1"/>
  <c r="W404" i="1" l="1"/>
  <c r="F404" i="1"/>
  <c r="I404" i="1" l="1"/>
  <c r="A404" i="1" s="1"/>
  <c r="K404" i="1"/>
  <c r="G405" i="1" l="1"/>
  <c r="E405" i="1"/>
  <c r="H405" i="1"/>
  <c r="F405" i="1" l="1"/>
  <c r="W405" i="1"/>
  <c r="I405" i="1" l="1"/>
  <c r="A405" i="1" s="1"/>
  <c r="K405" i="1"/>
  <c r="H406" i="1" l="1"/>
  <c r="G406" i="1"/>
  <c r="E406" i="1"/>
  <c r="F406" i="1" l="1"/>
  <c r="W406" i="1"/>
  <c r="I406" i="1" l="1"/>
  <c r="A406" i="1" s="1"/>
  <c r="K406" i="1"/>
  <c r="E407" i="1" l="1"/>
  <c r="G407" i="1"/>
  <c r="H407" i="1"/>
  <c r="W407" i="1" l="1"/>
  <c r="F407" i="1"/>
  <c r="I407" i="1" l="1"/>
  <c r="A407" i="1" s="1"/>
  <c r="K407" i="1"/>
  <c r="E408" i="1" l="1"/>
  <c r="G408" i="1"/>
  <c r="H408" i="1"/>
  <c r="W408" i="1" l="1"/>
  <c r="F408" i="1"/>
  <c r="I408" i="1" l="1"/>
  <c r="A408" i="1" s="1"/>
  <c r="K408" i="1"/>
  <c r="H409" i="1" l="1"/>
  <c r="E409" i="1"/>
  <c r="G409" i="1"/>
  <c r="W409" i="1" l="1"/>
  <c r="F409" i="1"/>
  <c r="I409" i="1" l="1"/>
  <c r="A409" i="1" s="1"/>
  <c r="K409" i="1"/>
  <c r="G410" i="1" l="1"/>
  <c r="H410" i="1"/>
  <c r="E410" i="1"/>
  <c r="F410" i="1" l="1"/>
  <c r="W410" i="1"/>
  <c r="I410" i="1" l="1"/>
  <c r="A410" i="1" s="1"/>
  <c r="K410" i="1"/>
  <c r="E411" i="1" l="1"/>
  <c r="G411" i="1"/>
  <c r="H411" i="1"/>
  <c r="W411" i="1" l="1"/>
  <c r="F411" i="1"/>
  <c r="I411" i="1" l="1"/>
  <c r="A411" i="1" s="1"/>
  <c r="K411" i="1"/>
  <c r="G412" i="1" l="1"/>
  <c r="H412" i="1"/>
  <c r="E412" i="1"/>
  <c r="F412" i="1" l="1"/>
  <c r="W412" i="1"/>
  <c r="I412" i="1" l="1"/>
  <c r="A412" i="1" s="1"/>
  <c r="K412" i="1"/>
  <c r="G413" i="1" l="1"/>
  <c r="H413" i="1"/>
  <c r="E413" i="1"/>
  <c r="F413" i="1" l="1"/>
  <c r="W413" i="1"/>
  <c r="I413" i="1" l="1"/>
  <c r="A413" i="1" s="1"/>
  <c r="K413" i="1"/>
  <c r="E414" i="1" l="1"/>
  <c r="G414" i="1"/>
  <c r="H414" i="1"/>
  <c r="W414" i="1" l="1"/>
  <c r="F414" i="1"/>
  <c r="I414" i="1" l="1"/>
  <c r="A414" i="1" s="1"/>
  <c r="K414" i="1"/>
  <c r="H415" i="1" l="1"/>
  <c r="G415" i="1"/>
  <c r="E415" i="1"/>
  <c r="W415" i="1" l="1"/>
  <c r="F415" i="1"/>
  <c r="I415" i="1" l="1"/>
  <c r="A415" i="1" s="1"/>
  <c r="K415" i="1"/>
  <c r="E416" i="1" l="1"/>
  <c r="G416" i="1"/>
  <c r="H416" i="1"/>
  <c r="W416" i="1" l="1"/>
  <c r="F416" i="1"/>
  <c r="I416" i="1" l="1"/>
  <c r="A416" i="1" s="1"/>
  <c r="K416" i="1"/>
  <c r="G417" i="1" l="1"/>
  <c r="H417" i="1"/>
  <c r="E417" i="1"/>
  <c r="F417" i="1" l="1"/>
  <c r="W417" i="1"/>
  <c r="I417" i="1" l="1"/>
  <c r="A417" i="1" s="1"/>
  <c r="K417" i="1"/>
  <c r="H418" i="1" l="1"/>
  <c r="G418" i="1"/>
  <c r="E418" i="1"/>
  <c r="F418" i="1" l="1"/>
  <c r="W418" i="1"/>
  <c r="I418" i="1" l="1"/>
  <c r="A418" i="1" s="1"/>
  <c r="K418" i="1"/>
  <c r="H419" i="1" l="1"/>
  <c r="G419" i="1"/>
  <c r="E419" i="1"/>
  <c r="F419" i="1" l="1"/>
  <c r="W419" i="1"/>
  <c r="I419" i="1" l="1"/>
  <c r="A419" i="1" s="1"/>
  <c r="K419" i="1"/>
  <c r="H420" i="1" l="1"/>
  <c r="G420" i="1"/>
  <c r="E420" i="1"/>
  <c r="F420" i="1" l="1"/>
  <c r="W420" i="1"/>
  <c r="I420" i="1" l="1"/>
  <c r="A420" i="1" s="1"/>
  <c r="K420" i="1"/>
  <c r="H421" i="1" l="1"/>
  <c r="G421" i="1"/>
  <c r="E421" i="1"/>
  <c r="F421" i="1" l="1"/>
  <c r="W421" i="1"/>
  <c r="I421" i="1" l="1"/>
  <c r="A421" i="1" s="1"/>
  <c r="K421" i="1"/>
  <c r="H422" i="1" l="1"/>
  <c r="G422" i="1"/>
  <c r="E422" i="1"/>
  <c r="F422" i="1" l="1"/>
  <c r="W422" i="1"/>
  <c r="I422" i="1" l="1"/>
  <c r="A422" i="1" s="1"/>
  <c r="K422" i="1"/>
  <c r="H423" i="1" l="1"/>
  <c r="E423" i="1"/>
  <c r="G423" i="1"/>
  <c r="W423" i="1" l="1"/>
  <c r="F423" i="1"/>
  <c r="I423" i="1" l="1"/>
  <c r="A423" i="1" s="1"/>
  <c r="K423" i="1"/>
  <c r="H424" i="1" l="1"/>
  <c r="G424" i="1"/>
  <c r="E424" i="1"/>
  <c r="F424" i="1" l="1"/>
  <c r="W424" i="1"/>
  <c r="I424" i="1" l="1"/>
  <c r="A424" i="1" s="1"/>
  <c r="K424" i="1"/>
  <c r="G425" i="1" l="1"/>
  <c r="H425" i="1"/>
  <c r="E425" i="1"/>
  <c r="F425" i="1" l="1"/>
  <c r="W425" i="1"/>
  <c r="I425" i="1" l="1"/>
  <c r="A425" i="1" s="1"/>
  <c r="K425" i="1"/>
  <c r="H426" i="1" l="1"/>
  <c r="H2" i="1" s="1"/>
  <c r="E426" i="1"/>
  <c r="E2" i="1" s="1"/>
  <c r="G426" i="1"/>
  <c r="G2" i="1" l="1"/>
  <c r="F4" i="1" s="1"/>
  <c r="N10" i="3" s="1"/>
  <c r="G7" i="3" s="1"/>
  <c r="F426" i="1"/>
  <c r="W426" i="1"/>
  <c r="W4" i="1" s="1"/>
  <c r="W3" i="1" s="1"/>
  <c r="N18" i="3" s="1"/>
  <c r="D6" i="3" s="1"/>
  <c r="N11" i="3" l="1"/>
  <c r="G10" i="3"/>
  <c r="G11" i="3" s="1"/>
  <c r="I426" i="1"/>
  <c r="A426" i="1" s="1"/>
  <c r="F2" i="1"/>
  <c r="K426" i="1"/>
</calcChain>
</file>

<file path=xl/sharedStrings.xml><?xml version="1.0" encoding="utf-8"?>
<sst xmlns="http://schemas.openxmlformats.org/spreadsheetml/2006/main" count="104" uniqueCount="70">
  <si>
    <t>Valor financiado:</t>
  </si>
  <si>
    <t>Meses:</t>
  </si>
  <si>
    <t>Juros a.a.:</t>
  </si>
  <si>
    <t>Juros a.m:</t>
  </si>
  <si>
    <t>TR</t>
  </si>
  <si>
    <t>Parcela</t>
  </si>
  <si>
    <t>Seguro:</t>
  </si>
  <si>
    <t>Taxa Adm.:</t>
  </si>
  <si>
    <t>Juros</t>
  </si>
  <si>
    <t>Amortização</t>
  </si>
  <si>
    <t>Parcelas</t>
  </si>
  <si>
    <t>Saldo Devedor</t>
  </si>
  <si>
    <t>At. Monetária</t>
  </si>
  <si>
    <t>PRICE</t>
  </si>
  <si>
    <t>Amort/SD</t>
  </si>
  <si>
    <t>A</t>
  </si>
  <si>
    <t>Total pago:</t>
  </si>
  <si>
    <t>SAC</t>
  </si>
  <si>
    <t>Parcela Original</t>
  </si>
  <si>
    <t>SD Original</t>
  </si>
  <si>
    <t>@amigodopairico</t>
  </si>
  <si>
    <t>instagram.com/amigodopairico/</t>
  </si>
  <si>
    <t>youtube.com/amigodopairico</t>
  </si>
  <si>
    <t>$ aproveitado</t>
  </si>
  <si>
    <t>Caixa</t>
  </si>
  <si>
    <t>Itaú</t>
  </si>
  <si>
    <t>Santander</t>
  </si>
  <si>
    <t>Bradesco</t>
  </si>
  <si>
    <t>BB</t>
  </si>
  <si>
    <t>Outros</t>
  </si>
  <si>
    <t>SALDO DEVEDOR ATUAL:</t>
  </si>
  <si>
    <t>PARCELAS RESTANTES:</t>
  </si>
  <si>
    <t>TAXA DE JUROS EFETIVA:</t>
  </si>
  <si>
    <t>FGTS</t>
  </si>
  <si>
    <t>Ano</t>
  </si>
  <si>
    <t>Atualização</t>
  </si>
  <si>
    <t>TR CONSIDERADA:</t>
  </si>
  <si>
    <t>Saldo devedor</t>
  </si>
  <si>
    <t>Price</t>
  </si>
  <si>
    <t>NOS PRÓXIMOS 3 ANOS</t>
  </si>
  <si>
    <t>VOCÊ PAGA</t>
  </si>
  <si>
    <t>NO TOTAL</t>
  </si>
  <si>
    <t>A DÍVIDA ALÉM DA DÍVIDA</t>
  </si>
  <si>
    <t>SEGURO + TAXA</t>
  </si>
  <si>
    <t>VALOR DA PRÓXIMA PARCELA:</t>
  </si>
  <si>
    <t>PARCELA PAGA DA DÍVIDA:</t>
  </si>
  <si>
    <t>NOS PRÓXIMOS 3 ANOS VOCÊ PAGA:</t>
  </si>
  <si>
    <t>NO TOTAL VOCÊ PAGA:</t>
  </si>
  <si>
    <t>A DÍVIDA ALÉM DA DÍVIDA:</t>
  </si>
  <si>
    <t>PARCELA PAGA DA DÍVIDA EM %:</t>
  </si>
  <si>
    <t>PARCELA PAGA DA DÍVIDA EM REAIS:</t>
  </si>
  <si>
    <t>Conheça o PAQ, Programa de Aceleração de Quitação</t>
  </si>
  <si>
    <t>VALOR DA PARCELA NO ANO 5:</t>
  </si>
  <si>
    <t>VALOR DA PARCELA NO ANO 10:</t>
  </si>
  <si>
    <t>PARCELA DO ANO 5 PAGA DA DÍVIDA EM %:</t>
  </si>
  <si>
    <t>Clique e saiba mais</t>
  </si>
  <si>
    <t>VALOR LIBERADO</t>
  </si>
  <si>
    <t>AO MÊS</t>
  </si>
  <si>
    <t>LIBEROU</t>
  </si>
  <si>
    <t>Sai da conta</t>
  </si>
  <si>
    <t>CET REAL</t>
  </si>
  <si>
    <t>CÁLCULO DO</t>
  </si>
  <si>
    <t>CET REAL ➡️</t>
  </si>
  <si>
    <t>DIAGNÓSTICO DO FINANCIAMENTO - RAIO X - @amigodopairico</t>
  </si>
  <si>
    <t>SUA DÍVIDA CAI EM 3 ANOS:</t>
  </si>
  <si>
    <t>NOS PRÓXIMOS 12 MESES VOCÊ PAGA:</t>
  </si>
  <si>
    <t>SUA DÍVIDA CAI EM 12 MESES:</t>
  </si>
  <si>
    <t>NOS PRÓXIMOS 12 MESES</t>
  </si>
  <si>
    <t>v. 24/01/2026</t>
  </si>
  <si>
    <t>v. 30/01/2026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</si>
</sst>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0.0000%"/>
    <numFmt numFmtId="165" formatCode="#,##0.00_ ;[Red]\-#,##0.00\ "/>
  </numFmts>
  <fonts count="3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8"/>
      <color rgb="FF19283A"/>
      <name val="Apple Color Emoji"/>
    </font>
    <font>
      <b/>
      <sz val="18"/>
      <color theme="1"/>
      <name val="Calibri"/>
      <family val="2"/>
      <scheme val="minor"/>
    </font>
    <font>
      <sz val="36"/>
      <color rgb="FFC00000"/>
      <name val="Calibri"/>
      <family val="2"/>
      <scheme val="minor"/>
    </font>
    <font>
      <sz val="36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sz val="20"/>
      <color theme="0" tint="-0.14999847407452621"/>
      <name val="Calibri"/>
      <family val="2"/>
      <scheme val="minor"/>
    </font>
    <font>
      <b/>
      <sz val="18"/>
      <color rgb="FFFFC000"/>
      <name val="Calibri"/>
      <family val="2"/>
      <scheme val="minor"/>
    </font>
    <font>
      <b/>
      <sz val="12"/>
      <color rgb="FFFFC000"/>
      <name val="Calibri"/>
      <family val="2"/>
      <scheme val="minor"/>
    </font>
    <font>
      <sz val="20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99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right"/>
    </xf>
    <xf numFmtId="164" fontId="0" fillId="0" borderId="0" xfId="0" applyNumberFormat="1"/>
    <xf numFmtId="3" fontId="0" fillId="0" borderId="0" xfId="0" applyNumberFormat="1"/>
    <xf numFmtId="0" fontId="2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10" fontId="7" fillId="0" borderId="0" xfId="0" applyNumberFormat="1" applyFont="1"/>
    <xf numFmtId="3" fontId="8" fillId="0" borderId="0" xfId="0" applyNumberFormat="1" applyFont="1" applyAlignment="1">
      <alignment horizontal="center"/>
    </xf>
    <xf numFmtId="3" fontId="9" fillId="0" borderId="0" xfId="0" applyNumberFormat="1" applyFont="1"/>
    <xf numFmtId="0" fontId="10" fillId="0" borderId="1" xfId="0" applyFont="1" applyBorder="1" applyAlignment="1">
      <alignment horizontal="center"/>
    </xf>
    <xf numFmtId="4" fontId="12" fillId="3" borderId="0" xfId="0" applyNumberFormat="1" applyFont="1" applyFill="1"/>
    <xf numFmtId="0" fontId="13" fillId="0" borderId="1" xfId="0" applyFont="1" applyBorder="1" applyAlignment="1">
      <alignment horizontal="center"/>
    </xf>
    <xf numFmtId="4" fontId="14" fillId="0" borderId="0" xfId="0" applyNumberFormat="1" applyFont="1"/>
    <xf numFmtId="0" fontId="15" fillId="0" borderId="1" xfId="0" applyFont="1" applyBorder="1" applyAlignment="1">
      <alignment horizontal="center"/>
    </xf>
    <xf numFmtId="4" fontId="16" fillId="0" borderId="0" xfId="0" applyNumberFormat="1" applyFont="1"/>
    <xf numFmtId="0" fontId="0" fillId="4" borderId="0" xfId="0" applyFill="1"/>
    <xf numFmtId="0" fontId="18" fillId="0" borderId="0" xfId="1" applyFont="1"/>
    <xf numFmtId="10" fontId="4" fillId="0" borderId="0" xfId="0" applyNumberFormat="1" applyFont="1"/>
    <xf numFmtId="4" fontId="0" fillId="2" borderId="0" xfId="0" applyNumberFormat="1" applyFill="1" applyProtection="1">
      <protection locked="0"/>
    </xf>
    <xf numFmtId="3" fontId="0" fillId="2" borderId="0" xfId="0" applyNumberFormat="1" applyFill="1" applyAlignment="1" applyProtection="1">
      <alignment horizontal="center"/>
      <protection locked="0"/>
    </xf>
    <xf numFmtId="164" fontId="0" fillId="2" borderId="0" xfId="0" applyNumberFormat="1" applyFill="1" applyProtection="1">
      <protection locked="0"/>
    </xf>
    <xf numFmtId="164" fontId="0" fillId="0" borderId="0" xfId="0" applyNumberFormat="1" applyProtection="1">
      <protection locked="0"/>
    </xf>
    <xf numFmtId="4" fontId="3" fillId="0" borderId="0" xfId="0" applyNumberFormat="1" applyFont="1" applyProtection="1">
      <protection hidden="1"/>
    </xf>
    <xf numFmtId="4" fontId="4" fillId="0" borderId="0" xfId="0" applyNumberFormat="1" applyFont="1" applyProtection="1">
      <protection hidden="1"/>
    </xf>
    <xf numFmtId="4" fontId="0" fillId="0" borderId="0" xfId="0" applyNumberFormat="1" applyProtection="1">
      <protection hidden="1"/>
    </xf>
    <xf numFmtId="4" fontId="5" fillId="0" borderId="0" xfId="0" applyNumberFormat="1" applyFont="1" applyProtection="1">
      <protection hidden="1"/>
    </xf>
    <xf numFmtId="4" fontId="11" fillId="0" borderId="0" xfId="0" applyNumberFormat="1" applyFont="1" applyProtection="1">
      <protection hidden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horizontal="center"/>
    </xf>
    <xf numFmtId="10" fontId="20" fillId="2" borderId="0" xfId="0" applyNumberFormat="1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4" fontId="22" fillId="5" borderId="0" xfId="0" applyNumberFormat="1" applyFont="1" applyFill="1" applyAlignment="1">
      <alignment horizontal="center"/>
    </xf>
    <xf numFmtId="0" fontId="0" fillId="5" borderId="0" xfId="0" applyFill="1"/>
    <xf numFmtId="10" fontId="7" fillId="6" borderId="0" xfId="0" applyNumberFormat="1" applyFont="1" applyFill="1"/>
    <xf numFmtId="3" fontId="0" fillId="6" borderId="0" xfId="0" applyNumberFormat="1" applyFill="1"/>
    <xf numFmtId="3" fontId="8" fillId="6" borderId="0" xfId="0" applyNumberFormat="1" applyFont="1" applyFill="1" applyAlignment="1">
      <alignment horizontal="center"/>
    </xf>
    <xf numFmtId="4" fontId="3" fillId="6" borderId="0" xfId="0" applyNumberFormat="1" applyFont="1" applyFill="1" applyProtection="1">
      <protection hidden="1"/>
    </xf>
    <xf numFmtId="4" fontId="4" fillId="6" borderId="0" xfId="0" applyNumberFormat="1" applyFont="1" applyFill="1" applyProtection="1">
      <protection hidden="1"/>
    </xf>
    <xf numFmtId="4" fontId="0" fillId="6" borderId="0" xfId="0" applyNumberFormat="1" applyFill="1" applyProtection="1">
      <protection hidden="1"/>
    </xf>
    <xf numFmtId="4" fontId="5" fillId="6" borderId="0" xfId="0" applyNumberFormat="1" applyFont="1" applyFill="1" applyProtection="1">
      <protection hidden="1"/>
    </xf>
    <xf numFmtId="4" fontId="11" fillId="6" borderId="0" xfId="0" applyNumberFormat="1" applyFont="1" applyFill="1" applyProtection="1">
      <protection hidden="1"/>
    </xf>
    <xf numFmtId="0" fontId="0" fillId="6" borderId="0" xfId="0" applyFill="1"/>
    <xf numFmtId="10" fontId="4" fillId="6" borderId="0" xfId="0" applyNumberFormat="1" applyFont="1" applyFill="1"/>
    <xf numFmtId="4" fontId="14" fillId="6" borderId="0" xfId="0" applyNumberFormat="1" applyFont="1" applyFill="1"/>
    <xf numFmtId="4" fontId="1" fillId="0" borderId="0" xfId="0" applyNumberFormat="1" applyFont="1"/>
    <xf numFmtId="164" fontId="1" fillId="0" borderId="0" xfId="0" applyNumberFormat="1" applyFont="1"/>
    <xf numFmtId="10" fontId="24" fillId="3" borderId="0" xfId="0" applyNumberFormat="1" applyFont="1" applyFill="1" applyAlignment="1">
      <alignment horizontal="center"/>
    </xf>
    <xf numFmtId="0" fontId="30" fillId="4" borderId="0" xfId="0" applyFont="1" applyFill="1"/>
    <xf numFmtId="0" fontId="0" fillId="3" borderId="0" xfId="0" applyFill="1"/>
    <xf numFmtId="0" fontId="26" fillId="3" borderId="0" xfId="0" applyFont="1" applyFill="1" applyAlignment="1">
      <alignment horizontal="center"/>
    </xf>
    <xf numFmtId="0" fontId="27" fillId="3" borderId="0" xfId="0" applyFont="1" applyFill="1" applyAlignment="1">
      <alignment horizontal="center"/>
    </xf>
    <xf numFmtId="4" fontId="3" fillId="3" borderId="0" xfId="0" applyNumberFormat="1" applyFont="1" applyFill="1"/>
    <xf numFmtId="4" fontId="28" fillId="3" borderId="0" xfId="0" applyNumberFormat="1" applyFont="1" applyFill="1"/>
    <xf numFmtId="10" fontId="3" fillId="3" borderId="0" xfId="0" applyNumberFormat="1" applyFont="1" applyFill="1"/>
    <xf numFmtId="10" fontId="28" fillId="3" borderId="0" xfId="0" applyNumberFormat="1" applyFont="1" applyFill="1"/>
    <xf numFmtId="10" fontId="25" fillId="3" borderId="0" xfId="0" applyNumberFormat="1" applyFont="1" applyFill="1" applyAlignment="1">
      <alignment horizontal="center"/>
    </xf>
    <xf numFmtId="2" fontId="25" fillId="3" borderId="0" xfId="0" applyNumberFormat="1" applyFont="1" applyFill="1" applyAlignment="1">
      <alignment horizontal="center"/>
    </xf>
    <xf numFmtId="10" fontId="23" fillId="3" borderId="0" xfId="0" applyNumberFormat="1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1" fillId="3" borderId="0" xfId="0" applyFont="1" applyFill="1"/>
    <xf numFmtId="164" fontId="1" fillId="3" borderId="0" xfId="0" applyNumberFormat="1" applyFont="1" applyFill="1"/>
    <xf numFmtId="10" fontId="0" fillId="3" borderId="0" xfId="0" applyNumberFormat="1" applyFill="1"/>
    <xf numFmtId="0" fontId="29" fillId="3" borderId="0" xfId="0" applyFont="1" applyFill="1" applyAlignment="1">
      <alignment horizontal="right"/>
    </xf>
    <xf numFmtId="164" fontId="16" fillId="3" borderId="0" xfId="0" applyNumberFormat="1" applyFont="1" applyFill="1" applyAlignment="1">
      <alignment horizontal="center"/>
    </xf>
    <xf numFmtId="0" fontId="19" fillId="3" borderId="0" xfId="0" applyFont="1" applyFill="1"/>
    <xf numFmtId="8" fontId="0" fillId="3" borderId="0" xfId="0" applyNumberFormat="1" applyFill="1"/>
    <xf numFmtId="4" fontId="0" fillId="3" borderId="0" xfId="0" applyNumberFormat="1" applyFill="1"/>
    <xf numFmtId="0" fontId="32" fillId="7" borderId="0" xfId="0" applyFont="1" applyFill="1" applyAlignment="1">
      <alignment horizontal="center"/>
    </xf>
    <xf numFmtId="0" fontId="33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31" fillId="3" borderId="0" xfId="0" applyFont="1" applyFill="1"/>
    <xf numFmtId="10" fontId="31" fillId="3" borderId="0" xfId="0" applyNumberFormat="1" applyFont="1" applyFill="1"/>
    <xf numFmtId="0" fontId="31" fillId="3" borderId="0" xfId="0" quotePrefix="1" applyFont="1" applyFill="1" applyAlignment="1">
      <alignment horizontal="right"/>
    </xf>
    <xf numFmtId="0" fontId="34" fillId="3" borderId="0" xfId="0" applyFont="1" applyFill="1"/>
    <xf numFmtId="0" fontId="35" fillId="3" borderId="0" xfId="0" applyFont="1" applyFill="1" applyAlignment="1">
      <alignment horizontal="center"/>
    </xf>
    <xf numFmtId="0" fontId="0" fillId="9" borderId="0" xfId="0" applyFill="1"/>
    <xf numFmtId="0" fontId="32" fillId="9" borderId="0" xfId="0" applyFont="1" applyFill="1" applyAlignment="1">
      <alignment horizontal="center"/>
    </xf>
    <xf numFmtId="0" fontId="32" fillId="5" borderId="0" xfId="0" applyFont="1" applyFill="1" applyAlignment="1">
      <alignment horizontal="center"/>
    </xf>
    <xf numFmtId="0" fontId="37" fillId="3" borderId="0" xfId="0" applyFont="1" applyFill="1" applyAlignment="1">
      <alignment horizontal="center" vertical="top"/>
    </xf>
    <xf numFmtId="4" fontId="31" fillId="3" borderId="0" xfId="0" applyNumberFormat="1" applyFont="1" applyFill="1" applyAlignment="1">
      <alignment horizontal="center"/>
    </xf>
    <xf numFmtId="4" fontId="31" fillId="11" borderId="0" xfId="0" applyNumberFormat="1" applyFont="1" applyFill="1" applyProtection="1">
      <protection hidden="1"/>
    </xf>
    <xf numFmtId="4" fontId="31" fillId="12" borderId="0" xfId="0" applyNumberFormat="1" applyFont="1" applyFill="1" applyProtection="1">
      <protection hidden="1"/>
    </xf>
    <xf numFmtId="0" fontId="38" fillId="3" borderId="0" xfId="0" applyFont="1" applyFill="1"/>
    <xf numFmtId="0" fontId="20" fillId="9" borderId="0" xfId="0" applyFont="1" applyFill="1" applyAlignment="1">
      <alignment horizontal="center"/>
    </xf>
    <xf numFmtId="0" fontId="32" fillId="2" borderId="0" xfId="0" applyFont="1" applyFill="1" applyAlignment="1">
      <alignment horizontal="center"/>
    </xf>
    <xf numFmtId="0" fontId="17" fillId="4" borderId="0" xfId="1" applyFill="1"/>
    <xf numFmtId="3" fontId="22" fillId="5" borderId="0" xfId="0" applyNumberFormat="1" applyFont="1" applyFill="1" applyAlignment="1">
      <alignment horizontal="center"/>
    </xf>
    <xf numFmtId="3" fontId="22" fillId="9" borderId="0" xfId="0" applyNumberFormat="1" applyFont="1" applyFill="1" applyAlignment="1">
      <alignment horizontal="center"/>
    </xf>
    <xf numFmtId="3" fontId="21" fillId="9" borderId="0" xfId="0" applyNumberFormat="1" applyFont="1" applyFill="1" applyAlignment="1">
      <alignment horizontal="center"/>
    </xf>
    <xf numFmtId="3" fontId="36" fillId="10" borderId="0" xfId="0" applyNumberFormat="1" applyFont="1" applyFill="1" applyAlignment="1">
      <alignment horizontal="center"/>
    </xf>
    <xf numFmtId="3" fontId="20" fillId="2" borderId="0" xfId="0" applyNumberFormat="1" applyFont="1" applyFill="1" applyAlignment="1">
      <alignment horizontal="center"/>
    </xf>
    <xf numFmtId="0" fontId="32" fillId="13" borderId="0" xfId="0" applyFont="1" applyFill="1" applyAlignment="1">
      <alignment horizontal="center"/>
    </xf>
    <xf numFmtId="3" fontId="22" fillId="13" borderId="0" xfId="0" applyNumberFormat="1" applyFont="1" applyFill="1" applyAlignment="1">
      <alignment horizontal="center"/>
    </xf>
    <xf numFmtId="0" fontId="0" fillId="13" borderId="0" xfId="0" applyFill="1"/>
    <xf numFmtId="4" fontId="22" fillId="13" borderId="0" xfId="0" applyNumberFormat="1" applyFont="1" applyFill="1" applyAlignment="1">
      <alignment horizontal="center"/>
    </xf>
    <xf numFmtId="0" fontId="24" fillId="8" borderId="0" xfId="0" applyFont="1" applyFill="1" applyAlignment="1">
      <alignment horizontal="center"/>
    </xf>
  </cellXfs>
  <cellStyles count="2">
    <cellStyle name="Hi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theme="4" tint="0.59996337778862885"/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bg1"/>
                </a:solidFill>
              </a:rPr>
              <a:t>O QUE VOCÊ PAGA REALMENTE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VALOR FINANCIADO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'RAIO X DO SEU FINANCIAMENTO'!$C$20</c:f>
              <c:numCache>
                <c:formatCode>#,##0</c:formatCode>
                <c:ptCount val="1"/>
                <c:pt idx="0">
                  <c:v>141826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5-E747-87AD-4CD5CBB4D8D3}"/>
            </c:ext>
          </c:extLst>
        </c:ser>
        <c:ser>
          <c:idx val="2"/>
          <c:order val="1"/>
          <c:tx>
            <c:v>TOTAL PAGO</c:v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'RAIO X DO SEU FINANCIAMENTO'!$G$7</c:f>
              <c:numCache>
                <c:formatCode>#,##0</c:formatCode>
                <c:ptCount val="1"/>
                <c:pt idx="0">
                  <c:v>400751.8984909993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5-E747-87AD-4CD5CBB4D8D3}"/>
            </c:ext>
          </c:extLst>
        </c:ser>
        <c:ser>
          <c:idx val="1"/>
          <c:order val="2"/>
          <c:tx>
            <c:v>A DÍVIDA ALÉM DA DÍVIDA</c:v>
          </c:tx>
          <c:spPr>
            <a:solidFill>
              <a:srgbClr val="C0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'RAIO X DO SEU FINANCIAMENTO'!$G$10</c:f>
              <c:numCache>
                <c:formatCode>#,##0</c:formatCode>
                <c:ptCount val="1"/>
                <c:pt idx="0">
                  <c:v>258925.8984909993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5-E747-87AD-4CD5CBB4D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63937807"/>
        <c:axId val="263939519"/>
      </c:barChart>
      <c:catAx>
        <c:axId val="263937807"/>
        <c:scaling>
          <c:orientation val="minMax"/>
        </c:scaling>
        <c:delete val="1"/>
        <c:axPos val="b"/>
        <c:majorTickMark val="none"/>
        <c:minorTickMark val="none"/>
        <c:tickLblPos val="nextTo"/>
        <c:crossAx val="263939519"/>
        <c:crosses val="autoZero"/>
        <c:auto val="1"/>
        <c:lblAlgn val="ctr"/>
        <c:lblOffset val="100"/>
        <c:noMultiLvlLbl val="0"/>
      </c:catAx>
      <c:valAx>
        <c:axId val="26393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393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chemeClr val="bg1">
                    <a:lumMod val="85000"/>
                  </a:schemeClr>
                </a:solidFill>
              </a:rPr>
              <a:t>Parcela na SAC e na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Parcela na SAC</c:v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'SAC @amigodopairico'!$G$7:$G$426</c:f>
              <c:numCache>
                <c:formatCode>#,##0.00</c:formatCode>
                <c:ptCount val="420"/>
                <c:pt idx="0">
                  <c:v>1376.2307895038523</c:v>
                </c:pt>
                <c:pt idx="1">
                  <c:v>1375.8240676640635</c:v>
                </c:pt>
                <c:pt idx="2">
                  <c:v>1375.4121374938213</c:v>
                </c:pt>
                <c:pt idx="3">
                  <c:v>1374.9949824453497</c:v>
                </c:pt>
                <c:pt idx="4">
                  <c:v>1374.5725859297243</c:v>
                </c:pt>
                <c:pt idx="5">
                  <c:v>1374.1449313167834</c:v>
                </c:pt>
                <c:pt idx="6">
                  <c:v>1373.712001935038</c:v>
                </c:pt>
                <c:pt idx="7">
                  <c:v>1373.2737810715812</c:v>
                </c:pt>
                <c:pt idx="8">
                  <c:v>1372.8302519719985</c:v>
                </c:pt>
                <c:pt idx="9">
                  <c:v>1372.3813978402763</c:v>
                </c:pt>
                <c:pt idx="10">
                  <c:v>1371.9272018387128</c:v>
                </c:pt>
                <c:pt idx="11">
                  <c:v>1371.4676470878262</c:v>
                </c:pt>
                <c:pt idx="12">
                  <c:v>1371.0027166662649</c:v>
                </c:pt>
                <c:pt idx="13">
                  <c:v>1370.5323936107152</c:v>
                </c:pt>
                <c:pt idx="14">
                  <c:v>1370.0566609158113</c:v>
                </c:pt>
                <c:pt idx="15">
                  <c:v>1369.5755015340442</c:v>
                </c:pt>
                <c:pt idx="16">
                  <c:v>1369.0888983756688</c:v>
                </c:pt>
                <c:pt idx="17">
                  <c:v>1368.5968343086145</c:v>
                </c:pt>
                <c:pt idx="18">
                  <c:v>1368.0992921583927</c:v>
                </c:pt>
                <c:pt idx="19">
                  <c:v>1367.5962547080044</c:v>
                </c:pt>
                <c:pt idx="20">
                  <c:v>1367.0877046978489</c:v>
                </c:pt>
                <c:pt idx="21">
                  <c:v>1366.5736248256333</c:v>
                </c:pt>
                <c:pt idx="22">
                  <c:v>1366.053997746277</c:v>
                </c:pt>
                <c:pt idx="23">
                  <c:v>1365.5288060718221</c:v>
                </c:pt>
                <c:pt idx="24">
                  <c:v>1364.9980323713417</c:v>
                </c:pt>
                <c:pt idx="25">
                  <c:v>1364.4616591708443</c:v>
                </c:pt>
                <c:pt idx="26">
                  <c:v>1363.9196689531843</c:v>
                </c:pt>
                <c:pt idx="27">
                  <c:v>1363.3720441579676</c:v>
                </c:pt>
                <c:pt idx="28">
                  <c:v>1362.8187671814594</c:v>
                </c:pt>
                <c:pt idx="29">
                  <c:v>1362.2598203764912</c:v>
                </c:pt>
                <c:pt idx="30">
                  <c:v>1361.6951860523677</c:v>
                </c:pt>
                <c:pt idx="31">
                  <c:v>1361.1248464747732</c:v>
                </c:pt>
                <c:pt idx="32">
                  <c:v>1360.5487838656795</c:v>
                </c:pt>
                <c:pt idx="33">
                  <c:v>1359.9669804032517</c:v>
                </c:pt>
                <c:pt idx="34">
                  <c:v>1359.3794182217548</c:v>
                </c:pt>
                <c:pt idx="35">
                  <c:v>1358.7860794114595</c:v>
                </c:pt>
                <c:pt idx="36">
                  <c:v>1358.1869460185512</c:v>
                </c:pt>
                <c:pt idx="37">
                  <c:v>1357.5820000450321</c:v>
                </c:pt>
                <c:pt idx="38">
                  <c:v>1356.9712234486319</c:v>
                </c:pt>
                <c:pt idx="39">
                  <c:v>1356.3545981427087</c:v>
                </c:pt>
                <c:pt idx="40">
                  <c:v>1355.7321059961603</c:v>
                </c:pt>
                <c:pt idx="41">
                  <c:v>1355.1037288333262</c:v>
                </c:pt>
                <c:pt idx="42">
                  <c:v>1354.469448433895</c:v>
                </c:pt>
                <c:pt idx="43">
                  <c:v>1353.82924653281</c:v>
                </c:pt>
                <c:pt idx="44">
                  <c:v>1353.1831048201743</c:v>
                </c:pt>
                <c:pt idx="45">
                  <c:v>1352.5310049411571</c:v>
                </c:pt>
                <c:pt idx="46">
                  <c:v>1351.8729284958983</c:v>
                </c:pt>
                <c:pt idx="47">
                  <c:v>1351.2088570394146</c:v>
                </c:pt>
                <c:pt idx="48">
                  <c:v>1350.5387720815042</c:v>
                </c:pt>
                <c:pt idx="49">
                  <c:v>1349.8626550866529</c:v>
                </c:pt>
                <c:pt idx="50">
                  <c:v>1349.180487473938</c:v>
                </c:pt>
                <c:pt idx="51">
                  <c:v>1348.4922506169346</c:v>
                </c:pt>
                <c:pt idx="52">
                  <c:v>1347.7979258436203</c:v>
                </c:pt>
                <c:pt idx="53">
                  <c:v>1347.0974944362792</c:v>
                </c:pt>
                <c:pt idx="54">
                  <c:v>1346.3909376314095</c:v>
                </c:pt>
                <c:pt idx="55">
                  <c:v>1345.6782366196251</c:v>
                </c:pt>
                <c:pt idx="56">
                  <c:v>1344.9593725455625</c:v>
                </c:pt>
                <c:pt idx="57">
                  <c:v>1344.2343265077848</c:v>
                </c:pt>
                <c:pt idx="58">
                  <c:v>1343.5030795586877</c:v>
                </c:pt>
                <c:pt idx="59">
                  <c:v>1342.765612704402</c:v>
                </c:pt>
                <c:pt idx="60">
                  <c:v>1342.0219069047009</c:v>
                </c:pt>
                <c:pt idx="61">
                  <c:v>1341.2719430729026</c:v>
                </c:pt>
                <c:pt idx="62">
                  <c:v>1340.5157020757756</c:v>
                </c:pt>
                <c:pt idx="63">
                  <c:v>1339.7531647334438</c:v>
                </c:pt>
                <c:pt idx="64">
                  <c:v>1338.9843118192907</c:v>
                </c:pt>
                <c:pt idx="65">
                  <c:v>1338.2091240598645</c:v>
                </c:pt>
                <c:pt idx="66">
                  <c:v>1337.4275821347815</c:v>
                </c:pt>
                <c:pt idx="67">
                  <c:v>1336.6396666766323</c:v>
                </c:pt>
                <c:pt idx="68">
                  <c:v>1335.8453582708851</c:v>
                </c:pt>
                <c:pt idx="69">
                  <c:v>1335.0446374557912</c:v>
                </c:pt>
                <c:pt idx="70">
                  <c:v>1334.2374847222891</c:v>
                </c:pt>
                <c:pt idx="71">
                  <c:v>1333.4238805139094</c:v>
                </c:pt>
                <c:pt idx="72">
                  <c:v>1332.6038052266792</c:v>
                </c:pt>
                <c:pt idx="73">
                  <c:v>1331.7772392090278</c:v>
                </c:pt>
                <c:pt idx="74">
                  <c:v>1330.9441627616898</c:v>
                </c:pt>
                <c:pt idx="75">
                  <c:v>1330.1045561376118</c:v>
                </c:pt>
                <c:pt idx="76">
                  <c:v>1329.2583995418552</c:v>
                </c:pt>
                <c:pt idx="77">
                  <c:v>1328.4056731315031</c:v>
                </c:pt>
                <c:pt idx="78">
                  <c:v>1327.5463570155639</c:v>
                </c:pt>
                <c:pt idx="79">
                  <c:v>1326.680431254877</c:v>
                </c:pt>
                <c:pt idx="80">
                  <c:v>1325.8078758620177</c:v>
                </c:pt>
                <c:pt idx="81">
                  <c:v>1324.9286708012021</c:v>
                </c:pt>
                <c:pt idx="82">
                  <c:v>1324.0427959881933</c:v>
                </c:pt>
                <c:pt idx="83">
                  <c:v>1323.1502312902064</c:v>
                </c:pt>
                <c:pt idx="84">
                  <c:v>1322.2509565258133</c:v>
                </c:pt>
                <c:pt idx="85">
                  <c:v>1321.3449514648489</c:v>
                </c:pt>
                <c:pt idx="86">
                  <c:v>1320.4321958283174</c:v>
                </c:pt>
                <c:pt idx="87">
                  <c:v>1319.5126692882975</c:v>
                </c:pt>
                <c:pt idx="88">
                  <c:v>1318.5863514678481</c:v>
                </c:pt>
                <c:pt idx="89">
                  <c:v>1317.6532219409157</c:v>
                </c:pt>
                <c:pt idx="90">
                  <c:v>1316.7132602322399</c:v>
                </c:pt>
                <c:pt idx="91">
                  <c:v>1315.7664458172599</c:v>
                </c:pt>
                <c:pt idx="92">
                  <c:v>1314.812758122021</c:v>
                </c:pt>
                <c:pt idx="93">
                  <c:v>1313.8521765230826</c:v>
                </c:pt>
                <c:pt idx="94">
                  <c:v>1312.8846803474244</c:v>
                </c:pt>
                <c:pt idx="95">
                  <c:v>1311.9102488723531</c:v>
                </c:pt>
                <c:pt idx="96">
                  <c:v>1310.9288613254123</c:v>
                </c:pt>
                <c:pt idx="97">
                  <c:v>1309.9404968842875</c:v>
                </c:pt>
                <c:pt idx="98">
                  <c:v>1308.945134676716</c:v>
                </c:pt>
                <c:pt idx="99">
                  <c:v>1307.9427537803942</c:v>
                </c:pt>
                <c:pt idx="100">
                  <c:v>1306.9333332228866</c:v>
                </c:pt>
                <c:pt idx="101">
                  <c:v>1305.9168519815353</c:v>
                </c:pt>
                <c:pt idx="102">
                  <c:v>1304.8932889833675</c:v>
                </c:pt>
                <c:pt idx="103">
                  <c:v>1303.8626231050066</c:v>
                </c:pt>
                <c:pt idx="104">
                  <c:v>1302.824833172582</c:v>
                </c:pt>
                <c:pt idx="105">
                  <c:v>1301.7798979616375</c:v>
                </c:pt>
                <c:pt idx="106">
                  <c:v>1300.727796197044</c:v>
                </c:pt>
                <c:pt idx="107">
                  <c:v>1299.6685065529091</c:v>
                </c:pt>
                <c:pt idx="108">
                  <c:v>1298.602007652489</c:v>
                </c:pt>
                <c:pt idx="109">
                  <c:v>1297.5282780681</c:v>
                </c:pt>
                <c:pt idx="110">
                  <c:v>1296.4472963210305</c:v>
                </c:pt>
                <c:pt idx="111">
                  <c:v>1295.3590408814548</c:v>
                </c:pt>
                <c:pt idx="112">
                  <c:v>1294.2634901683437</c:v>
                </c:pt>
                <c:pt idx="113">
                  <c:v>1293.1606225493813</c:v>
                </c:pt>
                <c:pt idx="114">
                  <c:v>1292.0504163408764</c:v>
                </c:pt>
                <c:pt idx="115">
                  <c:v>1290.9328498076786</c:v>
                </c:pt>
                <c:pt idx="116">
                  <c:v>1289.807901163093</c:v>
                </c:pt>
                <c:pt idx="117">
                  <c:v>1288.6755485687963</c:v>
                </c:pt>
                <c:pt idx="118">
                  <c:v>1287.5357701347525</c:v>
                </c:pt>
                <c:pt idx="119">
                  <c:v>1286.3885439191306</c:v>
                </c:pt>
                <c:pt idx="120">
                  <c:v>1285.2338479282221</c:v>
                </c:pt>
                <c:pt idx="121">
                  <c:v>1284.071660116359</c:v>
                </c:pt>
                <c:pt idx="122">
                  <c:v>1282.901958385833</c:v>
                </c:pt>
                <c:pt idx="123">
                  <c:v>1281.7247205868157</c:v>
                </c:pt>
                <c:pt idx="124">
                  <c:v>1280.5399245172785</c:v>
                </c:pt>
                <c:pt idx="125">
                  <c:v>1279.3475479229135</c:v>
                </c:pt>
                <c:pt idx="126">
                  <c:v>1278.1475684970571</c:v>
                </c:pt>
                <c:pt idx="127">
                  <c:v>1276.9399638806117</c:v>
                </c:pt>
                <c:pt idx="128">
                  <c:v>1275.7247116619706</c:v>
                </c:pt>
                <c:pt idx="129">
                  <c:v>1274.5017893769409</c:v>
                </c:pt>
                <c:pt idx="130">
                  <c:v>1273.2711745086713</c:v>
                </c:pt>
                <c:pt idx="131">
                  <c:v>1272.0328444875784</c:v>
                </c:pt>
                <c:pt idx="132">
                  <c:v>1270.7867766912732</c:v>
                </c:pt>
                <c:pt idx="133">
                  <c:v>1269.5329484444915</c:v>
                </c:pt>
                <c:pt idx="134">
                  <c:v>1268.2713370190222</c:v>
                </c:pt>
                <c:pt idx="135">
                  <c:v>1267.0019196336402</c:v>
                </c:pt>
                <c:pt idx="136">
                  <c:v>1265.7246734540377</c:v>
                </c:pt>
                <c:pt idx="137">
                  <c:v>1264.4395755927562</c:v>
                </c:pt>
                <c:pt idx="138">
                  <c:v>1263.146603109125</c:v>
                </c:pt>
                <c:pt idx="139">
                  <c:v>1261.8457330091928</c:v>
                </c:pt>
                <c:pt idx="140">
                  <c:v>1260.5369422456697</c:v>
                </c:pt>
                <c:pt idx="141">
                  <c:v>1259.2202077178626</c:v>
                </c:pt>
                <c:pt idx="142">
                  <c:v>1257.8955062716166</c:v>
                </c:pt>
                <c:pt idx="143">
                  <c:v>1256.5628146992581</c:v>
                </c:pt>
                <c:pt idx="144">
                  <c:v>1255.2221097395372</c:v>
                </c:pt>
                <c:pt idx="145">
                  <c:v>1253.8733680775726</c:v>
                </c:pt>
                <c:pt idx="146">
                  <c:v>1252.5165663448006</c:v>
                </c:pt>
                <c:pt idx="147">
                  <c:v>1251.1516811189208</c:v>
                </c:pt>
                <c:pt idx="148">
                  <c:v>1249.7786889238487</c:v>
                </c:pt>
                <c:pt idx="149">
                  <c:v>1248.397566229668</c:v>
                </c:pt>
                <c:pt idx="150">
                  <c:v>1247.0082894525844</c:v>
                </c:pt>
                <c:pt idx="151">
                  <c:v>1245.6108349548829</c:v>
                </c:pt>
                <c:pt idx="152">
                  <c:v>1244.2051790448854</c:v>
                </c:pt>
                <c:pt idx="153">
                  <c:v>1242.7912979769135</c:v>
                </c:pt>
                <c:pt idx="154">
                  <c:v>1241.3691679512494</c:v>
                </c:pt>
                <c:pt idx="155">
                  <c:v>1239.9387651141037</c:v>
                </c:pt>
                <c:pt idx="156">
                  <c:v>1238.5000655575814</c:v>
                </c:pt>
                <c:pt idx="157">
                  <c:v>1237.0530453196552</c:v>
                </c:pt>
                <c:pt idx="158">
                  <c:v>1235.5976803841363</c:v>
                </c:pt>
                <c:pt idx="159">
                  <c:v>1234.1339466806528</c:v>
                </c:pt>
                <c:pt idx="160">
                  <c:v>1232.6618200846265</c:v>
                </c:pt>
                <c:pt idx="161">
                  <c:v>1231.1812764172573</c:v>
                </c:pt>
                <c:pt idx="162">
                  <c:v>1229.692291445507</c:v>
                </c:pt>
                <c:pt idx="163">
                  <c:v>1228.1948408820874</c:v>
                </c:pt>
                <c:pt idx="164">
                  <c:v>1226.6889003854535</c:v>
                </c:pt>
                <c:pt idx="165">
                  <c:v>1225.1744455597973</c:v>
                </c:pt>
                <c:pt idx="166">
                  <c:v>1223.6514519550483</c:v>
                </c:pt>
                <c:pt idx="167">
                  <c:v>1222.1198950668745</c:v>
                </c:pt>
                <c:pt idx="168">
                  <c:v>1220.5797503366898</c:v>
                </c:pt>
                <c:pt idx="169">
                  <c:v>1219.0309931516651</c:v>
                </c:pt>
                <c:pt idx="170">
                  <c:v>1217.4735988447421</c:v>
                </c:pt>
                <c:pt idx="171">
                  <c:v>1215.9075426946533</c:v>
                </c:pt>
                <c:pt idx="172">
                  <c:v>1214.3327999259459</c:v>
                </c:pt>
                <c:pt idx="173">
                  <c:v>1212.7493457090095</c:v>
                </c:pt>
                <c:pt idx="174">
                  <c:v>1211.157155160111</c:v>
                </c:pt>
                <c:pt idx="175">
                  <c:v>1209.5562033414312</c:v>
                </c:pt>
                <c:pt idx="176">
                  <c:v>1207.9464652611118</c:v>
                </c:pt>
                <c:pt idx="177">
                  <c:v>1206.3279158733012</c:v>
                </c:pt>
                <c:pt idx="178">
                  <c:v>1204.700530078213</c:v>
                </c:pt>
                <c:pt idx="179">
                  <c:v>1203.0642827221855</c:v>
                </c:pt>
                <c:pt idx="180">
                  <c:v>1201.4191485977494</c:v>
                </c:pt>
                <c:pt idx="181">
                  <c:v>1199.7651024437027</c:v>
                </c:pt>
                <c:pt idx="182">
                  <c:v>1198.1021189451903</c:v>
                </c:pt>
                <c:pt idx="183">
                  <c:v>1196.4301727337936</c:v>
                </c:pt>
                <c:pt idx="184">
                  <c:v>1194.7492383876233</c:v>
                </c:pt>
                <c:pt idx="185">
                  <c:v>1193.0592904314244</c:v>
                </c:pt>
                <c:pt idx="186">
                  <c:v>1191.360303336686</c:v>
                </c:pt>
                <c:pt idx="187">
                  <c:v>1189.6522515217603</c:v>
                </c:pt>
                <c:pt idx="188">
                  <c:v>1187.9351093519908</c:v>
                </c:pt>
                <c:pt idx="189">
                  <c:v>1186.2088511398499</c:v>
                </c:pt>
                <c:pt idx="190">
                  <c:v>1184.4734511450829</c:v>
                </c:pt>
                <c:pt idx="191">
                  <c:v>1182.728883574865</c:v>
                </c:pt>
                <c:pt idx="192">
                  <c:v>1180.9751225839691</c:v>
                </c:pt>
                <c:pt idx="193">
                  <c:v>1179.2121422749406</c:v>
                </c:pt>
                <c:pt idx="194">
                  <c:v>1177.4399166982862</c:v>
                </c:pt>
                <c:pt idx="195">
                  <c:v>1175.6584198526734</c:v>
                </c:pt>
                <c:pt idx="196">
                  <c:v>1173.8676256851427</c:v>
                </c:pt>
                <c:pt idx="197">
                  <c:v>1172.0675080913318</c:v>
                </c:pt>
                <c:pt idx="198">
                  <c:v>1170.2580409157126</c:v>
                </c:pt>
                <c:pt idx="199">
                  <c:v>1168.4391979518441</c:v>
                </c:pt>
                <c:pt idx="200">
                  <c:v>1166.6109529426371</c:v>
                </c:pt>
                <c:pt idx="201">
                  <c:v>1164.7732795806353</c:v>
                </c:pt>
                <c:pt idx="202">
                  <c:v>1162.9261515083131</c:v>
                </c:pt>
                <c:pt idx="203">
                  <c:v>1161.0695423183881</c:v>
                </c:pt>
                <c:pt idx="204">
                  <c:v>1159.2034255541523</c:v>
                </c:pt>
                <c:pt idx="205">
                  <c:v>1157.3277747098202</c:v>
                </c:pt>
                <c:pt idx="206">
                  <c:v>1155.4425632308962</c:v>
                </c:pt>
                <c:pt idx="207">
                  <c:v>1153.5477645145629</c:v>
                </c:pt>
                <c:pt idx="208">
                  <c:v>1151.6433519100892</c:v>
                </c:pt>
                <c:pt idx="209">
                  <c:v>1149.7292987192586</c:v>
                </c:pt>
                <c:pt idx="210">
                  <c:v>1147.8055781968244</c:v>
                </c:pt>
                <c:pt idx="211">
                  <c:v>1145.8721635509837</c:v>
                </c:pt>
                <c:pt idx="212">
                  <c:v>1143.9290279438812</c:v>
                </c:pt>
                <c:pt idx="213">
                  <c:v>1141.9761444921344</c:v>
                </c:pt>
                <c:pt idx="214">
                  <c:v>1140.0134862673922</c:v>
                </c:pt>
                <c:pt idx="215">
                  <c:v>1138.0410262969162</c:v>
                </c:pt>
                <c:pt idx="216">
                  <c:v>1136.0587375641971</c:v>
                </c:pt>
                <c:pt idx="217">
                  <c:v>1134.0665930096011</c:v>
                </c:pt>
                <c:pt idx="218">
                  <c:v>1132.0645655310486</c:v>
                </c:pt>
                <c:pt idx="219">
                  <c:v>1130.052627984732</c:v>
                </c:pt>
                <c:pt idx="220">
                  <c:v>1128.0307531858648</c:v>
                </c:pt>
                <c:pt idx="221">
                  <c:v>1125.9989139094755</c:v>
                </c:pt>
                <c:pt idx="222">
                  <c:v>1123.9570828912392</c:v>
                </c:pt>
                <c:pt idx="223">
                  <c:v>1121.9052328283515</c:v>
                </c:pt>
                <c:pt idx="224">
                  <c:v>1119.8433363804513</c:v>
                </c:pt>
                <c:pt idx="225">
                  <c:v>1117.7713661705889</c:v>
                </c:pt>
                <c:pt idx="226">
                  <c:v>1115.6892947862445</c:v>
                </c:pt>
                <c:pt idx="227">
                  <c:v>1113.5970947804014</c:v>
                </c:pt>
                <c:pt idx="228">
                  <c:v>1111.4947386726749</c:v>
                </c:pt>
                <c:pt idx="229">
                  <c:v>1109.3821989504979</c:v>
                </c:pt>
                <c:pt idx="230">
                  <c:v>1107.2594480703735</c:v>
                </c:pt>
                <c:pt idx="231">
                  <c:v>1105.1264584591902</c:v>
                </c:pt>
                <c:pt idx="232">
                  <c:v>1102.9832025156081</c:v>
                </c:pt>
                <c:pt idx="233">
                  <c:v>1100.8296526115194</c:v>
                </c:pt>
                <c:pt idx="234">
                  <c:v>1098.6657810935844</c:v>
                </c:pt>
                <c:pt idx="235">
                  <c:v>1096.4915602848546</c:v>
                </c:pt>
                <c:pt idx="236">
                  <c:v>1094.3069624864786</c:v>
                </c:pt>
                <c:pt idx="237">
                  <c:v>1092.1119599795038</c:v>
                </c:pt>
                <c:pt idx="238">
                  <c:v>1089.906525026774</c:v>
                </c:pt>
                <c:pt idx="239">
                  <c:v>1087.6906298749338</c:v>
                </c:pt>
                <c:pt idx="240">
                  <c:v>1085.4642467565404</c:v>
                </c:pt>
                <c:pt idx="241">
                  <c:v>1083.2273478922948</c:v>
                </c:pt>
                <c:pt idx="242">
                  <c:v>1080.979905493396</c:v>
                </c:pt>
                <c:pt idx="243">
                  <c:v>1078.72189176403</c:v>
                </c:pt>
                <c:pt idx="244">
                  <c:v>1076.4532789039961</c:v>
                </c:pt>
                <c:pt idx="245">
                  <c:v>1074.1740391114859</c:v>
                </c:pt>
                <c:pt idx="246">
                  <c:v>1071.8841445860198</c:v>
                </c:pt>
                <c:pt idx="247">
                  <c:v>1069.5835675315545</c:v>
                </c:pt>
                <c:pt idx="248">
                  <c:v>1067.2722801597715</c:v>
                </c:pt>
                <c:pt idx="249">
                  <c:v>1064.9502546935573</c:v>
                </c:pt>
                <c:pt idx="250">
                  <c:v>1062.6174633706912</c:v>
                </c:pt>
                <c:pt idx="251">
                  <c:v>1060.2738784477533</c:v>
                </c:pt>
                <c:pt idx="252">
                  <c:v>1057.9194722042671</c:v>
                </c:pt>
                <c:pt idx="253">
                  <c:v>1055.5542169470939</c:v>
                </c:pt>
                <c:pt idx="254">
                  <c:v>1053.1780850150969</c:v>
                </c:pt>
                <c:pt idx="255">
                  <c:v>1050.7910487840936</c:v>
                </c:pt>
                <c:pt idx="256">
                  <c:v>1048.3930806721187</c:v>
                </c:pt>
                <c:pt idx="257">
                  <c:v>1045.984153145017</c:v>
                </c:pt>
                <c:pt idx="258">
                  <c:v>1043.5642387223943</c:v>
                </c:pt>
                <c:pt idx="259">
                  <c:v>1041.133309983951</c:v>
                </c:pt>
                <c:pt idx="260">
                  <c:v>1038.6913395762267</c:v>
                </c:pt>
                <c:pt idx="261">
                  <c:v>1036.2383002197894</c:v>
                </c:pt>
                <c:pt idx="262">
                  <c:v>1033.7741647169</c:v>
                </c:pt>
                <c:pt idx="263">
                  <c:v>1031.2989059596966</c:v>
                </c:pt>
                <c:pt idx="264">
                  <c:v>1028.812496938928</c:v>
                </c:pt>
                <c:pt idx="265">
                  <c:v>1026.3149107532927</c:v>
                </c:pt>
                <c:pt idx="266">
                  <c:v>1023.8061206194263</c:v>
                </c:pt>
                <c:pt idx="267">
                  <c:v>1021.2860998825893</c:v>
                </c:pt>
                <c:pt idx="268">
                  <c:v>1018.7548220281192</c:v>
                </c:pt>
                <c:pt idx="269">
                  <c:v>1016.2122606937078</c:v>
                </c:pt>
                <c:pt idx="270">
                  <c:v>1013.6583896825739</c:v>
                </c:pt>
                <c:pt idx="271">
                  <c:v>1011.0931829776139</c:v>
                </c:pt>
                <c:pt idx="272">
                  <c:v>1008.5166147566101</c:v>
                </c:pt>
                <c:pt idx="273">
                  <c:v>1005.9286594085982</c:v>
                </c:pt>
                <c:pt idx="274">
                  <c:v>1003.329291551493</c:v>
                </c:pt>
                <c:pt idx="275">
                  <c:v>1000.718486051094</c:v>
                </c:pt>
                <c:pt idx="276">
                  <c:v>998.0962180415961</c:v>
                </c:pt>
                <c:pt idx="277">
                  <c:v>995.46246294774915</c:v>
                </c:pt>
                <c:pt idx="278">
                  <c:v>992.81719650882792</c:v>
                </c:pt>
                <c:pt idx="279">
                  <c:v>990.1603948045863</c:v>
                </c:pt>
                <c:pt idx="280">
                  <c:v>987.49203428339843</c:v>
                </c:pt>
                <c:pt idx="281">
                  <c:v>984.81209179280097</c:v>
                </c:pt>
                <c:pt idx="282">
                  <c:v>982.12054461269236</c:v>
                </c:pt>
                <c:pt idx="283">
                  <c:v>979.41737049145991</c:v>
                </c:pt>
                <c:pt idx="284">
                  <c:v>976.70254768535187</c:v>
                </c:pt>
                <c:pt idx="285">
                  <c:v>973.97605500144311</c:v>
                </c:pt>
                <c:pt idx="286">
                  <c:v>971.23787184459286</c:v>
                </c:pt>
                <c:pt idx="287">
                  <c:v>968.48797826884152</c:v>
                </c:pt>
                <c:pt idx="288">
                  <c:v>965.7263550337575</c:v>
                </c:pt>
                <c:pt idx="289">
                  <c:v>962.95298366630709</c:v>
                </c:pt>
                <c:pt idx="290">
                  <c:v>960.16784652890885</c:v>
                </c:pt>
                <c:pt idx="291">
                  <c:v>957.37092689441931</c:v>
                </c:pt>
                <c:pt idx="292">
                  <c:v>954.56220902890982</c:v>
                </c:pt>
                <c:pt idx="293">
                  <c:v>951.74167828321504</c:v>
                </c:pt>
                <c:pt idx="294">
                  <c:v>948.90932119438821</c:v>
                </c:pt>
                <c:pt idx="295">
                  <c:v>946.06512559836335</c:v>
                </c:pt>
                <c:pt idx="296">
                  <c:v>943.20908075533725</c:v>
                </c:pt>
                <c:pt idx="297">
                  <c:v>940.34117748961842</c:v>
                </c:pt>
                <c:pt idx="298">
                  <c:v>937.46140834598157</c:v>
                </c:pt>
                <c:pt idx="299">
                  <c:v>934.56976776490615</c:v>
                </c:pt>
                <c:pt idx="300">
                  <c:v>931.66625227948578</c:v>
                </c:pt>
                <c:pt idx="301">
                  <c:v>928.75086073728789</c:v>
                </c:pt>
                <c:pt idx="302">
                  <c:v>925.82359455103233</c:v>
                </c:pt>
                <c:pt idx="303">
                  <c:v>922.88445798267617</c:v>
                </c:pt>
                <c:pt idx="304">
                  <c:v>919.93345846636555</c:v>
                </c:pt>
                <c:pt idx="305">
                  <c:v>916.97060697677898</c:v>
                </c:pt>
                <c:pt idx="306">
                  <c:v>913.99591845070495</c:v>
                </c:pt>
                <c:pt idx="307">
                  <c:v>911.00941227131398</c:v>
                </c:pt>
                <c:pt idx="308">
                  <c:v>908.01111282660258</c:v>
                </c:pt>
                <c:pt idx="309">
                  <c:v>905.00105015601684</c:v>
                </c:pt>
                <c:pt idx="310">
                  <c:v>901.97926070243068</c:v>
                </c:pt>
                <c:pt idx="311">
                  <c:v>898.94578819068738</c:v>
                </c:pt>
                <c:pt idx="312">
                  <c:v>895.90068465905699</c:v>
                </c:pt>
                <c:pt idx="313">
                  <c:v>892.84401167657245</c:v>
                </c:pt>
                <c:pt idx="314">
                  <c:v>889.7758417877958</c:v>
                </c:pt>
                <c:pt idx="315">
                  <c:v>886.69626023779824</c:v>
                </c:pt>
                <c:pt idx="316">
                  <c:v>883.60536704497656</c:v>
                </c:pt>
                <c:pt idx="317">
                  <c:v>880.50327950912629</c:v>
                </c:pt>
                <c:pt idx="318">
                  <c:v>877.39013526890506</c:v>
                </c:pt>
                <c:pt idx="319">
                  <c:v>874.26609605926274</c:v>
                </c:pt>
                <c:pt idx="320">
                  <c:v>871.13135236978542</c:v>
                </c:pt>
                <c:pt idx="321">
                  <c:v>867.98612927547276</c:v>
                </c:pt>
                <c:pt idx="322">
                  <c:v>864.83069381183179</c:v>
                </c:pt>
                <c:pt idx="323">
                  <c:v>861.66536441124504</c:v>
                </c:pt>
                <c:pt idx="324">
                  <c:v>858.49052313108507</c:v>
                </c:pt>
                <c:pt idx="325">
                  <c:v>855.30663172456218</c:v>
                </c:pt>
                <c:pt idx="326">
                  <c:v>852.11425309711717</c:v>
                </c:pt>
                <c:pt idx="327">
                  <c:v>848.91408046464426</c:v>
                </c:pt>
                <c:pt idx="328">
                  <c:v>845.70697778023623</c:v>
                </c:pt>
                <c:pt idx="329">
                  <c:v>842.49403708176567</c:v>
                </c:pt>
                <c:pt idx="330">
                  <c:v>839.27666201785871</c:v>
                </c:pt>
                <c:pt idx="331">
                  <c:v>836.0566933042835</c:v>
                </c:pt>
                <c:pt idx="332">
                  <c:v>832.83660413973007</c:v>
                </c:pt>
                <c:pt idx="333">
                  <c:v>829.61981818318736</c:v>
                </c:pt>
                <c:pt idx="334">
                  <c:v>826.41125539382858</c:v>
                </c:pt>
                <c:pt idx="335">
                  <c:v>823.21833409634678</c:v>
                </c:pt>
                <c:pt idx="336">
                  <c:v>820.05297785450432</c:v>
                </c:pt>
                <c:pt idx="337">
                  <c:v>816.93613718055383</c:v>
                </c:pt>
                <c:pt idx="338">
                  <c:v>813.90986432890077</c:v>
                </c:pt>
                <c:pt idx="339">
                  <c:v>811.07963540036587</c:v>
                </c:pt>
                <c:pt idx="340">
                  <c:v>808.86865455127281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9E-3344-9631-399AB3860310}"/>
            </c:ext>
          </c:extLst>
        </c:ser>
        <c:ser>
          <c:idx val="0"/>
          <c:order val="1"/>
          <c:tx>
            <c:v>Parcela na Price</c:v>
          </c:tx>
          <c:spPr>
            <a:ln w="28575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'PRICE @amigodopairico'!$G$7:$G$426</c:f>
              <c:numCache>
                <c:formatCode>#,##0.00</c:formatCode>
                <c:ptCount val="420"/>
                <c:pt idx="0">
                  <c:v>1077.0370926079861</c:v>
                </c:pt>
                <c:pt idx="1">
                  <c:v>1078.7759867204509</c:v>
                </c:pt>
                <c:pt idx="2">
                  <c:v>1080.5178497349109</c:v>
                </c:pt>
                <c:pt idx="3">
                  <c:v>1082.262686821404</c:v>
                </c:pt>
                <c:pt idx="4">
                  <c:v>1084.0105031600838</c:v>
                </c:pt>
                <c:pt idx="5">
                  <c:v>1085.7613039412506</c:v>
                </c:pt>
                <c:pt idx="6">
                  <c:v>1087.5150943653875</c:v>
                </c:pt>
                <c:pt idx="7">
                  <c:v>1089.2718796431946</c:v>
                </c:pt>
                <c:pt idx="8">
                  <c:v>1091.0316649956228</c:v>
                </c:pt>
                <c:pt idx="9">
                  <c:v>1092.794455653911</c:v>
                </c:pt>
                <c:pt idx="10">
                  <c:v>1094.5602568596194</c:v>
                </c:pt>
                <c:pt idx="11">
                  <c:v>1096.3290738646663</c:v>
                </c:pt>
                <c:pt idx="12">
                  <c:v>1098.1009119313646</c:v>
                </c:pt>
                <c:pt idx="13">
                  <c:v>1099.8757763324581</c:v>
                </c:pt>
                <c:pt idx="14">
                  <c:v>1101.6536723511574</c:v>
                </c:pt>
                <c:pt idx="15">
                  <c:v>1103.4346052811782</c:v>
                </c:pt>
                <c:pt idx="16">
                  <c:v>1105.218580426779</c:v>
                </c:pt>
                <c:pt idx="17">
                  <c:v>1107.0056031027984</c:v>
                </c:pt>
                <c:pt idx="18">
                  <c:v>1108.7956786346931</c:v>
                </c:pt>
                <c:pt idx="19">
                  <c:v>1110.5888123585778</c:v>
                </c:pt>
                <c:pt idx="20">
                  <c:v>1112.3850096212634</c:v>
                </c:pt>
                <c:pt idx="21">
                  <c:v>1114.1842757802965</c:v>
                </c:pt>
                <c:pt idx="22">
                  <c:v>1115.9866162039998</c:v>
                </c:pt>
                <c:pt idx="23">
                  <c:v>1117.7920362715124</c:v>
                </c:pt>
                <c:pt idx="24">
                  <c:v>1119.6005413728292</c:v>
                </c:pt>
                <c:pt idx="25">
                  <c:v>1121.4121369088446</c:v>
                </c:pt>
                <c:pt idx="26">
                  <c:v>1123.2268282913915</c:v>
                </c:pt>
                <c:pt idx="27">
                  <c:v>1125.0446209432846</c:v>
                </c:pt>
                <c:pt idx="28">
                  <c:v>1126.865520298363</c:v>
                </c:pt>
                <c:pt idx="29">
                  <c:v>1128.6895318015329</c:v>
                </c:pt>
                <c:pt idx="30">
                  <c:v>1130.5166609088103</c:v>
                </c:pt>
                <c:pt idx="31">
                  <c:v>1132.3469130873661</c:v>
                </c:pt>
                <c:pt idx="32">
                  <c:v>1134.1802938155697</c:v>
                </c:pt>
                <c:pt idx="33">
                  <c:v>1136.0168085830337</c:v>
                </c:pt>
                <c:pt idx="34">
                  <c:v>1137.8564628906593</c:v>
                </c:pt>
                <c:pt idx="35">
                  <c:v>1139.699262250683</c:v>
                </c:pt>
                <c:pt idx="36">
                  <c:v>1141.545212186722</c:v>
                </c:pt>
                <c:pt idx="37">
                  <c:v>1143.3943182338212</c:v>
                </c:pt>
                <c:pt idx="38">
                  <c:v>1145.2465859385011</c:v>
                </c:pt>
                <c:pt idx="39">
                  <c:v>1147.102020858805</c:v>
                </c:pt>
                <c:pt idx="40">
                  <c:v>1148.9606285643483</c:v>
                </c:pt>
                <c:pt idx="41">
                  <c:v>1150.8224146363677</c:v>
                </c:pt>
                <c:pt idx="42">
                  <c:v>1152.6873846677697</c:v>
                </c:pt>
                <c:pt idx="43">
                  <c:v>1154.5555442631817</c:v>
                </c:pt>
                <c:pt idx="44">
                  <c:v>1156.4268990390033</c:v>
                </c:pt>
                <c:pt idx="45">
                  <c:v>1158.3014546234572</c:v>
                </c:pt>
                <c:pt idx="46">
                  <c:v>1160.1792166566406</c:v>
                </c:pt>
                <c:pt idx="47">
                  <c:v>1162.0601907905796</c:v>
                </c:pt>
                <c:pt idx="48">
                  <c:v>1163.9443826892807</c:v>
                </c:pt>
                <c:pt idx="49">
                  <c:v>1165.8317980287868</c:v>
                </c:pt>
                <c:pt idx="50">
                  <c:v>1167.7224424972301</c:v>
                </c:pt>
                <c:pt idx="51">
                  <c:v>1169.6163217948886</c:v>
                </c:pt>
                <c:pt idx="52">
                  <c:v>1171.5134416342419</c:v>
                </c:pt>
                <c:pt idx="53">
                  <c:v>1173.4138077400278</c:v>
                </c:pt>
                <c:pt idx="54">
                  <c:v>1175.3174258492998</c:v>
                </c:pt>
                <c:pt idx="55">
                  <c:v>1177.2243017114868</c:v>
                </c:pt>
                <c:pt idx="56">
                  <c:v>1179.134441088449</c:v>
                </c:pt>
                <c:pt idx="57">
                  <c:v>1181.0478497545419</c:v>
                </c:pt>
                <c:pt idx="58">
                  <c:v>1182.9645334966726</c:v>
                </c:pt>
                <c:pt idx="59">
                  <c:v>1184.8844981143641</c:v>
                </c:pt>
                <c:pt idx="60">
                  <c:v>1186.8077494198164</c:v>
                </c:pt>
                <c:pt idx="61">
                  <c:v>1188.7342932379706</c:v>
                </c:pt>
                <c:pt idx="62">
                  <c:v>1190.6641354065709</c:v>
                </c:pt>
                <c:pt idx="63">
                  <c:v>1192.5972817762306</c:v>
                </c:pt>
                <c:pt idx="64">
                  <c:v>1194.5337382104988</c:v>
                </c:pt>
                <c:pt idx="65">
                  <c:v>1196.4735105859243</c:v>
                </c:pt>
                <c:pt idx="66">
                  <c:v>1198.4166047921253</c:v>
                </c:pt>
                <c:pt idx="67">
                  <c:v>1200.3630267318576</c:v>
                </c:pt>
                <c:pt idx="68">
                  <c:v>1202.3127823210825</c:v>
                </c:pt>
                <c:pt idx="69">
                  <c:v>1204.2658774890394</c:v>
                </c:pt>
                <c:pt idx="70">
                  <c:v>1206.2223181783147</c:v>
                </c:pt>
                <c:pt idx="71">
                  <c:v>1208.1821103449174</c:v>
                </c:pt>
                <c:pt idx="72">
                  <c:v>1210.1452599583488</c:v>
                </c:pt>
                <c:pt idx="73">
                  <c:v>1212.1117730016806</c:v>
                </c:pt>
                <c:pt idx="74">
                  <c:v>1214.0816554716284</c:v>
                </c:pt>
                <c:pt idx="75">
                  <c:v>1216.054913378628</c:v>
                </c:pt>
                <c:pt idx="76">
                  <c:v>1218.0315527469165</c:v>
                </c:pt>
                <c:pt idx="77">
                  <c:v>1220.0115796146076</c:v>
                </c:pt>
                <c:pt idx="78">
                  <c:v>1221.9950000337742</c:v>
                </c:pt>
                <c:pt idx="79">
                  <c:v>1223.9818200705288</c:v>
                </c:pt>
                <c:pt idx="80">
                  <c:v>1225.972045805107</c:v>
                </c:pt>
                <c:pt idx="81">
                  <c:v>1227.9656833319509</c:v>
                </c:pt>
                <c:pt idx="82">
                  <c:v>1229.962738759795</c:v>
                </c:pt>
                <c:pt idx="83">
                  <c:v>1231.9632182117527</c:v>
                </c:pt>
                <c:pt idx="84">
                  <c:v>1233.9671278254034</c:v>
                </c:pt>
                <c:pt idx="85">
                  <c:v>1235.9744737528836</c:v>
                </c:pt>
                <c:pt idx="86">
                  <c:v>1237.9852621609764</c:v>
                </c:pt>
                <c:pt idx="87">
                  <c:v>1239.9994992312043</c:v>
                </c:pt>
                <c:pt idx="88">
                  <c:v>1242.017191159923</c:v>
                </c:pt>
                <c:pt idx="89">
                  <c:v>1244.0383441584165</c:v>
                </c:pt>
                <c:pt idx="90">
                  <c:v>1246.0629644529947</c:v>
                </c:pt>
                <c:pt idx="91">
                  <c:v>1248.0910582850902</c:v>
                </c:pt>
                <c:pt idx="92">
                  <c:v>1250.1226319113605</c:v>
                </c:pt>
                <c:pt idx="93">
                  <c:v>1252.1576916037884</c:v>
                </c:pt>
                <c:pt idx="94">
                  <c:v>1254.1962436497868</c:v>
                </c:pt>
                <c:pt idx="95">
                  <c:v>1256.2382943523012</c:v>
                </c:pt>
                <c:pt idx="96">
                  <c:v>1258.2838500299201</c:v>
                </c:pt>
                <c:pt idx="97">
                  <c:v>1260.332917016982</c:v>
                </c:pt>
                <c:pt idx="98">
                  <c:v>1262.3855016636862</c:v>
                </c:pt>
                <c:pt idx="99">
                  <c:v>1264.4416103362066</c:v>
                </c:pt>
                <c:pt idx="100">
                  <c:v>1266.5012494168052</c:v>
                </c:pt>
                <c:pt idx="101">
                  <c:v>1268.5644253039484</c:v>
                </c:pt>
                <c:pt idx="102">
                  <c:v>1270.6311444124276</c:v>
                </c:pt>
                <c:pt idx="103">
                  <c:v>1272.7014131734788</c:v>
                </c:pt>
                <c:pt idx="104">
                  <c:v>1274.7752380349054</c:v>
                </c:pt>
                <c:pt idx="105">
                  <c:v>1276.852625461205</c:v>
                </c:pt>
                <c:pt idx="106">
                  <c:v>1278.9335819336941</c:v>
                </c:pt>
                <c:pt idx="107">
                  <c:v>1281.0181139506415</c:v>
                </c:pt>
                <c:pt idx="108">
                  <c:v>1283.1062280273973</c:v>
                </c:pt>
                <c:pt idx="109">
                  <c:v>1285.1979306965311</c:v>
                </c:pt>
                <c:pt idx="110">
                  <c:v>1287.2932285079655</c:v>
                </c:pt>
                <c:pt idx="111">
                  <c:v>1289.3921280291197</c:v>
                </c:pt>
                <c:pt idx="112">
                  <c:v>1291.4946358450484</c:v>
                </c:pt>
                <c:pt idx="113">
                  <c:v>1293.6007585585896</c:v>
                </c:pt>
                <c:pt idx="114">
                  <c:v>1295.710502790512</c:v>
                </c:pt>
                <c:pt idx="115">
                  <c:v>1297.8238751796657</c:v>
                </c:pt>
                <c:pt idx="116">
                  <c:v>1299.940882383135</c:v>
                </c:pt>
                <c:pt idx="117">
                  <c:v>1302.0615310763976</c:v>
                </c:pt>
                <c:pt idx="118">
                  <c:v>1304.1858279534822</c:v>
                </c:pt>
                <c:pt idx="119">
                  <c:v>1306.313779727132</c:v>
                </c:pt>
                <c:pt idx="120">
                  <c:v>1308.4453931289736</c:v>
                </c:pt>
                <c:pt idx="121">
                  <c:v>1310.5806749096821</c:v>
                </c:pt>
                <c:pt idx="122">
                  <c:v>1312.7196318391584</c:v>
                </c:pt>
                <c:pt idx="123">
                  <c:v>1314.8622707067036</c:v>
                </c:pt>
                <c:pt idx="124">
                  <c:v>1317.0085983212002</c:v>
                </c:pt>
                <c:pt idx="125">
                  <c:v>1319.1586215112948</c:v>
                </c:pt>
                <c:pt idx="126">
                  <c:v>1321.3123471255881</c:v>
                </c:pt>
                <c:pt idx="127">
                  <c:v>1323.4697820328245</c:v>
                </c:pt>
                <c:pt idx="128">
                  <c:v>1325.6309331220887</c:v>
                </c:pt>
                <c:pt idx="129">
                  <c:v>1327.7958073030063</c:v>
                </c:pt>
                <c:pt idx="130">
                  <c:v>1329.9644115059468</c:v>
                </c:pt>
                <c:pt idx="131">
                  <c:v>1332.136752682233</c:v>
                </c:pt>
                <c:pt idx="132">
                  <c:v>1334.3128378043527</c:v>
                </c:pt>
                <c:pt idx="133">
                  <c:v>1336.4926738661795</c:v>
                </c:pt>
                <c:pt idx="134">
                  <c:v>1338.676267883191</c:v>
                </c:pt>
                <c:pt idx="135">
                  <c:v>1340.8636268926996</c:v>
                </c:pt>
                <c:pt idx="136">
                  <c:v>1343.054757954083</c:v>
                </c:pt>
                <c:pt idx="137">
                  <c:v>1345.2496681490225</c:v>
                </c:pt>
                <c:pt idx="138">
                  <c:v>1347.4483645817461</c:v>
                </c:pt>
                <c:pt idx="139">
                  <c:v>1349.6508543792754</c:v>
                </c:pt>
                <c:pt idx="140">
                  <c:v>1351.8571446916828</c:v>
                </c:pt>
                <c:pt idx="141">
                  <c:v>1354.0672426923481</c:v>
                </c:pt>
                <c:pt idx="142">
                  <c:v>1356.2811555782255</c:v>
                </c:pt>
                <c:pt idx="143">
                  <c:v>1358.4988905701168</c:v>
                </c:pt>
                <c:pt idx="144">
                  <c:v>1360.7204549129483</c:v>
                </c:pt>
                <c:pt idx="145">
                  <c:v>1362.9458558760559</c:v>
                </c:pt>
                <c:pt idx="146">
                  <c:v>1365.1751007534774</c:v>
                </c:pt>
                <c:pt idx="147">
                  <c:v>1367.4081968642511</c:v>
                </c:pt>
                <c:pt idx="148">
                  <c:v>1369.6451515527206</c:v>
                </c:pt>
                <c:pt idx="149">
                  <c:v>1371.8859721888491</c:v>
                </c:pt>
                <c:pt idx="150">
                  <c:v>1374.1306661685405</c:v>
                </c:pt>
                <c:pt idx="151">
                  <c:v>1376.379240913966</c:v>
                </c:pt>
                <c:pt idx="152">
                  <c:v>1378.6317038739023</c:v>
                </c:pt>
                <c:pt idx="153">
                  <c:v>1380.8880625240777</c:v>
                </c:pt>
                <c:pt idx="154">
                  <c:v>1383.1483243675229</c:v>
                </c:pt>
                <c:pt idx="155">
                  <c:v>1385.4124969349364</c:v>
                </c:pt>
                <c:pt idx="156">
                  <c:v>1387.6805877850543</c:v>
                </c:pt>
                <c:pt idx="157">
                  <c:v>1389.952604505032</c:v>
                </c:pt>
                <c:pt idx="158">
                  <c:v>1392.2285547108368</c:v>
                </c:pt>
                <c:pt idx="159">
                  <c:v>1394.5084460476453</c:v>
                </c:pt>
                <c:pt idx="160">
                  <c:v>1396.7922861902578</c:v>
                </c:pt>
                <c:pt idx="161">
                  <c:v>1399.080082843521</c:v>
                </c:pt>
                <c:pt idx="162">
                  <c:v>1401.3718437427581</c:v>
                </c:pt>
                <c:pt idx="163">
                  <c:v>1403.6675766542157</c:v>
                </c:pt>
                <c:pt idx="164">
                  <c:v>1405.9672893755214</c:v>
                </c:pt>
                <c:pt idx="165">
                  <c:v>1408.2709897361506</c:v>
                </c:pt>
                <c:pt idx="166">
                  <c:v>1410.5786855979093</c:v>
                </c:pt>
                <c:pt idx="167">
                  <c:v>1412.8903848554273</c:v>
                </c:pt>
                <c:pt idx="168">
                  <c:v>1415.2060954366696</c:v>
                </c:pt>
                <c:pt idx="169">
                  <c:v>1417.5258253034553</c:v>
                </c:pt>
                <c:pt idx="170">
                  <c:v>1419.8495824519966</c:v>
                </c:pt>
                <c:pt idx="171">
                  <c:v>1422.1773749134495</c:v>
                </c:pt>
                <c:pt idx="172">
                  <c:v>1424.5092107544813</c:v>
                </c:pt>
                <c:pt idx="173">
                  <c:v>1426.8450980778541</c:v>
                </c:pt>
                <c:pt idx="174">
                  <c:v>1429.1850450230256</c:v>
                </c:pt>
                <c:pt idx="175">
                  <c:v>1431.5290597667649</c:v>
                </c:pt>
                <c:pt idx="176">
                  <c:v>1433.8771505237894</c:v>
                </c:pt>
                <c:pt idx="177">
                  <c:v>1436.2293255474183</c:v>
                </c:pt>
                <c:pt idx="178">
                  <c:v>1438.5855931302426</c:v>
                </c:pt>
                <c:pt idx="179">
                  <c:v>1440.9459616048234</c:v>
                </c:pt>
                <c:pt idx="180">
                  <c:v>1443.3104393444003</c:v>
                </c:pt>
                <c:pt idx="181">
                  <c:v>1445.6790347636295</c:v>
                </c:pt>
                <c:pt idx="182">
                  <c:v>1448.0517563193387</c:v>
                </c:pt>
                <c:pt idx="183">
                  <c:v>1450.4286125113085</c:v>
                </c:pt>
                <c:pt idx="184">
                  <c:v>1452.809611883077</c:v>
                </c:pt>
                <c:pt idx="185">
                  <c:v>1455.1947630227664</c:v>
                </c:pt>
                <c:pt idx="186">
                  <c:v>1457.5840745639393</c:v>
                </c:pt>
                <c:pt idx="187">
                  <c:v>1459.9775551864798</c:v>
                </c:pt>
                <c:pt idx="188">
                  <c:v>1462.375213617501</c:v>
                </c:pt>
                <c:pt idx="189">
                  <c:v>1464.7770586322858</c:v>
                </c:pt>
                <c:pt idx="190">
                  <c:v>1467.1830990552519</c:v>
                </c:pt>
                <c:pt idx="191">
                  <c:v>1469.5933437609542</c:v>
                </c:pt>
                <c:pt idx="192">
                  <c:v>1472.0078016751122</c:v>
                </c:pt>
                <c:pt idx="193">
                  <c:v>1474.4264817756803</c:v>
                </c:pt>
                <c:pt idx="194">
                  <c:v>1476.849393093943</c:v>
                </c:pt>
                <c:pt idx="195">
                  <c:v>1479.2765447156564</c:v>
                </c:pt>
                <c:pt idx="196">
                  <c:v>1481.7079457822206</c:v>
                </c:pt>
                <c:pt idx="197">
                  <c:v>1484.143605491895</c:v>
                </c:pt>
                <c:pt idx="198">
                  <c:v>1486.5835331010546</c:v>
                </c:pt>
                <c:pt idx="199">
                  <c:v>1489.0277379254876</c:v>
                </c:pt>
                <c:pt idx="200">
                  <c:v>1491.4762293417407</c:v>
                </c:pt>
                <c:pt idx="201">
                  <c:v>1493.9290167885076</c:v>
                </c:pt>
                <c:pt idx="202">
                  <c:v>1496.3861097680699</c:v>
                </c:pt>
                <c:pt idx="203">
                  <c:v>1498.8475178477843</c:v>
                </c:pt>
                <c:pt idx="204">
                  <c:v>1501.3132506616273</c:v>
                </c:pt>
                <c:pt idx="205">
                  <c:v>1503.7833179117931</c:v>
                </c:pt>
                <c:pt idx="206">
                  <c:v>1506.2577293703496</c:v>
                </c:pt>
                <c:pt idx="207">
                  <c:v>1508.7364948809516</c:v>
                </c:pt>
                <c:pt idx="208">
                  <c:v>1511.2196243606238</c:v>
                </c:pt>
                <c:pt idx="209">
                  <c:v>1513.7071278016026</c:v>
                </c:pt>
                <c:pt idx="210">
                  <c:v>1516.1990152732521</c:v>
                </c:pt>
                <c:pt idx="211">
                  <c:v>1518.6952969240481</c:v>
                </c:pt>
                <c:pt idx="212">
                  <c:v>1521.1959829836392</c:v>
                </c:pt>
                <c:pt idx="213">
                  <c:v>1523.7010837649868</c:v>
                </c:pt>
                <c:pt idx="214">
                  <c:v>1526.2106096665877</c:v>
                </c:pt>
                <c:pt idx="215">
                  <c:v>1528.724571174783</c:v>
                </c:pt>
                <c:pt idx="216">
                  <c:v>1531.2429788661545</c:v>
                </c:pt>
                <c:pt idx="217">
                  <c:v>1533.7658434100233</c:v>
                </c:pt>
                <c:pt idx="218">
                  <c:v>1536.2931755710374</c:v>
                </c:pt>
                <c:pt idx="219">
                  <c:v>1538.8249862118739</c:v>
                </c:pt>
                <c:pt idx="220">
                  <c:v>1541.3612862960438</c:v>
                </c:pt>
                <c:pt idx="221">
                  <c:v>1543.9020868908142</c:v>
                </c:pt>
                <c:pt idx="222">
                  <c:v>1546.4473991702514</c:v>
                </c:pt>
                <c:pt idx="223">
                  <c:v>1548.997234418388</c:v>
                </c:pt>
                <c:pt idx="224">
                  <c:v>1551.5516040325278</c:v>
                </c:pt>
                <c:pt idx="225">
                  <c:v>1554.1105195266857</c:v>
                </c:pt>
                <c:pt idx="226">
                  <c:v>1556.6739925351771</c:v>
                </c:pt>
                <c:pt idx="227">
                  <c:v>1559.2420348163639</c:v>
                </c:pt>
                <c:pt idx="228">
                  <c:v>1561.8146582565598</c:v>
                </c:pt>
                <c:pt idx="229">
                  <c:v>1564.39187487411</c:v>
                </c:pt>
                <c:pt idx="230">
                  <c:v>1566.9736968236512</c:v>
                </c:pt>
                <c:pt idx="231">
                  <c:v>1569.560136400562</c:v>
                </c:pt>
                <c:pt idx="232">
                  <c:v>1572.151206045615</c:v>
                </c:pt>
                <c:pt idx="233">
                  <c:v>1574.7469183498408</c:v>
                </c:pt>
                <c:pt idx="234">
                  <c:v>1577.3472860596155</c:v>
                </c:pt>
                <c:pt idx="235">
                  <c:v>1579.952322081986</c:v>
                </c:pt>
                <c:pt idx="236">
                  <c:v>1582.5620394902467</c:v>
                </c:pt>
                <c:pt idx="237">
                  <c:v>1585.1764515297757</c:v>
                </c:pt>
                <c:pt idx="238">
                  <c:v>1587.7955716241563</c:v>
                </c:pt>
                <c:pt idx="239">
                  <c:v>1590.4194133815927</c:v>
                </c:pt>
                <c:pt idx="240">
                  <c:v>1593.0479906016369</c:v>
                </c:pt>
                <c:pt idx="241">
                  <c:v>1595.6813172822535</c:v>
                </c:pt>
                <c:pt idx="242">
                  <c:v>1598.3194076272287</c:v>
                </c:pt>
                <c:pt idx="243">
                  <c:v>1600.9622760539626</c:v>
                </c:pt>
                <c:pt idx="244">
                  <c:v>1603.6099372016511</c:v>
                </c:pt>
                <c:pt idx="245">
                  <c:v>1606.2624059398902</c:v>
                </c:pt>
                <c:pt idx="246">
                  <c:v>1608.9196973777327</c:v>
                </c:pt>
                <c:pt idx="247">
                  <c:v>1611.5818268732162</c:v>
                </c:pt>
                <c:pt idx="248">
                  <c:v>1614.2488100433998</c:v>
                </c:pt>
                <c:pt idx="249">
                  <c:v>1616.9206627749413</c:v>
                </c:pt>
                <c:pt idx="250">
                  <c:v>1619.597401235249</c:v>
                </c:pt>
                <c:pt idx="251">
                  <c:v>1622.279041884244</c:v>
                </c:pt>
                <c:pt idx="252">
                  <c:v>1624.9656014867833</c:v>
                </c:pt>
                <c:pt idx="253">
                  <c:v>1627.6570971257761</c:v>
                </c:pt>
                <c:pt idx="254">
                  <c:v>1630.3535462160473</c:v>
                </c:pt>
                <c:pt idx="255">
                  <c:v>1633.0549665190013</c:v>
                </c:pt>
                <c:pt idx="256">
                  <c:v>1635.7613761581417</c:v>
                </c:pt>
                <c:pt idx="257">
                  <c:v>1638.4727936355018</c:v>
                </c:pt>
                <c:pt idx="258">
                  <c:v>1641.18923784906</c:v>
                </c:pt>
                <c:pt idx="259">
                  <c:v>1643.9107281112074</c:v>
                </c:pt>
                <c:pt idx="260">
                  <c:v>1646.6372841683437</c:v>
                </c:pt>
                <c:pt idx="261">
                  <c:v>1649.3689262216894</c:v>
                </c:pt>
                <c:pt idx="262">
                  <c:v>1652.1056749494041</c:v>
                </c:pt>
                <c:pt idx="263">
                  <c:v>1654.8475515301091</c:v>
                </c:pt>
                <c:pt idx="264">
                  <c:v>1657.5945776679298</c:v>
                </c:pt>
                <c:pt idx="265">
                  <c:v>1660.3467756191685</c:v>
                </c:pt>
                <c:pt idx="266">
                  <c:v>1663.1041682207433</c:v>
                </c:pt>
                <c:pt idx="267">
                  <c:v>1665.8667789205356</c:v>
                </c:pt>
                <c:pt idx="268">
                  <c:v>1668.6346318097967</c:v>
                </c:pt>
                <c:pt idx="269">
                  <c:v>1671.4077516577972</c:v>
                </c:pt>
                <c:pt idx="270">
                  <c:v>1674.1861639488875</c:v>
                </c:pt>
                <c:pt idx="271">
                  <c:v>1676.969894922197</c:v>
                </c:pt>
                <c:pt idx="272">
                  <c:v>1679.7589716141858</c:v>
                </c:pt>
                <c:pt idx="273">
                  <c:v>1682.5534219043041</c:v>
                </c:pt>
                <c:pt idx="274">
                  <c:v>1685.3532745640391</c:v>
                </c:pt>
                <c:pt idx="275">
                  <c:v>1688.1585593096554</c:v>
                </c:pt>
                <c:pt idx="276">
                  <c:v>1690.9693068589563</c:v>
                </c:pt>
                <c:pt idx="277">
                  <c:v>1693.7855489924686</c:v>
                </c:pt>
                <c:pt idx="278">
                  <c:v>1696.6073186194378</c:v>
                </c:pt>
                <c:pt idx="279">
                  <c:v>1699.4346498491257</c:v>
                </c:pt>
                <c:pt idx="280">
                  <c:v>1702.2675780679135</c:v>
                </c:pt>
                <c:pt idx="281">
                  <c:v>1705.1061400227909</c:v>
                </c:pt>
                <c:pt idx="282">
                  <c:v>1707.9503739118875</c:v>
                </c:pt>
                <c:pt idx="283">
                  <c:v>1710.8003194827586</c:v>
                </c:pt>
                <c:pt idx="284">
                  <c:v>1713.656018139252</c:v>
                </c:pt>
                <c:pt idx="285">
                  <c:v>1716.5175130578662</c:v>
                </c:pt>
                <c:pt idx="286">
                  <c:v>1719.3848493146252</c:v>
                </c:pt>
                <c:pt idx="287">
                  <c:v>1722.2580740236513</c:v>
                </c:pt>
                <c:pt idx="288">
                  <c:v>1725.137236488742</c:v>
                </c:pt>
                <c:pt idx="289">
                  <c:v>1728.0223883694484</c:v>
                </c:pt>
                <c:pt idx="290">
                  <c:v>1730.9135838633645</c:v>
                </c:pt>
                <c:pt idx="291">
                  <c:v>1733.810879906559</c:v>
                </c:pt>
                <c:pt idx="292">
                  <c:v>1736.7143363943628</c:v>
                </c:pt>
                <c:pt idx="293">
                  <c:v>1739.6240164250646</c:v>
                </c:pt>
                <c:pt idx="294">
                  <c:v>1742.5399865694062</c:v>
                </c:pt>
                <c:pt idx="295">
                  <c:v>1745.4623171692583</c:v>
                </c:pt>
                <c:pt idx="296">
                  <c:v>1748.3910826693404</c:v>
                </c:pt>
                <c:pt idx="297">
                  <c:v>1751.3263619864877</c:v>
                </c:pt>
                <c:pt idx="298">
                  <c:v>1754.2682389216866</c:v>
                </c:pt>
                <c:pt idx="299">
                  <c:v>1757.2168026209697</c:v>
                </c:pt>
                <c:pt idx="300">
                  <c:v>1760.1721480923218</c:v>
                </c:pt>
                <c:pt idx="301">
                  <c:v>1763.134376786951</c:v>
                </c:pt>
                <c:pt idx="302">
                  <c:v>1766.1035972548227</c:v>
                </c:pt>
                <c:pt idx="303">
                  <c:v>1769.079925886158</c:v>
                </c:pt>
                <c:pt idx="304">
                  <c:v>1772.0634877527871</c:v>
                </c:pt>
                <c:pt idx="305">
                  <c:v>1775.05441756599</c:v>
                </c:pt>
                <c:pt idx="306">
                  <c:v>1778.0528607707317</c:v>
                </c:pt>
                <c:pt idx="307">
                  <c:v>1781.0589748003229</c:v>
                </c:pt>
                <c:pt idx="308">
                  <c:v>1784.0729305206173</c:v>
                </c:pt>
                <c:pt idx="309">
                  <c:v>1787.0949138992096</c:v>
                </c:pt>
                <c:pt idx="310">
                  <c:v>1790.1251279431144</c:v>
                </c:pt>
                <c:pt idx="311">
                  <c:v>1793.1637949585136</c:v>
                </c:pt>
                <c:pt idx="312">
                  <c:v>1796.2111591990997</c:v>
                </c:pt>
                <c:pt idx="313">
                  <c:v>1799.2674899861483</c:v>
                </c:pt>
                <c:pt idx="314">
                  <c:v>1802.3330854049755</c:v>
                </c:pt>
                <c:pt idx="315">
                  <c:v>1805.4082767105888</c:v>
                </c:pt>
                <c:pt idx="316">
                  <c:v>1808.4934336124809</c:v>
                </c:pt>
                <c:pt idx="317">
                  <c:v>1811.5889706580488</c:v>
                </c:pt>
                <c:pt idx="318">
                  <c:v>1814.6953550008261</c:v>
                </c:pt>
                <c:pt idx="319">
                  <c:v>1817.81311593072</c:v>
                </c:pt>
                <c:pt idx="320">
                  <c:v>1820.9428566690456</c:v>
                </c:pt>
                <c:pt idx="321">
                  <c:v>1824.0852691069849</c:v>
                </c:pt>
                <c:pt idx="322">
                  <c:v>1827.2411524159047</c:v>
                </c:pt>
                <c:pt idx="323">
                  <c:v>1830.4114368187586</c:v>
                </c:pt>
                <c:pt idx="324">
                  <c:v>1833.5972143422637</c:v>
                </c:pt>
                <c:pt idx="325">
                  <c:v>1836.7997791651021</c:v>
                </c:pt>
                <c:pt idx="326">
                  <c:v>1840.020681397056</c:v>
                </c:pt>
                <c:pt idx="327">
                  <c:v>1843.261800040279</c:v>
                </c:pt>
                <c:pt idx="328">
                  <c:v>1846.5254439789378</c:v>
                </c:pt>
                <c:pt idx="329">
                  <c:v>1849.8144950010462</c:v>
                </c:pt>
                <c:pt idx="330">
                  <c:v>1853.1326157634969</c:v>
                </c:pt>
                <c:pt idx="331">
                  <c:v>1856.4845616418543</c:v>
                </c:pt>
                <c:pt idx="332">
                  <c:v>1859.8766656820608</c:v>
                </c:pt>
                <c:pt idx="333">
                  <c:v>1863.3176264141769</c:v>
                </c:pt>
                <c:pt idx="334">
                  <c:v>1866.8198580063117</c:v>
                </c:pt>
                <c:pt idx="335">
                  <c:v>1870.4019648756891</c:v>
                </c:pt>
                <c:pt idx="336">
                  <c:v>1874.0936896464605</c:v>
                </c:pt>
                <c:pt idx="337">
                  <c:v>1877.9470434233424</c:v>
                </c:pt>
                <c:pt idx="338">
                  <c:v>1882.0659802119008</c:v>
                </c:pt>
                <c:pt idx="339">
                  <c:v>1886.7102384787993</c:v>
                </c:pt>
                <c:pt idx="340">
                  <c:v>1892.918302341943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9E-3344-9631-399AB3860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4493519"/>
        <c:axId val="253869055"/>
      </c:lineChart>
      <c:catAx>
        <c:axId val="254493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3869055"/>
        <c:crosses val="autoZero"/>
        <c:auto val="1"/>
        <c:lblAlgn val="ctr"/>
        <c:lblOffset val="100"/>
        <c:noMultiLvlLbl val="0"/>
      </c:catAx>
      <c:valAx>
        <c:axId val="2538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449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chemeClr val="bg1">
                    <a:lumMod val="85000"/>
                  </a:schemeClr>
                </a:solidFill>
              </a:rPr>
              <a:t>Saldo Devedor na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'PRICE @amigodopairico'!$I$6</c:f>
              <c:strCache>
                <c:ptCount val="1"/>
                <c:pt idx="0">
                  <c:v>Saldo Devedor</c:v>
                </c:pt>
              </c:strCache>
            </c:strRef>
          </c:tx>
          <c:spPr>
            <a:ln w="444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'PRICE @amigodopairico'!$I$7:$I$426</c:f>
              <c:numCache>
                <c:formatCode>#,##0.00</c:formatCode>
                <c:ptCount val="420"/>
                <c:pt idx="0">
                  <c:v>141950.38587343544</c:v>
                </c:pt>
                <c:pt idx="1">
                  <c:v>142074.03830184363</c:v>
                </c:pt>
                <c:pt idx="2">
                  <c:v>142196.94838766192</c:v>
                </c:pt>
                <c:pt idx="3">
                  <c:v>142319.10715623593</c:v>
                </c:pt>
                <c:pt idx="4">
                  <c:v>142440.50555518625</c:v>
                </c:pt>
                <c:pt idx="5">
                  <c:v>142561.13445376995</c:v>
                </c:pt>
                <c:pt idx="6">
                  <c:v>142680.98464223713</c:v>
                </c:pt>
                <c:pt idx="7">
                  <c:v>142800.04683118188</c:v>
                </c:pt>
                <c:pt idx="8">
                  <c:v>142918.31165088827</c:v>
                </c:pt>
                <c:pt idx="9">
                  <c:v>143035.76965067082</c:v>
                </c:pt>
                <c:pt idx="10">
                  <c:v>143152.41129820974</c:v>
                </c:pt>
                <c:pt idx="11">
                  <c:v>143268.22697888067</c:v>
                </c:pt>
                <c:pt idx="12">
                  <c:v>143383.20699507894</c:v>
                </c:pt>
                <c:pt idx="13">
                  <c:v>143497.34156553846</c:v>
                </c:pt>
                <c:pt idx="14">
                  <c:v>143610.62082464495</c:v>
                </c:pt>
                <c:pt idx="15">
                  <c:v>143723.03482174364</c:v>
                </c:pt>
                <c:pt idx="16">
                  <c:v>143834.57352044134</c:v>
                </c:pt>
                <c:pt idx="17">
                  <c:v>143945.22679790272</c:v>
                </c:pt>
                <c:pt idx="18">
                  <c:v>144054.9844441411</c:v>
                </c:pt>
                <c:pt idx="19">
                  <c:v>144163.83616130316</c:v>
                </c:pt>
                <c:pt idx="20">
                  <c:v>144271.7715629481</c:v>
                </c:pt>
                <c:pt idx="21">
                  <c:v>144378.78017332079</c:v>
                </c:pt>
                <c:pt idx="22">
                  <c:v>144484.85142661911</c:v>
                </c:pt>
                <c:pt idx="23">
                  <c:v>144589.97466625506</c:v>
                </c:pt>
                <c:pt idx="24">
                  <c:v>144694.13914411026</c:v>
                </c:pt>
                <c:pt idx="25">
                  <c:v>144797.33401978511</c:v>
                </c:pt>
                <c:pt idx="26">
                  <c:v>144899.54835984187</c:v>
                </c:pt>
                <c:pt idx="27">
                  <c:v>145000.77113704168</c:v>
                </c:pt>
                <c:pt idx="28">
                  <c:v>145100.99122957533</c:v>
                </c:pt>
                <c:pt idx="29">
                  <c:v>145200.19742028767</c:v>
                </c:pt>
                <c:pt idx="30">
                  <c:v>145298.37839589585</c:v>
                </c:pt>
                <c:pt idx="31">
                  <c:v>145395.52274620114</c:v>
                </c:pt>
                <c:pt idx="32">
                  <c:v>145491.61896329428</c:v>
                </c:pt>
                <c:pt idx="33">
                  <c:v>145586.65544075443</c:v>
                </c:pt>
                <c:pt idx="34">
                  <c:v>145680.62047284166</c:v>
                </c:pt>
                <c:pt idx="35">
                  <c:v>145773.50225368267</c:v>
                </c:pt>
                <c:pt idx="36">
                  <c:v>145865.2888764501</c:v>
                </c:pt>
                <c:pt idx="37">
                  <c:v>145955.96833253498</c:v>
                </c:pt>
                <c:pt idx="38">
                  <c:v>146045.52851071255</c:v>
                </c:pt>
                <c:pt idx="39">
                  <c:v>146133.95719630131</c:v>
                </c:pt>
                <c:pt idx="40">
                  <c:v>146221.24207031511</c:v>
                </c:pt>
                <c:pt idx="41">
                  <c:v>146307.37070860845</c:v>
                </c:pt>
                <c:pt idx="42">
                  <c:v>146392.33058101468</c:v>
                </c:pt>
                <c:pt idx="43">
                  <c:v>146476.10905047748</c:v>
                </c:pt>
                <c:pt idx="44">
                  <c:v>146558.69337217481</c:v>
                </c:pt>
                <c:pt idx="45">
                  <c:v>146640.07069263619</c:v>
                </c:pt>
                <c:pt idx="46">
                  <c:v>146720.22804885244</c:v>
                </c:pt>
                <c:pt idx="47">
                  <c:v>146799.15236737844</c:v>
                </c:pt>
                <c:pt idx="48">
                  <c:v>146876.8304634284</c:v>
                </c:pt>
                <c:pt idx="49">
                  <c:v>146953.24903996382</c:v>
                </c:pt>
                <c:pt idx="50">
                  <c:v>147028.394686774</c:v>
                </c:pt>
                <c:pt idx="51">
                  <c:v>147102.25387954921</c:v>
                </c:pt>
                <c:pt idx="52">
                  <c:v>147174.81297894602</c:v>
                </c:pt>
                <c:pt idx="53">
                  <c:v>147246.05822964528</c:v>
                </c:pt>
                <c:pt idx="54">
                  <c:v>147315.97575940238</c:v>
                </c:pt>
                <c:pt idx="55">
                  <c:v>147384.55157808965</c:v>
                </c:pt>
                <c:pt idx="56">
                  <c:v>147451.77157673115</c:v>
                </c:pt>
                <c:pt idx="57">
                  <c:v>147517.62152652928</c:v>
                </c:pt>
                <c:pt idx="58">
                  <c:v>147582.08707788389</c:v>
                </c:pt>
                <c:pt idx="59">
                  <c:v>147645.15375940307</c:v>
                </c:pt>
                <c:pt idx="60">
                  <c:v>147706.80697690608</c:v>
                </c:pt>
                <c:pt idx="61">
                  <c:v>147767.03201241794</c:v>
                </c:pt>
                <c:pt idx="62">
                  <c:v>147825.81402315601</c:v>
                </c:pt>
                <c:pt idx="63">
                  <c:v>147883.13804050838</c:v>
                </c:pt>
                <c:pt idx="64">
                  <c:v>147938.98896900364</c:v>
                </c:pt>
                <c:pt idx="65">
                  <c:v>147993.35158527252</c:v>
                </c:pt>
                <c:pt idx="66">
                  <c:v>148046.21053700105</c:v>
                </c:pt>
                <c:pt idx="67">
                  <c:v>148097.55034187497</c:v>
                </c:pt>
                <c:pt idx="68">
                  <c:v>148147.35538651582</c:v>
                </c:pt>
                <c:pt idx="69">
                  <c:v>148195.60992540812</c:v>
                </c:pt>
                <c:pt idx="70">
                  <c:v>148242.29807981805</c:v>
                </c:pt>
                <c:pt idx="71">
                  <c:v>148287.40383670313</c:v>
                </c:pt>
                <c:pt idx="72">
                  <c:v>148330.91104761299</c:v>
                </c:pt>
                <c:pt idx="73">
                  <c:v>148372.80342758136</c:v>
                </c:pt>
                <c:pt idx="74">
                  <c:v>148413.06455400886</c:v>
                </c:pt>
                <c:pt idx="75">
                  <c:v>148451.67786553683</c:v>
                </c:pt>
                <c:pt idx="76">
                  <c:v>148488.6266609118</c:v>
                </c:pt>
                <c:pt idx="77">
                  <c:v>148523.89409784085</c:v>
                </c:pt>
                <c:pt idx="78">
                  <c:v>148557.46319183757</c:v>
                </c:pt>
                <c:pt idx="79">
                  <c:v>148589.31681505864</c:v>
                </c:pt>
                <c:pt idx="80">
                  <c:v>148619.43769513094</c:v>
                </c:pt>
                <c:pt idx="81">
                  <c:v>148647.80841396897</c:v>
                </c:pt>
                <c:pt idx="82">
                  <c:v>148674.41140658283</c:v>
                </c:pt>
                <c:pt idx="83">
                  <c:v>148699.22895987629</c:v>
                </c:pt>
                <c:pt idx="84">
                  <c:v>148722.24321143515</c:v>
                </c:pt>
                <c:pt idx="85">
                  <c:v>148743.43614830577</c:v>
                </c:pt>
                <c:pt idx="86">
                  <c:v>148762.78960576342</c:v>
                </c:pt>
                <c:pt idx="87">
                  <c:v>148780.28526607092</c:v>
                </c:pt>
                <c:pt idx="88">
                  <c:v>148795.90465722678</c:v>
                </c:pt>
                <c:pt idx="89">
                  <c:v>148809.62915170344</c:v>
                </c:pt>
                <c:pt idx="90">
                  <c:v>148821.43996517494</c:v>
                </c:pt>
                <c:pt idx="91">
                  <c:v>148831.31815523453</c:v>
                </c:pt>
                <c:pt idx="92">
                  <c:v>148839.24462010147</c:v>
                </c:pt>
                <c:pt idx="93">
                  <c:v>148845.20009731752</c:v>
                </c:pt>
                <c:pt idx="94">
                  <c:v>148849.16516243268</c:v>
                </c:pt>
                <c:pt idx="95">
                  <c:v>148851.12022768022</c:v>
                </c:pt>
                <c:pt idx="96">
                  <c:v>148851.04554064092</c:v>
                </c:pt>
                <c:pt idx="97">
                  <c:v>148848.92118289633</c:v>
                </c:pt>
                <c:pt idx="98">
                  <c:v>148844.72706867123</c:v>
                </c:pt>
                <c:pt idx="99">
                  <c:v>148838.44294346464</c:v>
                </c:pt>
                <c:pt idx="100">
                  <c:v>148830.04838267004</c:v>
                </c:pt>
                <c:pt idx="101">
                  <c:v>148819.52279018413</c:v>
                </c:pt>
                <c:pt idx="102">
                  <c:v>148806.84539700413</c:v>
                </c:pt>
                <c:pt idx="103">
                  <c:v>148791.99525981391</c:v>
                </c:pt>
                <c:pt idx="104">
                  <c:v>148774.95125955823</c:v>
                </c:pt>
                <c:pt idx="105">
                  <c:v>148755.69210000563</c:v>
                </c:pt>
                <c:pt idx="106">
                  <c:v>148734.1963062993</c:v>
                </c:pt>
                <c:pt idx="107">
                  <c:v>148710.44222349639</c:v>
                </c:pt>
                <c:pt idx="108">
                  <c:v>148684.4080150951</c:v>
                </c:pt>
                <c:pt idx="109">
                  <c:v>148656.07166155</c:v>
                </c:pt>
                <c:pt idx="110">
                  <c:v>148625.41095877497</c:v>
                </c:pt>
                <c:pt idx="111">
                  <c:v>148592.40351663408</c:v>
                </c:pt>
                <c:pt idx="112">
                  <c:v>148557.02675742001</c:v>
                </c:pt>
                <c:pt idx="113">
                  <c:v>148519.25791432007</c:v>
                </c:pt>
                <c:pt idx="114">
                  <c:v>148479.07402986966</c:v>
                </c:pt>
                <c:pt idx="115">
                  <c:v>148436.45195439321</c:v>
                </c:pt>
                <c:pt idx="116">
                  <c:v>148391.36834443206</c:v>
                </c:pt>
                <c:pt idx="117">
                  <c:v>148343.79966115981</c:v>
                </c:pt>
                <c:pt idx="118">
                  <c:v>148293.72216878441</c:v>
                </c:pt>
                <c:pt idx="119">
                  <c:v>148241.11193293755</c:v>
                </c:pt>
                <c:pt idx="120">
                  <c:v>148185.94481905029</c:v>
                </c:pt>
                <c:pt idx="121">
                  <c:v>148128.19649071604</c:v>
                </c:pt>
                <c:pt idx="122">
                  <c:v>148067.84240803961</c:v>
                </c:pt>
                <c:pt idx="123">
                  <c:v>148004.85782597307</c:v>
                </c:pt>
                <c:pt idx="124">
                  <c:v>147939.21779263776</c:v>
                </c:pt>
                <c:pt idx="125">
                  <c:v>147870.89714763279</c:v>
                </c:pt>
                <c:pt idx="126">
                  <c:v>147799.87052032934</c:v>
                </c:pt>
                <c:pt idx="127">
                  <c:v>147726.11232815136</c:v>
                </c:pt>
                <c:pt idx="128">
                  <c:v>147649.59677484189</c:v>
                </c:pt>
                <c:pt idx="129">
                  <c:v>147570.29784871533</c:v>
                </c:pt>
                <c:pt idx="130">
                  <c:v>147488.1893208953</c:v>
                </c:pt>
                <c:pt idx="131">
                  <c:v>147403.244743538</c:v>
                </c:pt>
                <c:pt idx="132">
                  <c:v>147315.43744804122</c:v>
                </c:pt>
                <c:pt idx="133">
                  <c:v>147224.74054323835</c:v>
                </c:pt>
                <c:pt idx="134">
                  <c:v>147131.12691357775</c:v>
                </c:pt>
                <c:pt idx="135">
                  <c:v>147034.56921728718</c:v>
                </c:pt>
                <c:pt idx="136">
                  <c:v>146935.03988452314</c:v>
                </c:pt>
                <c:pt idx="137">
                  <c:v>146832.51111550495</c:v>
                </c:pt>
                <c:pt idx="138">
                  <c:v>146726.95487863352</c:v>
                </c:pt>
                <c:pt idx="139">
                  <c:v>146618.34290859482</c:v>
                </c:pt>
                <c:pt idx="140">
                  <c:v>146506.64670444748</c:v>
                </c:pt>
                <c:pt idx="141">
                  <c:v>146391.83752769502</c:v>
                </c:pt>
                <c:pt idx="142">
                  <c:v>146273.88640034187</c:v>
                </c:pt>
                <c:pt idx="143">
                  <c:v>146152.76410293367</c:v>
                </c:pt>
                <c:pt idx="144">
                  <c:v>146028.44117258134</c:v>
                </c:pt>
                <c:pt idx="145">
                  <c:v>145900.8879009689</c:v>
                </c:pt>
                <c:pt idx="146">
                  <c:v>145770.07433234496</c:v>
                </c:pt>
                <c:pt idx="147">
                  <c:v>145635.97026149754</c:v>
                </c:pt>
                <c:pt idx="148">
                  <c:v>145498.54523171234</c:v>
                </c:pt>
                <c:pt idx="149">
                  <c:v>145357.76853271422</c:v>
                </c:pt>
                <c:pt idx="150">
                  <c:v>145213.60919859153</c:v>
                </c:pt>
                <c:pt idx="151">
                  <c:v>145066.03600570347</c:v>
                </c:pt>
                <c:pt idx="152">
                  <c:v>144915.01747057031</c:v>
                </c:pt>
                <c:pt idx="153">
                  <c:v>144760.52184774593</c:v>
                </c:pt>
                <c:pt idx="154">
                  <c:v>144602.51712767303</c:v>
                </c:pt>
                <c:pt idx="155">
                  <c:v>144440.97103452057</c:v>
                </c:pt>
                <c:pt idx="156">
                  <c:v>144275.85102400335</c:v>
                </c:pt>
                <c:pt idx="157">
                  <c:v>144107.12428118361</c:v>
                </c:pt>
                <c:pt idx="158">
                  <c:v>143934.75771825443</c:v>
                </c:pt>
                <c:pt idx="159">
                  <c:v>143758.71797230482</c:v>
                </c:pt>
                <c:pt idx="160">
                  <c:v>143578.97140306642</c:v>
                </c:pt>
                <c:pt idx="161">
                  <c:v>143395.48409064137</c:v>
                </c:pt>
                <c:pt idx="162">
                  <c:v>143208.2218332116</c:v>
                </c:pt>
                <c:pt idx="163">
                  <c:v>143017.15014472909</c:v>
                </c:pt>
                <c:pt idx="164">
                  <c:v>142822.23425258682</c:v>
                </c:pt>
                <c:pt idx="165">
                  <c:v>142623.4390952707</c:v>
                </c:pt>
                <c:pt idx="166">
                  <c:v>142420.72931999189</c:v>
                </c:pt>
                <c:pt idx="167">
                  <c:v>142214.06928029953</c:v>
                </c:pt>
                <c:pt idx="168">
                  <c:v>142003.42303367358</c:v>
                </c:pt>
                <c:pt idx="169">
                  <c:v>141788.75433909782</c:v>
                </c:pt>
                <c:pt idx="170">
                  <c:v>141570.02665461259</c:v>
                </c:pt>
                <c:pt idx="171">
                  <c:v>141347.20313484722</c:v>
                </c:pt>
                <c:pt idx="172">
                  <c:v>141120.24662853195</c:v>
                </c:pt>
                <c:pt idx="173">
                  <c:v>140889.11967598923</c:v>
                </c:pt>
                <c:pt idx="174">
                  <c:v>140653.78450660393</c:v>
                </c:pt>
                <c:pt idx="175">
                  <c:v>140414.20303627278</c:v>
                </c:pt>
                <c:pt idx="176">
                  <c:v>140170.33686483232</c:v>
                </c:pt>
                <c:pt idx="177">
                  <c:v>139922.14727346544</c:v>
                </c:pt>
                <c:pt idx="178">
                  <c:v>139669.59522208647</c:v>
                </c:pt>
                <c:pt idx="179">
                  <c:v>139412.64134670413</c:v>
                </c:pt>
                <c:pt idx="180">
                  <c:v>139151.24595676281</c:v>
                </c:pt>
                <c:pt idx="181">
                  <c:v>138885.36903246123</c:v>
                </c:pt>
                <c:pt idx="182">
                  <c:v>138614.97022204904</c:v>
                </c:pt>
                <c:pt idx="183">
                  <c:v>138340.0088391006</c:v>
                </c:pt>
                <c:pt idx="184">
                  <c:v>138060.44385976583</c:v>
                </c:pt>
                <c:pt idx="185">
                  <c:v>137776.23391999825</c:v>
                </c:pt>
                <c:pt idx="186">
                  <c:v>137487.33731275948</c:v>
                </c:pt>
                <c:pt idx="187">
                  <c:v>137193.71198520059</c:v>
                </c:pt>
                <c:pt idx="188">
                  <c:v>136895.31553581945</c:v>
                </c:pt>
                <c:pt idx="189">
                  <c:v>136592.10521159429</c:v>
                </c:pt>
                <c:pt idx="190">
                  <c:v>136284.03790509325</c:v>
                </c:pt>
                <c:pt idx="191">
                  <c:v>135971.07015155928</c:v>
                </c:pt>
                <c:pt idx="192">
                  <c:v>135653.15812597072</c:v>
                </c:pt>
                <c:pt idx="193">
                  <c:v>135330.25764007686</c:v>
                </c:pt>
                <c:pt idx="194">
                  <c:v>135002.32413940856</c:v>
                </c:pt>
                <c:pt idx="195">
                  <c:v>134669.31270026352</c:v>
                </c:pt>
                <c:pt idx="196">
                  <c:v>134331.17802666599</c:v>
                </c:pt>
                <c:pt idx="197">
                  <c:v>133987.87444730077</c:v>
                </c:pt>
                <c:pt idx="198">
                  <c:v>133639.35591242099</c:v>
                </c:pt>
                <c:pt idx="199">
                  <c:v>133285.57599072985</c:v>
                </c:pt>
                <c:pt idx="200">
                  <c:v>132926.48786623561</c:v>
                </c:pt>
                <c:pt idx="201">
                  <c:v>132562.04433507985</c:v>
                </c:pt>
                <c:pt idx="202">
                  <c:v>132192.19780233857</c:v>
                </c:pt>
                <c:pt idx="203">
                  <c:v>131816.90027879621</c:v>
                </c:pt>
                <c:pt idx="204">
                  <c:v>131436.10337769156</c:v>
                </c:pt>
                <c:pt idx="205">
                  <c:v>131049.75831143634</c:v>
                </c:pt>
                <c:pt idx="206">
                  <c:v>130657.81588830514</c:v>
                </c:pt>
                <c:pt idx="207">
                  <c:v>130260.22650909712</c:v>
                </c:pt>
                <c:pt idx="208">
                  <c:v>129856.9401637689</c:v>
                </c:pt>
                <c:pt idx="209">
                  <c:v>129447.90642803839</c:v>
                </c:pt>
                <c:pt idx="210">
                  <c:v>129033.0744599592</c:v>
                </c:pt>
                <c:pt idx="211">
                  <c:v>128612.3929964655</c:v>
                </c:pt>
                <c:pt idx="212">
                  <c:v>128185.8103498867</c:v>
                </c:pt>
                <c:pt idx="213">
                  <c:v>127753.27440443203</c:v>
                </c:pt>
                <c:pt idx="214">
                  <c:v>127314.73261264432</c:v>
                </c:pt>
                <c:pt idx="215">
                  <c:v>126870.1319918229</c:v>
                </c:pt>
                <c:pt idx="216">
                  <c:v>126419.4191204151</c:v>
                </c:pt>
                <c:pt idx="217">
                  <c:v>125962.54013437619</c:v>
                </c:pt>
                <c:pt idx="218">
                  <c:v>125499.44072349723</c:v>
                </c:pt>
                <c:pt idx="219">
                  <c:v>125030.06612770054</c:v>
                </c:pt>
                <c:pt idx="220">
                  <c:v>124554.3611333025</c:v>
                </c:pt>
                <c:pt idx="221">
                  <c:v>124072.27006924308</c:v>
                </c:pt>
                <c:pt idx="222">
                  <c:v>123583.73680328199</c:v>
                </c:pt>
                <c:pt idx="223">
                  <c:v>123088.70473816086</c:v>
                </c:pt>
                <c:pt idx="224">
                  <c:v>122587.11680773097</c:v>
                </c:pt>
                <c:pt idx="225">
                  <c:v>122078.91547304651</c:v>
                </c:pt>
                <c:pt idx="226">
                  <c:v>121564.04271842241</c:v>
                </c:pt>
                <c:pt idx="227">
                  <c:v>121042.44004745672</c:v>
                </c:pt>
                <c:pt idx="228">
                  <c:v>120514.04847901686</c:v>
                </c:pt>
                <c:pt idx="229">
                  <c:v>119978.8085431893</c:v>
                </c:pt>
                <c:pt idx="230">
                  <c:v>119436.66027719244</c:v>
                </c:pt>
                <c:pt idx="231">
                  <c:v>118887.54322125175</c:v>
                </c:pt>
                <c:pt idx="232">
                  <c:v>118331.39641443705</c:v>
                </c:pt>
                <c:pt idx="233">
                  <c:v>117768.15839046132</c:v>
                </c:pt>
                <c:pt idx="234">
                  <c:v>117197.76717344028</c:v>
                </c:pt>
                <c:pt idx="235">
                  <c:v>116620.16027361264</c:v>
                </c:pt>
                <c:pt idx="236">
                  <c:v>116035.27468301989</c:v>
                </c:pt>
                <c:pt idx="237">
                  <c:v>115443.04687114556</c:v>
                </c:pt>
                <c:pt idx="238">
                  <c:v>114843.41278051298</c:v>
                </c:pt>
                <c:pt idx="239">
                  <c:v>114236.30782224108</c:v>
                </c:pt>
                <c:pt idx="240">
                  <c:v>113621.66687155755</c:v>
                </c:pt>
                <c:pt idx="241">
                  <c:v>112999.42426326864</c:v>
                </c:pt>
                <c:pt idx="242">
                  <c:v>112369.51378718497</c:v>
                </c:pt>
                <c:pt idx="243">
                  <c:v>111731.86868350254</c:v>
                </c:pt>
                <c:pt idx="244">
                  <c:v>111086.4216381382</c:v>
                </c:pt>
                <c:pt idx="245">
                  <c:v>110433.10477801887</c:v>
                </c:pt>
                <c:pt idx="246">
                  <c:v>109771.8496663236</c:v>
                </c:pt>
                <c:pt idx="247">
                  <c:v>109102.58729767766</c:v>
                </c:pt>
                <c:pt idx="248">
                  <c:v>108425.24809329765</c:v>
                </c:pt>
                <c:pt idx="249">
                  <c:v>107739.76189608694</c:v>
                </c:pt>
                <c:pt idx="250">
                  <c:v>107046.05796568023</c:v>
                </c:pt>
                <c:pt idx="251">
                  <c:v>106344.06497343619</c:v>
                </c:pt>
                <c:pt idx="252">
                  <c:v>105633.71099737749</c:v>
                </c:pt>
                <c:pt idx="253">
                  <c:v>104914.92351707649</c:v>
                </c:pt>
                <c:pt idx="254">
                  <c:v>104187.6294084859</c:v>
                </c:pt>
                <c:pt idx="255">
                  <c:v>103451.75493871298</c:v>
                </c:pt>
                <c:pt idx="256">
                  <c:v>102707.22576073599</c:v>
                </c:pt>
                <c:pt idx="257">
                  <c:v>101953.96690806137</c:v>
                </c:pt>
                <c:pt idx="258">
                  <c:v>101191.90278932046</c:v>
                </c:pt>
                <c:pt idx="259">
                  <c:v>100420.95718280411</c:v>
                </c:pt>
                <c:pt idx="260">
                  <c:v>99641.053230933307</c:v>
                </c:pt>
                <c:pt idx="261">
                  <c:v>98852.113434664512</c:v>
                </c:pt>
                <c:pt idx="262">
                  <c:v>98054.059647827511</c:v>
                </c:pt>
                <c:pt idx="263">
                  <c:v>97246.813071394092</c:v>
                </c:pt>
                <c:pt idx="264">
                  <c:v>96430.294247675236</c:v>
                </c:pt>
                <c:pt idx="265">
                  <c:v>95604.423054444778</c:v>
                </c:pt>
                <c:pt idx="266">
                  <c:v>94769.118698987208</c:v>
                </c:pt>
                <c:pt idx="267">
                  <c:v>93924.299712066844</c:v>
                </c:pt>
                <c:pt idx="268">
                  <c:v>93069.883941816006</c:v>
                </c:pt>
                <c:pt idx="269">
                  <c:v>92205.78854753905</c:v>
                </c:pt>
                <c:pt idx="270">
                  <c:v>91331.929993429294</c:v>
                </c:pt>
                <c:pt idx="271">
                  <c:v>90448.224042195419</c:v>
                </c:pt>
                <c:pt idx="272">
                  <c:v>89554.585748593832</c:v>
                </c:pt>
                <c:pt idx="273">
                  <c:v>88650.9294528631</c:v>
                </c:pt>
                <c:pt idx="274">
                  <c:v>87737.168774056248</c:v>
                </c:pt>
                <c:pt idx="275">
                  <c:v>86813.216603266381</c:v>
                </c:pt>
                <c:pt idx="276">
                  <c:v>85878.985096740842</c:v>
                </c:pt>
                <c:pt idx="277">
                  <c:v>84934.385668878545</c:v>
                </c:pt>
                <c:pt idx="278">
                  <c:v>83979.32898510457</c:v>
                </c:pt>
                <c:pt idx="279">
                  <c:v>83013.724954616089</c:v>
                </c:pt>
                <c:pt idx="280">
                  <c:v>82037.48272299231</c:v>
                </c:pt>
                <c:pt idx="281">
                  <c:v>81050.510664661386</c:v>
                </c:pt>
                <c:pt idx="282">
                  <c:v>80052.716375215794</c:v>
                </c:pt>
                <c:pt idx="283">
                  <c:v>79044.006663567343</c:v>
                </c:pt>
                <c:pt idx="284">
                  <c:v>78024.287543931918</c:v>
                </c:pt>
                <c:pt idx="285">
                  <c:v>76993.464227633041</c:v>
                </c:pt>
                <c:pt idx="286">
                  <c:v>75951.441114712317</c:v>
                </c:pt>
                <c:pt idx="287">
                  <c:v>74898.121785333526</c:v>
                </c:pt>
                <c:pt idx="288">
                  <c:v>73833.408990965574</c:v>
                </c:pt>
                <c:pt idx="289">
                  <c:v>72757.204645328209</c:v>
                </c:pt>
                <c:pt idx="290">
                  <c:v>71669.409815082152</c:v>
                </c:pt>
                <c:pt idx="291">
                  <c:v>70569.924710243562</c:v>
                </c:pt>
                <c:pt idx="292">
                  <c:v>69458.648674300319</c:v>
                </c:pt>
                <c:pt idx="293">
                  <c:v>68335.48017400461</c:v>
                </c:pt>
                <c:pt idx="294">
                  <c:v>67200.31678881355</c:v>
                </c:pt>
                <c:pt idx="295">
                  <c:v>66053.055199945797</c:v>
                </c:pt>
                <c:pt idx="296">
                  <c:v>64893.591179017982</c:v>
                </c:pt>
                <c:pt idx="297">
                  <c:v>63721.819576219939</c:v>
                </c:pt>
                <c:pt idx="298">
                  <c:v>62537.634307982436</c:v>
                </c:pt>
                <c:pt idx="299">
                  <c:v>61340.928344084248</c:v>
                </c:pt>
                <c:pt idx="300">
                  <c:v>60131.59369413813</c:v>
                </c:pt>
                <c:pt idx="301">
                  <c:v>58909.521393386269</c:v>
                </c:pt>
                <c:pt idx="302">
                  <c:v>57674.601487725413</c:v>
                </c:pt>
                <c:pt idx="303">
                  <c:v>56426.723017869401</c:v>
                </c:pt>
                <c:pt idx="304">
                  <c:v>55165.774002542392</c:v>
                </c:pt>
                <c:pt idx="305">
                  <c:v>53891.641420578315</c:v>
                </c:pt>
                <c:pt idx="306">
                  <c:v>52604.211191781469</c:v>
                </c:pt>
                <c:pt idx="307">
                  <c:v>51303.368156377714</c:v>
                </c:pt>
                <c:pt idx="308">
                  <c:v>49988.996052855342</c:v>
                </c:pt>
                <c:pt idx="309">
                  <c:v>48660.977493957675</c:v>
                </c:pt>
                <c:pt idx="310">
                  <c:v>47319.19394054389</c:v>
                </c:pt>
                <c:pt idx="311">
                  <c:v>45963.525672978823</c:v>
                </c:pt>
                <c:pt idx="312">
                  <c:v>44593.851759643178</c:v>
                </c:pt>
                <c:pt idx="313">
                  <c:v>43210.050022069081</c:v>
                </c:pt>
                <c:pt idx="314">
                  <c:v>41811.996996097398</c:v>
                </c:pt>
                <c:pt idx="315">
                  <c:v>40399.567888315396</c:v>
                </c:pt>
                <c:pt idx="316">
                  <c:v>38972.636526857503</c:v>
                </c:pt>
                <c:pt idx="317">
                  <c:v>37531.075305424936</c:v>
                </c:pt>
                <c:pt idx="318">
                  <c:v>36074.755119084621</c:v>
                </c:pt>
                <c:pt idx="319">
                  <c:v>34603.545290018876</c:v>
                </c:pt>
                <c:pt idx="320">
                  <c:v>33117.313480879915</c:v>
                </c:pt>
                <c:pt idx="321">
                  <c:v>31615.925592705487</c:v>
                </c:pt>
                <c:pt idx="322">
                  <c:v>30099.245643399012</c:v>
                </c:pt>
                <c:pt idx="323">
                  <c:v>28567.135621456055</c:v>
                </c:pt>
                <c:pt idx="324">
                  <c:v>27019.455307756234</c:v>
                </c:pt>
                <c:pt idx="325">
                  <c:v>25456.062055566414</c:v>
                </c:pt>
                <c:pt idx="326">
                  <c:v>23876.810514986475</c:v>
                </c:pt>
                <c:pt idx="327">
                  <c:v>22281.552282206419</c:v>
                </c:pt>
                <c:pt idx="328">
                  <c:v>20670.13544493866</c:v>
                </c:pt>
                <c:pt idx="329">
                  <c:v>19042.403981154075</c:v>
                </c:pt>
                <c:pt idx="330">
                  <c:v>17398.196944992851</c:v>
                </c:pt>
                <c:pt idx="331">
                  <c:v>15737.347334244956</c:v>
                </c:pt>
                <c:pt idx="332">
                  <c:v>14059.680463724437</c:v>
                </c:pt>
                <c:pt idx="333">
                  <c:v>12365.011537681461</c:v>
                </c:pt>
                <c:pt idx="334">
                  <c:v>10653.141852437479</c:v>
                </c:pt>
                <c:pt idx="335">
                  <c:v>8923.8524937140664</c:v>
                </c:pt>
                <c:pt idx="336">
                  <c:v>7176.8930350575365</c:v>
                </c:pt>
                <c:pt idx="337">
                  <c:v>5411.9590146358105</c:v>
                </c:pt>
                <c:pt idx="338">
                  <c:v>3628.6395555530703</c:v>
                </c:pt>
                <c:pt idx="339">
                  <c:v>1826.260721203131</c:v>
                </c:pt>
                <c:pt idx="340">
                  <c:v>3.104643226045777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28-2B48-86DD-83B48A4E9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700687"/>
        <c:axId val="78481039"/>
      </c:lineChart>
      <c:catAx>
        <c:axId val="7770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481039"/>
        <c:crosses val="autoZero"/>
        <c:auto val="1"/>
        <c:lblAlgn val="ctr"/>
        <c:lblOffset val="100"/>
        <c:noMultiLvlLbl val="0"/>
      </c:catAx>
      <c:valAx>
        <c:axId val="7848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70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>
                    <a:lumMod val="85000"/>
                  </a:schemeClr>
                </a:solidFill>
              </a:rPr>
              <a:t>Saldo Devedor na</a:t>
            </a:r>
            <a:r>
              <a:rPr lang="en-US" b="1" baseline="0">
                <a:solidFill>
                  <a:schemeClr val="bg1">
                    <a:lumMod val="85000"/>
                  </a:schemeClr>
                </a:solidFill>
              </a:rPr>
              <a:t> SAC</a:t>
            </a:r>
            <a:endParaRPr lang="en-US" b="1">
              <a:solidFill>
                <a:schemeClr val="bg1">
                  <a:lumMod val="8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'SAC @amigodopairico'!$I$6</c:f>
              <c:strCache>
                <c:ptCount val="1"/>
                <c:pt idx="0">
                  <c:v>Saldo Devedor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'SAC @amigodopairico'!$I$7:$I$426</c:f>
              <c:numCache>
                <c:formatCode>#,##0.00</c:formatCode>
                <c:ptCount val="420"/>
                <c:pt idx="0">
                  <c:v>141651.1921765396</c:v>
                </c:pt>
                <c:pt idx="1">
                  <c:v>141475.37804977931</c:v>
                </c:pt>
                <c:pt idx="2">
                  <c:v>141298.55469379202</c:v>
                </c:pt>
                <c:pt idx="3">
                  <c:v>141120.71917554722</c:v>
                </c:pt>
                <c:pt idx="4">
                  <c:v>140941.86855489475</c:v>
                </c:pt>
                <c:pt idx="5">
                  <c:v>140761.99988454848</c:v>
                </c:pt>
                <c:pt idx="6">
                  <c:v>140581.11021006998</c:v>
                </c:pt>
                <c:pt idx="7">
                  <c:v>140399.19656985204</c:v>
                </c:pt>
                <c:pt idx="8">
                  <c:v>140216.25599510231</c:v>
                </c:pt>
                <c:pt idx="9">
                  <c:v>140032.28550982682</c:v>
                </c:pt>
                <c:pt idx="10">
                  <c:v>139847.28213081337</c:v>
                </c:pt>
                <c:pt idx="11">
                  <c:v>139661.2428676151</c:v>
                </c:pt>
                <c:pt idx="12">
                  <c:v>139474.16472253378</c:v>
                </c:pt>
                <c:pt idx="13">
                  <c:v>139286.04469060316</c:v>
                </c:pt>
                <c:pt idx="14">
                  <c:v>139096.8797595723</c:v>
                </c:pt>
                <c:pt idx="15">
                  <c:v>138906.66690988882</c:v>
                </c:pt>
                <c:pt idx="16">
                  <c:v>138715.40311468212</c:v>
                </c:pt>
                <c:pt idx="17">
                  <c:v>138523.08533974658</c:v>
                </c:pt>
                <c:pt idx="18">
                  <c:v>138329.71054352462</c:v>
                </c:pt>
                <c:pt idx="19">
                  <c:v>138135.27567708984</c:v>
                </c:pt>
                <c:pt idx="20">
                  <c:v>137939.77768413004</c:v>
                </c:pt>
                <c:pt idx="21">
                  <c:v>137743.21350093017</c:v>
                </c:pt>
                <c:pt idx="22">
                  <c:v>137545.58005635531</c:v>
                </c:pt>
                <c:pt idx="23">
                  <c:v>137346.87427183363</c:v>
                </c:pt>
                <c:pt idx="24">
                  <c:v>137147.09306133917</c:v>
                </c:pt>
                <c:pt idx="25">
                  <c:v>136946.23333137465</c:v>
                </c:pt>
                <c:pt idx="26">
                  <c:v>136744.29198095424</c:v>
                </c:pt>
                <c:pt idx="27">
                  <c:v>136541.26590158633</c:v>
                </c:pt>
                <c:pt idx="28">
                  <c:v>136337.15197725614</c:v>
                </c:pt>
                <c:pt idx="29">
                  <c:v>136131.94708440834</c:v>
                </c:pt>
                <c:pt idx="30">
                  <c:v>135925.64809192962</c:v>
                </c:pt>
                <c:pt idx="31">
                  <c:v>135718.25186113128</c:v>
                </c:pt>
                <c:pt idx="32">
                  <c:v>135509.75524573168</c:v>
                </c:pt>
                <c:pt idx="33">
                  <c:v>135300.15509183862</c:v>
                </c:pt>
                <c:pt idx="34">
                  <c:v>135089.44823793173</c:v>
                </c:pt>
                <c:pt idx="35">
                  <c:v>134877.63151484495</c:v>
                </c:pt>
                <c:pt idx="36">
                  <c:v>134664.70174574855</c:v>
                </c:pt>
                <c:pt idx="37">
                  <c:v>134450.65574613164</c:v>
                </c:pt>
                <c:pt idx="38">
                  <c:v>134235.49032378412</c:v>
                </c:pt>
                <c:pt idx="39">
                  <c:v>134019.20227877898</c:v>
                </c:pt>
                <c:pt idx="40">
                  <c:v>133801.78840345429</c:v>
                </c:pt>
                <c:pt idx="41">
                  <c:v>133583.24548239532</c:v>
                </c:pt>
                <c:pt idx="42">
                  <c:v>133363.57029241641</c:v>
                </c:pt>
                <c:pt idx="43">
                  <c:v>133142.759602543</c:v>
                </c:pt>
                <c:pt idx="44">
                  <c:v>132920.81017399344</c:v>
                </c:pt>
                <c:pt idx="45">
                  <c:v>132697.71876016087</c:v>
                </c:pt>
                <c:pt idx="46">
                  <c:v>132473.48210659498</c:v>
                </c:pt>
                <c:pt idx="47">
                  <c:v>132248.09695098369</c:v>
                </c:pt>
                <c:pt idx="48">
                  <c:v>132021.56002313489</c:v>
                </c:pt>
                <c:pt idx="49">
                  <c:v>131793.86804495801</c:v>
                </c:pt>
                <c:pt idx="50">
                  <c:v>131565.0177304456</c:v>
                </c:pt>
                <c:pt idx="51">
                  <c:v>131335.00578565479</c:v>
                </c:pt>
                <c:pt idx="52">
                  <c:v>131103.82890868883</c:v>
                </c:pt>
                <c:pt idx="53">
                  <c:v>130871.48378967843</c:v>
                </c:pt>
                <c:pt idx="54">
                  <c:v>130637.96711076311</c:v>
                </c:pt>
                <c:pt idx="55">
                  <c:v>130403.27554607252</c:v>
                </c:pt>
                <c:pt idx="56">
                  <c:v>130167.4057617076</c:v>
                </c:pt>
                <c:pt idx="57">
                  <c:v>129930.35441572184</c:v>
                </c:pt>
                <c:pt idx="58">
                  <c:v>129692.11815810234</c:v>
                </c:pt>
                <c:pt idx="59">
                  <c:v>129452.69363075089</c:v>
                </c:pt>
                <c:pt idx="60">
                  <c:v>129212.07746746499</c:v>
                </c:pt>
                <c:pt idx="61">
                  <c:v>128970.26629391874</c:v>
                </c:pt>
                <c:pt idx="62">
                  <c:v>128727.25672764378</c:v>
                </c:pt>
                <c:pt idx="63">
                  <c:v>128483.04537801012</c:v>
                </c:pt>
                <c:pt idx="64">
                  <c:v>128237.62884620686</c:v>
                </c:pt>
                <c:pt idx="65">
                  <c:v>127991.00372522292</c:v>
                </c:pt>
                <c:pt idx="66">
                  <c:v>127743.16659982772</c:v>
                </c:pt>
                <c:pt idx="67">
                  <c:v>127494.11404655171</c:v>
                </c:pt>
                <c:pt idx="68">
                  <c:v>127243.84263366692</c:v>
                </c:pt>
                <c:pt idx="69">
                  <c:v>126992.34892116745</c:v>
                </c:pt>
                <c:pt idx="70">
                  <c:v>126739.62946074978</c:v>
                </c:pt>
                <c:pt idx="71">
                  <c:v>126485.68079579323</c:v>
                </c:pt>
                <c:pt idx="72">
                  <c:v>126230.49946134015</c:v>
                </c:pt>
                <c:pt idx="73">
                  <c:v>125974.08198407614</c:v>
                </c:pt>
                <c:pt idx="74">
                  <c:v>125716.42488231021</c:v>
                </c:pt>
                <c:pt idx="75">
                  <c:v>125457.52466595483</c:v>
                </c:pt>
                <c:pt idx="76">
                  <c:v>125197.37783650598</c:v>
                </c:pt>
                <c:pt idx="77">
                  <c:v>124935.98088702311</c:v>
                </c:pt>
                <c:pt idx="78">
                  <c:v>124673.33030210891</c:v>
                </c:pt>
                <c:pt idx="79">
                  <c:v>124409.42255788925</c:v>
                </c:pt>
                <c:pt idx="80">
                  <c:v>124144.25412199287</c:v>
                </c:pt>
                <c:pt idx="81">
                  <c:v>123877.82145353104</c:v>
                </c:pt>
                <c:pt idx="82">
                  <c:v>123610.12100307722</c:v>
                </c:pt>
                <c:pt idx="83">
                  <c:v>123341.1492126465</c:v>
                </c:pt>
                <c:pt idx="84">
                  <c:v>123070.90251567513</c:v>
                </c:pt>
                <c:pt idx="85">
                  <c:v>122799.37733699993</c:v>
                </c:pt>
                <c:pt idx="86">
                  <c:v>122526.57009283753</c:v>
                </c:pt>
                <c:pt idx="87">
                  <c:v>122252.4771907637</c:v>
                </c:pt>
                <c:pt idx="88">
                  <c:v>121977.09502969249</c:v>
                </c:pt>
                <c:pt idx="89">
                  <c:v>121700.41999985529</c:v>
                </c:pt>
                <c:pt idx="90">
                  <c:v>121422.44848277993</c:v>
                </c:pt>
                <c:pt idx="91">
                  <c:v>121143.17685126954</c:v>
                </c:pt>
                <c:pt idx="92">
                  <c:v>120862.60146938148</c:v>
                </c:pt>
                <c:pt idx="93">
                  <c:v>120580.71869240611</c:v>
                </c:pt>
                <c:pt idx="94">
                  <c:v>120297.52486684552</c:v>
                </c:pt>
                <c:pt idx="95">
                  <c:v>120013.01633039213</c:v>
                </c:pt>
                <c:pt idx="96">
                  <c:v>119727.1894119073</c:v>
                </c:pt>
                <c:pt idx="97">
                  <c:v>119440.04043139973</c:v>
                </c:pt>
                <c:pt idx="98">
                  <c:v>119151.56570000389</c:v>
                </c:pt>
                <c:pt idx="99">
                  <c:v>118861.76151995835</c:v>
                </c:pt>
                <c:pt idx="100">
                  <c:v>118570.62418458394</c:v>
                </c:pt>
                <c:pt idx="101">
                  <c:v>118278.14997826196</c:v>
                </c:pt>
                <c:pt idx="102">
                  <c:v>117984.33517641219</c:v>
                </c:pt>
                <c:pt idx="103">
                  <c:v>117689.17604547086</c:v>
                </c:pt>
                <c:pt idx="104">
                  <c:v>117392.66884286853</c:v>
                </c:pt>
                <c:pt idx="105">
                  <c:v>117094.8098170079</c:v>
                </c:pt>
                <c:pt idx="106">
                  <c:v>116795.59520724147</c:v>
                </c:pt>
                <c:pt idx="107">
                  <c:v>116495.02124384916</c:v>
                </c:pt>
                <c:pt idx="108">
                  <c:v>116193.08414801586</c:v>
                </c:pt>
                <c:pt idx="109">
                  <c:v>115889.78013180879</c:v>
                </c:pt>
                <c:pt idx="110">
                  <c:v>115585.1053981549</c:v>
                </c:pt>
                <c:pt idx="111">
                  <c:v>115279.05614081805</c:v>
                </c:pt>
                <c:pt idx="112">
                  <c:v>114971.62854437614</c:v>
                </c:pt>
                <c:pt idx="113">
                  <c:v>114662.81878419819</c:v>
                </c:pt>
                <c:pt idx="114">
                  <c:v>114352.62302642119</c:v>
                </c:pt>
                <c:pt idx="115">
                  <c:v>114041.03742792708</c:v>
                </c:pt>
                <c:pt idx="116">
                  <c:v>113728.05813631932</c:v>
                </c:pt>
                <c:pt idx="117">
                  <c:v>113413.68128989964</c:v>
                </c:pt>
                <c:pt idx="118">
                  <c:v>113097.90301764449</c:v>
                </c:pt>
                <c:pt idx="119">
                  <c:v>112780.71943918148</c:v>
                </c:pt>
                <c:pt idx="120">
                  <c:v>112462.12666476573</c:v>
                </c:pt>
                <c:pt idx="121">
                  <c:v>112142.12079525599</c:v>
                </c:pt>
                <c:pt idx="122">
                  <c:v>111820.69792209078</c:v>
                </c:pt>
                <c:pt idx="123">
                  <c:v>111497.85412726435</c:v>
                </c:pt>
                <c:pt idx="124">
                  <c:v>111173.58548330252</c:v>
                </c:pt>
                <c:pt idx="125">
                  <c:v>110847.88805323848</c:v>
                </c:pt>
                <c:pt idx="126">
                  <c:v>110520.75789058834</c:v>
                </c:pt>
                <c:pt idx="127">
                  <c:v>110192.1910393267</c:v>
                </c:pt>
                <c:pt idx="128">
                  <c:v>109862.18353386197</c:v>
                </c:pt>
                <c:pt idx="129">
                  <c:v>109530.7313990117</c:v>
                </c:pt>
                <c:pt idx="130">
                  <c:v>109197.83064997764</c:v>
                </c:pt>
                <c:pt idx="131">
                  <c:v>108863.47729232081</c:v>
                </c:pt>
                <c:pt idx="132">
                  <c:v>108527.6673219363</c:v>
                </c:pt>
                <c:pt idx="133">
                  <c:v>108190.39672502813</c:v>
                </c:pt>
                <c:pt idx="134">
                  <c:v>107851.66147808373</c:v>
                </c:pt>
                <c:pt idx="135">
                  <c:v>107511.45754784849</c:v>
                </c:pt>
                <c:pt idx="136">
                  <c:v>107169.78089130009</c:v>
                </c:pt>
                <c:pt idx="137">
                  <c:v>106826.62745562266</c:v>
                </c:pt>
                <c:pt idx="138">
                  <c:v>106481.99317818084</c:v>
                </c:pt>
                <c:pt idx="139">
                  <c:v>106135.87398649375</c:v>
                </c:pt>
                <c:pt idx="140">
                  <c:v>105788.26579820864</c:v>
                </c:pt>
                <c:pt idx="141">
                  <c:v>105439.16452107455</c:v>
                </c:pt>
                <c:pt idx="142">
                  <c:v>105088.56605291579</c:v>
                </c:pt>
                <c:pt idx="143">
                  <c:v>104736.46628160516</c:v>
                </c:pt>
                <c:pt idx="144">
                  <c:v>104382.86108503715</c:v>
                </c:pt>
                <c:pt idx="145">
                  <c:v>104027.74633110092</c:v>
                </c:pt>
                <c:pt idx="146">
                  <c:v>103671.11787765303</c:v>
                </c:pt>
                <c:pt idx="147">
                  <c:v>103312.97157249012</c:v>
                </c:pt>
                <c:pt idx="148">
                  <c:v>102953.30325332144</c:v>
                </c:pt>
                <c:pt idx="149">
                  <c:v>102592.10874774105</c:v>
                </c:pt>
                <c:pt idx="150">
                  <c:v>102229.38387319996</c:v>
                </c:pt>
                <c:pt idx="151">
                  <c:v>101865.12443697808</c:v>
                </c:pt>
                <c:pt idx="152">
                  <c:v>101499.32623615598</c:v>
                </c:pt>
                <c:pt idx="153">
                  <c:v>101131.9850575864</c:v>
                </c:pt>
                <c:pt idx="154">
                  <c:v>100763.09667786566</c:v>
                </c:pt>
                <c:pt idx="155">
                  <c:v>100392.65686330477</c:v>
                </c:pt>
                <c:pt idx="156">
                  <c:v>100020.66136990047</c:v>
                </c:pt>
                <c:pt idx="157">
                  <c:v>99647.105943305927</c:v>
                </c:pt>
                <c:pt idx="158">
                  <c:v>99271.986318801311</c:v>
                </c:pt>
                <c:pt idx="159">
                  <c:v>98895.298221264136</c:v>
                </c:pt>
                <c:pt idx="160">
                  <c:v>98517.037365139375</c:v>
                </c:pt>
                <c:pt idx="161">
                  <c:v>98137.199454409347</c:v>
                </c:pt>
                <c:pt idx="162">
                  <c:v>97755.780182563351</c:v>
                </c:pt>
                <c:pt idx="163">
                  <c:v>97372.775232567175</c:v>
                </c:pt>
                <c:pt idx="164">
                  <c:v>96988.180276832209</c:v>
                </c:pt>
                <c:pt idx="165">
                  <c:v>96601.990977184454</c:v>
                </c:pt>
                <c:pt idx="166">
                  <c:v>96214.202984833173</c:v>
                </c:pt>
                <c:pt idx="167">
                  <c:v>95824.811940339379</c:v>
                </c:pt>
                <c:pt idx="168">
                  <c:v>95433.81347358397</c:v>
                </c:pt>
                <c:pt idx="169">
                  <c:v>95041.203203735669</c:v>
                </c:pt>
                <c:pt idx="170">
                  <c:v>94646.976739218648</c:v>
                </c:pt>
                <c:pt idx="171">
                  <c:v>94251.129677679914</c:v>
                </c:pt>
                <c:pt idx="172">
                  <c:v>93853.657605956352</c:v>
                </c:pt>
                <c:pt idx="173">
                  <c:v>93454.556100041504</c:v>
                </c:pt>
                <c:pt idx="174">
                  <c:v>93053.82072505205</c:v>
                </c:pt>
                <c:pt idx="175">
                  <c:v>92651.447035193967</c:v>
                </c:pt>
                <c:pt idx="176">
                  <c:v>92247.430573728372</c:v>
                </c:pt>
                <c:pt idx="177">
                  <c:v>91841.766872937078</c:v>
                </c:pt>
                <c:pt idx="178">
                  <c:v>91434.451454087714</c:v>
                </c:pt>
                <c:pt idx="179">
                  <c:v>91025.479827398623</c:v>
                </c:pt>
                <c:pt idx="180">
                  <c:v>90614.847492003348</c:v>
                </c:pt>
                <c:pt idx="181">
                  <c:v>90202.549935914736</c:v>
                </c:pt>
                <c:pt idx="182">
                  <c:v>89788.582635988714</c:v>
                </c:pt>
                <c:pt idx="183">
                  <c:v>89372.941057887685</c:v>
                </c:pt>
                <c:pt idx="184">
                  <c:v>88955.620656043495</c:v>
                </c:pt>
                <c:pt idx="185">
                  <c:v>88536.616873620034</c:v>
                </c:pt>
                <c:pt idx="186">
                  <c:v>88115.925142475375</c:v>
                </c:pt>
                <c:pt idx="187">
                  <c:v>87693.540883123584</c:v>
                </c:pt>
                <c:pt idx="188">
                  <c:v>87269.459504695988</c:v>
                </c:pt>
                <c:pt idx="189">
                  <c:v>86843.676404902028</c:v>
                </c:pt>
                <c:pt idx="190">
                  <c:v>86416.186969989678</c:v>
                </c:pt>
                <c:pt idx="191">
                  <c:v>85986.986574705399</c:v>
                </c:pt>
                <c:pt idx="192">
                  <c:v>85556.070582253509</c:v>
                </c:pt>
                <c:pt idx="193">
                  <c:v>85123.434344255133</c:v>
                </c:pt>
                <c:pt idx="194">
                  <c:v>84689.073200706654</c:v>
                </c:pt>
                <c:pt idx="195">
                  <c:v>84252.982479937535</c:v>
                </c:pt>
                <c:pt idx="196">
                  <c:v>83815.157498567656</c:v>
                </c:pt>
                <c:pt idx="197">
                  <c:v>83375.593561464062</c:v>
                </c:pt>
                <c:pt idx="198">
                  <c:v>82934.285961697125</c:v>
                </c:pt>
                <c:pt idx="199">
                  <c:v>82491.229980496122</c:v>
                </c:pt>
                <c:pt idx="200">
                  <c:v>82046.420887204134</c:v>
                </c:pt>
                <c:pt idx="201">
                  <c:v>81599.853939232344</c:v>
                </c:pt>
                <c:pt idx="202">
                  <c:v>81151.524382013697</c:v>
                </c:pt>
                <c:pt idx="203">
                  <c:v>80701.427448955772</c:v>
                </c:pt>
                <c:pt idx="204">
                  <c:v>80249.55836139305</c:v>
                </c:pt>
                <c:pt idx="205">
                  <c:v>79795.912328538354</c:v>
                </c:pt>
                <c:pt idx="206">
                  <c:v>79340.484547433618</c:v>
                </c:pt>
                <c:pt idx="207">
                  <c:v>78883.270202899832</c:v>
                </c:pt>
                <c:pt idx="208">
                  <c:v>78424.264467486108</c:v>
                </c:pt>
                <c:pt idx="209">
                  <c:v>77963.462501418064</c:v>
                </c:pt>
                <c:pt idx="210">
                  <c:v>77500.859452545148</c:v>
                </c:pt>
                <c:pt idx="211">
                  <c:v>77036.450456287217</c:v>
                </c:pt>
                <c:pt idx="212">
                  <c:v>76570.230635580054</c:v>
                </c:pt>
                <c:pt idx="213">
                  <c:v>76102.19510082007</c:v>
                </c:pt>
                <c:pt idx="214">
                  <c:v>75632.338949807847</c:v>
                </c:pt>
                <c:pt idx="215">
                  <c:v>75160.657267690709</c:v>
                </c:pt>
                <c:pt idx="216">
                  <c:v>74687.145126904259</c:v>
                </c:pt>
                <c:pt idx="217">
                  <c:v>74211.797587112698</c:v>
                </c:pt>
                <c:pt idx="218">
                  <c:v>73734.609695148087</c:v>
                </c:pt>
                <c:pt idx="219">
                  <c:v>73255.576484948295</c:v>
                </c:pt>
                <c:pt idx="220">
                  <c:v>72774.692977493789</c:v>
                </c:pt>
                <c:pt idx="221">
                  <c:v>72291.95418074308</c:v>
                </c:pt>
                <c:pt idx="222">
                  <c:v>71807.355089566787</c:v>
                </c:pt>
                <c:pt idx="223">
                  <c:v>71320.890685680351</c:v>
                </c:pt>
                <c:pt idx="224">
                  <c:v>70832.555937575235</c:v>
                </c:pt>
                <c:pt idx="225">
                  <c:v>70342.345800448631</c:v>
                </c:pt>
                <c:pt idx="226">
                  <c:v>69850.255216131569</c:v>
                </c:pt>
                <c:pt idx="227">
                  <c:v>69356.279113015393</c:v>
                </c:pt>
                <c:pt idx="228">
                  <c:v>68860.412405976414</c:v>
                </c:pt>
                <c:pt idx="229">
                  <c:v>68362.649996298933</c:v>
                </c:pt>
                <c:pt idx="230">
                  <c:v>67862.986771596246</c:v>
                </c:pt>
                <c:pt idx="231">
                  <c:v>67361.417605729817</c:v>
                </c:pt>
                <c:pt idx="232">
                  <c:v>66857.937358726267</c:v>
                </c:pt>
                <c:pt idx="233">
                  <c:v>66352.540876692336</c:v>
                </c:pt>
                <c:pt idx="234">
                  <c:v>65845.222991727656</c:v>
                </c:pt>
                <c:pt idx="235">
                  <c:v>65335.97852183503</c:v>
                </c:pt>
                <c:pt idx="236">
                  <c:v>64824.802270828484</c:v>
                </c:pt>
                <c:pt idx="237">
                  <c:v>64311.689028238616</c:v>
                </c:pt>
                <c:pt idx="238">
                  <c:v>63796.633569215373</c:v>
                </c:pt>
                <c:pt idx="239">
                  <c:v>63279.630654427987</c:v>
                </c:pt>
                <c:pt idx="240">
                  <c:v>62760.675029962018</c:v>
                </c:pt>
                <c:pt idx="241">
                  <c:v>62239.761427213329</c:v>
                </c:pt>
                <c:pt idx="242">
                  <c:v>61716.884562778847</c:v>
                </c:pt>
                <c:pt idx="243">
                  <c:v>61192.039138343949</c:v>
                </c:pt>
                <c:pt idx="244">
                  <c:v>60665.219840566308</c:v>
                </c:pt>
                <c:pt idx="245">
                  <c:v>60136.42134095604</c:v>
                </c:pt>
                <c:pt idx="246">
                  <c:v>59605.638295751916</c:v>
                </c:pt>
                <c:pt idx="247">
                  <c:v>59072.865345793507</c:v>
                </c:pt>
                <c:pt idx="248">
                  <c:v>58538.097116388955</c:v>
                </c:pt>
                <c:pt idx="249">
                  <c:v>58001.328217178241</c:v>
                </c:pt>
                <c:pt idx="250">
                  <c:v>57462.553241991634</c:v>
                </c:pt>
                <c:pt idx="251">
                  <c:v>56921.766768703113</c:v>
                </c:pt>
                <c:pt idx="252">
                  <c:v>56378.963359078414</c:v>
                </c:pt>
                <c:pt idx="253">
                  <c:v>55834.137558617505</c:v>
                </c:pt>
                <c:pt idx="254">
                  <c:v>55287.283896391091</c:v>
                </c:pt>
                <c:pt idx="255">
                  <c:v>54738.396884870876</c:v>
                </c:pt>
                <c:pt idx="256">
                  <c:v>54187.471019753146</c:v>
                </c:pt>
                <c:pt idx="257">
                  <c:v>53634.500779775379</c:v>
                </c:pt>
                <c:pt idx="258">
                  <c:v>53079.480626525386</c:v>
                </c:pt>
                <c:pt idx="259">
                  <c:v>52522.40500424261</c:v>
                </c:pt>
                <c:pt idx="260">
                  <c:v>51963.26833961103</c:v>
                </c:pt>
                <c:pt idx="261">
                  <c:v>51402.065041543225</c:v>
                </c:pt>
                <c:pt idx="262">
                  <c:v>50838.78950095507</c:v>
                </c:pt>
                <c:pt idx="263">
                  <c:v>50273.436090530347</c:v>
                </c:pt>
                <c:pt idx="264">
                  <c:v>49705.999164474764</c:v>
                </c:pt>
                <c:pt idx="265">
                  <c:v>49136.473058258649</c:v>
                </c:pt>
                <c:pt idx="266">
                  <c:v>48564.852088347572</c:v>
                </c:pt>
                <c:pt idx="267">
                  <c:v>47991.130551920091</c:v>
                </c:pt>
                <c:pt idx="268">
                  <c:v>47415.302726571783</c:v>
                </c:pt>
                <c:pt idx="269">
                  <c:v>46837.362870004574</c:v>
                </c:pt>
                <c:pt idx="270">
                  <c:v>46257.305219700422</c:v>
                </c:pt>
                <c:pt idx="271">
                  <c:v>45675.123992578192</c:v>
                </c:pt>
                <c:pt idx="272">
                  <c:v>45090.813384632551</c:v>
                </c:pt>
                <c:pt idx="273">
                  <c:v>44504.367570553593</c:v>
                </c:pt>
                <c:pt idx="274">
                  <c:v>43915.78070332572</c:v>
                </c:pt>
                <c:pt idx="275">
                  <c:v>43325.046913804319</c:v>
                </c:pt>
                <c:pt idx="276">
                  <c:v>42732.160310268489</c:v>
                </c:pt>
                <c:pt idx="277">
                  <c:v>42137.114977948004</c:v>
                </c:pt>
                <c:pt idx="278">
                  <c:v>41539.904978522449</c:v>
                </c:pt>
                <c:pt idx="279">
                  <c:v>40940.524349590414</c:v>
                </c:pt>
                <c:pt idx="280">
                  <c:v>40338.967104106181</c:v>
                </c:pt>
                <c:pt idx="281">
                  <c:v>39735.227229781398</c:v>
                </c:pt>
                <c:pt idx="282">
                  <c:v>39129.298688448616</c:v>
                </c:pt>
                <c:pt idx="283">
                  <c:v>38521.175415383659</c:v>
                </c:pt>
                <c:pt idx="284">
                  <c:v>37910.851318583082</c:v>
                </c:pt>
                <c:pt idx="285">
                  <c:v>37298.320277992832</c:v>
                </c:pt>
                <c:pt idx="286">
                  <c:v>36683.576144683728</c:v>
                </c:pt>
                <c:pt idx="287">
                  <c:v>36066.612739968885</c:v>
                </c:pt>
                <c:pt idx="288">
                  <c:v>35447.423854457607</c:v>
                </c:pt>
                <c:pt idx="289">
                  <c:v>34826.003247039851</c:v>
                </c:pt>
                <c:pt idx="290">
                  <c:v>34202.344643794335</c:v>
                </c:pt>
                <c:pt idx="291">
                  <c:v>33576.4417368129</c:v>
                </c:pt>
                <c:pt idx="292">
                  <c:v>32948.288182932563</c:v>
                </c:pt>
                <c:pt idx="293">
                  <c:v>32317.877602365788</c:v>
                </c:pt>
                <c:pt idx="294">
                  <c:v>31685.203577218199</c:v>
                </c:pt>
                <c:pt idx="295">
                  <c:v>31050.259649881682</c:v>
                </c:pt>
                <c:pt idx="296">
                  <c:v>30413.03932128911</c:v>
                </c:pt>
                <c:pt idx="297">
                  <c:v>29773.536049015096</c:v>
                </c:pt>
                <c:pt idx="298">
                  <c:v>29131.743245205049</c:v>
                </c:pt>
                <c:pt idx="299">
                  <c:v>28487.654274312252</c:v>
                </c:pt>
                <c:pt idx="300">
                  <c:v>27841.262450619746</c:v>
                </c:pt>
                <c:pt idx="301">
                  <c:v>27192.561035520306</c:v>
                </c:pt>
                <c:pt idx="302">
                  <c:v>26541.543234523757</c:v>
                </c:pt>
                <c:pt idx="303">
                  <c:v>25888.202193956033</c:v>
                </c:pt>
                <c:pt idx="304">
                  <c:v>25232.530997308568</c:v>
                </c:pt>
                <c:pt idx="305">
                  <c:v>24574.522661189865</c:v>
                </c:pt>
                <c:pt idx="306">
                  <c:v>23914.170130822749</c:v>
                </c:pt>
                <c:pt idx="307">
                  <c:v>23251.46627502095</c:v>
                </c:pt>
                <c:pt idx="308">
                  <c:v>22586.403880566635</c:v>
                </c:pt>
                <c:pt idx="309">
                  <c:v>21918.975645895891</c:v>
                </c:pt>
                <c:pt idx="310">
                  <c:v>21249.174173981144</c:v>
                </c:pt>
                <c:pt idx="311">
                  <c:v>20576.991964277539</c:v>
                </c:pt>
                <c:pt idx="312">
                  <c:v>19902.421403572756</c:v>
                </c:pt>
                <c:pt idx="313">
                  <c:v>19225.454755545517</c:v>
                </c:pt>
                <c:pt idx="314">
                  <c:v>18546.084148794926</c:v>
                </c:pt>
                <c:pt idx="315">
                  <c:v>17864.301563048073</c:v>
                </c:pt>
                <c:pt idx="316">
                  <c:v>17180.098813183333</c:v>
                </c:pt>
                <c:pt idx="317">
                  <c:v>16493.467530616439</c:v>
                </c:pt>
                <c:pt idx="318">
                  <c:v>15804.399141478641</c:v>
                </c:pt>
                <c:pt idx="319">
                  <c:v>15112.884840861034</c:v>
                </c:pt>
                <c:pt idx="320">
                  <c:v>14418.915562192353</c:v>
                </c:pt>
                <c:pt idx="321">
                  <c:v>13722.481940538462</c:v>
                </c:pt>
                <c:pt idx="322">
                  <c:v>13023.57426823009</c:v>
                </c:pt>
                <c:pt idx="323">
                  <c:v>12322.18244069552</c:v>
                </c:pt>
                <c:pt idx="324">
                  <c:v>11618.295889627319</c:v>
                </c:pt>
                <c:pt idx="325">
                  <c:v>10911.903499537979</c:v>
                </c:pt>
                <c:pt idx="326">
                  <c:v>10202.993502184661</c:v>
                </c:pt>
                <c:pt idx="327">
                  <c:v>9491.5533409823292</c:v>
                </c:pt>
                <c:pt idx="328">
                  <c:v>8777.5694938941269</c:v>
                </c:pt>
                <c:pt idx="329">
                  <c:v>8061.0272375425693</c:v>
                </c:pt>
                <c:pt idx="330">
                  <c:v>7341.9103258879759</c:v>
                </c:pt>
                <c:pt idx="331">
                  <c:v>6620.2005408531877</c:v>
                </c:pt>
                <c:pt idx="332">
                  <c:v>5895.8770439000618</c:v>
                </c:pt>
                <c:pt idx="333">
                  <c:v>5168.915404387184</c:v>
                </c:pt>
                <c:pt idx="334">
                  <c:v>4439.2860742336161</c:v>
                </c:pt>
                <c:pt idx="335">
                  <c:v>3706.9518481875439</c:v>
                </c:pt>
                <c:pt idx="336">
                  <c:v>2971.863296691954</c:v>
                </c:pt>
                <c:pt idx="337">
                  <c:v>2233.9496401233419</c:v>
                </c:pt>
                <c:pt idx="338">
                  <c:v>1493.0974744704374</c:v>
                </c:pt>
                <c:pt idx="339">
                  <c:v>749.08700294181847</c:v>
                </c:pt>
                <c:pt idx="340">
                  <c:v>1.2734479050010914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B5-844A-B20A-6F63045D3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783807"/>
        <c:axId val="77785519"/>
      </c:lineChart>
      <c:catAx>
        <c:axId val="7778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785519"/>
        <c:crosses val="autoZero"/>
        <c:auto val="1"/>
        <c:lblAlgn val="ctr"/>
        <c:lblOffset val="100"/>
        <c:noMultiLvlLbl val="0"/>
      </c:catAx>
      <c:valAx>
        <c:axId val="7778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783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Queda do Saldo Devedor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'PRICE @amigodopairico'!$I$7:$I$426</c:f>
              <c:numCache>
                <c:formatCode>#,##0.00</c:formatCode>
                <c:ptCount val="420"/>
                <c:pt idx="0">
                  <c:v>141950.38587343544</c:v>
                </c:pt>
                <c:pt idx="1">
                  <c:v>142074.03830184363</c:v>
                </c:pt>
                <c:pt idx="2">
                  <c:v>142196.94838766192</c:v>
                </c:pt>
                <c:pt idx="3">
                  <c:v>142319.10715623593</c:v>
                </c:pt>
                <c:pt idx="4">
                  <c:v>142440.50555518625</c:v>
                </c:pt>
                <c:pt idx="5">
                  <c:v>142561.13445376995</c:v>
                </c:pt>
                <c:pt idx="6">
                  <c:v>142680.98464223713</c:v>
                </c:pt>
                <c:pt idx="7">
                  <c:v>142800.04683118188</c:v>
                </c:pt>
                <c:pt idx="8">
                  <c:v>142918.31165088827</c:v>
                </c:pt>
                <c:pt idx="9">
                  <c:v>143035.76965067082</c:v>
                </c:pt>
                <c:pt idx="10">
                  <c:v>143152.41129820974</c:v>
                </c:pt>
                <c:pt idx="11">
                  <c:v>143268.22697888067</c:v>
                </c:pt>
                <c:pt idx="12">
                  <c:v>143383.20699507894</c:v>
                </c:pt>
                <c:pt idx="13">
                  <c:v>143497.34156553846</c:v>
                </c:pt>
                <c:pt idx="14">
                  <c:v>143610.62082464495</c:v>
                </c:pt>
                <c:pt idx="15">
                  <c:v>143723.03482174364</c:v>
                </c:pt>
                <c:pt idx="16">
                  <c:v>143834.57352044134</c:v>
                </c:pt>
                <c:pt idx="17">
                  <c:v>143945.22679790272</c:v>
                </c:pt>
                <c:pt idx="18">
                  <c:v>144054.9844441411</c:v>
                </c:pt>
                <c:pt idx="19">
                  <c:v>144163.83616130316</c:v>
                </c:pt>
                <c:pt idx="20">
                  <c:v>144271.7715629481</c:v>
                </c:pt>
                <c:pt idx="21">
                  <c:v>144378.78017332079</c:v>
                </c:pt>
                <c:pt idx="22">
                  <c:v>144484.85142661911</c:v>
                </c:pt>
                <c:pt idx="23">
                  <c:v>144589.97466625506</c:v>
                </c:pt>
                <c:pt idx="24">
                  <c:v>144694.13914411026</c:v>
                </c:pt>
                <c:pt idx="25">
                  <c:v>144797.33401978511</c:v>
                </c:pt>
                <c:pt idx="26">
                  <c:v>144899.54835984187</c:v>
                </c:pt>
                <c:pt idx="27">
                  <c:v>145000.77113704168</c:v>
                </c:pt>
                <c:pt idx="28">
                  <c:v>145100.99122957533</c:v>
                </c:pt>
                <c:pt idx="29">
                  <c:v>145200.19742028767</c:v>
                </c:pt>
                <c:pt idx="30">
                  <c:v>145298.37839589585</c:v>
                </c:pt>
                <c:pt idx="31">
                  <c:v>145395.52274620114</c:v>
                </c:pt>
                <c:pt idx="32">
                  <c:v>145491.61896329428</c:v>
                </c:pt>
                <c:pt idx="33">
                  <c:v>145586.65544075443</c:v>
                </c:pt>
                <c:pt idx="34">
                  <c:v>145680.62047284166</c:v>
                </c:pt>
                <c:pt idx="35">
                  <c:v>145773.50225368267</c:v>
                </c:pt>
                <c:pt idx="36">
                  <c:v>145865.2888764501</c:v>
                </c:pt>
                <c:pt idx="37">
                  <c:v>145955.96833253498</c:v>
                </c:pt>
                <c:pt idx="38">
                  <c:v>146045.52851071255</c:v>
                </c:pt>
                <c:pt idx="39">
                  <c:v>146133.95719630131</c:v>
                </c:pt>
                <c:pt idx="40">
                  <c:v>146221.24207031511</c:v>
                </c:pt>
                <c:pt idx="41">
                  <c:v>146307.37070860845</c:v>
                </c:pt>
                <c:pt idx="42">
                  <c:v>146392.33058101468</c:v>
                </c:pt>
                <c:pt idx="43">
                  <c:v>146476.10905047748</c:v>
                </c:pt>
                <c:pt idx="44">
                  <c:v>146558.69337217481</c:v>
                </c:pt>
                <c:pt idx="45">
                  <c:v>146640.07069263619</c:v>
                </c:pt>
                <c:pt idx="46">
                  <c:v>146720.22804885244</c:v>
                </c:pt>
                <c:pt idx="47">
                  <c:v>146799.15236737844</c:v>
                </c:pt>
                <c:pt idx="48">
                  <c:v>146876.8304634284</c:v>
                </c:pt>
                <c:pt idx="49">
                  <c:v>146953.24903996382</c:v>
                </c:pt>
                <c:pt idx="50">
                  <c:v>147028.394686774</c:v>
                </c:pt>
                <c:pt idx="51">
                  <c:v>147102.25387954921</c:v>
                </c:pt>
                <c:pt idx="52">
                  <c:v>147174.81297894602</c:v>
                </c:pt>
                <c:pt idx="53">
                  <c:v>147246.05822964528</c:v>
                </c:pt>
                <c:pt idx="54">
                  <c:v>147315.97575940238</c:v>
                </c:pt>
                <c:pt idx="55">
                  <c:v>147384.55157808965</c:v>
                </c:pt>
                <c:pt idx="56">
                  <c:v>147451.77157673115</c:v>
                </c:pt>
                <c:pt idx="57">
                  <c:v>147517.62152652928</c:v>
                </c:pt>
                <c:pt idx="58">
                  <c:v>147582.08707788389</c:v>
                </c:pt>
                <c:pt idx="59">
                  <c:v>147645.15375940307</c:v>
                </c:pt>
                <c:pt idx="60">
                  <c:v>147706.80697690608</c:v>
                </c:pt>
                <c:pt idx="61">
                  <c:v>147767.03201241794</c:v>
                </c:pt>
                <c:pt idx="62">
                  <c:v>147825.81402315601</c:v>
                </c:pt>
                <c:pt idx="63">
                  <c:v>147883.13804050838</c:v>
                </c:pt>
                <c:pt idx="64">
                  <c:v>147938.98896900364</c:v>
                </c:pt>
                <c:pt idx="65">
                  <c:v>147993.35158527252</c:v>
                </c:pt>
                <c:pt idx="66">
                  <c:v>148046.21053700105</c:v>
                </c:pt>
                <c:pt idx="67">
                  <c:v>148097.55034187497</c:v>
                </c:pt>
                <c:pt idx="68">
                  <c:v>148147.35538651582</c:v>
                </c:pt>
                <c:pt idx="69">
                  <c:v>148195.60992540812</c:v>
                </c:pt>
                <c:pt idx="70">
                  <c:v>148242.29807981805</c:v>
                </c:pt>
                <c:pt idx="71">
                  <c:v>148287.40383670313</c:v>
                </c:pt>
                <c:pt idx="72">
                  <c:v>148330.91104761299</c:v>
                </c:pt>
                <c:pt idx="73">
                  <c:v>148372.80342758136</c:v>
                </c:pt>
                <c:pt idx="74">
                  <c:v>148413.06455400886</c:v>
                </c:pt>
                <c:pt idx="75">
                  <c:v>148451.67786553683</c:v>
                </c:pt>
                <c:pt idx="76">
                  <c:v>148488.6266609118</c:v>
                </c:pt>
                <c:pt idx="77">
                  <c:v>148523.89409784085</c:v>
                </c:pt>
                <c:pt idx="78">
                  <c:v>148557.46319183757</c:v>
                </c:pt>
                <c:pt idx="79">
                  <c:v>148589.31681505864</c:v>
                </c:pt>
                <c:pt idx="80">
                  <c:v>148619.43769513094</c:v>
                </c:pt>
                <c:pt idx="81">
                  <c:v>148647.80841396897</c:v>
                </c:pt>
                <c:pt idx="82">
                  <c:v>148674.41140658283</c:v>
                </c:pt>
                <c:pt idx="83">
                  <c:v>148699.22895987629</c:v>
                </c:pt>
                <c:pt idx="84">
                  <c:v>148722.24321143515</c:v>
                </c:pt>
                <c:pt idx="85">
                  <c:v>148743.43614830577</c:v>
                </c:pt>
                <c:pt idx="86">
                  <c:v>148762.78960576342</c:v>
                </c:pt>
                <c:pt idx="87">
                  <c:v>148780.28526607092</c:v>
                </c:pt>
                <c:pt idx="88">
                  <c:v>148795.90465722678</c:v>
                </c:pt>
                <c:pt idx="89">
                  <c:v>148809.62915170344</c:v>
                </c:pt>
                <c:pt idx="90">
                  <c:v>148821.43996517494</c:v>
                </c:pt>
                <c:pt idx="91">
                  <c:v>148831.31815523453</c:v>
                </c:pt>
                <c:pt idx="92">
                  <c:v>148839.24462010147</c:v>
                </c:pt>
                <c:pt idx="93">
                  <c:v>148845.20009731752</c:v>
                </c:pt>
                <c:pt idx="94">
                  <c:v>148849.16516243268</c:v>
                </c:pt>
                <c:pt idx="95">
                  <c:v>148851.12022768022</c:v>
                </c:pt>
                <c:pt idx="96">
                  <c:v>148851.04554064092</c:v>
                </c:pt>
                <c:pt idx="97">
                  <c:v>148848.92118289633</c:v>
                </c:pt>
                <c:pt idx="98">
                  <c:v>148844.72706867123</c:v>
                </c:pt>
                <c:pt idx="99">
                  <c:v>148838.44294346464</c:v>
                </c:pt>
                <c:pt idx="100">
                  <c:v>148830.04838267004</c:v>
                </c:pt>
                <c:pt idx="101">
                  <c:v>148819.52279018413</c:v>
                </c:pt>
                <c:pt idx="102">
                  <c:v>148806.84539700413</c:v>
                </c:pt>
                <c:pt idx="103">
                  <c:v>148791.99525981391</c:v>
                </c:pt>
                <c:pt idx="104">
                  <c:v>148774.95125955823</c:v>
                </c:pt>
                <c:pt idx="105">
                  <c:v>148755.69210000563</c:v>
                </c:pt>
                <c:pt idx="106">
                  <c:v>148734.1963062993</c:v>
                </c:pt>
                <c:pt idx="107">
                  <c:v>148710.44222349639</c:v>
                </c:pt>
                <c:pt idx="108">
                  <c:v>148684.4080150951</c:v>
                </c:pt>
                <c:pt idx="109">
                  <c:v>148656.07166155</c:v>
                </c:pt>
                <c:pt idx="110">
                  <c:v>148625.41095877497</c:v>
                </c:pt>
                <c:pt idx="111">
                  <c:v>148592.40351663408</c:v>
                </c:pt>
                <c:pt idx="112">
                  <c:v>148557.02675742001</c:v>
                </c:pt>
                <c:pt idx="113">
                  <c:v>148519.25791432007</c:v>
                </c:pt>
                <c:pt idx="114">
                  <c:v>148479.07402986966</c:v>
                </c:pt>
                <c:pt idx="115">
                  <c:v>148436.45195439321</c:v>
                </c:pt>
                <c:pt idx="116">
                  <c:v>148391.36834443206</c:v>
                </c:pt>
                <c:pt idx="117">
                  <c:v>148343.79966115981</c:v>
                </c:pt>
                <c:pt idx="118">
                  <c:v>148293.72216878441</c:v>
                </c:pt>
                <c:pt idx="119">
                  <c:v>148241.11193293755</c:v>
                </c:pt>
                <c:pt idx="120">
                  <c:v>148185.94481905029</c:v>
                </c:pt>
                <c:pt idx="121">
                  <c:v>148128.19649071604</c:v>
                </c:pt>
                <c:pt idx="122">
                  <c:v>148067.84240803961</c:v>
                </c:pt>
                <c:pt idx="123">
                  <c:v>148004.85782597307</c:v>
                </c:pt>
                <c:pt idx="124">
                  <c:v>147939.21779263776</c:v>
                </c:pt>
                <c:pt idx="125">
                  <c:v>147870.89714763279</c:v>
                </c:pt>
                <c:pt idx="126">
                  <c:v>147799.87052032934</c:v>
                </c:pt>
                <c:pt idx="127">
                  <c:v>147726.11232815136</c:v>
                </c:pt>
                <c:pt idx="128">
                  <c:v>147649.59677484189</c:v>
                </c:pt>
                <c:pt idx="129">
                  <c:v>147570.29784871533</c:v>
                </c:pt>
                <c:pt idx="130">
                  <c:v>147488.1893208953</c:v>
                </c:pt>
                <c:pt idx="131">
                  <c:v>147403.244743538</c:v>
                </c:pt>
                <c:pt idx="132">
                  <c:v>147315.43744804122</c:v>
                </c:pt>
                <c:pt idx="133">
                  <c:v>147224.74054323835</c:v>
                </c:pt>
                <c:pt idx="134">
                  <c:v>147131.12691357775</c:v>
                </c:pt>
                <c:pt idx="135">
                  <c:v>147034.56921728718</c:v>
                </c:pt>
                <c:pt idx="136">
                  <c:v>146935.03988452314</c:v>
                </c:pt>
                <c:pt idx="137">
                  <c:v>146832.51111550495</c:v>
                </c:pt>
                <c:pt idx="138">
                  <c:v>146726.95487863352</c:v>
                </c:pt>
                <c:pt idx="139">
                  <c:v>146618.34290859482</c:v>
                </c:pt>
                <c:pt idx="140">
                  <c:v>146506.64670444748</c:v>
                </c:pt>
                <c:pt idx="141">
                  <c:v>146391.83752769502</c:v>
                </c:pt>
                <c:pt idx="142">
                  <c:v>146273.88640034187</c:v>
                </c:pt>
                <c:pt idx="143">
                  <c:v>146152.76410293367</c:v>
                </c:pt>
                <c:pt idx="144">
                  <c:v>146028.44117258134</c:v>
                </c:pt>
                <c:pt idx="145">
                  <c:v>145900.8879009689</c:v>
                </c:pt>
                <c:pt idx="146">
                  <c:v>145770.07433234496</c:v>
                </c:pt>
                <c:pt idx="147">
                  <c:v>145635.97026149754</c:v>
                </c:pt>
                <c:pt idx="148">
                  <c:v>145498.54523171234</c:v>
                </c:pt>
                <c:pt idx="149">
                  <c:v>145357.76853271422</c:v>
                </c:pt>
                <c:pt idx="150">
                  <c:v>145213.60919859153</c:v>
                </c:pt>
                <c:pt idx="151">
                  <c:v>145066.03600570347</c:v>
                </c:pt>
                <c:pt idx="152">
                  <c:v>144915.01747057031</c:v>
                </c:pt>
                <c:pt idx="153">
                  <c:v>144760.52184774593</c:v>
                </c:pt>
                <c:pt idx="154">
                  <c:v>144602.51712767303</c:v>
                </c:pt>
                <c:pt idx="155">
                  <c:v>144440.97103452057</c:v>
                </c:pt>
                <c:pt idx="156">
                  <c:v>144275.85102400335</c:v>
                </c:pt>
                <c:pt idx="157">
                  <c:v>144107.12428118361</c:v>
                </c:pt>
                <c:pt idx="158">
                  <c:v>143934.75771825443</c:v>
                </c:pt>
                <c:pt idx="159">
                  <c:v>143758.71797230482</c:v>
                </c:pt>
                <c:pt idx="160">
                  <c:v>143578.97140306642</c:v>
                </c:pt>
                <c:pt idx="161">
                  <c:v>143395.48409064137</c:v>
                </c:pt>
                <c:pt idx="162">
                  <c:v>143208.2218332116</c:v>
                </c:pt>
                <c:pt idx="163">
                  <c:v>143017.15014472909</c:v>
                </c:pt>
                <c:pt idx="164">
                  <c:v>142822.23425258682</c:v>
                </c:pt>
                <c:pt idx="165">
                  <c:v>142623.4390952707</c:v>
                </c:pt>
                <c:pt idx="166">
                  <c:v>142420.72931999189</c:v>
                </c:pt>
                <c:pt idx="167">
                  <c:v>142214.06928029953</c:v>
                </c:pt>
                <c:pt idx="168">
                  <c:v>142003.42303367358</c:v>
                </c:pt>
                <c:pt idx="169">
                  <c:v>141788.75433909782</c:v>
                </c:pt>
                <c:pt idx="170">
                  <c:v>141570.02665461259</c:v>
                </c:pt>
                <c:pt idx="171">
                  <c:v>141347.20313484722</c:v>
                </c:pt>
                <c:pt idx="172">
                  <c:v>141120.24662853195</c:v>
                </c:pt>
                <c:pt idx="173">
                  <c:v>140889.11967598923</c:v>
                </c:pt>
                <c:pt idx="174">
                  <c:v>140653.78450660393</c:v>
                </c:pt>
                <c:pt idx="175">
                  <c:v>140414.20303627278</c:v>
                </c:pt>
                <c:pt idx="176">
                  <c:v>140170.33686483232</c:v>
                </c:pt>
                <c:pt idx="177">
                  <c:v>139922.14727346544</c:v>
                </c:pt>
                <c:pt idx="178">
                  <c:v>139669.59522208647</c:v>
                </c:pt>
                <c:pt idx="179">
                  <c:v>139412.64134670413</c:v>
                </c:pt>
                <c:pt idx="180">
                  <c:v>139151.24595676281</c:v>
                </c:pt>
                <c:pt idx="181">
                  <c:v>138885.36903246123</c:v>
                </c:pt>
                <c:pt idx="182">
                  <c:v>138614.97022204904</c:v>
                </c:pt>
                <c:pt idx="183">
                  <c:v>138340.0088391006</c:v>
                </c:pt>
                <c:pt idx="184">
                  <c:v>138060.44385976583</c:v>
                </c:pt>
                <c:pt idx="185">
                  <c:v>137776.23391999825</c:v>
                </c:pt>
                <c:pt idx="186">
                  <c:v>137487.33731275948</c:v>
                </c:pt>
                <c:pt idx="187">
                  <c:v>137193.71198520059</c:v>
                </c:pt>
                <c:pt idx="188">
                  <c:v>136895.31553581945</c:v>
                </c:pt>
                <c:pt idx="189">
                  <c:v>136592.10521159429</c:v>
                </c:pt>
                <c:pt idx="190">
                  <c:v>136284.03790509325</c:v>
                </c:pt>
                <c:pt idx="191">
                  <c:v>135971.07015155928</c:v>
                </c:pt>
                <c:pt idx="192">
                  <c:v>135653.15812597072</c:v>
                </c:pt>
                <c:pt idx="193">
                  <c:v>135330.25764007686</c:v>
                </c:pt>
                <c:pt idx="194">
                  <c:v>135002.32413940856</c:v>
                </c:pt>
                <c:pt idx="195">
                  <c:v>134669.31270026352</c:v>
                </c:pt>
                <c:pt idx="196">
                  <c:v>134331.17802666599</c:v>
                </c:pt>
                <c:pt idx="197">
                  <c:v>133987.87444730077</c:v>
                </c:pt>
                <c:pt idx="198">
                  <c:v>133639.35591242099</c:v>
                </c:pt>
                <c:pt idx="199">
                  <c:v>133285.57599072985</c:v>
                </c:pt>
                <c:pt idx="200">
                  <c:v>132926.48786623561</c:v>
                </c:pt>
                <c:pt idx="201">
                  <c:v>132562.04433507985</c:v>
                </c:pt>
                <c:pt idx="202">
                  <c:v>132192.19780233857</c:v>
                </c:pt>
                <c:pt idx="203">
                  <c:v>131816.90027879621</c:v>
                </c:pt>
                <c:pt idx="204">
                  <c:v>131436.10337769156</c:v>
                </c:pt>
                <c:pt idx="205">
                  <c:v>131049.75831143634</c:v>
                </c:pt>
                <c:pt idx="206">
                  <c:v>130657.81588830514</c:v>
                </c:pt>
                <c:pt idx="207">
                  <c:v>130260.22650909712</c:v>
                </c:pt>
                <c:pt idx="208">
                  <c:v>129856.9401637689</c:v>
                </c:pt>
                <c:pt idx="209">
                  <c:v>129447.90642803839</c:v>
                </c:pt>
                <c:pt idx="210">
                  <c:v>129033.0744599592</c:v>
                </c:pt>
                <c:pt idx="211">
                  <c:v>128612.3929964655</c:v>
                </c:pt>
                <c:pt idx="212">
                  <c:v>128185.8103498867</c:v>
                </c:pt>
                <c:pt idx="213">
                  <c:v>127753.27440443203</c:v>
                </c:pt>
                <c:pt idx="214">
                  <c:v>127314.73261264432</c:v>
                </c:pt>
                <c:pt idx="215">
                  <c:v>126870.1319918229</c:v>
                </c:pt>
                <c:pt idx="216">
                  <c:v>126419.4191204151</c:v>
                </c:pt>
                <c:pt idx="217">
                  <c:v>125962.54013437619</c:v>
                </c:pt>
                <c:pt idx="218">
                  <c:v>125499.44072349723</c:v>
                </c:pt>
                <c:pt idx="219">
                  <c:v>125030.06612770054</c:v>
                </c:pt>
                <c:pt idx="220">
                  <c:v>124554.3611333025</c:v>
                </c:pt>
                <c:pt idx="221">
                  <c:v>124072.27006924308</c:v>
                </c:pt>
                <c:pt idx="222">
                  <c:v>123583.73680328199</c:v>
                </c:pt>
                <c:pt idx="223">
                  <c:v>123088.70473816086</c:v>
                </c:pt>
                <c:pt idx="224">
                  <c:v>122587.11680773097</c:v>
                </c:pt>
                <c:pt idx="225">
                  <c:v>122078.91547304651</c:v>
                </c:pt>
                <c:pt idx="226">
                  <c:v>121564.04271842241</c:v>
                </c:pt>
                <c:pt idx="227">
                  <c:v>121042.44004745672</c:v>
                </c:pt>
                <c:pt idx="228">
                  <c:v>120514.04847901686</c:v>
                </c:pt>
                <c:pt idx="229">
                  <c:v>119978.8085431893</c:v>
                </c:pt>
                <c:pt idx="230">
                  <c:v>119436.66027719244</c:v>
                </c:pt>
                <c:pt idx="231">
                  <c:v>118887.54322125175</c:v>
                </c:pt>
                <c:pt idx="232">
                  <c:v>118331.39641443705</c:v>
                </c:pt>
                <c:pt idx="233">
                  <c:v>117768.15839046132</c:v>
                </c:pt>
                <c:pt idx="234">
                  <c:v>117197.76717344028</c:v>
                </c:pt>
                <c:pt idx="235">
                  <c:v>116620.16027361264</c:v>
                </c:pt>
                <c:pt idx="236">
                  <c:v>116035.27468301989</c:v>
                </c:pt>
                <c:pt idx="237">
                  <c:v>115443.04687114556</c:v>
                </c:pt>
                <c:pt idx="238">
                  <c:v>114843.41278051298</c:v>
                </c:pt>
                <c:pt idx="239">
                  <c:v>114236.30782224108</c:v>
                </c:pt>
                <c:pt idx="240">
                  <c:v>113621.66687155755</c:v>
                </c:pt>
                <c:pt idx="241">
                  <c:v>112999.42426326864</c:v>
                </c:pt>
                <c:pt idx="242">
                  <c:v>112369.51378718497</c:v>
                </c:pt>
                <c:pt idx="243">
                  <c:v>111731.86868350254</c:v>
                </c:pt>
                <c:pt idx="244">
                  <c:v>111086.4216381382</c:v>
                </c:pt>
                <c:pt idx="245">
                  <c:v>110433.10477801887</c:v>
                </c:pt>
                <c:pt idx="246">
                  <c:v>109771.8496663236</c:v>
                </c:pt>
                <c:pt idx="247">
                  <c:v>109102.58729767766</c:v>
                </c:pt>
                <c:pt idx="248">
                  <c:v>108425.24809329765</c:v>
                </c:pt>
                <c:pt idx="249">
                  <c:v>107739.76189608694</c:v>
                </c:pt>
                <c:pt idx="250">
                  <c:v>107046.05796568023</c:v>
                </c:pt>
                <c:pt idx="251">
                  <c:v>106344.06497343619</c:v>
                </c:pt>
                <c:pt idx="252">
                  <c:v>105633.71099737749</c:v>
                </c:pt>
                <c:pt idx="253">
                  <c:v>104914.92351707649</c:v>
                </c:pt>
                <c:pt idx="254">
                  <c:v>104187.6294084859</c:v>
                </c:pt>
                <c:pt idx="255">
                  <c:v>103451.75493871298</c:v>
                </c:pt>
                <c:pt idx="256">
                  <c:v>102707.22576073599</c:v>
                </c:pt>
                <c:pt idx="257">
                  <c:v>101953.96690806137</c:v>
                </c:pt>
                <c:pt idx="258">
                  <c:v>101191.90278932046</c:v>
                </c:pt>
                <c:pt idx="259">
                  <c:v>100420.95718280411</c:v>
                </c:pt>
                <c:pt idx="260">
                  <c:v>99641.053230933307</c:v>
                </c:pt>
                <c:pt idx="261">
                  <c:v>98852.113434664512</c:v>
                </c:pt>
                <c:pt idx="262">
                  <c:v>98054.059647827511</c:v>
                </c:pt>
                <c:pt idx="263">
                  <c:v>97246.813071394092</c:v>
                </c:pt>
                <c:pt idx="264">
                  <c:v>96430.294247675236</c:v>
                </c:pt>
                <c:pt idx="265">
                  <c:v>95604.423054444778</c:v>
                </c:pt>
                <c:pt idx="266">
                  <c:v>94769.118698987208</c:v>
                </c:pt>
                <c:pt idx="267">
                  <c:v>93924.299712066844</c:v>
                </c:pt>
                <c:pt idx="268">
                  <c:v>93069.883941816006</c:v>
                </c:pt>
                <c:pt idx="269">
                  <c:v>92205.78854753905</c:v>
                </c:pt>
                <c:pt idx="270">
                  <c:v>91331.929993429294</c:v>
                </c:pt>
                <c:pt idx="271">
                  <c:v>90448.224042195419</c:v>
                </c:pt>
                <c:pt idx="272">
                  <c:v>89554.585748593832</c:v>
                </c:pt>
                <c:pt idx="273">
                  <c:v>88650.9294528631</c:v>
                </c:pt>
                <c:pt idx="274">
                  <c:v>87737.168774056248</c:v>
                </c:pt>
                <c:pt idx="275">
                  <c:v>86813.216603266381</c:v>
                </c:pt>
                <c:pt idx="276">
                  <c:v>85878.985096740842</c:v>
                </c:pt>
                <c:pt idx="277">
                  <c:v>84934.385668878545</c:v>
                </c:pt>
                <c:pt idx="278">
                  <c:v>83979.32898510457</c:v>
                </c:pt>
                <c:pt idx="279">
                  <c:v>83013.724954616089</c:v>
                </c:pt>
                <c:pt idx="280">
                  <c:v>82037.48272299231</c:v>
                </c:pt>
                <c:pt idx="281">
                  <c:v>81050.510664661386</c:v>
                </c:pt>
                <c:pt idx="282">
                  <c:v>80052.716375215794</c:v>
                </c:pt>
                <c:pt idx="283">
                  <c:v>79044.006663567343</c:v>
                </c:pt>
                <c:pt idx="284">
                  <c:v>78024.287543931918</c:v>
                </c:pt>
                <c:pt idx="285">
                  <c:v>76993.464227633041</c:v>
                </c:pt>
                <c:pt idx="286">
                  <c:v>75951.441114712317</c:v>
                </c:pt>
                <c:pt idx="287">
                  <c:v>74898.121785333526</c:v>
                </c:pt>
                <c:pt idx="288">
                  <c:v>73833.408990965574</c:v>
                </c:pt>
                <c:pt idx="289">
                  <c:v>72757.204645328209</c:v>
                </c:pt>
                <c:pt idx="290">
                  <c:v>71669.409815082152</c:v>
                </c:pt>
                <c:pt idx="291">
                  <c:v>70569.924710243562</c:v>
                </c:pt>
                <c:pt idx="292">
                  <c:v>69458.648674300319</c:v>
                </c:pt>
                <c:pt idx="293">
                  <c:v>68335.48017400461</c:v>
                </c:pt>
                <c:pt idx="294">
                  <c:v>67200.31678881355</c:v>
                </c:pt>
                <c:pt idx="295">
                  <c:v>66053.055199945797</c:v>
                </c:pt>
                <c:pt idx="296">
                  <c:v>64893.591179017982</c:v>
                </c:pt>
                <c:pt idx="297">
                  <c:v>63721.819576219939</c:v>
                </c:pt>
                <c:pt idx="298">
                  <c:v>62537.634307982436</c:v>
                </c:pt>
                <c:pt idx="299">
                  <c:v>61340.928344084248</c:v>
                </c:pt>
                <c:pt idx="300">
                  <c:v>60131.59369413813</c:v>
                </c:pt>
                <c:pt idx="301">
                  <c:v>58909.521393386269</c:v>
                </c:pt>
                <c:pt idx="302">
                  <c:v>57674.601487725413</c:v>
                </c:pt>
                <c:pt idx="303">
                  <c:v>56426.723017869401</c:v>
                </c:pt>
                <c:pt idx="304">
                  <c:v>55165.774002542392</c:v>
                </c:pt>
                <c:pt idx="305">
                  <c:v>53891.641420578315</c:v>
                </c:pt>
                <c:pt idx="306">
                  <c:v>52604.211191781469</c:v>
                </c:pt>
                <c:pt idx="307">
                  <c:v>51303.368156377714</c:v>
                </c:pt>
                <c:pt idx="308">
                  <c:v>49988.996052855342</c:v>
                </c:pt>
                <c:pt idx="309">
                  <c:v>48660.977493957675</c:v>
                </c:pt>
                <c:pt idx="310">
                  <c:v>47319.19394054389</c:v>
                </c:pt>
                <c:pt idx="311">
                  <c:v>45963.525672978823</c:v>
                </c:pt>
                <c:pt idx="312">
                  <c:v>44593.851759643178</c:v>
                </c:pt>
                <c:pt idx="313">
                  <c:v>43210.050022069081</c:v>
                </c:pt>
                <c:pt idx="314">
                  <c:v>41811.996996097398</c:v>
                </c:pt>
                <c:pt idx="315">
                  <c:v>40399.567888315396</c:v>
                </c:pt>
                <c:pt idx="316">
                  <c:v>38972.636526857503</c:v>
                </c:pt>
                <c:pt idx="317">
                  <c:v>37531.075305424936</c:v>
                </c:pt>
                <c:pt idx="318">
                  <c:v>36074.755119084621</c:v>
                </c:pt>
                <c:pt idx="319">
                  <c:v>34603.545290018876</c:v>
                </c:pt>
                <c:pt idx="320">
                  <c:v>33117.313480879915</c:v>
                </c:pt>
                <c:pt idx="321">
                  <c:v>31615.925592705487</c:v>
                </c:pt>
                <c:pt idx="322">
                  <c:v>30099.245643399012</c:v>
                </c:pt>
                <c:pt idx="323">
                  <c:v>28567.135621456055</c:v>
                </c:pt>
                <c:pt idx="324">
                  <c:v>27019.455307756234</c:v>
                </c:pt>
                <c:pt idx="325">
                  <c:v>25456.062055566414</c:v>
                </c:pt>
                <c:pt idx="326">
                  <c:v>23876.810514986475</c:v>
                </c:pt>
                <c:pt idx="327">
                  <c:v>22281.552282206419</c:v>
                </c:pt>
                <c:pt idx="328">
                  <c:v>20670.13544493866</c:v>
                </c:pt>
                <c:pt idx="329">
                  <c:v>19042.403981154075</c:v>
                </c:pt>
                <c:pt idx="330">
                  <c:v>17398.196944992851</c:v>
                </c:pt>
                <c:pt idx="331">
                  <c:v>15737.347334244956</c:v>
                </c:pt>
                <c:pt idx="332">
                  <c:v>14059.680463724437</c:v>
                </c:pt>
                <c:pt idx="333">
                  <c:v>12365.011537681461</c:v>
                </c:pt>
                <c:pt idx="334">
                  <c:v>10653.141852437479</c:v>
                </c:pt>
                <c:pt idx="335">
                  <c:v>8923.8524937140664</c:v>
                </c:pt>
                <c:pt idx="336">
                  <c:v>7176.8930350575365</c:v>
                </c:pt>
                <c:pt idx="337">
                  <c:v>5411.9590146358105</c:v>
                </c:pt>
                <c:pt idx="338">
                  <c:v>3628.6395555530703</c:v>
                </c:pt>
                <c:pt idx="339">
                  <c:v>1826.260721203131</c:v>
                </c:pt>
                <c:pt idx="340">
                  <c:v>3.104643226045777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5A-CF40-B198-D4A7D63D0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983552"/>
        <c:axId val="496885824"/>
      </c:scatterChart>
      <c:valAx>
        <c:axId val="49698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6885824"/>
        <c:crosses val="autoZero"/>
        <c:crossBetween val="midCat"/>
      </c:valAx>
      <c:valAx>
        <c:axId val="49688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698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 da parcela ao longo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'PRICE @amigodopairico'!$G$6</c:f>
              <c:strCache>
                <c:ptCount val="1"/>
                <c:pt idx="0">
                  <c:v>Parcela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7AF-9E45-BB7C-5903E5E400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'PRICE @amigodopairico'!$G$7:$G$426</c:f>
              <c:numCache>
                <c:formatCode>#,##0.00</c:formatCode>
                <c:ptCount val="420"/>
                <c:pt idx="0">
                  <c:v>1077.0370926079861</c:v>
                </c:pt>
                <c:pt idx="1">
                  <c:v>1078.7759867204509</c:v>
                </c:pt>
                <c:pt idx="2">
                  <c:v>1080.5178497349109</c:v>
                </c:pt>
                <c:pt idx="3">
                  <c:v>1082.262686821404</c:v>
                </c:pt>
                <c:pt idx="4">
                  <c:v>1084.0105031600838</c:v>
                </c:pt>
                <c:pt idx="5">
                  <c:v>1085.7613039412506</c:v>
                </c:pt>
                <c:pt idx="6">
                  <c:v>1087.5150943653875</c:v>
                </c:pt>
                <c:pt idx="7">
                  <c:v>1089.2718796431946</c:v>
                </c:pt>
                <c:pt idx="8">
                  <c:v>1091.0316649956228</c:v>
                </c:pt>
                <c:pt idx="9">
                  <c:v>1092.794455653911</c:v>
                </c:pt>
                <c:pt idx="10">
                  <c:v>1094.5602568596194</c:v>
                </c:pt>
                <c:pt idx="11">
                  <c:v>1096.3290738646663</c:v>
                </c:pt>
                <c:pt idx="12">
                  <c:v>1098.1009119313646</c:v>
                </c:pt>
                <c:pt idx="13">
                  <c:v>1099.8757763324581</c:v>
                </c:pt>
                <c:pt idx="14">
                  <c:v>1101.6536723511574</c:v>
                </c:pt>
                <c:pt idx="15">
                  <c:v>1103.4346052811782</c:v>
                </c:pt>
                <c:pt idx="16">
                  <c:v>1105.218580426779</c:v>
                </c:pt>
                <c:pt idx="17">
                  <c:v>1107.0056031027984</c:v>
                </c:pt>
                <c:pt idx="18">
                  <c:v>1108.7956786346931</c:v>
                </c:pt>
                <c:pt idx="19">
                  <c:v>1110.5888123585778</c:v>
                </c:pt>
                <c:pt idx="20">
                  <c:v>1112.3850096212634</c:v>
                </c:pt>
                <c:pt idx="21">
                  <c:v>1114.1842757802965</c:v>
                </c:pt>
                <c:pt idx="22">
                  <c:v>1115.9866162039998</c:v>
                </c:pt>
                <c:pt idx="23">
                  <c:v>1117.7920362715124</c:v>
                </c:pt>
                <c:pt idx="24">
                  <c:v>1119.6005413728292</c:v>
                </c:pt>
                <c:pt idx="25">
                  <c:v>1121.4121369088446</c:v>
                </c:pt>
                <c:pt idx="26">
                  <c:v>1123.2268282913915</c:v>
                </c:pt>
                <c:pt idx="27">
                  <c:v>1125.0446209432846</c:v>
                </c:pt>
                <c:pt idx="28">
                  <c:v>1126.865520298363</c:v>
                </c:pt>
                <c:pt idx="29">
                  <c:v>1128.6895318015329</c:v>
                </c:pt>
                <c:pt idx="30">
                  <c:v>1130.5166609088103</c:v>
                </c:pt>
                <c:pt idx="31">
                  <c:v>1132.3469130873661</c:v>
                </c:pt>
                <c:pt idx="32">
                  <c:v>1134.1802938155697</c:v>
                </c:pt>
                <c:pt idx="33">
                  <c:v>1136.0168085830337</c:v>
                </c:pt>
                <c:pt idx="34">
                  <c:v>1137.8564628906593</c:v>
                </c:pt>
                <c:pt idx="35">
                  <c:v>1139.699262250683</c:v>
                </c:pt>
                <c:pt idx="36">
                  <c:v>1141.545212186722</c:v>
                </c:pt>
                <c:pt idx="37">
                  <c:v>1143.3943182338212</c:v>
                </c:pt>
                <c:pt idx="38">
                  <c:v>1145.2465859385011</c:v>
                </c:pt>
                <c:pt idx="39">
                  <c:v>1147.102020858805</c:v>
                </c:pt>
                <c:pt idx="40">
                  <c:v>1148.9606285643483</c:v>
                </c:pt>
                <c:pt idx="41">
                  <c:v>1150.8224146363677</c:v>
                </c:pt>
                <c:pt idx="42">
                  <c:v>1152.6873846677697</c:v>
                </c:pt>
                <c:pt idx="43">
                  <c:v>1154.5555442631817</c:v>
                </c:pt>
                <c:pt idx="44">
                  <c:v>1156.4268990390033</c:v>
                </c:pt>
                <c:pt idx="45">
                  <c:v>1158.3014546234572</c:v>
                </c:pt>
                <c:pt idx="46">
                  <c:v>1160.1792166566406</c:v>
                </c:pt>
                <c:pt idx="47">
                  <c:v>1162.0601907905796</c:v>
                </c:pt>
                <c:pt idx="48">
                  <c:v>1163.9443826892807</c:v>
                </c:pt>
                <c:pt idx="49">
                  <c:v>1165.8317980287868</c:v>
                </c:pt>
                <c:pt idx="50">
                  <c:v>1167.7224424972301</c:v>
                </c:pt>
                <c:pt idx="51">
                  <c:v>1169.6163217948886</c:v>
                </c:pt>
                <c:pt idx="52">
                  <c:v>1171.5134416342419</c:v>
                </c:pt>
                <c:pt idx="53">
                  <c:v>1173.4138077400278</c:v>
                </c:pt>
                <c:pt idx="54">
                  <c:v>1175.3174258492998</c:v>
                </c:pt>
                <c:pt idx="55">
                  <c:v>1177.2243017114868</c:v>
                </c:pt>
                <c:pt idx="56">
                  <c:v>1179.134441088449</c:v>
                </c:pt>
                <c:pt idx="57">
                  <c:v>1181.0478497545419</c:v>
                </c:pt>
                <c:pt idx="58">
                  <c:v>1182.9645334966726</c:v>
                </c:pt>
                <c:pt idx="59">
                  <c:v>1184.8844981143641</c:v>
                </c:pt>
                <c:pt idx="60">
                  <c:v>1186.8077494198164</c:v>
                </c:pt>
                <c:pt idx="61">
                  <c:v>1188.7342932379706</c:v>
                </c:pt>
                <c:pt idx="62">
                  <c:v>1190.6641354065709</c:v>
                </c:pt>
                <c:pt idx="63">
                  <c:v>1192.5972817762306</c:v>
                </c:pt>
                <c:pt idx="64">
                  <c:v>1194.5337382104988</c:v>
                </c:pt>
                <c:pt idx="65">
                  <c:v>1196.4735105859243</c:v>
                </c:pt>
                <c:pt idx="66">
                  <c:v>1198.4166047921253</c:v>
                </c:pt>
                <c:pt idx="67">
                  <c:v>1200.3630267318576</c:v>
                </c:pt>
                <c:pt idx="68">
                  <c:v>1202.3127823210825</c:v>
                </c:pt>
                <c:pt idx="69">
                  <c:v>1204.2658774890394</c:v>
                </c:pt>
                <c:pt idx="70">
                  <c:v>1206.2223181783147</c:v>
                </c:pt>
                <c:pt idx="71">
                  <c:v>1208.1821103449174</c:v>
                </c:pt>
                <c:pt idx="72">
                  <c:v>1210.1452599583488</c:v>
                </c:pt>
                <c:pt idx="73">
                  <c:v>1212.1117730016806</c:v>
                </c:pt>
                <c:pt idx="74">
                  <c:v>1214.0816554716284</c:v>
                </c:pt>
                <c:pt idx="75">
                  <c:v>1216.054913378628</c:v>
                </c:pt>
                <c:pt idx="76">
                  <c:v>1218.0315527469165</c:v>
                </c:pt>
                <c:pt idx="77">
                  <c:v>1220.0115796146076</c:v>
                </c:pt>
                <c:pt idx="78">
                  <c:v>1221.9950000337742</c:v>
                </c:pt>
                <c:pt idx="79">
                  <c:v>1223.9818200705288</c:v>
                </c:pt>
                <c:pt idx="80">
                  <c:v>1225.972045805107</c:v>
                </c:pt>
                <c:pt idx="81">
                  <c:v>1227.9656833319509</c:v>
                </c:pt>
                <c:pt idx="82">
                  <c:v>1229.962738759795</c:v>
                </c:pt>
                <c:pt idx="83">
                  <c:v>1231.9632182117527</c:v>
                </c:pt>
                <c:pt idx="84">
                  <c:v>1233.9671278254034</c:v>
                </c:pt>
                <c:pt idx="85">
                  <c:v>1235.9744737528836</c:v>
                </c:pt>
                <c:pt idx="86">
                  <c:v>1237.9852621609764</c:v>
                </c:pt>
                <c:pt idx="87">
                  <c:v>1239.9994992312043</c:v>
                </c:pt>
                <c:pt idx="88">
                  <c:v>1242.017191159923</c:v>
                </c:pt>
                <c:pt idx="89">
                  <c:v>1244.0383441584165</c:v>
                </c:pt>
                <c:pt idx="90">
                  <c:v>1246.0629644529947</c:v>
                </c:pt>
                <c:pt idx="91">
                  <c:v>1248.0910582850902</c:v>
                </c:pt>
                <c:pt idx="92">
                  <c:v>1250.1226319113605</c:v>
                </c:pt>
                <c:pt idx="93">
                  <c:v>1252.1576916037884</c:v>
                </c:pt>
                <c:pt idx="94">
                  <c:v>1254.1962436497868</c:v>
                </c:pt>
                <c:pt idx="95">
                  <c:v>1256.2382943523012</c:v>
                </c:pt>
                <c:pt idx="96">
                  <c:v>1258.2838500299201</c:v>
                </c:pt>
                <c:pt idx="97">
                  <c:v>1260.332917016982</c:v>
                </c:pt>
                <c:pt idx="98">
                  <c:v>1262.3855016636862</c:v>
                </c:pt>
                <c:pt idx="99">
                  <c:v>1264.4416103362066</c:v>
                </c:pt>
                <c:pt idx="100">
                  <c:v>1266.5012494168052</c:v>
                </c:pt>
                <c:pt idx="101">
                  <c:v>1268.5644253039484</c:v>
                </c:pt>
                <c:pt idx="102">
                  <c:v>1270.6311444124276</c:v>
                </c:pt>
                <c:pt idx="103">
                  <c:v>1272.7014131734788</c:v>
                </c:pt>
                <c:pt idx="104">
                  <c:v>1274.7752380349054</c:v>
                </c:pt>
                <c:pt idx="105">
                  <c:v>1276.852625461205</c:v>
                </c:pt>
                <c:pt idx="106">
                  <c:v>1278.9335819336941</c:v>
                </c:pt>
                <c:pt idx="107">
                  <c:v>1281.0181139506415</c:v>
                </c:pt>
                <c:pt idx="108">
                  <c:v>1283.1062280273973</c:v>
                </c:pt>
                <c:pt idx="109">
                  <c:v>1285.1979306965311</c:v>
                </c:pt>
                <c:pt idx="110">
                  <c:v>1287.2932285079655</c:v>
                </c:pt>
                <c:pt idx="111">
                  <c:v>1289.3921280291197</c:v>
                </c:pt>
                <c:pt idx="112">
                  <c:v>1291.4946358450484</c:v>
                </c:pt>
                <c:pt idx="113">
                  <c:v>1293.6007585585896</c:v>
                </c:pt>
                <c:pt idx="114">
                  <c:v>1295.710502790512</c:v>
                </c:pt>
                <c:pt idx="115">
                  <c:v>1297.8238751796657</c:v>
                </c:pt>
                <c:pt idx="116">
                  <c:v>1299.940882383135</c:v>
                </c:pt>
                <c:pt idx="117">
                  <c:v>1302.0615310763976</c:v>
                </c:pt>
                <c:pt idx="118">
                  <c:v>1304.1858279534822</c:v>
                </c:pt>
                <c:pt idx="119">
                  <c:v>1306.313779727132</c:v>
                </c:pt>
                <c:pt idx="120">
                  <c:v>1308.4453931289736</c:v>
                </c:pt>
                <c:pt idx="121">
                  <c:v>1310.5806749096821</c:v>
                </c:pt>
                <c:pt idx="122">
                  <c:v>1312.7196318391584</c:v>
                </c:pt>
                <c:pt idx="123">
                  <c:v>1314.8622707067036</c:v>
                </c:pt>
                <c:pt idx="124">
                  <c:v>1317.0085983212002</c:v>
                </c:pt>
                <c:pt idx="125">
                  <c:v>1319.1586215112948</c:v>
                </c:pt>
                <c:pt idx="126">
                  <c:v>1321.3123471255881</c:v>
                </c:pt>
                <c:pt idx="127">
                  <c:v>1323.4697820328245</c:v>
                </c:pt>
                <c:pt idx="128">
                  <c:v>1325.6309331220887</c:v>
                </c:pt>
                <c:pt idx="129">
                  <c:v>1327.7958073030063</c:v>
                </c:pt>
                <c:pt idx="130">
                  <c:v>1329.9644115059468</c:v>
                </c:pt>
                <c:pt idx="131">
                  <c:v>1332.136752682233</c:v>
                </c:pt>
                <c:pt idx="132">
                  <c:v>1334.3128378043527</c:v>
                </c:pt>
                <c:pt idx="133">
                  <c:v>1336.4926738661795</c:v>
                </c:pt>
                <c:pt idx="134">
                  <c:v>1338.676267883191</c:v>
                </c:pt>
                <c:pt idx="135">
                  <c:v>1340.8636268926996</c:v>
                </c:pt>
                <c:pt idx="136">
                  <c:v>1343.054757954083</c:v>
                </c:pt>
                <c:pt idx="137">
                  <c:v>1345.2496681490225</c:v>
                </c:pt>
                <c:pt idx="138">
                  <c:v>1347.4483645817461</c:v>
                </c:pt>
                <c:pt idx="139">
                  <c:v>1349.6508543792754</c:v>
                </c:pt>
                <c:pt idx="140">
                  <c:v>1351.8571446916828</c:v>
                </c:pt>
                <c:pt idx="141">
                  <c:v>1354.0672426923481</c:v>
                </c:pt>
                <c:pt idx="142">
                  <c:v>1356.2811555782255</c:v>
                </c:pt>
                <c:pt idx="143">
                  <c:v>1358.4988905701168</c:v>
                </c:pt>
                <c:pt idx="144">
                  <c:v>1360.7204549129483</c:v>
                </c:pt>
                <c:pt idx="145">
                  <c:v>1362.9458558760559</c:v>
                </c:pt>
                <c:pt idx="146">
                  <c:v>1365.1751007534774</c:v>
                </c:pt>
                <c:pt idx="147">
                  <c:v>1367.4081968642511</c:v>
                </c:pt>
                <c:pt idx="148">
                  <c:v>1369.6451515527206</c:v>
                </c:pt>
                <c:pt idx="149">
                  <c:v>1371.8859721888491</c:v>
                </c:pt>
                <c:pt idx="150">
                  <c:v>1374.1306661685405</c:v>
                </c:pt>
                <c:pt idx="151">
                  <c:v>1376.379240913966</c:v>
                </c:pt>
                <c:pt idx="152">
                  <c:v>1378.6317038739023</c:v>
                </c:pt>
                <c:pt idx="153">
                  <c:v>1380.8880625240777</c:v>
                </c:pt>
                <c:pt idx="154">
                  <c:v>1383.1483243675229</c:v>
                </c:pt>
                <c:pt idx="155">
                  <c:v>1385.4124969349364</c:v>
                </c:pt>
                <c:pt idx="156">
                  <c:v>1387.6805877850543</c:v>
                </c:pt>
                <c:pt idx="157">
                  <c:v>1389.952604505032</c:v>
                </c:pt>
                <c:pt idx="158">
                  <c:v>1392.2285547108368</c:v>
                </c:pt>
                <c:pt idx="159">
                  <c:v>1394.5084460476453</c:v>
                </c:pt>
                <c:pt idx="160">
                  <c:v>1396.7922861902578</c:v>
                </c:pt>
                <c:pt idx="161">
                  <c:v>1399.080082843521</c:v>
                </c:pt>
                <c:pt idx="162">
                  <c:v>1401.3718437427581</c:v>
                </c:pt>
                <c:pt idx="163">
                  <c:v>1403.6675766542157</c:v>
                </c:pt>
                <c:pt idx="164">
                  <c:v>1405.9672893755214</c:v>
                </c:pt>
                <c:pt idx="165">
                  <c:v>1408.2709897361506</c:v>
                </c:pt>
                <c:pt idx="166">
                  <c:v>1410.5786855979093</c:v>
                </c:pt>
                <c:pt idx="167">
                  <c:v>1412.8903848554273</c:v>
                </c:pt>
                <c:pt idx="168">
                  <c:v>1415.2060954366696</c:v>
                </c:pt>
                <c:pt idx="169">
                  <c:v>1417.5258253034553</c:v>
                </c:pt>
                <c:pt idx="170">
                  <c:v>1419.8495824519966</c:v>
                </c:pt>
                <c:pt idx="171">
                  <c:v>1422.1773749134495</c:v>
                </c:pt>
                <c:pt idx="172">
                  <c:v>1424.5092107544813</c:v>
                </c:pt>
                <c:pt idx="173">
                  <c:v>1426.8450980778541</c:v>
                </c:pt>
                <c:pt idx="174">
                  <c:v>1429.1850450230256</c:v>
                </c:pt>
                <c:pt idx="175">
                  <c:v>1431.5290597667649</c:v>
                </c:pt>
                <c:pt idx="176">
                  <c:v>1433.8771505237894</c:v>
                </c:pt>
                <c:pt idx="177">
                  <c:v>1436.2293255474183</c:v>
                </c:pt>
                <c:pt idx="178">
                  <c:v>1438.5855931302426</c:v>
                </c:pt>
                <c:pt idx="179">
                  <c:v>1440.9459616048234</c:v>
                </c:pt>
                <c:pt idx="180">
                  <c:v>1443.3104393444003</c:v>
                </c:pt>
                <c:pt idx="181">
                  <c:v>1445.6790347636295</c:v>
                </c:pt>
                <c:pt idx="182">
                  <c:v>1448.0517563193387</c:v>
                </c:pt>
                <c:pt idx="183">
                  <c:v>1450.4286125113085</c:v>
                </c:pt>
                <c:pt idx="184">
                  <c:v>1452.809611883077</c:v>
                </c:pt>
                <c:pt idx="185">
                  <c:v>1455.1947630227664</c:v>
                </c:pt>
                <c:pt idx="186">
                  <c:v>1457.5840745639393</c:v>
                </c:pt>
                <c:pt idx="187">
                  <c:v>1459.9775551864798</c:v>
                </c:pt>
                <c:pt idx="188">
                  <c:v>1462.375213617501</c:v>
                </c:pt>
                <c:pt idx="189">
                  <c:v>1464.7770586322858</c:v>
                </c:pt>
                <c:pt idx="190">
                  <c:v>1467.1830990552519</c:v>
                </c:pt>
                <c:pt idx="191">
                  <c:v>1469.5933437609542</c:v>
                </c:pt>
                <c:pt idx="192">
                  <c:v>1472.0078016751122</c:v>
                </c:pt>
                <c:pt idx="193">
                  <c:v>1474.4264817756803</c:v>
                </c:pt>
                <c:pt idx="194">
                  <c:v>1476.849393093943</c:v>
                </c:pt>
                <c:pt idx="195">
                  <c:v>1479.2765447156564</c:v>
                </c:pt>
                <c:pt idx="196">
                  <c:v>1481.7079457822206</c:v>
                </c:pt>
                <c:pt idx="197">
                  <c:v>1484.143605491895</c:v>
                </c:pt>
                <c:pt idx="198">
                  <c:v>1486.5835331010546</c:v>
                </c:pt>
                <c:pt idx="199">
                  <c:v>1489.0277379254876</c:v>
                </c:pt>
                <c:pt idx="200">
                  <c:v>1491.4762293417407</c:v>
                </c:pt>
                <c:pt idx="201">
                  <c:v>1493.9290167885076</c:v>
                </c:pt>
                <c:pt idx="202">
                  <c:v>1496.3861097680699</c:v>
                </c:pt>
                <c:pt idx="203">
                  <c:v>1498.8475178477843</c:v>
                </c:pt>
                <c:pt idx="204">
                  <c:v>1501.3132506616273</c:v>
                </c:pt>
                <c:pt idx="205">
                  <c:v>1503.7833179117931</c:v>
                </c:pt>
                <c:pt idx="206">
                  <c:v>1506.2577293703496</c:v>
                </c:pt>
                <c:pt idx="207">
                  <c:v>1508.7364948809516</c:v>
                </c:pt>
                <c:pt idx="208">
                  <c:v>1511.2196243606238</c:v>
                </c:pt>
                <c:pt idx="209">
                  <c:v>1513.7071278016026</c:v>
                </c:pt>
                <c:pt idx="210">
                  <c:v>1516.1990152732521</c:v>
                </c:pt>
                <c:pt idx="211">
                  <c:v>1518.6952969240481</c:v>
                </c:pt>
                <c:pt idx="212">
                  <c:v>1521.1959829836392</c:v>
                </c:pt>
                <c:pt idx="213">
                  <c:v>1523.7010837649868</c:v>
                </c:pt>
                <c:pt idx="214">
                  <c:v>1526.2106096665877</c:v>
                </c:pt>
                <c:pt idx="215">
                  <c:v>1528.724571174783</c:v>
                </c:pt>
                <c:pt idx="216">
                  <c:v>1531.2429788661545</c:v>
                </c:pt>
                <c:pt idx="217">
                  <c:v>1533.7658434100233</c:v>
                </c:pt>
                <c:pt idx="218">
                  <c:v>1536.2931755710374</c:v>
                </c:pt>
                <c:pt idx="219">
                  <c:v>1538.8249862118739</c:v>
                </c:pt>
                <c:pt idx="220">
                  <c:v>1541.3612862960438</c:v>
                </c:pt>
                <c:pt idx="221">
                  <c:v>1543.9020868908142</c:v>
                </c:pt>
                <c:pt idx="222">
                  <c:v>1546.4473991702514</c:v>
                </c:pt>
                <c:pt idx="223">
                  <c:v>1548.997234418388</c:v>
                </c:pt>
                <c:pt idx="224">
                  <c:v>1551.5516040325278</c:v>
                </c:pt>
                <c:pt idx="225">
                  <c:v>1554.1105195266857</c:v>
                </c:pt>
                <c:pt idx="226">
                  <c:v>1556.6739925351771</c:v>
                </c:pt>
                <c:pt idx="227">
                  <c:v>1559.2420348163639</c:v>
                </c:pt>
                <c:pt idx="228">
                  <c:v>1561.8146582565598</c:v>
                </c:pt>
                <c:pt idx="229">
                  <c:v>1564.39187487411</c:v>
                </c:pt>
                <c:pt idx="230">
                  <c:v>1566.9736968236512</c:v>
                </c:pt>
                <c:pt idx="231">
                  <c:v>1569.560136400562</c:v>
                </c:pt>
                <c:pt idx="232">
                  <c:v>1572.151206045615</c:v>
                </c:pt>
                <c:pt idx="233">
                  <c:v>1574.7469183498408</c:v>
                </c:pt>
                <c:pt idx="234">
                  <c:v>1577.3472860596155</c:v>
                </c:pt>
                <c:pt idx="235">
                  <c:v>1579.952322081986</c:v>
                </c:pt>
                <c:pt idx="236">
                  <c:v>1582.5620394902467</c:v>
                </c:pt>
                <c:pt idx="237">
                  <c:v>1585.1764515297757</c:v>
                </c:pt>
                <c:pt idx="238">
                  <c:v>1587.7955716241563</c:v>
                </c:pt>
                <c:pt idx="239">
                  <c:v>1590.4194133815927</c:v>
                </c:pt>
                <c:pt idx="240">
                  <c:v>1593.0479906016369</c:v>
                </c:pt>
                <c:pt idx="241">
                  <c:v>1595.6813172822535</c:v>
                </c:pt>
                <c:pt idx="242">
                  <c:v>1598.3194076272287</c:v>
                </c:pt>
                <c:pt idx="243">
                  <c:v>1600.9622760539626</c:v>
                </c:pt>
                <c:pt idx="244">
                  <c:v>1603.6099372016511</c:v>
                </c:pt>
                <c:pt idx="245">
                  <c:v>1606.2624059398902</c:v>
                </c:pt>
                <c:pt idx="246">
                  <c:v>1608.9196973777327</c:v>
                </c:pt>
                <c:pt idx="247">
                  <c:v>1611.5818268732162</c:v>
                </c:pt>
                <c:pt idx="248">
                  <c:v>1614.2488100433998</c:v>
                </c:pt>
                <c:pt idx="249">
                  <c:v>1616.9206627749413</c:v>
                </c:pt>
                <c:pt idx="250">
                  <c:v>1619.597401235249</c:v>
                </c:pt>
                <c:pt idx="251">
                  <c:v>1622.279041884244</c:v>
                </c:pt>
                <c:pt idx="252">
                  <c:v>1624.9656014867833</c:v>
                </c:pt>
                <c:pt idx="253">
                  <c:v>1627.6570971257761</c:v>
                </c:pt>
                <c:pt idx="254">
                  <c:v>1630.3535462160473</c:v>
                </c:pt>
                <c:pt idx="255">
                  <c:v>1633.0549665190013</c:v>
                </c:pt>
                <c:pt idx="256">
                  <c:v>1635.7613761581417</c:v>
                </c:pt>
                <c:pt idx="257">
                  <c:v>1638.4727936355018</c:v>
                </c:pt>
                <c:pt idx="258">
                  <c:v>1641.18923784906</c:v>
                </c:pt>
                <c:pt idx="259">
                  <c:v>1643.9107281112074</c:v>
                </c:pt>
                <c:pt idx="260">
                  <c:v>1646.6372841683437</c:v>
                </c:pt>
                <c:pt idx="261">
                  <c:v>1649.3689262216894</c:v>
                </c:pt>
                <c:pt idx="262">
                  <c:v>1652.1056749494041</c:v>
                </c:pt>
                <c:pt idx="263">
                  <c:v>1654.8475515301091</c:v>
                </c:pt>
                <c:pt idx="264">
                  <c:v>1657.5945776679298</c:v>
                </c:pt>
                <c:pt idx="265">
                  <c:v>1660.3467756191685</c:v>
                </c:pt>
                <c:pt idx="266">
                  <c:v>1663.1041682207433</c:v>
                </c:pt>
                <c:pt idx="267">
                  <c:v>1665.8667789205356</c:v>
                </c:pt>
                <c:pt idx="268">
                  <c:v>1668.6346318097967</c:v>
                </c:pt>
                <c:pt idx="269">
                  <c:v>1671.4077516577972</c:v>
                </c:pt>
                <c:pt idx="270">
                  <c:v>1674.1861639488875</c:v>
                </c:pt>
                <c:pt idx="271">
                  <c:v>1676.969894922197</c:v>
                </c:pt>
                <c:pt idx="272">
                  <c:v>1679.7589716141858</c:v>
                </c:pt>
                <c:pt idx="273">
                  <c:v>1682.5534219043041</c:v>
                </c:pt>
                <c:pt idx="274">
                  <c:v>1685.3532745640391</c:v>
                </c:pt>
                <c:pt idx="275">
                  <c:v>1688.1585593096554</c:v>
                </c:pt>
                <c:pt idx="276">
                  <c:v>1690.9693068589563</c:v>
                </c:pt>
                <c:pt idx="277">
                  <c:v>1693.7855489924686</c:v>
                </c:pt>
                <c:pt idx="278">
                  <c:v>1696.6073186194378</c:v>
                </c:pt>
                <c:pt idx="279">
                  <c:v>1699.4346498491257</c:v>
                </c:pt>
                <c:pt idx="280">
                  <c:v>1702.2675780679135</c:v>
                </c:pt>
                <c:pt idx="281">
                  <c:v>1705.1061400227909</c:v>
                </c:pt>
                <c:pt idx="282">
                  <c:v>1707.9503739118875</c:v>
                </c:pt>
                <c:pt idx="283">
                  <c:v>1710.8003194827586</c:v>
                </c:pt>
                <c:pt idx="284">
                  <c:v>1713.656018139252</c:v>
                </c:pt>
                <c:pt idx="285">
                  <c:v>1716.5175130578662</c:v>
                </c:pt>
                <c:pt idx="286">
                  <c:v>1719.3848493146252</c:v>
                </c:pt>
                <c:pt idx="287">
                  <c:v>1722.2580740236513</c:v>
                </c:pt>
                <c:pt idx="288">
                  <c:v>1725.137236488742</c:v>
                </c:pt>
                <c:pt idx="289">
                  <c:v>1728.0223883694484</c:v>
                </c:pt>
                <c:pt idx="290">
                  <c:v>1730.9135838633645</c:v>
                </c:pt>
                <c:pt idx="291">
                  <c:v>1733.810879906559</c:v>
                </c:pt>
                <c:pt idx="292">
                  <c:v>1736.7143363943628</c:v>
                </c:pt>
                <c:pt idx="293">
                  <c:v>1739.6240164250646</c:v>
                </c:pt>
                <c:pt idx="294">
                  <c:v>1742.5399865694062</c:v>
                </c:pt>
                <c:pt idx="295">
                  <c:v>1745.4623171692583</c:v>
                </c:pt>
                <c:pt idx="296">
                  <c:v>1748.3910826693404</c:v>
                </c:pt>
                <c:pt idx="297">
                  <c:v>1751.3263619864877</c:v>
                </c:pt>
                <c:pt idx="298">
                  <c:v>1754.2682389216866</c:v>
                </c:pt>
                <c:pt idx="299">
                  <c:v>1757.2168026209697</c:v>
                </c:pt>
                <c:pt idx="300">
                  <c:v>1760.1721480923218</c:v>
                </c:pt>
                <c:pt idx="301">
                  <c:v>1763.134376786951</c:v>
                </c:pt>
                <c:pt idx="302">
                  <c:v>1766.1035972548227</c:v>
                </c:pt>
                <c:pt idx="303">
                  <c:v>1769.079925886158</c:v>
                </c:pt>
                <c:pt idx="304">
                  <c:v>1772.0634877527871</c:v>
                </c:pt>
                <c:pt idx="305">
                  <c:v>1775.05441756599</c:v>
                </c:pt>
                <c:pt idx="306">
                  <c:v>1778.0528607707317</c:v>
                </c:pt>
                <c:pt idx="307">
                  <c:v>1781.0589748003229</c:v>
                </c:pt>
                <c:pt idx="308">
                  <c:v>1784.0729305206173</c:v>
                </c:pt>
                <c:pt idx="309">
                  <c:v>1787.0949138992096</c:v>
                </c:pt>
                <c:pt idx="310">
                  <c:v>1790.1251279431144</c:v>
                </c:pt>
                <c:pt idx="311">
                  <c:v>1793.1637949585136</c:v>
                </c:pt>
                <c:pt idx="312">
                  <c:v>1796.2111591990997</c:v>
                </c:pt>
                <c:pt idx="313">
                  <c:v>1799.2674899861483</c:v>
                </c:pt>
                <c:pt idx="314">
                  <c:v>1802.3330854049755</c:v>
                </c:pt>
                <c:pt idx="315">
                  <c:v>1805.4082767105888</c:v>
                </c:pt>
                <c:pt idx="316">
                  <c:v>1808.4934336124809</c:v>
                </c:pt>
                <c:pt idx="317">
                  <c:v>1811.5889706580488</c:v>
                </c:pt>
                <c:pt idx="318">
                  <c:v>1814.6953550008261</c:v>
                </c:pt>
                <c:pt idx="319">
                  <c:v>1817.81311593072</c:v>
                </c:pt>
                <c:pt idx="320">
                  <c:v>1820.9428566690456</c:v>
                </c:pt>
                <c:pt idx="321">
                  <c:v>1824.0852691069849</c:v>
                </c:pt>
                <c:pt idx="322">
                  <c:v>1827.2411524159047</c:v>
                </c:pt>
                <c:pt idx="323">
                  <c:v>1830.4114368187586</c:v>
                </c:pt>
                <c:pt idx="324">
                  <c:v>1833.5972143422637</c:v>
                </c:pt>
                <c:pt idx="325">
                  <c:v>1836.7997791651021</c:v>
                </c:pt>
                <c:pt idx="326">
                  <c:v>1840.020681397056</c:v>
                </c:pt>
                <c:pt idx="327">
                  <c:v>1843.261800040279</c:v>
                </c:pt>
                <c:pt idx="328">
                  <c:v>1846.5254439789378</c:v>
                </c:pt>
                <c:pt idx="329">
                  <c:v>1849.8144950010462</c:v>
                </c:pt>
                <c:pt idx="330">
                  <c:v>1853.1326157634969</c:v>
                </c:pt>
                <c:pt idx="331">
                  <c:v>1856.4845616418543</c:v>
                </c:pt>
                <c:pt idx="332">
                  <c:v>1859.8766656820608</c:v>
                </c:pt>
                <c:pt idx="333">
                  <c:v>1863.3176264141769</c:v>
                </c:pt>
                <c:pt idx="334">
                  <c:v>1866.8198580063117</c:v>
                </c:pt>
                <c:pt idx="335">
                  <c:v>1870.4019648756891</c:v>
                </c:pt>
                <c:pt idx="336">
                  <c:v>1874.0936896464605</c:v>
                </c:pt>
                <c:pt idx="337">
                  <c:v>1877.9470434233424</c:v>
                </c:pt>
                <c:pt idx="338">
                  <c:v>1882.0659802119008</c:v>
                </c:pt>
                <c:pt idx="339">
                  <c:v>1886.7102384787993</c:v>
                </c:pt>
                <c:pt idx="340">
                  <c:v>1892.918302341943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AF-9E45-BB7C-5903E5E400A6}"/>
            </c:ext>
          </c:extLst>
        </c:ser>
        <c:ser>
          <c:idx val="1"/>
          <c:order val="1"/>
          <c:tx>
            <c:v>Parcela original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7AF-9E45-BB7C-5903E5E400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'PRICE @amigodopairico'!$N$7:$N$426</c:f>
              <c:numCache>
                <c:formatCode>#,##0.00</c:formatCode>
                <c:ptCount val="420"/>
                <c:pt idx="0">
                  <c:v>1077.0370926079861</c:v>
                </c:pt>
                <c:pt idx="1">
                  <c:v>1077.0370926079861</c:v>
                </c:pt>
                <c:pt idx="2">
                  <c:v>1077.0370926079861</c:v>
                </c:pt>
                <c:pt idx="3">
                  <c:v>1077.0370926079861</c:v>
                </c:pt>
                <c:pt idx="4">
                  <c:v>1077.0370926079861</c:v>
                </c:pt>
                <c:pt idx="5">
                  <c:v>1077.0370926079861</c:v>
                </c:pt>
                <c:pt idx="6">
                  <c:v>1077.0370926079861</c:v>
                </c:pt>
                <c:pt idx="7">
                  <c:v>1077.0370926079861</c:v>
                </c:pt>
                <c:pt idx="8">
                  <c:v>1077.0370926079861</c:v>
                </c:pt>
                <c:pt idx="9">
                  <c:v>1077.0370926079861</c:v>
                </c:pt>
                <c:pt idx="10">
                  <c:v>1077.0370926079861</c:v>
                </c:pt>
                <c:pt idx="11">
                  <c:v>1077.0370926079861</c:v>
                </c:pt>
                <c:pt idx="12">
                  <c:v>1077.0370926079861</c:v>
                </c:pt>
                <c:pt idx="13">
                  <c:v>1077.0370926079861</c:v>
                </c:pt>
                <c:pt idx="14">
                  <c:v>1077.0370926079861</c:v>
                </c:pt>
                <c:pt idx="15">
                  <c:v>1077.0370926079861</c:v>
                </c:pt>
                <c:pt idx="16">
                  <c:v>1077.0370926079861</c:v>
                </c:pt>
                <c:pt idx="17">
                  <c:v>1077.0370926079861</c:v>
                </c:pt>
                <c:pt idx="18">
                  <c:v>1077.0370926079861</c:v>
                </c:pt>
                <c:pt idx="19">
                  <c:v>1077.0370926079861</c:v>
                </c:pt>
                <c:pt idx="20">
                  <c:v>1077.0370926079861</c:v>
                </c:pt>
                <c:pt idx="21">
                  <c:v>1077.0370926079861</c:v>
                </c:pt>
                <c:pt idx="22">
                  <c:v>1077.0370926079861</c:v>
                </c:pt>
                <c:pt idx="23">
                  <c:v>1077.0370926079861</c:v>
                </c:pt>
                <c:pt idx="24">
                  <c:v>1077.0370926079861</c:v>
                </c:pt>
                <c:pt idx="25">
                  <c:v>1077.0370926079861</c:v>
                </c:pt>
                <c:pt idx="26">
                  <c:v>1077.0370926079861</c:v>
                </c:pt>
                <c:pt idx="27">
                  <c:v>1077.0370926079861</c:v>
                </c:pt>
                <c:pt idx="28">
                  <c:v>1077.0370926079861</c:v>
                </c:pt>
                <c:pt idx="29">
                  <c:v>1077.0370926079861</c:v>
                </c:pt>
                <c:pt idx="30">
                  <c:v>1077.0370926079861</c:v>
                </c:pt>
                <c:pt idx="31">
                  <c:v>1077.0370926079861</c:v>
                </c:pt>
                <c:pt idx="32">
                  <c:v>1077.0370926079861</c:v>
                </c:pt>
                <c:pt idx="33">
                  <c:v>1077.0370926079861</c:v>
                </c:pt>
                <c:pt idx="34">
                  <c:v>1077.0370926079861</c:v>
                </c:pt>
                <c:pt idx="35">
                  <c:v>1077.0370926079861</c:v>
                </c:pt>
                <c:pt idx="36">
                  <c:v>1077.0370926079861</c:v>
                </c:pt>
                <c:pt idx="37">
                  <c:v>1077.0370926079861</c:v>
                </c:pt>
                <c:pt idx="38">
                  <c:v>1077.0370926079861</c:v>
                </c:pt>
                <c:pt idx="39">
                  <c:v>1077.0370926079861</c:v>
                </c:pt>
                <c:pt idx="40">
                  <c:v>1077.0370926079861</c:v>
                </c:pt>
                <c:pt idx="41">
                  <c:v>1077.0370926079861</c:v>
                </c:pt>
                <c:pt idx="42">
                  <c:v>1077.0370926079861</c:v>
                </c:pt>
                <c:pt idx="43">
                  <c:v>1077.0370926079861</c:v>
                </c:pt>
                <c:pt idx="44">
                  <c:v>1077.0370926079861</c:v>
                </c:pt>
                <c:pt idx="45">
                  <c:v>1077.0370926079861</c:v>
                </c:pt>
                <c:pt idx="46">
                  <c:v>1077.0370926079861</c:v>
                </c:pt>
                <c:pt idx="47">
                  <c:v>1077.0370926079861</c:v>
                </c:pt>
                <c:pt idx="48">
                  <c:v>1077.0370926079861</c:v>
                </c:pt>
                <c:pt idx="49">
                  <c:v>1077.0370926079861</c:v>
                </c:pt>
                <c:pt idx="50">
                  <c:v>1077.0370926079861</c:v>
                </c:pt>
                <c:pt idx="51">
                  <c:v>1077.0370926079861</c:v>
                </c:pt>
                <c:pt idx="52">
                  <c:v>1077.0370926079861</c:v>
                </c:pt>
                <c:pt idx="53">
                  <c:v>1077.0370926079861</c:v>
                </c:pt>
                <c:pt idx="54">
                  <c:v>1077.0370926079861</c:v>
                </c:pt>
                <c:pt idx="55">
                  <c:v>1077.0370926079861</c:v>
                </c:pt>
                <c:pt idx="56">
                  <c:v>1077.0370926079861</c:v>
                </c:pt>
                <c:pt idx="57">
                  <c:v>1077.0370926079861</c:v>
                </c:pt>
                <c:pt idx="58">
                  <c:v>1077.0370926079861</c:v>
                </c:pt>
                <c:pt idx="59">
                  <c:v>1077.0370926079861</c:v>
                </c:pt>
                <c:pt idx="60">
                  <c:v>1077.0370926079861</c:v>
                </c:pt>
                <c:pt idx="61">
                  <c:v>1077.0370926079861</c:v>
                </c:pt>
                <c:pt idx="62">
                  <c:v>1077.0370926079861</c:v>
                </c:pt>
                <c:pt idx="63">
                  <c:v>1077.0370926079861</c:v>
                </c:pt>
                <c:pt idx="64">
                  <c:v>1077.0370926079861</c:v>
                </c:pt>
                <c:pt idx="65">
                  <c:v>1077.0370926079861</c:v>
                </c:pt>
                <c:pt idx="66">
                  <c:v>1077.0370926079861</c:v>
                </c:pt>
                <c:pt idx="67">
                  <c:v>1077.0370926079861</c:v>
                </c:pt>
                <c:pt idx="68">
                  <c:v>1077.0370926079861</c:v>
                </c:pt>
                <c:pt idx="69">
                  <c:v>1077.0370926079861</c:v>
                </c:pt>
                <c:pt idx="70">
                  <c:v>1077.0370926079861</c:v>
                </c:pt>
                <c:pt idx="71">
                  <c:v>1077.0370926079861</c:v>
                </c:pt>
                <c:pt idx="72">
                  <c:v>1077.0370926079861</c:v>
                </c:pt>
                <c:pt idx="73">
                  <c:v>1077.0370926079861</c:v>
                </c:pt>
                <c:pt idx="74">
                  <c:v>1077.0370926079861</c:v>
                </c:pt>
                <c:pt idx="75">
                  <c:v>1077.0370926079861</c:v>
                </c:pt>
                <c:pt idx="76">
                  <c:v>1077.0370926079861</c:v>
                </c:pt>
                <c:pt idx="77">
                  <c:v>1077.0370926079861</c:v>
                </c:pt>
                <c:pt idx="78">
                  <c:v>1077.0370926079861</c:v>
                </c:pt>
                <c:pt idx="79">
                  <c:v>1077.0370926079861</c:v>
                </c:pt>
                <c:pt idx="80">
                  <c:v>1077.0370926079861</c:v>
                </c:pt>
                <c:pt idx="81">
                  <c:v>1077.0370926079861</c:v>
                </c:pt>
                <c:pt idx="82">
                  <c:v>1077.0370926079861</c:v>
                </c:pt>
                <c:pt idx="83">
                  <c:v>1077.0370926079861</c:v>
                </c:pt>
                <c:pt idx="84">
                  <c:v>1077.0370926079861</c:v>
                </c:pt>
                <c:pt idx="85">
                  <c:v>1077.0370926079861</c:v>
                </c:pt>
                <c:pt idx="86">
                  <c:v>1077.0370926079861</c:v>
                </c:pt>
                <c:pt idx="87">
                  <c:v>1077.0370926079861</c:v>
                </c:pt>
                <c:pt idx="88">
                  <c:v>1077.0370926079861</c:v>
                </c:pt>
                <c:pt idx="89">
                  <c:v>1077.0370926079861</c:v>
                </c:pt>
                <c:pt idx="90">
                  <c:v>1077.0370926079861</c:v>
                </c:pt>
                <c:pt idx="91">
                  <c:v>1077.0370926079861</c:v>
                </c:pt>
                <c:pt idx="92">
                  <c:v>1077.0370926079861</c:v>
                </c:pt>
                <c:pt idx="93">
                  <c:v>1077.0370926079861</c:v>
                </c:pt>
                <c:pt idx="94">
                  <c:v>1077.0370926079861</c:v>
                </c:pt>
                <c:pt idx="95">
                  <c:v>1077.0370926079861</c:v>
                </c:pt>
                <c:pt idx="96">
                  <c:v>1077.0370926079861</c:v>
                </c:pt>
                <c:pt idx="97">
                  <c:v>1077.0370926079861</c:v>
                </c:pt>
                <c:pt idx="98">
                  <c:v>1077.0370926079861</c:v>
                </c:pt>
                <c:pt idx="99">
                  <c:v>1077.0370926079861</c:v>
                </c:pt>
                <c:pt idx="100">
                  <c:v>1077.0370926079861</c:v>
                </c:pt>
                <c:pt idx="101">
                  <c:v>1077.0370926079861</c:v>
                </c:pt>
                <c:pt idx="102">
                  <c:v>1077.0370926079861</c:v>
                </c:pt>
                <c:pt idx="103">
                  <c:v>1077.0370926079861</c:v>
                </c:pt>
                <c:pt idx="104">
                  <c:v>1077.0370926079861</c:v>
                </c:pt>
                <c:pt idx="105">
                  <c:v>1077.0370926079861</c:v>
                </c:pt>
                <c:pt idx="106">
                  <c:v>1077.0370926079861</c:v>
                </c:pt>
                <c:pt idx="107">
                  <c:v>1077.0370926079861</c:v>
                </c:pt>
                <c:pt idx="108">
                  <c:v>1077.0370926079861</c:v>
                </c:pt>
                <c:pt idx="109">
                  <c:v>1077.0370926079861</c:v>
                </c:pt>
                <c:pt idx="110">
                  <c:v>1077.0370926079861</c:v>
                </c:pt>
                <c:pt idx="111">
                  <c:v>1077.0370926079861</c:v>
                </c:pt>
                <c:pt idx="112">
                  <c:v>1077.0370926079861</c:v>
                </c:pt>
                <c:pt idx="113">
                  <c:v>1077.0370926079861</c:v>
                </c:pt>
                <c:pt idx="114">
                  <c:v>1077.0370926079861</c:v>
                </c:pt>
                <c:pt idx="115">
                  <c:v>1077.0370926079861</c:v>
                </c:pt>
                <c:pt idx="116">
                  <c:v>1077.0370926079861</c:v>
                </c:pt>
                <c:pt idx="117">
                  <c:v>1077.0370926079861</c:v>
                </c:pt>
                <c:pt idx="118">
                  <c:v>1077.0370926079861</c:v>
                </c:pt>
                <c:pt idx="119">
                  <c:v>1077.0370926079861</c:v>
                </c:pt>
                <c:pt idx="120">
                  <c:v>1077.0370926079861</c:v>
                </c:pt>
                <c:pt idx="121">
                  <c:v>1077.0370926079861</c:v>
                </c:pt>
                <c:pt idx="122">
                  <c:v>1077.0370926079861</c:v>
                </c:pt>
                <c:pt idx="123">
                  <c:v>1077.0370926079861</c:v>
                </c:pt>
                <c:pt idx="124">
                  <c:v>1077.0370926079861</c:v>
                </c:pt>
                <c:pt idx="125">
                  <c:v>1077.0370926079861</c:v>
                </c:pt>
                <c:pt idx="126">
                  <c:v>1077.0370926079861</c:v>
                </c:pt>
                <c:pt idx="127">
                  <c:v>1077.0370926079861</c:v>
                </c:pt>
                <c:pt idx="128">
                  <c:v>1077.0370926079861</c:v>
                </c:pt>
                <c:pt idx="129">
                  <c:v>1077.0370926079861</c:v>
                </c:pt>
                <c:pt idx="130">
                  <c:v>1077.0370926079861</c:v>
                </c:pt>
                <c:pt idx="131">
                  <c:v>1077.0370926079861</c:v>
                </c:pt>
                <c:pt idx="132">
                  <c:v>1077.0370926079861</c:v>
                </c:pt>
                <c:pt idx="133">
                  <c:v>1077.0370926079861</c:v>
                </c:pt>
                <c:pt idx="134">
                  <c:v>1077.0370926079861</c:v>
                </c:pt>
                <c:pt idx="135">
                  <c:v>1077.0370926079861</c:v>
                </c:pt>
                <c:pt idx="136">
                  <c:v>1077.0370926079861</c:v>
                </c:pt>
                <c:pt idx="137">
                  <c:v>1077.0370926079861</c:v>
                </c:pt>
                <c:pt idx="138">
                  <c:v>1077.0370926079861</c:v>
                </c:pt>
                <c:pt idx="139">
                  <c:v>1077.0370926079861</c:v>
                </c:pt>
                <c:pt idx="140">
                  <c:v>1077.0370926079861</c:v>
                </c:pt>
                <c:pt idx="141">
                  <c:v>1077.0370926079861</c:v>
                </c:pt>
                <c:pt idx="142">
                  <c:v>1077.0370926079861</c:v>
                </c:pt>
                <c:pt idx="143">
                  <c:v>1077.0370926079861</c:v>
                </c:pt>
                <c:pt idx="144">
                  <c:v>1077.0370926079861</c:v>
                </c:pt>
                <c:pt idx="145">
                  <c:v>1077.0370926079861</c:v>
                </c:pt>
                <c:pt idx="146">
                  <c:v>1077.0370926079861</c:v>
                </c:pt>
                <c:pt idx="147">
                  <c:v>1077.0370926079861</c:v>
                </c:pt>
                <c:pt idx="148">
                  <c:v>1077.0370926079861</c:v>
                </c:pt>
                <c:pt idx="149">
                  <c:v>1077.0370926079861</c:v>
                </c:pt>
                <c:pt idx="150">
                  <c:v>1077.0370926079861</c:v>
                </c:pt>
                <c:pt idx="151">
                  <c:v>1077.0370926079861</c:v>
                </c:pt>
                <c:pt idx="152">
                  <c:v>1077.0370926079861</c:v>
                </c:pt>
                <c:pt idx="153">
                  <c:v>1077.0370926079861</c:v>
                </c:pt>
                <c:pt idx="154">
                  <c:v>1077.0370926079861</c:v>
                </c:pt>
                <c:pt idx="155">
                  <c:v>1077.0370926079861</c:v>
                </c:pt>
                <c:pt idx="156">
                  <c:v>1077.0370926079861</c:v>
                </c:pt>
                <c:pt idx="157">
                  <c:v>1077.0370926079861</c:v>
                </c:pt>
                <c:pt idx="158">
                  <c:v>1077.0370926079861</c:v>
                </c:pt>
                <c:pt idx="159">
                  <c:v>1077.0370926079861</c:v>
                </c:pt>
                <c:pt idx="160">
                  <c:v>1077.0370926079861</c:v>
                </c:pt>
                <c:pt idx="161">
                  <c:v>1077.0370926079861</c:v>
                </c:pt>
                <c:pt idx="162">
                  <c:v>1077.0370926079861</c:v>
                </c:pt>
                <c:pt idx="163">
                  <c:v>1077.0370926079861</c:v>
                </c:pt>
                <c:pt idx="164">
                  <c:v>1077.0370926079861</c:v>
                </c:pt>
                <c:pt idx="165">
                  <c:v>1077.0370926079861</c:v>
                </c:pt>
                <c:pt idx="166">
                  <c:v>1077.0370926079861</c:v>
                </c:pt>
                <c:pt idx="167">
                  <c:v>1077.0370926079861</c:v>
                </c:pt>
                <c:pt idx="168">
                  <c:v>1077.0370926079861</c:v>
                </c:pt>
                <c:pt idx="169">
                  <c:v>1077.0370926079861</c:v>
                </c:pt>
                <c:pt idx="170">
                  <c:v>1077.0370926079861</c:v>
                </c:pt>
                <c:pt idx="171">
                  <c:v>1077.0370926079861</c:v>
                </c:pt>
                <c:pt idx="172">
                  <c:v>1077.0370926079861</c:v>
                </c:pt>
                <c:pt idx="173">
                  <c:v>1077.0370926079861</c:v>
                </c:pt>
                <c:pt idx="174">
                  <c:v>1077.0370926079861</c:v>
                </c:pt>
                <c:pt idx="175">
                  <c:v>1077.0370926079861</c:v>
                </c:pt>
                <c:pt idx="176">
                  <c:v>1077.0370926079861</c:v>
                </c:pt>
                <c:pt idx="177">
                  <c:v>1077.0370926079861</c:v>
                </c:pt>
                <c:pt idx="178">
                  <c:v>1077.0370926079861</c:v>
                </c:pt>
                <c:pt idx="179">
                  <c:v>1077.0370926079861</c:v>
                </c:pt>
                <c:pt idx="180">
                  <c:v>1077.0370926079861</c:v>
                </c:pt>
                <c:pt idx="181">
                  <c:v>1077.0370926079861</c:v>
                </c:pt>
                <c:pt idx="182">
                  <c:v>1077.0370926079861</c:v>
                </c:pt>
                <c:pt idx="183">
                  <c:v>1077.0370926079861</c:v>
                </c:pt>
                <c:pt idx="184">
                  <c:v>1077.0370926079861</c:v>
                </c:pt>
                <c:pt idx="185">
                  <c:v>1077.0370926079861</c:v>
                </c:pt>
                <c:pt idx="186">
                  <c:v>1077.0370926079861</c:v>
                </c:pt>
                <c:pt idx="187">
                  <c:v>1077.0370926079861</c:v>
                </c:pt>
                <c:pt idx="188">
                  <c:v>1077.0370926079861</c:v>
                </c:pt>
                <c:pt idx="189">
                  <c:v>1077.0370926079861</c:v>
                </c:pt>
                <c:pt idx="190">
                  <c:v>1077.0370926079861</c:v>
                </c:pt>
                <c:pt idx="191">
                  <c:v>1077.0370926079861</c:v>
                </c:pt>
                <c:pt idx="192">
                  <c:v>1077.0370926079861</c:v>
                </c:pt>
                <c:pt idx="193">
                  <c:v>1077.0370926079861</c:v>
                </c:pt>
                <c:pt idx="194">
                  <c:v>1077.0370926079861</c:v>
                </c:pt>
                <c:pt idx="195">
                  <c:v>1077.0370926079861</c:v>
                </c:pt>
                <c:pt idx="196">
                  <c:v>1077.0370926079861</c:v>
                </c:pt>
                <c:pt idx="197">
                  <c:v>1077.0370926079861</c:v>
                </c:pt>
                <c:pt idx="198">
                  <c:v>1077.0370926079861</c:v>
                </c:pt>
                <c:pt idx="199">
                  <c:v>1077.0370926079861</c:v>
                </c:pt>
                <c:pt idx="200">
                  <c:v>1077.0370926079861</c:v>
                </c:pt>
                <c:pt idx="201">
                  <c:v>1077.0370926079861</c:v>
                </c:pt>
                <c:pt idx="202">
                  <c:v>1077.0370926079861</c:v>
                </c:pt>
                <c:pt idx="203">
                  <c:v>1077.0370926079861</c:v>
                </c:pt>
                <c:pt idx="204">
                  <c:v>1077.0370926079861</c:v>
                </c:pt>
                <c:pt idx="205">
                  <c:v>1077.0370926079861</c:v>
                </c:pt>
                <c:pt idx="206">
                  <c:v>1077.0370926079861</c:v>
                </c:pt>
                <c:pt idx="207">
                  <c:v>1077.0370926079861</c:v>
                </c:pt>
                <c:pt idx="208">
                  <c:v>1077.0370926079861</c:v>
                </c:pt>
                <c:pt idx="209">
                  <c:v>1077.0370926079861</c:v>
                </c:pt>
                <c:pt idx="210">
                  <c:v>1077.0370926079861</c:v>
                </c:pt>
                <c:pt idx="211">
                  <c:v>1077.0370926079861</c:v>
                </c:pt>
                <c:pt idx="212">
                  <c:v>1077.0370926079861</c:v>
                </c:pt>
                <c:pt idx="213">
                  <c:v>1077.0370926079861</c:v>
                </c:pt>
                <c:pt idx="214">
                  <c:v>1077.0370926079861</c:v>
                </c:pt>
                <c:pt idx="215">
                  <c:v>1077.0370926079861</c:v>
                </c:pt>
                <c:pt idx="216">
                  <c:v>1077.0370926079861</c:v>
                </c:pt>
                <c:pt idx="217">
                  <c:v>1077.0370926079861</c:v>
                </c:pt>
                <c:pt idx="218">
                  <c:v>1077.0370926079861</c:v>
                </c:pt>
                <c:pt idx="219">
                  <c:v>1077.0370926079861</c:v>
                </c:pt>
                <c:pt idx="220">
                  <c:v>1077.0370926079861</c:v>
                </c:pt>
                <c:pt idx="221">
                  <c:v>1077.0370926079861</c:v>
                </c:pt>
                <c:pt idx="222">
                  <c:v>1077.0370926079861</c:v>
                </c:pt>
                <c:pt idx="223">
                  <c:v>1077.0370926079861</c:v>
                </c:pt>
                <c:pt idx="224">
                  <c:v>1077.0370926079861</c:v>
                </c:pt>
                <c:pt idx="225">
                  <c:v>1077.0370926079861</c:v>
                </c:pt>
                <c:pt idx="226">
                  <c:v>1077.0370926079861</c:v>
                </c:pt>
                <c:pt idx="227">
                  <c:v>1077.0370926079861</c:v>
                </c:pt>
                <c:pt idx="228">
                  <c:v>1077.0370926079861</c:v>
                </c:pt>
                <c:pt idx="229">
                  <c:v>1077.0370926079861</c:v>
                </c:pt>
                <c:pt idx="230">
                  <c:v>1077.0370926079861</c:v>
                </c:pt>
                <c:pt idx="231">
                  <c:v>1077.0370926079861</c:v>
                </c:pt>
                <c:pt idx="232">
                  <c:v>1077.0370926079861</c:v>
                </c:pt>
                <c:pt idx="233">
                  <c:v>1077.0370926079861</c:v>
                </c:pt>
                <c:pt idx="234">
                  <c:v>1077.0370926079861</c:v>
                </c:pt>
                <c:pt idx="235">
                  <c:v>1077.0370926079861</c:v>
                </c:pt>
                <c:pt idx="236">
                  <c:v>1077.0370926079861</c:v>
                </c:pt>
                <c:pt idx="237">
                  <c:v>1077.0370926079861</c:v>
                </c:pt>
                <c:pt idx="238">
                  <c:v>1077.0370926079861</c:v>
                </c:pt>
                <c:pt idx="239">
                  <c:v>1077.0370926079861</c:v>
                </c:pt>
                <c:pt idx="240">
                  <c:v>1077.0370926079861</c:v>
                </c:pt>
                <c:pt idx="241">
                  <c:v>1077.0370926079861</c:v>
                </c:pt>
                <c:pt idx="242">
                  <c:v>1077.0370926079861</c:v>
                </c:pt>
                <c:pt idx="243">
                  <c:v>1077.0370926079861</c:v>
                </c:pt>
                <c:pt idx="244">
                  <c:v>1077.0370926079861</c:v>
                </c:pt>
                <c:pt idx="245">
                  <c:v>1077.0370926079861</c:v>
                </c:pt>
                <c:pt idx="246">
                  <c:v>1077.0370926079861</c:v>
                </c:pt>
                <c:pt idx="247">
                  <c:v>1077.0370926079861</c:v>
                </c:pt>
                <c:pt idx="248">
                  <c:v>1077.0370926079861</c:v>
                </c:pt>
                <c:pt idx="249">
                  <c:v>1077.0370926079861</c:v>
                </c:pt>
                <c:pt idx="250">
                  <c:v>1077.0370926079861</c:v>
                </c:pt>
                <c:pt idx="251">
                  <c:v>1077.0370926079861</c:v>
                </c:pt>
                <c:pt idx="252">
                  <c:v>1077.0370926079861</c:v>
                </c:pt>
                <c:pt idx="253">
                  <c:v>1077.0370926079861</c:v>
                </c:pt>
                <c:pt idx="254">
                  <c:v>1077.0370926079861</c:v>
                </c:pt>
                <c:pt idx="255">
                  <c:v>1077.0370926079861</c:v>
                </c:pt>
                <c:pt idx="256">
                  <c:v>1077.0370926079861</c:v>
                </c:pt>
                <c:pt idx="257">
                  <c:v>1077.0370926079861</c:v>
                </c:pt>
                <c:pt idx="258">
                  <c:v>1077.0370926079861</c:v>
                </c:pt>
                <c:pt idx="259">
                  <c:v>1077.0370926079861</c:v>
                </c:pt>
                <c:pt idx="260">
                  <c:v>1077.0370926079861</c:v>
                </c:pt>
                <c:pt idx="261">
                  <c:v>1077.0370926079861</c:v>
                </c:pt>
                <c:pt idx="262">
                  <c:v>1077.0370926079861</c:v>
                </c:pt>
                <c:pt idx="263">
                  <c:v>1077.0370926079861</c:v>
                </c:pt>
                <c:pt idx="264">
                  <c:v>1077.0370926079861</c:v>
                </c:pt>
                <c:pt idx="265">
                  <c:v>1077.0370926079861</c:v>
                </c:pt>
                <c:pt idx="266">
                  <c:v>1077.0370926079861</c:v>
                </c:pt>
                <c:pt idx="267">
                  <c:v>1077.0370926079861</c:v>
                </c:pt>
                <c:pt idx="268">
                  <c:v>1077.0370926079861</c:v>
                </c:pt>
                <c:pt idx="269">
                  <c:v>1077.0370926079861</c:v>
                </c:pt>
                <c:pt idx="270">
                  <c:v>1077.0370926079861</c:v>
                </c:pt>
                <c:pt idx="271">
                  <c:v>1077.0370926079861</c:v>
                </c:pt>
                <c:pt idx="272">
                  <c:v>1077.0370926079861</c:v>
                </c:pt>
                <c:pt idx="273">
                  <c:v>1077.0370926079861</c:v>
                </c:pt>
                <c:pt idx="274">
                  <c:v>1077.0370926079861</c:v>
                </c:pt>
                <c:pt idx="275">
                  <c:v>1077.0370926079861</c:v>
                </c:pt>
                <c:pt idx="276">
                  <c:v>1077.0370926079861</c:v>
                </c:pt>
                <c:pt idx="277">
                  <c:v>1077.0370926079861</c:v>
                </c:pt>
                <c:pt idx="278">
                  <c:v>1077.0370926079861</c:v>
                </c:pt>
                <c:pt idx="279">
                  <c:v>1077.0370926079861</c:v>
                </c:pt>
                <c:pt idx="280">
                  <c:v>1077.0370926079861</c:v>
                </c:pt>
                <c:pt idx="281">
                  <c:v>1077.0370926079861</c:v>
                </c:pt>
                <c:pt idx="282">
                  <c:v>1077.0370926079861</c:v>
                </c:pt>
                <c:pt idx="283">
                  <c:v>1077.0370926079861</c:v>
                </c:pt>
                <c:pt idx="284">
                  <c:v>1077.0370926079861</c:v>
                </c:pt>
                <c:pt idx="285">
                  <c:v>1077.0370926079861</c:v>
                </c:pt>
                <c:pt idx="286">
                  <c:v>1077.0370926079861</c:v>
                </c:pt>
                <c:pt idx="287">
                  <c:v>1077.0370926079861</c:v>
                </c:pt>
                <c:pt idx="288">
                  <c:v>1077.0370926079861</c:v>
                </c:pt>
                <c:pt idx="289">
                  <c:v>1077.0370926079861</c:v>
                </c:pt>
                <c:pt idx="290">
                  <c:v>1077.0370926079861</c:v>
                </c:pt>
                <c:pt idx="291">
                  <c:v>1077.0370926079861</c:v>
                </c:pt>
                <c:pt idx="292">
                  <c:v>1077.0370926079861</c:v>
                </c:pt>
                <c:pt idx="293">
                  <c:v>1077.0370926079861</c:v>
                </c:pt>
                <c:pt idx="294">
                  <c:v>1077.0370926079861</c:v>
                </c:pt>
                <c:pt idx="295">
                  <c:v>1077.0370926079861</c:v>
                </c:pt>
                <c:pt idx="296">
                  <c:v>1077.0370926079861</c:v>
                </c:pt>
                <c:pt idx="297">
                  <c:v>1077.0370926079861</c:v>
                </c:pt>
                <c:pt idx="298">
                  <c:v>1077.0370926079861</c:v>
                </c:pt>
                <c:pt idx="299">
                  <c:v>1077.0370926079861</c:v>
                </c:pt>
                <c:pt idx="300">
                  <c:v>1077.0370926079861</c:v>
                </c:pt>
                <c:pt idx="301">
                  <c:v>1077.0370926079861</c:v>
                </c:pt>
                <c:pt idx="302">
                  <c:v>1077.0370926079861</c:v>
                </c:pt>
                <c:pt idx="303">
                  <c:v>1077.0370926079861</c:v>
                </c:pt>
                <c:pt idx="304">
                  <c:v>1077.0370926079861</c:v>
                </c:pt>
                <c:pt idx="305">
                  <c:v>1077.0370926079861</c:v>
                </c:pt>
                <c:pt idx="306">
                  <c:v>1077.0370926079861</c:v>
                </c:pt>
                <c:pt idx="307">
                  <c:v>1077.0370926079861</c:v>
                </c:pt>
                <c:pt idx="308">
                  <c:v>1077.0370926079861</c:v>
                </c:pt>
                <c:pt idx="309">
                  <c:v>1077.0370926079861</c:v>
                </c:pt>
                <c:pt idx="310">
                  <c:v>1077.0370926079861</c:v>
                </c:pt>
                <c:pt idx="311">
                  <c:v>1077.0370926079861</c:v>
                </c:pt>
                <c:pt idx="312">
                  <c:v>1077.0370926079861</c:v>
                </c:pt>
                <c:pt idx="313">
                  <c:v>1077.0370926079861</c:v>
                </c:pt>
                <c:pt idx="314">
                  <c:v>1077.0370926079861</c:v>
                </c:pt>
                <c:pt idx="315">
                  <c:v>1077.0370926079861</c:v>
                </c:pt>
                <c:pt idx="316">
                  <c:v>1077.0370926079861</c:v>
                </c:pt>
                <c:pt idx="317">
                  <c:v>1077.0370926079861</c:v>
                </c:pt>
                <c:pt idx="318">
                  <c:v>1077.0370926079861</c:v>
                </c:pt>
                <c:pt idx="319">
                  <c:v>1077.0370926079861</c:v>
                </c:pt>
                <c:pt idx="320">
                  <c:v>1077.0370926079861</c:v>
                </c:pt>
                <c:pt idx="321">
                  <c:v>1077.0370926079861</c:v>
                </c:pt>
                <c:pt idx="322">
                  <c:v>1077.0370926079861</c:v>
                </c:pt>
                <c:pt idx="323">
                  <c:v>1077.0370926079861</c:v>
                </c:pt>
                <c:pt idx="324">
                  <c:v>1077.0370926079861</c:v>
                </c:pt>
                <c:pt idx="325">
                  <c:v>1077.0370926079861</c:v>
                </c:pt>
                <c:pt idx="326">
                  <c:v>1077.0370926079861</c:v>
                </c:pt>
                <c:pt idx="327">
                  <c:v>1077.0370926079861</c:v>
                </c:pt>
                <c:pt idx="328">
                  <c:v>1077.0370926079861</c:v>
                </c:pt>
                <c:pt idx="329">
                  <c:v>1077.0370926079861</c:v>
                </c:pt>
                <c:pt idx="330">
                  <c:v>1077.0370926079861</c:v>
                </c:pt>
                <c:pt idx="331">
                  <c:v>1077.0370926079861</c:v>
                </c:pt>
                <c:pt idx="332">
                  <c:v>1077.0370926079861</c:v>
                </c:pt>
                <c:pt idx="333">
                  <c:v>1077.0370926079861</c:v>
                </c:pt>
                <c:pt idx="334">
                  <c:v>1077.0370926079861</c:v>
                </c:pt>
                <c:pt idx="335">
                  <c:v>1077.0370926079861</c:v>
                </c:pt>
                <c:pt idx="336">
                  <c:v>1077.0370926079861</c:v>
                </c:pt>
                <c:pt idx="337">
                  <c:v>1077.0370926079861</c:v>
                </c:pt>
                <c:pt idx="338">
                  <c:v>1077.0370926079861</c:v>
                </c:pt>
                <c:pt idx="339">
                  <c:v>1077.0370926079861</c:v>
                </c:pt>
                <c:pt idx="340">
                  <c:v>1077.0370926079861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AF-9E45-BB7C-5903E5E40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205615"/>
        <c:axId val="51427232"/>
      </c:scatterChart>
      <c:valAx>
        <c:axId val="1600205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427232"/>
        <c:crosses val="autoZero"/>
        <c:crossBetween val="midCat"/>
      </c:valAx>
      <c:valAx>
        <c:axId val="5142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0205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Queda do Saldo Devedor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'SAC @amigodopairico'!$I$7:$I$426</c:f>
              <c:numCache>
                <c:formatCode>#,##0.00</c:formatCode>
                <c:ptCount val="420"/>
                <c:pt idx="0">
                  <c:v>141651.1921765396</c:v>
                </c:pt>
                <c:pt idx="1">
                  <c:v>141475.37804977931</c:v>
                </c:pt>
                <c:pt idx="2">
                  <c:v>141298.55469379202</c:v>
                </c:pt>
                <c:pt idx="3">
                  <c:v>141120.71917554722</c:v>
                </c:pt>
                <c:pt idx="4">
                  <c:v>140941.86855489475</c:v>
                </c:pt>
                <c:pt idx="5">
                  <c:v>140761.99988454848</c:v>
                </c:pt>
                <c:pt idx="6">
                  <c:v>140581.11021006998</c:v>
                </c:pt>
                <c:pt idx="7">
                  <c:v>140399.19656985204</c:v>
                </c:pt>
                <c:pt idx="8">
                  <c:v>140216.25599510231</c:v>
                </c:pt>
                <c:pt idx="9">
                  <c:v>140032.28550982682</c:v>
                </c:pt>
                <c:pt idx="10">
                  <c:v>139847.28213081337</c:v>
                </c:pt>
                <c:pt idx="11">
                  <c:v>139661.2428676151</c:v>
                </c:pt>
                <c:pt idx="12">
                  <c:v>139474.16472253378</c:v>
                </c:pt>
                <c:pt idx="13">
                  <c:v>139286.04469060316</c:v>
                </c:pt>
                <c:pt idx="14">
                  <c:v>139096.8797595723</c:v>
                </c:pt>
                <c:pt idx="15">
                  <c:v>138906.66690988882</c:v>
                </c:pt>
                <c:pt idx="16">
                  <c:v>138715.40311468212</c:v>
                </c:pt>
                <c:pt idx="17">
                  <c:v>138523.08533974658</c:v>
                </c:pt>
                <c:pt idx="18">
                  <c:v>138329.71054352462</c:v>
                </c:pt>
                <c:pt idx="19">
                  <c:v>138135.27567708984</c:v>
                </c:pt>
                <c:pt idx="20">
                  <c:v>137939.77768413004</c:v>
                </c:pt>
                <c:pt idx="21">
                  <c:v>137743.21350093017</c:v>
                </c:pt>
                <c:pt idx="22">
                  <c:v>137545.58005635531</c:v>
                </c:pt>
                <c:pt idx="23">
                  <c:v>137346.87427183363</c:v>
                </c:pt>
                <c:pt idx="24">
                  <c:v>137147.09306133917</c:v>
                </c:pt>
                <c:pt idx="25">
                  <c:v>136946.23333137465</c:v>
                </c:pt>
                <c:pt idx="26">
                  <c:v>136744.29198095424</c:v>
                </c:pt>
                <c:pt idx="27">
                  <c:v>136541.26590158633</c:v>
                </c:pt>
                <c:pt idx="28">
                  <c:v>136337.15197725614</c:v>
                </c:pt>
                <c:pt idx="29">
                  <c:v>136131.94708440834</c:v>
                </c:pt>
                <c:pt idx="30">
                  <c:v>135925.64809192962</c:v>
                </c:pt>
                <c:pt idx="31">
                  <c:v>135718.25186113128</c:v>
                </c:pt>
                <c:pt idx="32">
                  <c:v>135509.75524573168</c:v>
                </c:pt>
                <c:pt idx="33">
                  <c:v>135300.15509183862</c:v>
                </c:pt>
                <c:pt idx="34">
                  <c:v>135089.44823793173</c:v>
                </c:pt>
                <c:pt idx="35">
                  <c:v>134877.63151484495</c:v>
                </c:pt>
                <c:pt idx="36">
                  <c:v>134664.70174574855</c:v>
                </c:pt>
                <c:pt idx="37">
                  <c:v>134450.65574613164</c:v>
                </c:pt>
                <c:pt idx="38">
                  <c:v>134235.49032378412</c:v>
                </c:pt>
                <c:pt idx="39">
                  <c:v>134019.20227877898</c:v>
                </c:pt>
                <c:pt idx="40">
                  <c:v>133801.78840345429</c:v>
                </c:pt>
                <c:pt idx="41">
                  <c:v>133583.24548239532</c:v>
                </c:pt>
                <c:pt idx="42">
                  <c:v>133363.57029241641</c:v>
                </c:pt>
                <c:pt idx="43">
                  <c:v>133142.759602543</c:v>
                </c:pt>
                <c:pt idx="44">
                  <c:v>132920.81017399344</c:v>
                </c:pt>
                <c:pt idx="45">
                  <c:v>132697.71876016087</c:v>
                </c:pt>
                <c:pt idx="46">
                  <c:v>132473.48210659498</c:v>
                </c:pt>
                <c:pt idx="47">
                  <c:v>132248.09695098369</c:v>
                </c:pt>
                <c:pt idx="48">
                  <c:v>132021.56002313489</c:v>
                </c:pt>
                <c:pt idx="49">
                  <c:v>131793.86804495801</c:v>
                </c:pt>
                <c:pt idx="50">
                  <c:v>131565.0177304456</c:v>
                </c:pt>
                <c:pt idx="51">
                  <c:v>131335.00578565479</c:v>
                </c:pt>
                <c:pt idx="52">
                  <c:v>131103.82890868883</c:v>
                </c:pt>
                <c:pt idx="53">
                  <c:v>130871.48378967843</c:v>
                </c:pt>
                <c:pt idx="54">
                  <c:v>130637.96711076311</c:v>
                </c:pt>
                <c:pt idx="55">
                  <c:v>130403.27554607252</c:v>
                </c:pt>
                <c:pt idx="56">
                  <c:v>130167.4057617076</c:v>
                </c:pt>
                <c:pt idx="57">
                  <c:v>129930.35441572184</c:v>
                </c:pt>
                <c:pt idx="58">
                  <c:v>129692.11815810234</c:v>
                </c:pt>
                <c:pt idx="59">
                  <c:v>129452.69363075089</c:v>
                </c:pt>
                <c:pt idx="60">
                  <c:v>129212.07746746499</c:v>
                </c:pt>
                <c:pt idx="61">
                  <c:v>128970.26629391874</c:v>
                </c:pt>
                <c:pt idx="62">
                  <c:v>128727.25672764378</c:v>
                </c:pt>
                <c:pt idx="63">
                  <c:v>128483.04537801012</c:v>
                </c:pt>
                <c:pt idx="64">
                  <c:v>128237.62884620686</c:v>
                </c:pt>
                <c:pt idx="65">
                  <c:v>127991.00372522292</c:v>
                </c:pt>
                <c:pt idx="66">
                  <c:v>127743.16659982772</c:v>
                </c:pt>
                <c:pt idx="67">
                  <c:v>127494.11404655171</c:v>
                </c:pt>
                <c:pt idx="68">
                  <c:v>127243.84263366692</c:v>
                </c:pt>
                <c:pt idx="69">
                  <c:v>126992.34892116745</c:v>
                </c:pt>
                <c:pt idx="70">
                  <c:v>126739.62946074978</c:v>
                </c:pt>
                <c:pt idx="71">
                  <c:v>126485.68079579323</c:v>
                </c:pt>
                <c:pt idx="72">
                  <c:v>126230.49946134015</c:v>
                </c:pt>
                <c:pt idx="73">
                  <c:v>125974.08198407614</c:v>
                </c:pt>
                <c:pt idx="74">
                  <c:v>125716.42488231021</c:v>
                </c:pt>
                <c:pt idx="75">
                  <c:v>125457.52466595483</c:v>
                </c:pt>
                <c:pt idx="76">
                  <c:v>125197.37783650598</c:v>
                </c:pt>
                <c:pt idx="77">
                  <c:v>124935.98088702311</c:v>
                </c:pt>
                <c:pt idx="78">
                  <c:v>124673.33030210891</c:v>
                </c:pt>
                <c:pt idx="79">
                  <c:v>124409.42255788925</c:v>
                </c:pt>
                <c:pt idx="80">
                  <c:v>124144.25412199287</c:v>
                </c:pt>
                <c:pt idx="81">
                  <c:v>123877.82145353104</c:v>
                </c:pt>
                <c:pt idx="82">
                  <c:v>123610.12100307722</c:v>
                </c:pt>
                <c:pt idx="83">
                  <c:v>123341.1492126465</c:v>
                </c:pt>
                <c:pt idx="84">
                  <c:v>123070.90251567513</c:v>
                </c:pt>
                <c:pt idx="85">
                  <c:v>122799.37733699993</c:v>
                </c:pt>
                <c:pt idx="86">
                  <c:v>122526.57009283753</c:v>
                </c:pt>
                <c:pt idx="87">
                  <c:v>122252.4771907637</c:v>
                </c:pt>
                <c:pt idx="88">
                  <c:v>121977.09502969249</c:v>
                </c:pt>
                <c:pt idx="89">
                  <c:v>121700.41999985529</c:v>
                </c:pt>
                <c:pt idx="90">
                  <c:v>121422.44848277993</c:v>
                </c:pt>
                <c:pt idx="91">
                  <c:v>121143.17685126954</c:v>
                </c:pt>
                <c:pt idx="92">
                  <c:v>120862.60146938148</c:v>
                </c:pt>
                <c:pt idx="93">
                  <c:v>120580.71869240611</c:v>
                </c:pt>
                <c:pt idx="94">
                  <c:v>120297.52486684552</c:v>
                </c:pt>
                <c:pt idx="95">
                  <c:v>120013.01633039213</c:v>
                </c:pt>
                <c:pt idx="96">
                  <c:v>119727.1894119073</c:v>
                </c:pt>
                <c:pt idx="97">
                  <c:v>119440.04043139973</c:v>
                </c:pt>
                <c:pt idx="98">
                  <c:v>119151.56570000389</c:v>
                </c:pt>
                <c:pt idx="99">
                  <c:v>118861.76151995835</c:v>
                </c:pt>
                <c:pt idx="100">
                  <c:v>118570.62418458394</c:v>
                </c:pt>
                <c:pt idx="101">
                  <c:v>118278.14997826196</c:v>
                </c:pt>
                <c:pt idx="102">
                  <c:v>117984.33517641219</c:v>
                </c:pt>
                <c:pt idx="103">
                  <c:v>117689.17604547086</c:v>
                </c:pt>
                <c:pt idx="104">
                  <c:v>117392.66884286853</c:v>
                </c:pt>
                <c:pt idx="105">
                  <c:v>117094.8098170079</c:v>
                </c:pt>
                <c:pt idx="106">
                  <c:v>116795.59520724147</c:v>
                </c:pt>
                <c:pt idx="107">
                  <c:v>116495.02124384916</c:v>
                </c:pt>
                <c:pt idx="108">
                  <c:v>116193.08414801586</c:v>
                </c:pt>
                <c:pt idx="109">
                  <c:v>115889.78013180879</c:v>
                </c:pt>
                <c:pt idx="110">
                  <c:v>115585.1053981549</c:v>
                </c:pt>
                <c:pt idx="111">
                  <c:v>115279.05614081805</c:v>
                </c:pt>
                <c:pt idx="112">
                  <c:v>114971.62854437614</c:v>
                </c:pt>
                <c:pt idx="113">
                  <c:v>114662.81878419819</c:v>
                </c:pt>
                <c:pt idx="114">
                  <c:v>114352.62302642119</c:v>
                </c:pt>
                <c:pt idx="115">
                  <c:v>114041.03742792708</c:v>
                </c:pt>
                <c:pt idx="116">
                  <c:v>113728.05813631932</c:v>
                </c:pt>
                <c:pt idx="117">
                  <c:v>113413.68128989964</c:v>
                </c:pt>
                <c:pt idx="118">
                  <c:v>113097.90301764449</c:v>
                </c:pt>
                <c:pt idx="119">
                  <c:v>112780.71943918148</c:v>
                </c:pt>
                <c:pt idx="120">
                  <c:v>112462.12666476573</c:v>
                </c:pt>
                <c:pt idx="121">
                  <c:v>112142.12079525599</c:v>
                </c:pt>
                <c:pt idx="122">
                  <c:v>111820.69792209078</c:v>
                </c:pt>
                <c:pt idx="123">
                  <c:v>111497.85412726435</c:v>
                </c:pt>
                <c:pt idx="124">
                  <c:v>111173.58548330252</c:v>
                </c:pt>
                <c:pt idx="125">
                  <c:v>110847.88805323848</c:v>
                </c:pt>
                <c:pt idx="126">
                  <c:v>110520.75789058834</c:v>
                </c:pt>
                <c:pt idx="127">
                  <c:v>110192.1910393267</c:v>
                </c:pt>
                <c:pt idx="128">
                  <c:v>109862.18353386197</c:v>
                </c:pt>
                <c:pt idx="129">
                  <c:v>109530.7313990117</c:v>
                </c:pt>
                <c:pt idx="130">
                  <c:v>109197.83064997764</c:v>
                </c:pt>
                <c:pt idx="131">
                  <c:v>108863.47729232081</c:v>
                </c:pt>
                <c:pt idx="132">
                  <c:v>108527.6673219363</c:v>
                </c:pt>
                <c:pt idx="133">
                  <c:v>108190.39672502813</c:v>
                </c:pt>
                <c:pt idx="134">
                  <c:v>107851.66147808373</c:v>
                </c:pt>
                <c:pt idx="135">
                  <c:v>107511.45754784849</c:v>
                </c:pt>
                <c:pt idx="136">
                  <c:v>107169.78089130009</c:v>
                </c:pt>
                <c:pt idx="137">
                  <c:v>106826.62745562266</c:v>
                </c:pt>
                <c:pt idx="138">
                  <c:v>106481.99317818084</c:v>
                </c:pt>
                <c:pt idx="139">
                  <c:v>106135.87398649375</c:v>
                </c:pt>
                <c:pt idx="140">
                  <c:v>105788.26579820864</c:v>
                </c:pt>
                <c:pt idx="141">
                  <c:v>105439.16452107455</c:v>
                </c:pt>
                <c:pt idx="142">
                  <c:v>105088.56605291579</c:v>
                </c:pt>
                <c:pt idx="143">
                  <c:v>104736.46628160516</c:v>
                </c:pt>
                <c:pt idx="144">
                  <c:v>104382.86108503715</c:v>
                </c:pt>
                <c:pt idx="145">
                  <c:v>104027.74633110092</c:v>
                </c:pt>
                <c:pt idx="146">
                  <c:v>103671.11787765303</c:v>
                </c:pt>
                <c:pt idx="147">
                  <c:v>103312.97157249012</c:v>
                </c:pt>
                <c:pt idx="148">
                  <c:v>102953.30325332144</c:v>
                </c:pt>
                <c:pt idx="149">
                  <c:v>102592.10874774105</c:v>
                </c:pt>
                <c:pt idx="150">
                  <c:v>102229.38387319996</c:v>
                </c:pt>
                <c:pt idx="151">
                  <c:v>101865.12443697808</c:v>
                </c:pt>
                <c:pt idx="152">
                  <c:v>101499.32623615598</c:v>
                </c:pt>
                <c:pt idx="153">
                  <c:v>101131.9850575864</c:v>
                </c:pt>
                <c:pt idx="154">
                  <c:v>100763.09667786566</c:v>
                </c:pt>
                <c:pt idx="155">
                  <c:v>100392.65686330477</c:v>
                </c:pt>
                <c:pt idx="156">
                  <c:v>100020.66136990047</c:v>
                </c:pt>
                <c:pt idx="157">
                  <c:v>99647.105943305927</c:v>
                </c:pt>
                <c:pt idx="158">
                  <c:v>99271.986318801311</c:v>
                </c:pt>
                <c:pt idx="159">
                  <c:v>98895.298221264136</c:v>
                </c:pt>
                <c:pt idx="160">
                  <c:v>98517.037365139375</c:v>
                </c:pt>
                <c:pt idx="161">
                  <c:v>98137.199454409347</c:v>
                </c:pt>
                <c:pt idx="162">
                  <c:v>97755.780182563351</c:v>
                </c:pt>
                <c:pt idx="163">
                  <c:v>97372.775232567175</c:v>
                </c:pt>
                <c:pt idx="164">
                  <c:v>96988.180276832209</c:v>
                </c:pt>
                <c:pt idx="165">
                  <c:v>96601.990977184454</c:v>
                </c:pt>
                <c:pt idx="166">
                  <c:v>96214.202984833173</c:v>
                </c:pt>
                <c:pt idx="167">
                  <c:v>95824.811940339379</c:v>
                </c:pt>
                <c:pt idx="168">
                  <c:v>95433.81347358397</c:v>
                </c:pt>
                <c:pt idx="169">
                  <c:v>95041.203203735669</c:v>
                </c:pt>
                <c:pt idx="170">
                  <c:v>94646.976739218648</c:v>
                </c:pt>
                <c:pt idx="171">
                  <c:v>94251.129677679914</c:v>
                </c:pt>
                <c:pt idx="172">
                  <c:v>93853.657605956352</c:v>
                </c:pt>
                <c:pt idx="173">
                  <c:v>93454.556100041504</c:v>
                </c:pt>
                <c:pt idx="174">
                  <c:v>93053.82072505205</c:v>
                </c:pt>
                <c:pt idx="175">
                  <c:v>92651.447035193967</c:v>
                </c:pt>
                <c:pt idx="176">
                  <c:v>92247.430573728372</c:v>
                </c:pt>
                <c:pt idx="177">
                  <c:v>91841.766872937078</c:v>
                </c:pt>
                <c:pt idx="178">
                  <c:v>91434.451454087714</c:v>
                </c:pt>
                <c:pt idx="179">
                  <c:v>91025.479827398623</c:v>
                </c:pt>
                <c:pt idx="180">
                  <c:v>90614.847492003348</c:v>
                </c:pt>
                <c:pt idx="181">
                  <c:v>90202.549935914736</c:v>
                </c:pt>
                <c:pt idx="182">
                  <c:v>89788.582635988714</c:v>
                </c:pt>
                <c:pt idx="183">
                  <c:v>89372.941057887685</c:v>
                </c:pt>
                <c:pt idx="184">
                  <c:v>88955.620656043495</c:v>
                </c:pt>
                <c:pt idx="185">
                  <c:v>88536.616873620034</c:v>
                </c:pt>
                <c:pt idx="186">
                  <c:v>88115.925142475375</c:v>
                </c:pt>
                <c:pt idx="187">
                  <c:v>87693.540883123584</c:v>
                </c:pt>
                <c:pt idx="188">
                  <c:v>87269.459504695988</c:v>
                </c:pt>
                <c:pt idx="189">
                  <c:v>86843.676404902028</c:v>
                </c:pt>
                <c:pt idx="190">
                  <c:v>86416.186969989678</c:v>
                </c:pt>
                <c:pt idx="191">
                  <c:v>85986.986574705399</c:v>
                </c:pt>
                <c:pt idx="192">
                  <c:v>85556.070582253509</c:v>
                </c:pt>
                <c:pt idx="193">
                  <c:v>85123.434344255133</c:v>
                </c:pt>
                <c:pt idx="194">
                  <c:v>84689.073200706654</c:v>
                </c:pt>
                <c:pt idx="195">
                  <c:v>84252.982479937535</c:v>
                </c:pt>
                <c:pt idx="196">
                  <c:v>83815.157498567656</c:v>
                </c:pt>
                <c:pt idx="197">
                  <c:v>83375.593561464062</c:v>
                </c:pt>
                <c:pt idx="198">
                  <c:v>82934.285961697125</c:v>
                </c:pt>
                <c:pt idx="199">
                  <c:v>82491.229980496122</c:v>
                </c:pt>
                <c:pt idx="200">
                  <c:v>82046.420887204134</c:v>
                </c:pt>
                <c:pt idx="201">
                  <c:v>81599.853939232344</c:v>
                </c:pt>
                <c:pt idx="202">
                  <c:v>81151.524382013697</c:v>
                </c:pt>
                <c:pt idx="203">
                  <c:v>80701.427448955772</c:v>
                </c:pt>
                <c:pt idx="204">
                  <c:v>80249.55836139305</c:v>
                </c:pt>
                <c:pt idx="205">
                  <c:v>79795.912328538354</c:v>
                </c:pt>
                <c:pt idx="206">
                  <c:v>79340.484547433618</c:v>
                </c:pt>
                <c:pt idx="207">
                  <c:v>78883.270202899832</c:v>
                </c:pt>
                <c:pt idx="208">
                  <c:v>78424.264467486108</c:v>
                </c:pt>
                <c:pt idx="209">
                  <c:v>77963.462501418064</c:v>
                </c:pt>
                <c:pt idx="210">
                  <c:v>77500.859452545148</c:v>
                </c:pt>
                <c:pt idx="211">
                  <c:v>77036.450456287217</c:v>
                </c:pt>
                <c:pt idx="212">
                  <c:v>76570.230635580054</c:v>
                </c:pt>
                <c:pt idx="213">
                  <c:v>76102.19510082007</c:v>
                </c:pt>
                <c:pt idx="214">
                  <c:v>75632.338949807847</c:v>
                </c:pt>
                <c:pt idx="215">
                  <c:v>75160.657267690709</c:v>
                </c:pt>
                <c:pt idx="216">
                  <c:v>74687.145126904259</c:v>
                </c:pt>
                <c:pt idx="217">
                  <c:v>74211.797587112698</c:v>
                </c:pt>
                <c:pt idx="218">
                  <c:v>73734.609695148087</c:v>
                </c:pt>
                <c:pt idx="219">
                  <c:v>73255.576484948295</c:v>
                </c:pt>
                <c:pt idx="220">
                  <c:v>72774.692977493789</c:v>
                </c:pt>
                <c:pt idx="221">
                  <c:v>72291.95418074308</c:v>
                </c:pt>
                <c:pt idx="222">
                  <c:v>71807.355089566787</c:v>
                </c:pt>
                <c:pt idx="223">
                  <c:v>71320.890685680351</c:v>
                </c:pt>
                <c:pt idx="224">
                  <c:v>70832.555937575235</c:v>
                </c:pt>
                <c:pt idx="225">
                  <c:v>70342.345800448631</c:v>
                </c:pt>
                <c:pt idx="226">
                  <c:v>69850.255216131569</c:v>
                </c:pt>
                <c:pt idx="227">
                  <c:v>69356.279113015393</c:v>
                </c:pt>
                <c:pt idx="228">
                  <c:v>68860.412405976414</c:v>
                </c:pt>
                <c:pt idx="229">
                  <c:v>68362.649996298933</c:v>
                </c:pt>
                <c:pt idx="230">
                  <c:v>67862.986771596246</c:v>
                </c:pt>
                <c:pt idx="231">
                  <c:v>67361.417605729817</c:v>
                </c:pt>
                <c:pt idx="232">
                  <c:v>66857.937358726267</c:v>
                </c:pt>
                <c:pt idx="233">
                  <c:v>66352.540876692336</c:v>
                </c:pt>
                <c:pt idx="234">
                  <c:v>65845.222991727656</c:v>
                </c:pt>
                <c:pt idx="235">
                  <c:v>65335.97852183503</c:v>
                </c:pt>
                <c:pt idx="236">
                  <c:v>64824.802270828484</c:v>
                </c:pt>
                <c:pt idx="237">
                  <c:v>64311.689028238616</c:v>
                </c:pt>
                <c:pt idx="238">
                  <c:v>63796.633569215373</c:v>
                </c:pt>
                <c:pt idx="239">
                  <c:v>63279.630654427987</c:v>
                </c:pt>
                <c:pt idx="240">
                  <c:v>62760.675029962018</c:v>
                </c:pt>
                <c:pt idx="241">
                  <c:v>62239.761427213329</c:v>
                </c:pt>
                <c:pt idx="242">
                  <c:v>61716.884562778847</c:v>
                </c:pt>
                <c:pt idx="243">
                  <c:v>61192.039138343949</c:v>
                </c:pt>
                <c:pt idx="244">
                  <c:v>60665.219840566308</c:v>
                </c:pt>
                <c:pt idx="245">
                  <c:v>60136.42134095604</c:v>
                </c:pt>
                <c:pt idx="246">
                  <c:v>59605.638295751916</c:v>
                </c:pt>
                <c:pt idx="247">
                  <c:v>59072.865345793507</c:v>
                </c:pt>
                <c:pt idx="248">
                  <c:v>58538.097116388955</c:v>
                </c:pt>
                <c:pt idx="249">
                  <c:v>58001.328217178241</c:v>
                </c:pt>
                <c:pt idx="250">
                  <c:v>57462.553241991634</c:v>
                </c:pt>
                <c:pt idx="251">
                  <c:v>56921.766768703113</c:v>
                </c:pt>
                <c:pt idx="252">
                  <c:v>56378.963359078414</c:v>
                </c:pt>
                <c:pt idx="253">
                  <c:v>55834.137558617505</c:v>
                </c:pt>
                <c:pt idx="254">
                  <c:v>55287.283896391091</c:v>
                </c:pt>
                <c:pt idx="255">
                  <c:v>54738.396884870876</c:v>
                </c:pt>
                <c:pt idx="256">
                  <c:v>54187.471019753146</c:v>
                </c:pt>
                <c:pt idx="257">
                  <c:v>53634.500779775379</c:v>
                </c:pt>
                <c:pt idx="258">
                  <c:v>53079.480626525386</c:v>
                </c:pt>
                <c:pt idx="259">
                  <c:v>52522.40500424261</c:v>
                </c:pt>
                <c:pt idx="260">
                  <c:v>51963.26833961103</c:v>
                </c:pt>
                <c:pt idx="261">
                  <c:v>51402.065041543225</c:v>
                </c:pt>
                <c:pt idx="262">
                  <c:v>50838.78950095507</c:v>
                </c:pt>
                <c:pt idx="263">
                  <c:v>50273.436090530347</c:v>
                </c:pt>
                <c:pt idx="264">
                  <c:v>49705.999164474764</c:v>
                </c:pt>
                <c:pt idx="265">
                  <c:v>49136.473058258649</c:v>
                </c:pt>
                <c:pt idx="266">
                  <c:v>48564.852088347572</c:v>
                </c:pt>
                <c:pt idx="267">
                  <c:v>47991.130551920091</c:v>
                </c:pt>
                <c:pt idx="268">
                  <c:v>47415.302726571783</c:v>
                </c:pt>
                <c:pt idx="269">
                  <c:v>46837.362870004574</c:v>
                </c:pt>
                <c:pt idx="270">
                  <c:v>46257.305219700422</c:v>
                </c:pt>
                <c:pt idx="271">
                  <c:v>45675.123992578192</c:v>
                </c:pt>
                <c:pt idx="272">
                  <c:v>45090.813384632551</c:v>
                </c:pt>
                <c:pt idx="273">
                  <c:v>44504.367570553593</c:v>
                </c:pt>
                <c:pt idx="274">
                  <c:v>43915.78070332572</c:v>
                </c:pt>
                <c:pt idx="275">
                  <c:v>43325.046913804319</c:v>
                </c:pt>
                <c:pt idx="276">
                  <c:v>42732.160310268489</c:v>
                </c:pt>
                <c:pt idx="277">
                  <c:v>42137.114977948004</c:v>
                </c:pt>
                <c:pt idx="278">
                  <c:v>41539.904978522449</c:v>
                </c:pt>
                <c:pt idx="279">
                  <c:v>40940.524349590414</c:v>
                </c:pt>
                <c:pt idx="280">
                  <c:v>40338.967104106181</c:v>
                </c:pt>
                <c:pt idx="281">
                  <c:v>39735.227229781398</c:v>
                </c:pt>
                <c:pt idx="282">
                  <c:v>39129.298688448616</c:v>
                </c:pt>
                <c:pt idx="283">
                  <c:v>38521.175415383659</c:v>
                </c:pt>
                <c:pt idx="284">
                  <c:v>37910.851318583082</c:v>
                </c:pt>
                <c:pt idx="285">
                  <c:v>37298.320277992832</c:v>
                </c:pt>
                <c:pt idx="286">
                  <c:v>36683.576144683728</c:v>
                </c:pt>
                <c:pt idx="287">
                  <c:v>36066.612739968885</c:v>
                </c:pt>
                <c:pt idx="288">
                  <c:v>35447.423854457607</c:v>
                </c:pt>
                <c:pt idx="289">
                  <c:v>34826.003247039851</c:v>
                </c:pt>
                <c:pt idx="290">
                  <c:v>34202.344643794335</c:v>
                </c:pt>
                <c:pt idx="291">
                  <c:v>33576.4417368129</c:v>
                </c:pt>
                <c:pt idx="292">
                  <c:v>32948.288182932563</c:v>
                </c:pt>
                <c:pt idx="293">
                  <c:v>32317.877602365788</c:v>
                </c:pt>
                <c:pt idx="294">
                  <c:v>31685.203577218199</c:v>
                </c:pt>
                <c:pt idx="295">
                  <c:v>31050.259649881682</c:v>
                </c:pt>
                <c:pt idx="296">
                  <c:v>30413.03932128911</c:v>
                </c:pt>
                <c:pt idx="297">
                  <c:v>29773.536049015096</c:v>
                </c:pt>
                <c:pt idx="298">
                  <c:v>29131.743245205049</c:v>
                </c:pt>
                <c:pt idx="299">
                  <c:v>28487.654274312252</c:v>
                </c:pt>
                <c:pt idx="300">
                  <c:v>27841.262450619746</c:v>
                </c:pt>
                <c:pt idx="301">
                  <c:v>27192.561035520306</c:v>
                </c:pt>
                <c:pt idx="302">
                  <c:v>26541.543234523757</c:v>
                </c:pt>
                <c:pt idx="303">
                  <c:v>25888.202193956033</c:v>
                </c:pt>
                <c:pt idx="304">
                  <c:v>25232.530997308568</c:v>
                </c:pt>
                <c:pt idx="305">
                  <c:v>24574.522661189865</c:v>
                </c:pt>
                <c:pt idx="306">
                  <c:v>23914.170130822749</c:v>
                </c:pt>
                <c:pt idx="307">
                  <c:v>23251.46627502095</c:v>
                </c:pt>
                <c:pt idx="308">
                  <c:v>22586.403880566635</c:v>
                </c:pt>
                <c:pt idx="309">
                  <c:v>21918.975645895891</c:v>
                </c:pt>
                <c:pt idx="310">
                  <c:v>21249.174173981144</c:v>
                </c:pt>
                <c:pt idx="311">
                  <c:v>20576.991964277539</c:v>
                </c:pt>
                <c:pt idx="312">
                  <c:v>19902.421403572756</c:v>
                </c:pt>
                <c:pt idx="313">
                  <c:v>19225.454755545517</c:v>
                </c:pt>
                <c:pt idx="314">
                  <c:v>18546.084148794926</c:v>
                </c:pt>
                <c:pt idx="315">
                  <c:v>17864.301563048073</c:v>
                </c:pt>
                <c:pt idx="316">
                  <c:v>17180.098813183333</c:v>
                </c:pt>
                <c:pt idx="317">
                  <c:v>16493.467530616439</c:v>
                </c:pt>
                <c:pt idx="318">
                  <c:v>15804.399141478641</c:v>
                </c:pt>
                <c:pt idx="319">
                  <c:v>15112.884840861034</c:v>
                </c:pt>
                <c:pt idx="320">
                  <c:v>14418.915562192353</c:v>
                </c:pt>
                <c:pt idx="321">
                  <c:v>13722.481940538462</c:v>
                </c:pt>
                <c:pt idx="322">
                  <c:v>13023.57426823009</c:v>
                </c:pt>
                <c:pt idx="323">
                  <c:v>12322.18244069552</c:v>
                </c:pt>
                <c:pt idx="324">
                  <c:v>11618.295889627319</c:v>
                </c:pt>
                <c:pt idx="325">
                  <c:v>10911.903499537979</c:v>
                </c:pt>
                <c:pt idx="326">
                  <c:v>10202.993502184661</c:v>
                </c:pt>
                <c:pt idx="327">
                  <c:v>9491.5533409823292</c:v>
                </c:pt>
                <c:pt idx="328">
                  <c:v>8777.5694938941269</c:v>
                </c:pt>
                <c:pt idx="329">
                  <c:v>8061.0272375425693</c:v>
                </c:pt>
                <c:pt idx="330">
                  <c:v>7341.9103258879759</c:v>
                </c:pt>
                <c:pt idx="331">
                  <c:v>6620.2005408531877</c:v>
                </c:pt>
                <c:pt idx="332">
                  <c:v>5895.8770439000618</c:v>
                </c:pt>
                <c:pt idx="333">
                  <c:v>5168.915404387184</c:v>
                </c:pt>
                <c:pt idx="334">
                  <c:v>4439.2860742336161</c:v>
                </c:pt>
                <c:pt idx="335">
                  <c:v>3706.9518481875439</c:v>
                </c:pt>
                <c:pt idx="336">
                  <c:v>2971.863296691954</c:v>
                </c:pt>
                <c:pt idx="337">
                  <c:v>2233.9496401233419</c:v>
                </c:pt>
                <c:pt idx="338">
                  <c:v>1493.0974744704374</c:v>
                </c:pt>
                <c:pt idx="339">
                  <c:v>749.08700294181847</c:v>
                </c:pt>
                <c:pt idx="340">
                  <c:v>1.2734479050010914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71-A049-A89E-EEC417445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983552"/>
        <c:axId val="496885824"/>
      </c:scatterChart>
      <c:valAx>
        <c:axId val="49698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6885824"/>
        <c:crosses val="autoZero"/>
        <c:crossBetween val="midCat"/>
      </c:valAx>
      <c:valAx>
        <c:axId val="49688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698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Valor da parcela ao longo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'SAC @amigodopairico'!$G$6</c:f>
              <c:strCache>
                <c:ptCount val="1"/>
                <c:pt idx="0">
                  <c:v>Parcela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73"/>
              <c:layout>
                <c:manualLayout>
                  <c:x val="2.7826797249573066E-3"/>
                  <c:y val="-2.81091920377946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4E-D348-B7B2-CA9CD20EF1FD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4E-D348-B7B2-CA9CD20EF1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'SAC @amigodopairico'!$G$7:$G$426</c:f>
              <c:numCache>
                <c:formatCode>#,##0.00</c:formatCode>
                <c:ptCount val="420"/>
                <c:pt idx="0">
                  <c:v>1376.2307895038523</c:v>
                </c:pt>
                <c:pt idx="1">
                  <c:v>1375.8240676640635</c:v>
                </c:pt>
                <c:pt idx="2">
                  <c:v>1375.4121374938213</c:v>
                </c:pt>
                <c:pt idx="3">
                  <c:v>1374.9949824453497</c:v>
                </c:pt>
                <c:pt idx="4">
                  <c:v>1374.5725859297243</c:v>
                </c:pt>
                <c:pt idx="5">
                  <c:v>1374.1449313167834</c:v>
                </c:pt>
                <c:pt idx="6">
                  <c:v>1373.712001935038</c:v>
                </c:pt>
                <c:pt idx="7">
                  <c:v>1373.2737810715812</c:v>
                </c:pt>
                <c:pt idx="8">
                  <c:v>1372.8302519719985</c:v>
                </c:pt>
                <c:pt idx="9">
                  <c:v>1372.3813978402763</c:v>
                </c:pt>
                <c:pt idx="10">
                  <c:v>1371.9272018387128</c:v>
                </c:pt>
                <c:pt idx="11">
                  <c:v>1371.4676470878262</c:v>
                </c:pt>
                <c:pt idx="12">
                  <c:v>1371.0027166662649</c:v>
                </c:pt>
                <c:pt idx="13">
                  <c:v>1370.5323936107152</c:v>
                </c:pt>
                <c:pt idx="14">
                  <c:v>1370.0566609158113</c:v>
                </c:pt>
                <c:pt idx="15">
                  <c:v>1369.5755015340442</c:v>
                </c:pt>
                <c:pt idx="16">
                  <c:v>1369.0888983756688</c:v>
                </c:pt>
                <c:pt idx="17">
                  <c:v>1368.5968343086145</c:v>
                </c:pt>
                <c:pt idx="18">
                  <c:v>1368.0992921583927</c:v>
                </c:pt>
                <c:pt idx="19">
                  <c:v>1367.5962547080044</c:v>
                </c:pt>
                <c:pt idx="20">
                  <c:v>1367.0877046978489</c:v>
                </c:pt>
                <c:pt idx="21">
                  <c:v>1366.5736248256333</c:v>
                </c:pt>
                <c:pt idx="22">
                  <c:v>1366.053997746277</c:v>
                </c:pt>
                <c:pt idx="23">
                  <c:v>1365.5288060718221</c:v>
                </c:pt>
                <c:pt idx="24">
                  <c:v>1364.9980323713417</c:v>
                </c:pt>
                <c:pt idx="25">
                  <c:v>1364.4616591708443</c:v>
                </c:pt>
                <c:pt idx="26">
                  <c:v>1363.9196689531843</c:v>
                </c:pt>
                <c:pt idx="27">
                  <c:v>1363.3720441579676</c:v>
                </c:pt>
                <c:pt idx="28">
                  <c:v>1362.8187671814594</c:v>
                </c:pt>
                <c:pt idx="29">
                  <c:v>1362.2598203764912</c:v>
                </c:pt>
                <c:pt idx="30">
                  <c:v>1361.6951860523677</c:v>
                </c:pt>
                <c:pt idx="31">
                  <c:v>1361.1248464747732</c:v>
                </c:pt>
                <c:pt idx="32">
                  <c:v>1360.5487838656795</c:v>
                </c:pt>
                <c:pt idx="33">
                  <c:v>1359.9669804032517</c:v>
                </c:pt>
                <c:pt idx="34">
                  <c:v>1359.3794182217548</c:v>
                </c:pt>
                <c:pt idx="35">
                  <c:v>1358.7860794114595</c:v>
                </c:pt>
                <c:pt idx="36">
                  <c:v>1358.1869460185512</c:v>
                </c:pt>
                <c:pt idx="37">
                  <c:v>1357.5820000450321</c:v>
                </c:pt>
                <c:pt idx="38">
                  <c:v>1356.9712234486319</c:v>
                </c:pt>
                <c:pt idx="39">
                  <c:v>1356.3545981427087</c:v>
                </c:pt>
                <c:pt idx="40">
                  <c:v>1355.7321059961603</c:v>
                </c:pt>
                <c:pt idx="41">
                  <c:v>1355.1037288333262</c:v>
                </c:pt>
                <c:pt idx="42">
                  <c:v>1354.469448433895</c:v>
                </c:pt>
                <c:pt idx="43">
                  <c:v>1353.82924653281</c:v>
                </c:pt>
                <c:pt idx="44">
                  <c:v>1353.1831048201743</c:v>
                </c:pt>
                <c:pt idx="45">
                  <c:v>1352.5310049411571</c:v>
                </c:pt>
                <c:pt idx="46">
                  <c:v>1351.8729284958983</c:v>
                </c:pt>
                <c:pt idx="47">
                  <c:v>1351.2088570394146</c:v>
                </c:pt>
                <c:pt idx="48">
                  <c:v>1350.5387720815042</c:v>
                </c:pt>
                <c:pt idx="49">
                  <c:v>1349.8626550866529</c:v>
                </c:pt>
                <c:pt idx="50">
                  <c:v>1349.180487473938</c:v>
                </c:pt>
                <c:pt idx="51">
                  <c:v>1348.4922506169346</c:v>
                </c:pt>
                <c:pt idx="52">
                  <c:v>1347.7979258436203</c:v>
                </c:pt>
                <c:pt idx="53">
                  <c:v>1347.0974944362792</c:v>
                </c:pt>
                <c:pt idx="54">
                  <c:v>1346.3909376314095</c:v>
                </c:pt>
                <c:pt idx="55">
                  <c:v>1345.6782366196251</c:v>
                </c:pt>
                <c:pt idx="56">
                  <c:v>1344.9593725455625</c:v>
                </c:pt>
                <c:pt idx="57">
                  <c:v>1344.2343265077848</c:v>
                </c:pt>
                <c:pt idx="58">
                  <c:v>1343.5030795586877</c:v>
                </c:pt>
                <c:pt idx="59">
                  <c:v>1342.765612704402</c:v>
                </c:pt>
                <c:pt idx="60">
                  <c:v>1342.0219069047009</c:v>
                </c:pt>
                <c:pt idx="61">
                  <c:v>1341.2719430729026</c:v>
                </c:pt>
                <c:pt idx="62">
                  <c:v>1340.5157020757756</c:v>
                </c:pt>
                <c:pt idx="63">
                  <c:v>1339.7531647334438</c:v>
                </c:pt>
                <c:pt idx="64">
                  <c:v>1338.9843118192907</c:v>
                </c:pt>
                <c:pt idx="65">
                  <c:v>1338.2091240598645</c:v>
                </c:pt>
                <c:pt idx="66">
                  <c:v>1337.4275821347815</c:v>
                </c:pt>
                <c:pt idx="67">
                  <c:v>1336.6396666766323</c:v>
                </c:pt>
                <c:pt idx="68">
                  <c:v>1335.8453582708851</c:v>
                </c:pt>
                <c:pt idx="69">
                  <c:v>1335.0446374557912</c:v>
                </c:pt>
                <c:pt idx="70">
                  <c:v>1334.2374847222891</c:v>
                </c:pt>
                <c:pt idx="71">
                  <c:v>1333.4238805139094</c:v>
                </c:pt>
                <c:pt idx="72">
                  <c:v>1332.6038052266792</c:v>
                </c:pt>
                <c:pt idx="73">
                  <c:v>1331.7772392090278</c:v>
                </c:pt>
                <c:pt idx="74">
                  <c:v>1330.9441627616898</c:v>
                </c:pt>
                <c:pt idx="75">
                  <c:v>1330.1045561376118</c:v>
                </c:pt>
                <c:pt idx="76">
                  <c:v>1329.2583995418552</c:v>
                </c:pt>
                <c:pt idx="77">
                  <c:v>1328.4056731315031</c:v>
                </c:pt>
                <c:pt idx="78">
                  <c:v>1327.5463570155639</c:v>
                </c:pt>
                <c:pt idx="79">
                  <c:v>1326.680431254877</c:v>
                </c:pt>
                <c:pt idx="80">
                  <c:v>1325.8078758620177</c:v>
                </c:pt>
                <c:pt idx="81">
                  <c:v>1324.9286708012021</c:v>
                </c:pt>
                <c:pt idx="82">
                  <c:v>1324.0427959881933</c:v>
                </c:pt>
                <c:pt idx="83">
                  <c:v>1323.1502312902064</c:v>
                </c:pt>
                <c:pt idx="84">
                  <c:v>1322.2509565258133</c:v>
                </c:pt>
                <c:pt idx="85">
                  <c:v>1321.3449514648489</c:v>
                </c:pt>
                <c:pt idx="86">
                  <c:v>1320.4321958283174</c:v>
                </c:pt>
                <c:pt idx="87">
                  <c:v>1319.5126692882975</c:v>
                </c:pt>
                <c:pt idx="88">
                  <c:v>1318.5863514678481</c:v>
                </c:pt>
                <c:pt idx="89">
                  <c:v>1317.6532219409157</c:v>
                </c:pt>
                <c:pt idx="90">
                  <c:v>1316.7132602322399</c:v>
                </c:pt>
                <c:pt idx="91">
                  <c:v>1315.7664458172599</c:v>
                </c:pt>
                <c:pt idx="92">
                  <c:v>1314.812758122021</c:v>
                </c:pt>
                <c:pt idx="93">
                  <c:v>1313.8521765230826</c:v>
                </c:pt>
                <c:pt idx="94">
                  <c:v>1312.8846803474244</c:v>
                </c:pt>
                <c:pt idx="95">
                  <c:v>1311.9102488723531</c:v>
                </c:pt>
                <c:pt idx="96">
                  <c:v>1310.9288613254123</c:v>
                </c:pt>
                <c:pt idx="97">
                  <c:v>1309.9404968842875</c:v>
                </c:pt>
                <c:pt idx="98">
                  <c:v>1308.945134676716</c:v>
                </c:pt>
                <c:pt idx="99">
                  <c:v>1307.9427537803942</c:v>
                </c:pt>
                <c:pt idx="100">
                  <c:v>1306.9333332228866</c:v>
                </c:pt>
                <c:pt idx="101">
                  <c:v>1305.9168519815353</c:v>
                </c:pt>
                <c:pt idx="102">
                  <c:v>1304.8932889833675</c:v>
                </c:pt>
                <c:pt idx="103">
                  <c:v>1303.8626231050066</c:v>
                </c:pt>
                <c:pt idx="104">
                  <c:v>1302.824833172582</c:v>
                </c:pt>
                <c:pt idx="105">
                  <c:v>1301.7798979616375</c:v>
                </c:pt>
                <c:pt idx="106">
                  <c:v>1300.727796197044</c:v>
                </c:pt>
                <c:pt idx="107">
                  <c:v>1299.6685065529091</c:v>
                </c:pt>
                <c:pt idx="108">
                  <c:v>1298.602007652489</c:v>
                </c:pt>
                <c:pt idx="109">
                  <c:v>1297.5282780681</c:v>
                </c:pt>
                <c:pt idx="110">
                  <c:v>1296.4472963210305</c:v>
                </c:pt>
                <c:pt idx="111">
                  <c:v>1295.3590408814548</c:v>
                </c:pt>
                <c:pt idx="112">
                  <c:v>1294.2634901683437</c:v>
                </c:pt>
                <c:pt idx="113">
                  <c:v>1293.1606225493813</c:v>
                </c:pt>
                <c:pt idx="114">
                  <c:v>1292.0504163408764</c:v>
                </c:pt>
                <c:pt idx="115">
                  <c:v>1290.9328498076786</c:v>
                </c:pt>
                <c:pt idx="116">
                  <c:v>1289.807901163093</c:v>
                </c:pt>
                <c:pt idx="117">
                  <c:v>1288.6755485687963</c:v>
                </c:pt>
                <c:pt idx="118">
                  <c:v>1287.5357701347525</c:v>
                </c:pt>
                <c:pt idx="119">
                  <c:v>1286.3885439191306</c:v>
                </c:pt>
                <c:pt idx="120">
                  <c:v>1285.2338479282221</c:v>
                </c:pt>
                <c:pt idx="121">
                  <c:v>1284.071660116359</c:v>
                </c:pt>
                <c:pt idx="122">
                  <c:v>1282.901958385833</c:v>
                </c:pt>
                <c:pt idx="123">
                  <c:v>1281.7247205868157</c:v>
                </c:pt>
                <c:pt idx="124">
                  <c:v>1280.5399245172785</c:v>
                </c:pt>
                <c:pt idx="125">
                  <c:v>1279.3475479229135</c:v>
                </c:pt>
                <c:pt idx="126">
                  <c:v>1278.1475684970571</c:v>
                </c:pt>
                <c:pt idx="127">
                  <c:v>1276.9399638806117</c:v>
                </c:pt>
                <c:pt idx="128">
                  <c:v>1275.7247116619706</c:v>
                </c:pt>
                <c:pt idx="129">
                  <c:v>1274.5017893769409</c:v>
                </c:pt>
                <c:pt idx="130">
                  <c:v>1273.2711745086713</c:v>
                </c:pt>
                <c:pt idx="131">
                  <c:v>1272.0328444875784</c:v>
                </c:pt>
                <c:pt idx="132">
                  <c:v>1270.7867766912732</c:v>
                </c:pt>
                <c:pt idx="133">
                  <c:v>1269.5329484444915</c:v>
                </c:pt>
                <c:pt idx="134">
                  <c:v>1268.2713370190222</c:v>
                </c:pt>
                <c:pt idx="135">
                  <c:v>1267.0019196336402</c:v>
                </c:pt>
                <c:pt idx="136">
                  <c:v>1265.7246734540377</c:v>
                </c:pt>
                <c:pt idx="137">
                  <c:v>1264.4395755927562</c:v>
                </c:pt>
                <c:pt idx="138">
                  <c:v>1263.146603109125</c:v>
                </c:pt>
                <c:pt idx="139">
                  <c:v>1261.8457330091928</c:v>
                </c:pt>
                <c:pt idx="140">
                  <c:v>1260.5369422456697</c:v>
                </c:pt>
                <c:pt idx="141">
                  <c:v>1259.2202077178626</c:v>
                </c:pt>
                <c:pt idx="142">
                  <c:v>1257.8955062716166</c:v>
                </c:pt>
                <c:pt idx="143">
                  <c:v>1256.5628146992581</c:v>
                </c:pt>
                <c:pt idx="144">
                  <c:v>1255.2221097395372</c:v>
                </c:pt>
                <c:pt idx="145">
                  <c:v>1253.8733680775726</c:v>
                </c:pt>
                <c:pt idx="146">
                  <c:v>1252.5165663448006</c:v>
                </c:pt>
                <c:pt idx="147">
                  <c:v>1251.1516811189208</c:v>
                </c:pt>
                <c:pt idx="148">
                  <c:v>1249.7786889238487</c:v>
                </c:pt>
                <c:pt idx="149">
                  <c:v>1248.397566229668</c:v>
                </c:pt>
                <c:pt idx="150">
                  <c:v>1247.0082894525844</c:v>
                </c:pt>
                <c:pt idx="151">
                  <c:v>1245.6108349548829</c:v>
                </c:pt>
                <c:pt idx="152">
                  <c:v>1244.2051790448854</c:v>
                </c:pt>
                <c:pt idx="153">
                  <c:v>1242.7912979769135</c:v>
                </c:pt>
                <c:pt idx="154">
                  <c:v>1241.3691679512494</c:v>
                </c:pt>
                <c:pt idx="155">
                  <c:v>1239.9387651141037</c:v>
                </c:pt>
                <c:pt idx="156">
                  <c:v>1238.5000655575814</c:v>
                </c:pt>
                <c:pt idx="157">
                  <c:v>1237.0530453196552</c:v>
                </c:pt>
                <c:pt idx="158">
                  <c:v>1235.5976803841363</c:v>
                </c:pt>
                <c:pt idx="159">
                  <c:v>1234.1339466806528</c:v>
                </c:pt>
                <c:pt idx="160">
                  <c:v>1232.6618200846265</c:v>
                </c:pt>
                <c:pt idx="161">
                  <c:v>1231.1812764172573</c:v>
                </c:pt>
                <c:pt idx="162">
                  <c:v>1229.692291445507</c:v>
                </c:pt>
                <c:pt idx="163">
                  <c:v>1228.1948408820874</c:v>
                </c:pt>
                <c:pt idx="164">
                  <c:v>1226.6889003854535</c:v>
                </c:pt>
                <c:pt idx="165">
                  <c:v>1225.1744455597973</c:v>
                </c:pt>
                <c:pt idx="166">
                  <c:v>1223.6514519550483</c:v>
                </c:pt>
                <c:pt idx="167">
                  <c:v>1222.1198950668745</c:v>
                </c:pt>
                <c:pt idx="168">
                  <c:v>1220.5797503366898</c:v>
                </c:pt>
                <c:pt idx="169">
                  <c:v>1219.0309931516651</c:v>
                </c:pt>
                <c:pt idx="170">
                  <c:v>1217.4735988447421</c:v>
                </c:pt>
                <c:pt idx="171">
                  <c:v>1215.9075426946533</c:v>
                </c:pt>
                <c:pt idx="172">
                  <c:v>1214.3327999259459</c:v>
                </c:pt>
                <c:pt idx="173">
                  <c:v>1212.7493457090095</c:v>
                </c:pt>
                <c:pt idx="174">
                  <c:v>1211.157155160111</c:v>
                </c:pt>
                <c:pt idx="175">
                  <c:v>1209.5562033414312</c:v>
                </c:pt>
                <c:pt idx="176">
                  <c:v>1207.9464652611118</c:v>
                </c:pt>
                <c:pt idx="177">
                  <c:v>1206.3279158733012</c:v>
                </c:pt>
                <c:pt idx="178">
                  <c:v>1204.700530078213</c:v>
                </c:pt>
                <c:pt idx="179">
                  <c:v>1203.0642827221855</c:v>
                </c:pt>
                <c:pt idx="180">
                  <c:v>1201.4191485977494</c:v>
                </c:pt>
                <c:pt idx="181">
                  <c:v>1199.7651024437027</c:v>
                </c:pt>
                <c:pt idx="182">
                  <c:v>1198.1021189451903</c:v>
                </c:pt>
                <c:pt idx="183">
                  <c:v>1196.4301727337936</c:v>
                </c:pt>
                <c:pt idx="184">
                  <c:v>1194.7492383876233</c:v>
                </c:pt>
                <c:pt idx="185">
                  <c:v>1193.0592904314244</c:v>
                </c:pt>
                <c:pt idx="186">
                  <c:v>1191.360303336686</c:v>
                </c:pt>
                <c:pt idx="187">
                  <c:v>1189.6522515217603</c:v>
                </c:pt>
                <c:pt idx="188">
                  <c:v>1187.9351093519908</c:v>
                </c:pt>
                <c:pt idx="189">
                  <c:v>1186.2088511398499</c:v>
                </c:pt>
                <c:pt idx="190">
                  <c:v>1184.4734511450829</c:v>
                </c:pt>
                <c:pt idx="191">
                  <c:v>1182.728883574865</c:v>
                </c:pt>
                <c:pt idx="192">
                  <c:v>1180.9751225839691</c:v>
                </c:pt>
                <c:pt idx="193">
                  <c:v>1179.2121422749406</c:v>
                </c:pt>
                <c:pt idx="194">
                  <c:v>1177.4399166982862</c:v>
                </c:pt>
                <c:pt idx="195">
                  <c:v>1175.6584198526734</c:v>
                </c:pt>
                <c:pt idx="196">
                  <c:v>1173.8676256851427</c:v>
                </c:pt>
                <c:pt idx="197">
                  <c:v>1172.0675080913318</c:v>
                </c:pt>
                <c:pt idx="198">
                  <c:v>1170.2580409157126</c:v>
                </c:pt>
                <c:pt idx="199">
                  <c:v>1168.4391979518441</c:v>
                </c:pt>
                <c:pt idx="200">
                  <c:v>1166.6109529426371</c:v>
                </c:pt>
                <c:pt idx="201">
                  <c:v>1164.7732795806353</c:v>
                </c:pt>
                <c:pt idx="202">
                  <c:v>1162.9261515083131</c:v>
                </c:pt>
                <c:pt idx="203">
                  <c:v>1161.0695423183881</c:v>
                </c:pt>
                <c:pt idx="204">
                  <c:v>1159.2034255541523</c:v>
                </c:pt>
                <c:pt idx="205">
                  <c:v>1157.3277747098202</c:v>
                </c:pt>
                <c:pt idx="206">
                  <c:v>1155.4425632308962</c:v>
                </c:pt>
                <c:pt idx="207">
                  <c:v>1153.5477645145629</c:v>
                </c:pt>
                <c:pt idx="208">
                  <c:v>1151.6433519100892</c:v>
                </c:pt>
                <c:pt idx="209">
                  <c:v>1149.7292987192586</c:v>
                </c:pt>
                <c:pt idx="210">
                  <c:v>1147.8055781968244</c:v>
                </c:pt>
                <c:pt idx="211">
                  <c:v>1145.8721635509837</c:v>
                </c:pt>
                <c:pt idx="212">
                  <c:v>1143.9290279438812</c:v>
                </c:pt>
                <c:pt idx="213">
                  <c:v>1141.9761444921344</c:v>
                </c:pt>
                <c:pt idx="214">
                  <c:v>1140.0134862673922</c:v>
                </c:pt>
                <c:pt idx="215">
                  <c:v>1138.0410262969162</c:v>
                </c:pt>
                <c:pt idx="216">
                  <c:v>1136.0587375641971</c:v>
                </c:pt>
                <c:pt idx="217">
                  <c:v>1134.0665930096011</c:v>
                </c:pt>
                <c:pt idx="218">
                  <c:v>1132.0645655310486</c:v>
                </c:pt>
                <c:pt idx="219">
                  <c:v>1130.052627984732</c:v>
                </c:pt>
                <c:pt idx="220">
                  <c:v>1128.0307531858648</c:v>
                </c:pt>
                <c:pt idx="221">
                  <c:v>1125.9989139094755</c:v>
                </c:pt>
                <c:pt idx="222">
                  <c:v>1123.9570828912392</c:v>
                </c:pt>
                <c:pt idx="223">
                  <c:v>1121.9052328283515</c:v>
                </c:pt>
                <c:pt idx="224">
                  <c:v>1119.8433363804513</c:v>
                </c:pt>
                <c:pt idx="225">
                  <c:v>1117.7713661705889</c:v>
                </c:pt>
                <c:pt idx="226">
                  <c:v>1115.6892947862445</c:v>
                </c:pt>
                <c:pt idx="227">
                  <c:v>1113.5970947804014</c:v>
                </c:pt>
                <c:pt idx="228">
                  <c:v>1111.4947386726749</c:v>
                </c:pt>
                <c:pt idx="229">
                  <c:v>1109.3821989504979</c:v>
                </c:pt>
                <c:pt idx="230">
                  <c:v>1107.2594480703735</c:v>
                </c:pt>
                <c:pt idx="231">
                  <c:v>1105.1264584591902</c:v>
                </c:pt>
                <c:pt idx="232">
                  <c:v>1102.9832025156081</c:v>
                </c:pt>
                <c:pt idx="233">
                  <c:v>1100.8296526115194</c:v>
                </c:pt>
                <c:pt idx="234">
                  <c:v>1098.6657810935844</c:v>
                </c:pt>
                <c:pt idx="235">
                  <c:v>1096.4915602848546</c:v>
                </c:pt>
                <c:pt idx="236">
                  <c:v>1094.3069624864786</c:v>
                </c:pt>
                <c:pt idx="237">
                  <c:v>1092.1119599795038</c:v>
                </c:pt>
                <c:pt idx="238">
                  <c:v>1089.906525026774</c:v>
                </c:pt>
                <c:pt idx="239">
                  <c:v>1087.6906298749338</c:v>
                </c:pt>
                <c:pt idx="240">
                  <c:v>1085.4642467565404</c:v>
                </c:pt>
                <c:pt idx="241">
                  <c:v>1083.2273478922948</c:v>
                </c:pt>
                <c:pt idx="242">
                  <c:v>1080.979905493396</c:v>
                </c:pt>
                <c:pt idx="243">
                  <c:v>1078.72189176403</c:v>
                </c:pt>
                <c:pt idx="244">
                  <c:v>1076.4532789039961</c:v>
                </c:pt>
                <c:pt idx="245">
                  <c:v>1074.1740391114859</c:v>
                </c:pt>
                <c:pt idx="246">
                  <c:v>1071.8841445860198</c:v>
                </c:pt>
                <c:pt idx="247">
                  <c:v>1069.5835675315545</c:v>
                </c:pt>
                <c:pt idx="248">
                  <c:v>1067.2722801597715</c:v>
                </c:pt>
                <c:pt idx="249">
                  <c:v>1064.9502546935573</c:v>
                </c:pt>
                <c:pt idx="250">
                  <c:v>1062.6174633706912</c:v>
                </c:pt>
                <c:pt idx="251">
                  <c:v>1060.2738784477533</c:v>
                </c:pt>
                <c:pt idx="252">
                  <c:v>1057.9194722042671</c:v>
                </c:pt>
                <c:pt idx="253">
                  <c:v>1055.5542169470939</c:v>
                </c:pt>
                <c:pt idx="254">
                  <c:v>1053.1780850150969</c:v>
                </c:pt>
                <c:pt idx="255">
                  <c:v>1050.7910487840936</c:v>
                </c:pt>
                <c:pt idx="256">
                  <c:v>1048.3930806721187</c:v>
                </c:pt>
                <c:pt idx="257">
                  <c:v>1045.984153145017</c:v>
                </c:pt>
                <c:pt idx="258">
                  <c:v>1043.5642387223943</c:v>
                </c:pt>
                <c:pt idx="259">
                  <c:v>1041.133309983951</c:v>
                </c:pt>
                <c:pt idx="260">
                  <c:v>1038.6913395762267</c:v>
                </c:pt>
                <c:pt idx="261">
                  <c:v>1036.2383002197894</c:v>
                </c:pt>
                <c:pt idx="262">
                  <c:v>1033.7741647169</c:v>
                </c:pt>
                <c:pt idx="263">
                  <c:v>1031.2989059596966</c:v>
                </c:pt>
                <c:pt idx="264">
                  <c:v>1028.812496938928</c:v>
                </c:pt>
                <c:pt idx="265">
                  <c:v>1026.3149107532927</c:v>
                </c:pt>
                <c:pt idx="266">
                  <c:v>1023.8061206194263</c:v>
                </c:pt>
                <c:pt idx="267">
                  <c:v>1021.2860998825893</c:v>
                </c:pt>
                <c:pt idx="268">
                  <c:v>1018.7548220281192</c:v>
                </c:pt>
                <c:pt idx="269">
                  <c:v>1016.2122606937078</c:v>
                </c:pt>
                <c:pt idx="270">
                  <c:v>1013.6583896825739</c:v>
                </c:pt>
                <c:pt idx="271">
                  <c:v>1011.0931829776139</c:v>
                </c:pt>
                <c:pt idx="272">
                  <c:v>1008.5166147566101</c:v>
                </c:pt>
                <c:pt idx="273">
                  <c:v>1005.9286594085982</c:v>
                </c:pt>
                <c:pt idx="274">
                  <c:v>1003.329291551493</c:v>
                </c:pt>
                <c:pt idx="275">
                  <c:v>1000.718486051094</c:v>
                </c:pt>
                <c:pt idx="276">
                  <c:v>998.0962180415961</c:v>
                </c:pt>
                <c:pt idx="277">
                  <c:v>995.46246294774915</c:v>
                </c:pt>
                <c:pt idx="278">
                  <c:v>992.81719650882792</c:v>
                </c:pt>
                <c:pt idx="279">
                  <c:v>990.1603948045863</c:v>
                </c:pt>
                <c:pt idx="280">
                  <c:v>987.49203428339843</c:v>
                </c:pt>
                <c:pt idx="281">
                  <c:v>984.81209179280097</c:v>
                </c:pt>
                <c:pt idx="282">
                  <c:v>982.12054461269236</c:v>
                </c:pt>
                <c:pt idx="283">
                  <c:v>979.41737049145991</c:v>
                </c:pt>
                <c:pt idx="284">
                  <c:v>976.70254768535187</c:v>
                </c:pt>
                <c:pt idx="285">
                  <c:v>973.97605500144311</c:v>
                </c:pt>
                <c:pt idx="286">
                  <c:v>971.23787184459286</c:v>
                </c:pt>
                <c:pt idx="287">
                  <c:v>968.48797826884152</c:v>
                </c:pt>
                <c:pt idx="288">
                  <c:v>965.7263550337575</c:v>
                </c:pt>
                <c:pt idx="289">
                  <c:v>962.95298366630709</c:v>
                </c:pt>
                <c:pt idx="290">
                  <c:v>960.16784652890885</c:v>
                </c:pt>
                <c:pt idx="291">
                  <c:v>957.37092689441931</c:v>
                </c:pt>
                <c:pt idx="292">
                  <c:v>954.56220902890982</c:v>
                </c:pt>
                <c:pt idx="293">
                  <c:v>951.74167828321504</c:v>
                </c:pt>
                <c:pt idx="294">
                  <c:v>948.90932119438821</c:v>
                </c:pt>
                <c:pt idx="295">
                  <c:v>946.06512559836335</c:v>
                </c:pt>
                <c:pt idx="296">
                  <c:v>943.20908075533725</c:v>
                </c:pt>
                <c:pt idx="297">
                  <c:v>940.34117748961842</c:v>
                </c:pt>
                <c:pt idx="298">
                  <c:v>937.46140834598157</c:v>
                </c:pt>
                <c:pt idx="299">
                  <c:v>934.56976776490615</c:v>
                </c:pt>
                <c:pt idx="300">
                  <c:v>931.66625227948578</c:v>
                </c:pt>
                <c:pt idx="301">
                  <c:v>928.75086073728789</c:v>
                </c:pt>
                <c:pt idx="302">
                  <c:v>925.82359455103233</c:v>
                </c:pt>
                <c:pt idx="303">
                  <c:v>922.88445798267617</c:v>
                </c:pt>
                <c:pt idx="304">
                  <c:v>919.93345846636555</c:v>
                </c:pt>
                <c:pt idx="305">
                  <c:v>916.97060697677898</c:v>
                </c:pt>
                <c:pt idx="306">
                  <c:v>913.99591845070495</c:v>
                </c:pt>
                <c:pt idx="307">
                  <c:v>911.00941227131398</c:v>
                </c:pt>
                <c:pt idx="308">
                  <c:v>908.01111282660258</c:v>
                </c:pt>
                <c:pt idx="309">
                  <c:v>905.00105015601684</c:v>
                </c:pt>
                <c:pt idx="310">
                  <c:v>901.97926070243068</c:v>
                </c:pt>
                <c:pt idx="311">
                  <c:v>898.94578819068738</c:v>
                </c:pt>
                <c:pt idx="312">
                  <c:v>895.90068465905699</c:v>
                </c:pt>
                <c:pt idx="313">
                  <c:v>892.84401167657245</c:v>
                </c:pt>
                <c:pt idx="314">
                  <c:v>889.7758417877958</c:v>
                </c:pt>
                <c:pt idx="315">
                  <c:v>886.69626023779824</c:v>
                </c:pt>
                <c:pt idx="316">
                  <c:v>883.60536704497656</c:v>
                </c:pt>
                <c:pt idx="317">
                  <c:v>880.50327950912629</c:v>
                </c:pt>
                <c:pt idx="318">
                  <c:v>877.39013526890506</c:v>
                </c:pt>
                <c:pt idx="319">
                  <c:v>874.26609605926274</c:v>
                </c:pt>
                <c:pt idx="320">
                  <c:v>871.13135236978542</c:v>
                </c:pt>
                <c:pt idx="321">
                  <c:v>867.98612927547276</c:v>
                </c:pt>
                <c:pt idx="322">
                  <c:v>864.83069381183179</c:v>
                </c:pt>
                <c:pt idx="323">
                  <c:v>861.66536441124504</c:v>
                </c:pt>
                <c:pt idx="324">
                  <c:v>858.49052313108507</c:v>
                </c:pt>
                <c:pt idx="325">
                  <c:v>855.30663172456218</c:v>
                </c:pt>
                <c:pt idx="326">
                  <c:v>852.11425309711717</c:v>
                </c:pt>
                <c:pt idx="327">
                  <c:v>848.91408046464426</c:v>
                </c:pt>
                <c:pt idx="328">
                  <c:v>845.70697778023623</c:v>
                </c:pt>
                <c:pt idx="329">
                  <c:v>842.49403708176567</c:v>
                </c:pt>
                <c:pt idx="330">
                  <c:v>839.27666201785871</c:v>
                </c:pt>
                <c:pt idx="331">
                  <c:v>836.0566933042835</c:v>
                </c:pt>
                <c:pt idx="332">
                  <c:v>832.83660413973007</c:v>
                </c:pt>
                <c:pt idx="333">
                  <c:v>829.61981818318736</c:v>
                </c:pt>
                <c:pt idx="334">
                  <c:v>826.41125539382858</c:v>
                </c:pt>
                <c:pt idx="335">
                  <c:v>823.21833409634678</c:v>
                </c:pt>
                <c:pt idx="336">
                  <c:v>820.05297785450432</c:v>
                </c:pt>
                <c:pt idx="337">
                  <c:v>816.93613718055383</c:v>
                </c:pt>
                <c:pt idx="338">
                  <c:v>813.90986432890077</c:v>
                </c:pt>
                <c:pt idx="339">
                  <c:v>811.07963540036587</c:v>
                </c:pt>
                <c:pt idx="340">
                  <c:v>808.86865455127281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4E-D348-B7B2-CA9CD20EF1FD}"/>
            </c:ext>
          </c:extLst>
        </c:ser>
        <c:ser>
          <c:idx val="1"/>
          <c:order val="1"/>
          <c:tx>
            <c:strRef>
              <c:f>'SAC @amigodopairico'!$O$6</c:f>
              <c:strCache>
                <c:ptCount val="1"/>
                <c:pt idx="0">
                  <c:v>Parcela Original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73"/>
              <c:layout>
                <c:manualLayout>
                  <c:x val="-3.6174836424444988E-2"/>
                  <c:y val="7.02729800944867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D4E-D348-B7B2-CA9CD20EF1FD}"/>
                </c:ext>
              </c:extLst>
            </c:dLbl>
            <c:dLbl>
              <c:idx val="3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D4E-D348-B7B2-CA9CD20EF1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'SAC @amigodopairico'!$O$7:$O$426</c:f>
              <c:numCache>
                <c:formatCode>#,##0.00</c:formatCode>
                <c:ptCount val="420"/>
                <c:pt idx="0">
                  <c:v>1376.2307895038523</c:v>
                </c:pt>
                <c:pt idx="1">
                  <c:v>1373.5758957617895</c:v>
                </c:pt>
                <c:pt idx="2">
                  <c:v>1370.9210020197268</c:v>
                </c:pt>
                <c:pt idx="3">
                  <c:v>1368.2661082776638</c:v>
                </c:pt>
                <c:pt idx="4">
                  <c:v>1365.611214535601</c:v>
                </c:pt>
                <c:pt idx="5">
                  <c:v>1362.9563207935382</c:v>
                </c:pt>
                <c:pt idx="6">
                  <c:v>1360.3014270514755</c:v>
                </c:pt>
                <c:pt idx="7">
                  <c:v>1357.6465333094127</c:v>
                </c:pt>
                <c:pt idx="8">
                  <c:v>1354.9916395673497</c:v>
                </c:pt>
                <c:pt idx="9">
                  <c:v>1352.3367458252869</c:v>
                </c:pt>
                <c:pt idx="10">
                  <c:v>1349.6818520832242</c:v>
                </c:pt>
                <c:pt idx="11">
                  <c:v>1347.0269583411614</c:v>
                </c:pt>
                <c:pt idx="12">
                  <c:v>1344.3720645990984</c:v>
                </c:pt>
                <c:pt idx="13">
                  <c:v>1341.7171708570356</c:v>
                </c:pt>
                <c:pt idx="14">
                  <c:v>1339.0622771149729</c:v>
                </c:pt>
                <c:pt idx="15">
                  <c:v>1336.4073833729099</c:v>
                </c:pt>
                <c:pt idx="16">
                  <c:v>1333.7524896308471</c:v>
                </c:pt>
                <c:pt idx="17">
                  <c:v>1331.0975958887843</c:v>
                </c:pt>
                <c:pt idx="18">
                  <c:v>1328.4427021467213</c:v>
                </c:pt>
                <c:pt idx="19">
                  <c:v>1325.7878084046588</c:v>
                </c:pt>
                <c:pt idx="20">
                  <c:v>1323.1329146625958</c:v>
                </c:pt>
                <c:pt idx="21">
                  <c:v>1320.478020920533</c:v>
                </c:pt>
                <c:pt idx="22">
                  <c:v>1317.8231271784703</c:v>
                </c:pt>
                <c:pt idx="23">
                  <c:v>1315.1682334364073</c:v>
                </c:pt>
                <c:pt idx="24">
                  <c:v>1312.5133396943445</c:v>
                </c:pt>
                <c:pt idx="25">
                  <c:v>1309.8584459522817</c:v>
                </c:pt>
                <c:pt idx="26">
                  <c:v>1307.2035522102187</c:v>
                </c:pt>
                <c:pt idx="27">
                  <c:v>1304.548658468156</c:v>
                </c:pt>
                <c:pt idx="28">
                  <c:v>1301.8937647260932</c:v>
                </c:pt>
                <c:pt idx="29">
                  <c:v>1299.2388709840304</c:v>
                </c:pt>
                <c:pt idx="30">
                  <c:v>1296.5839772419677</c:v>
                </c:pt>
                <c:pt idx="31">
                  <c:v>1293.9290834999047</c:v>
                </c:pt>
                <c:pt idx="32">
                  <c:v>1291.2741897578419</c:v>
                </c:pt>
                <c:pt idx="33">
                  <c:v>1288.6192960157791</c:v>
                </c:pt>
                <c:pt idx="34">
                  <c:v>1285.9644022737161</c:v>
                </c:pt>
                <c:pt idx="35">
                  <c:v>1283.3095085316534</c:v>
                </c:pt>
                <c:pt idx="36">
                  <c:v>1280.6546147895906</c:v>
                </c:pt>
                <c:pt idx="37">
                  <c:v>1277.9997210475276</c:v>
                </c:pt>
                <c:pt idx="38">
                  <c:v>1275.3448273054651</c:v>
                </c:pt>
                <c:pt idx="39">
                  <c:v>1272.6899335634021</c:v>
                </c:pt>
                <c:pt idx="40">
                  <c:v>1270.0350398213393</c:v>
                </c:pt>
                <c:pt idx="41">
                  <c:v>1267.3801460792765</c:v>
                </c:pt>
                <c:pt idx="42">
                  <c:v>1264.7252523372135</c:v>
                </c:pt>
                <c:pt idx="43">
                  <c:v>1262.0703585951508</c:v>
                </c:pt>
                <c:pt idx="44">
                  <c:v>1259.415464853088</c:v>
                </c:pt>
                <c:pt idx="45">
                  <c:v>1256.7605711110252</c:v>
                </c:pt>
                <c:pt idx="46">
                  <c:v>1254.1056773689622</c:v>
                </c:pt>
                <c:pt idx="47">
                  <c:v>1251.4507836268995</c:v>
                </c:pt>
                <c:pt idx="48">
                  <c:v>1248.7958898848367</c:v>
                </c:pt>
                <c:pt idx="49">
                  <c:v>1246.1409961427739</c:v>
                </c:pt>
                <c:pt idx="50">
                  <c:v>1243.4861024007112</c:v>
                </c:pt>
                <c:pt idx="51">
                  <c:v>1240.8312086586482</c:v>
                </c:pt>
                <c:pt idx="52">
                  <c:v>1238.1763149165854</c:v>
                </c:pt>
                <c:pt idx="53">
                  <c:v>1235.5214211745226</c:v>
                </c:pt>
                <c:pt idx="54">
                  <c:v>1232.8665274324599</c:v>
                </c:pt>
                <c:pt idx="55">
                  <c:v>1230.2116336903969</c:v>
                </c:pt>
                <c:pt idx="56">
                  <c:v>1227.5567399483341</c:v>
                </c:pt>
                <c:pt idx="57">
                  <c:v>1224.9018462062713</c:v>
                </c:pt>
                <c:pt idx="58">
                  <c:v>1222.2469524642083</c:v>
                </c:pt>
                <c:pt idx="59">
                  <c:v>1219.5920587221458</c:v>
                </c:pt>
                <c:pt idx="60">
                  <c:v>1216.9371649800828</c:v>
                </c:pt>
                <c:pt idx="61">
                  <c:v>1214.28227123802</c:v>
                </c:pt>
                <c:pt idx="62">
                  <c:v>1211.6273774959573</c:v>
                </c:pt>
                <c:pt idx="63">
                  <c:v>1208.9724837538943</c:v>
                </c:pt>
                <c:pt idx="64">
                  <c:v>1206.3175900118315</c:v>
                </c:pt>
                <c:pt idx="65">
                  <c:v>1203.6626962697687</c:v>
                </c:pt>
                <c:pt idx="66">
                  <c:v>1201.007802527706</c:v>
                </c:pt>
                <c:pt idx="67">
                  <c:v>1198.3529087856432</c:v>
                </c:pt>
                <c:pt idx="68">
                  <c:v>1195.6980150435802</c:v>
                </c:pt>
                <c:pt idx="69">
                  <c:v>1193.0431213015174</c:v>
                </c:pt>
                <c:pt idx="70">
                  <c:v>1190.3882275594547</c:v>
                </c:pt>
                <c:pt idx="71">
                  <c:v>1187.7333338173917</c:v>
                </c:pt>
                <c:pt idx="72">
                  <c:v>1185.0784400753291</c:v>
                </c:pt>
                <c:pt idx="73">
                  <c:v>1182.4235463332661</c:v>
                </c:pt>
                <c:pt idx="74">
                  <c:v>1179.7686525912034</c:v>
                </c:pt>
                <c:pt idx="75">
                  <c:v>1177.1137588491406</c:v>
                </c:pt>
                <c:pt idx="76">
                  <c:v>1174.4588651070776</c:v>
                </c:pt>
                <c:pt idx="77">
                  <c:v>1171.8039713650148</c:v>
                </c:pt>
                <c:pt idx="78">
                  <c:v>1169.1490776229521</c:v>
                </c:pt>
                <c:pt idx="79">
                  <c:v>1166.4941838808893</c:v>
                </c:pt>
                <c:pt idx="80">
                  <c:v>1163.8392901388265</c:v>
                </c:pt>
                <c:pt idx="81">
                  <c:v>1161.1843963967635</c:v>
                </c:pt>
                <c:pt idx="82">
                  <c:v>1158.5295026547008</c:v>
                </c:pt>
                <c:pt idx="83">
                  <c:v>1155.874608912638</c:v>
                </c:pt>
                <c:pt idx="84">
                  <c:v>1153.2197151705752</c:v>
                </c:pt>
                <c:pt idx="85">
                  <c:v>1150.5648214285125</c:v>
                </c:pt>
                <c:pt idx="86">
                  <c:v>1147.9099276864495</c:v>
                </c:pt>
                <c:pt idx="87">
                  <c:v>1145.2550339443867</c:v>
                </c:pt>
                <c:pt idx="88">
                  <c:v>1142.6001402023239</c:v>
                </c:pt>
                <c:pt idx="89">
                  <c:v>1139.9452464602609</c:v>
                </c:pt>
                <c:pt idx="90">
                  <c:v>1137.2903527181984</c:v>
                </c:pt>
                <c:pt idx="91">
                  <c:v>1134.6354589761354</c:v>
                </c:pt>
                <c:pt idx="92">
                  <c:v>1131.9805652340724</c:v>
                </c:pt>
                <c:pt idx="93">
                  <c:v>1129.3256714920094</c:v>
                </c:pt>
                <c:pt idx="94">
                  <c:v>1126.6707777499466</c:v>
                </c:pt>
                <c:pt idx="95">
                  <c:v>1124.0158840078839</c:v>
                </c:pt>
                <c:pt idx="96">
                  <c:v>1121.3609902658206</c:v>
                </c:pt>
                <c:pt idx="97">
                  <c:v>1118.7060965237579</c:v>
                </c:pt>
                <c:pt idx="98">
                  <c:v>1116.0512027816951</c:v>
                </c:pt>
                <c:pt idx="99">
                  <c:v>1113.3963090396321</c:v>
                </c:pt>
                <c:pt idx="100">
                  <c:v>1110.7414152975691</c:v>
                </c:pt>
                <c:pt idx="101">
                  <c:v>1108.0865215555064</c:v>
                </c:pt>
                <c:pt idx="102">
                  <c:v>1105.4316278134436</c:v>
                </c:pt>
                <c:pt idx="103">
                  <c:v>1102.7767340713806</c:v>
                </c:pt>
                <c:pt idx="104">
                  <c:v>1100.1218403293176</c:v>
                </c:pt>
                <c:pt idx="105">
                  <c:v>1097.4669465872548</c:v>
                </c:pt>
                <c:pt idx="106">
                  <c:v>1094.8120528451921</c:v>
                </c:pt>
                <c:pt idx="107">
                  <c:v>1092.1571591031291</c:v>
                </c:pt>
                <c:pt idx="108">
                  <c:v>1089.5022653610661</c:v>
                </c:pt>
                <c:pt idx="109">
                  <c:v>1086.8473716190033</c:v>
                </c:pt>
                <c:pt idx="110">
                  <c:v>1084.1924778769405</c:v>
                </c:pt>
                <c:pt idx="111">
                  <c:v>1081.5375841348773</c:v>
                </c:pt>
                <c:pt idx="112">
                  <c:v>1078.8826903928145</c:v>
                </c:pt>
                <c:pt idx="113">
                  <c:v>1076.2277966507518</c:v>
                </c:pt>
                <c:pt idx="114">
                  <c:v>1073.572902908689</c:v>
                </c:pt>
                <c:pt idx="115">
                  <c:v>1070.9180091666258</c:v>
                </c:pt>
                <c:pt idx="116">
                  <c:v>1068.263115424563</c:v>
                </c:pt>
                <c:pt idx="117">
                  <c:v>1065.6082216825002</c:v>
                </c:pt>
                <c:pt idx="118">
                  <c:v>1062.9533279404372</c:v>
                </c:pt>
                <c:pt idx="119">
                  <c:v>1060.2984341983743</c:v>
                </c:pt>
                <c:pt idx="120">
                  <c:v>1057.6435404563113</c:v>
                </c:pt>
                <c:pt idx="121">
                  <c:v>1054.9886467142487</c:v>
                </c:pt>
                <c:pt idx="122">
                  <c:v>1052.3337529721857</c:v>
                </c:pt>
                <c:pt idx="123">
                  <c:v>1049.6788592301227</c:v>
                </c:pt>
                <c:pt idx="124">
                  <c:v>1047.0239654880597</c:v>
                </c:pt>
                <c:pt idx="125">
                  <c:v>1044.369071745997</c:v>
                </c:pt>
                <c:pt idx="126">
                  <c:v>1041.7141780039342</c:v>
                </c:pt>
                <c:pt idx="127">
                  <c:v>1039.0592842618712</c:v>
                </c:pt>
                <c:pt idx="128">
                  <c:v>1036.4043905198082</c:v>
                </c:pt>
                <c:pt idx="129">
                  <c:v>1033.7494967777454</c:v>
                </c:pt>
                <c:pt idx="130">
                  <c:v>1031.0946030356827</c:v>
                </c:pt>
                <c:pt idx="131">
                  <c:v>1028.4397092936197</c:v>
                </c:pt>
                <c:pt idx="132">
                  <c:v>1025.7848155515567</c:v>
                </c:pt>
                <c:pt idx="133">
                  <c:v>1023.1299218094939</c:v>
                </c:pt>
                <c:pt idx="134">
                  <c:v>1020.4750280674311</c:v>
                </c:pt>
                <c:pt idx="135">
                  <c:v>1017.820134325368</c:v>
                </c:pt>
                <c:pt idx="136">
                  <c:v>1015.1652405833051</c:v>
                </c:pt>
                <c:pt idx="137">
                  <c:v>1012.5103468412423</c:v>
                </c:pt>
                <c:pt idx="138">
                  <c:v>1009.8554530991796</c:v>
                </c:pt>
                <c:pt idx="139">
                  <c:v>1007.2005593571165</c:v>
                </c:pt>
                <c:pt idx="140">
                  <c:v>1004.5456656150536</c:v>
                </c:pt>
                <c:pt idx="141">
                  <c:v>1001.8907718729907</c:v>
                </c:pt>
                <c:pt idx="142">
                  <c:v>999.23587813092786</c:v>
                </c:pt>
                <c:pt idx="143">
                  <c:v>996.58098438886498</c:v>
                </c:pt>
                <c:pt idx="144">
                  <c:v>993.92609064680187</c:v>
                </c:pt>
                <c:pt idx="145">
                  <c:v>991.27119690473921</c:v>
                </c:pt>
                <c:pt idx="146">
                  <c:v>988.61630316267633</c:v>
                </c:pt>
                <c:pt idx="147">
                  <c:v>985.96140942061334</c:v>
                </c:pt>
                <c:pt idx="148">
                  <c:v>983.30651567855034</c:v>
                </c:pt>
                <c:pt idx="149">
                  <c:v>980.65162193648757</c:v>
                </c:pt>
                <c:pt idx="150">
                  <c:v>977.9967281944248</c:v>
                </c:pt>
                <c:pt idx="151">
                  <c:v>975.34183445236181</c:v>
                </c:pt>
                <c:pt idx="152">
                  <c:v>972.68694071029881</c:v>
                </c:pt>
                <c:pt idx="153">
                  <c:v>970.03204696823605</c:v>
                </c:pt>
                <c:pt idx="154">
                  <c:v>967.37715322617328</c:v>
                </c:pt>
                <c:pt idx="155">
                  <c:v>964.72225948411028</c:v>
                </c:pt>
                <c:pt idx="156">
                  <c:v>962.06736574204729</c:v>
                </c:pt>
                <c:pt idx="157">
                  <c:v>959.41247199998452</c:v>
                </c:pt>
                <c:pt idx="158">
                  <c:v>956.75757825792175</c:v>
                </c:pt>
                <c:pt idx="159">
                  <c:v>954.10268451585875</c:v>
                </c:pt>
                <c:pt idx="160">
                  <c:v>951.44779077379576</c:v>
                </c:pt>
                <c:pt idx="161">
                  <c:v>948.79289703173288</c:v>
                </c:pt>
                <c:pt idx="162">
                  <c:v>946.13800328967011</c:v>
                </c:pt>
                <c:pt idx="163">
                  <c:v>943.48310954760711</c:v>
                </c:pt>
                <c:pt idx="164">
                  <c:v>940.82821580554412</c:v>
                </c:pt>
                <c:pt idx="165">
                  <c:v>938.17332206348135</c:v>
                </c:pt>
                <c:pt idx="166">
                  <c:v>935.51842832141847</c:v>
                </c:pt>
                <c:pt idx="167">
                  <c:v>932.86353457935547</c:v>
                </c:pt>
                <c:pt idx="168">
                  <c:v>930.20864083729248</c:v>
                </c:pt>
                <c:pt idx="169">
                  <c:v>927.55374709522971</c:v>
                </c:pt>
                <c:pt idx="170">
                  <c:v>924.89885335316694</c:v>
                </c:pt>
                <c:pt idx="171">
                  <c:v>922.24395961110395</c:v>
                </c:pt>
                <c:pt idx="172">
                  <c:v>919.58906586904095</c:v>
                </c:pt>
                <c:pt idx="173">
                  <c:v>916.93417212697818</c:v>
                </c:pt>
                <c:pt idx="174">
                  <c:v>914.27927838491541</c:v>
                </c:pt>
                <c:pt idx="175">
                  <c:v>911.62438464285242</c:v>
                </c:pt>
                <c:pt idx="176">
                  <c:v>908.96949090078942</c:v>
                </c:pt>
                <c:pt idx="177">
                  <c:v>906.31459715872666</c:v>
                </c:pt>
                <c:pt idx="178">
                  <c:v>903.65970341666389</c:v>
                </c:pt>
                <c:pt idx="179">
                  <c:v>901.00480967460089</c:v>
                </c:pt>
                <c:pt idx="180">
                  <c:v>898.3499159325379</c:v>
                </c:pt>
                <c:pt idx="181">
                  <c:v>895.69502219047513</c:v>
                </c:pt>
                <c:pt idx="182">
                  <c:v>893.04012844841236</c:v>
                </c:pt>
                <c:pt idx="183">
                  <c:v>890.38523470634937</c:v>
                </c:pt>
                <c:pt idx="184">
                  <c:v>887.73034096428637</c:v>
                </c:pt>
                <c:pt idx="185">
                  <c:v>885.07544722222349</c:v>
                </c:pt>
                <c:pt idx="186">
                  <c:v>882.42055348016061</c:v>
                </c:pt>
                <c:pt idx="187">
                  <c:v>879.76565973809772</c:v>
                </c:pt>
                <c:pt idx="188">
                  <c:v>877.11076599603484</c:v>
                </c:pt>
                <c:pt idx="189">
                  <c:v>874.45587225397196</c:v>
                </c:pt>
                <c:pt idx="190">
                  <c:v>871.80097851190908</c:v>
                </c:pt>
                <c:pt idx="191">
                  <c:v>869.14608476984608</c:v>
                </c:pt>
                <c:pt idx="192">
                  <c:v>866.49119102778332</c:v>
                </c:pt>
                <c:pt idx="193">
                  <c:v>863.83629728572032</c:v>
                </c:pt>
                <c:pt idx="194">
                  <c:v>861.18140354365755</c:v>
                </c:pt>
                <c:pt idx="195">
                  <c:v>858.52650980159456</c:v>
                </c:pt>
                <c:pt idx="196">
                  <c:v>855.87161605953179</c:v>
                </c:pt>
                <c:pt idx="197">
                  <c:v>853.21672231746879</c:v>
                </c:pt>
                <c:pt idx="198">
                  <c:v>850.56182857540591</c:v>
                </c:pt>
                <c:pt idx="199">
                  <c:v>847.90693483334303</c:v>
                </c:pt>
                <c:pt idx="200">
                  <c:v>845.25204109128015</c:v>
                </c:pt>
                <c:pt idx="201">
                  <c:v>842.59714734921727</c:v>
                </c:pt>
                <c:pt idx="202">
                  <c:v>839.94225360715427</c:v>
                </c:pt>
                <c:pt idx="203">
                  <c:v>837.2873598650915</c:v>
                </c:pt>
                <c:pt idx="204">
                  <c:v>834.63246612302851</c:v>
                </c:pt>
                <c:pt idx="205">
                  <c:v>831.97757238096574</c:v>
                </c:pt>
                <c:pt idx="206">
                  <c:v>829.32267863890274</c:v>
                </c:pt>
                <c:pt idx="207">
                  <c:v>826.66778489683998</c:v>
                </c:pt>
                <c:pt idx="208">
                  <c:v>824.01289115477698</c:v>
                </c:pt>
                <c:pt idx="209">
                  <c:v>821.3579974127141</c:v>
                </c:pt>
                <c:pt idx="210">
                  <c:v>818.70310367065122</c:v>
                </c:pt>
                <c:pt idx="211">
                  <c:v>816.04820992858834</c:v>
                </c:pt>
                <c:pt idx="212">
                  <c:v>813.39331618652545</c:v>
                </c:pt>
                <c:pt idx="213">
                  <c:v>810.73842244446257</c:v>
                </c:pt>
                <c:pt idx="214">
                  <c:v>808.08352870239969</c:v>
                </c:pt>
                <c:pt idx="215">
                  <c:v>805.42863496033669</c:v>
                </c:pt>
                <c:pt idx="216">
                  <c:v>802.77374121827393</c:v>
                </c:pt>
                <c:pt idx="217">
                  <c:v>800.11884747621093</c:v>
                </c:pt>
                <c:pt idx="218">
                  <c:v>797.46395373414816</c:v>
                </c:pt>
                <c:pt idx="219">
                  <c:v>794.80905999208517</c:v>
                </c:pt>
                <c:pt idx="220">
                  <c:v>792.15416625002229</c:v>
                </c:pt>
                <c:pt idx="221">
                  <c:v>789.4992725079594</c:v>
                </c:pt>
                <c:pt idx="222">
                  <c:v>786.84437876589652</c:v>
                </c:pt>
                <c:pt idx="223">
                  <c:v>784.18948502383364</c:v>
                </c:pt>
                <c:pt idx="224">
                  <c:v>781.53459128177076</c:v>
                </c:pt>
                <c:pt idx="225">
                  <c:v>778.87969753970788</c:v>
                </c:pt>
                <c:pt idx="226">
                  <c:v>776.22480379764488</c:v>
                </c:pt>
                <c:pt idx="227">
                  <c:v>773.56991005558211</c:v>
                </c:pt>
                <c:pt idx="228">
                  <c:v>770.91501631351912</c:v>
                </c:pt>
                <c:pt idx="229">
                  <c:v>768.26012257145635</c:v>
                </c:pt>
                <c:pt idx="230">
                  <c:v>765.60522882939335</c:v>
                </c:pt>
                <c:pt idx="231">
                  <c:v>762.95033508733059</c:v>
                </c:pt>
                <c:pt idx="232">
                  <c:v>760.29544134526759</c:v>
                </c:pt>
                <c:pt idx="233">
                  <c:v>757.64054760320471</c:v>
                </c:pt>
                <c:pt idx="234">
                  <c:v>754.98565386114183</c:v>
                </c:pt>
                <c:pt idx="235">
                  <c:v>752.33076011907895</c:v>
                </c:pt>
                <c:pt idx="236">
                  <c:v>749.67586637701606</c:v>
                </c:pt>
                <c:pt idx="237">
                  <c:v>747.02097263495318</c:v>
                </c:pt>
                <c:pt idx="238">
                  <c:v>744.3660788928903</c:v>
                </c:pt>
                <c:pt idx="239">
                  <c:v>741.7111851508273</c:v>
                </c:pt>
                <c:pt idx="240">
                  <c:v>739.05629140876454</c:v>
                </c:pt>
                <c:pt idx="241">
                  <c:v>736.40139766670154</c:v>
                </c:pt>
                <c:pt idx="242">
                  <c:v>733.74650392463877</c:v>
                </c:pt>
                <c:pt idx="243">
                  <c:v>731.09161018257578</c:v>
                </c:pt>
                <c:pt idx="244">
                  <c:v>728.4367164405129</c:v>
                </c:pt>
                <c:pt idx="245">
                  <c:v>725.78182269845001</c:v>
                </c:pt>
                <c:pt idx="246">
                  <c:v>723.12692895638713</c:v>
                </c:pt>
                <c:pt idx="247">
                  <c:v>720.47203521432425</c:v>
                </c:pt>
                <c:pt idx="248">
                  <c:v>717.81714147226137</c:v>
                </c:pt>
                <c:pt idx="249">
                  <c:v>715.16224773019849</c:v>
                </c:pt>
                <c:pt idx="250">
                  <c:v>712.50735398813561</c:v>
                </c:pt>
                <c:pt idx="251">
                  <c:v>709.85246024607272</c:v>
                </c:pt>
                <c:pt idx="252">
                  <c:v>707.19756650400973</c:v>
                </c:pt>
                <c:pt idx="253">
                  <c:v>704.54267276194696</c:v>
                </c:pt>
                <c:pt idx="254">
                  <c:v>701.88777901988396</c:v>
                </c:pt>
                <c:pt idx="255">
                  <c:v>699.23288527782108</c:v>
                </c:pt>
                <c:pt idx="256">
                  <c:v>696.5779915357582</c:v>
                </c:pt>
                <c:pt idx="257">
                  <c:v>693.92309779369532</c:v>
                </c:pt>
                <c:pt idx="258">
                  <c:v>691.26820405163244</c:v>
                </c:pt>
                <c:pt idx="259">
                  <c:v>688.61331030956956</c:v>
                </c:pt>
                <c:pt idx="260">
                  <c:v>685.95841656750667</c:v>
                </c:pt>
                <c:pt idx="261">
                  <c:v>683.30352282544379</c:v>
                </c:pt>
                <c:pt idx="262">
                  <c:v>680.64862908338091</c:v>
                </c:pt>
                <c:pt idx="263">
                  <c:v>677.99373534131792</c:v>
                </c:pt>
                <c:pt idx="264">
                  <c:v>675.33884159925515</c:v>
                </c:pt>
                <c:pt idx="265">
                  <c:v>672.68394785719215</c:v>
                </c:pt>
                <c:pt idx="266">
                  <c:v>670.02905411512927</c:v>
                </c:pt>
                <c:pt idx="267">
                  <c:v>667.37416037306639</c:v>
                </c:pt>
                <c:pt idx="268">
                  <c:v>664.71926663100351</c:v>
                </c:pt>
                <c:pt idx="269">
                  <c:v>662.06437288894062</c:v>
                </c:pt>
                <c:pt idx="270">
                  <c:v>659.40947914687774</c:v>
                </c:pt>
                <c:pt idx="271">
                  <c:v>656.75458540481486</c:v>
                </c:pt>
                <c:pt idx="272">
                  <c:v>654.09969166275198</c:v>
                </c:pt>
                <c:pt idx="273">
                  <c:v>651.4447979206891</c:v>
                </c:pt>
                <c:pt idx="274">
                  <c:v>648.78990417862622</c:v>
                </c:pt>
                <c:pt idx="275">
                  <c:v>646.13501043656333</c:v>
                </c:pt>
                <c:pt idx="276">
                  <c:v>643.48011669450034</c:v>
                </c:pt>
                <c:pt idx="277">
                  <c:v>640.82522295243757</c:v>
                </c:pt>
                <c:pt idx="278">
                  <c:v>638.17032921037458</c:v>
                </c:pt>
                <c:pt idx="279">
                  <c:v>635.51543546831169</c:v>
                </c:pt>
                <c:pt idx="280">
                  <c:v>632.86054172624881</c:v>
                </c:pt>
                <c:pt idx="281">
                  <c:v>630.20564798418593</c:v>
                </c:pt>
                <c:pt idx="282">
                  <c:v>627.55075424212305</c:v>
                </c:pt>
                <c:pt idx="283">
                  <c:v>624.89586050006017</c:v>
                </c:pt>
                <c:pt idx="284">
                  <c:v>622.24096675799728</c:v>
                </c:pt>
                <c:pt idx="285">
                  <c:v>619.5860730159344</c:v>
                </c:pt>
                <c:pt idx="286">
                  <c:v>616.93117927387152</c:v>
                </c:pt>
                <c:pt idx="287">
                  <c:v>614.27628553180853</c:v>
                </c:pt>
                <c:pt idx="288">
                  <c:v>611.62139178974576</c:v>
                </c:pt>
                <c:pt idx="289">
                  <c:v>608.96649804768276</c:v>
                </c:pt>
                <c:pt idx="290">
                  <c:v>606.31160430561988</c:v>
                </c:pt>
                <c:pt idx="291">
                  <c:v>603.656710563557</c:v>
                </c:pt>
                <c:pt idx="292">
                  <c:v>601.00181682149412</c:v>
                </c:pt>
                <c:pt idx="293">
                  <c:v>598.34692307943124</c:v>
                </c:pt>
                <c:pt idx="294">
                  <c:v>595.69202933736835</c:v>
                </c:pt>
                <c:pt idx="295">
                  <c:v>593.03713559530547</c:v>
                </c:pt>
                <c:pt idx="296">
                  <c:v>590.38224185324259</c:v>
                </c:pt>
                <c:pt idx="297">
                  <c:v>587.72734811117971</c:v>
                </c:pt>
                <c:pt idx="298">
                  <c:v>585.07245436911683</c:v>
                </c:pt>
                <c:pt idx="299">
                  <c:v>582.41756062705394</c:v>
                </c:pt>
                <c:pt idx="300">
                  <c:v>579.76266688499095</c:v>
                </c:pt>
                <c:pt idx="301">
                  <c:v>577.10777314292807</c:v>
                </c:pt>
                <c:pt idx="302">
                  <c:v>574.45287940086519</c:v>
                </c:pt>
                <c:pt idx="303">
                  <c:v>571.7979856588023</c:v>
                </c:pt>
                <c:pt idx="304">
                  <c:v>569.14309191673942</c:v>
                </c:pt>
                <c:pt idx="305">
                  <c:v>566.48819817467654</c:v>
                </c:pt>
                <c:pt idx="306">
                  <c:v>563.83330443261366</c:v>
                </c:pt>
                <c:pt idx="307">
                  <c:v>561.17841069055078</c:v>
                </c:pt>
                <c:pt idx="308">
                  <c:v>558.5235169484879</c:v>
                </c:pt>
                <c:pt idx="309">
                  <c:v>555.86862320642501</c:v>
                </c:pt>
                <c:pt idx="310">
                  <c:v>553.21372946436213</c:v>
                </c:pt>
                <c:pt idx="311">
                  <c:v>550.55883572229914</c:v>
                </c:pt>
                <c:pt idx="312">
                  <c:v>547.90394198023637</c:v>
                </c:pt>
                <c:pt idx="313">
                  <c:v>545.24904823817337</c:v>
                </c:pt>
                <c:pt idx="314">
                  <c:v>542.59415449611049</c:v>
                </c:pt>
                <c:pt idx="315">
                  <c:v>539.93926075404761</c:v>
                </c:pt>
                <c:pt idx="316">
                  <c:v>537.28436701198473</c:v>
                </c:pt>
                <c:pt idx="317">
                  <c:v>534.62947326992185</c:v>
                </c:pt>
                <c:pt idx="318">
                  <c:v>531.97457952785896</c:v>
                </c:pt>
                <c:pt idx="319">
                  <c:v>529.31968578579608</c:v>
                </c:pt>
                <c:pt idx="320">
                  <c:v>526.6647920437332</c:v>
                </c:pt>
                <c:pt idx="321">
                  <c:v>524.00989830167032</c:v>
                </c:pt>
                <c:pt idx="322">
                  <c:v>521.35500455960732</c:v>
                </c:pt>
                <c:pt idx="323">
                  <c:v>518.70011081754456</c:v>
                </c:pt>
                <c:pt idx="324">
                  <c:v>516.04521707548156</c:v>
                </c:pt>
                <c:pt idx="325">
                  <c:v>513.39032333341879</c:v>
                </c:pt>
                <c:pt idx="326">
                  <c:v>510.7354295913558</c:v>
                </c:pt>
                <c:pt idx="327">
                  <c:v>508.08053584929291</c:v>
                </c:pt>
                <c:pt idx="328">
                  <c:v>505.42564210723003</c:v>
                </c:pt>
                <c:pt idx="329">
                  <c:v>502.77074836516715</c:v>
                </c:pt>
                <c:pt idx="330">
                  <c:v>500.11585462310427</c:v>
                </c:pt>
                <c:pt idx="331">
                  <c:v>497.46096088104139</c:v>
                </c:pt>
                <c:pt idx="332">
                  <c:v>494.80606713897851</c:v>
                </c:pt>
                <c:pt idx="333">
                  <c:v>492.15117339691557</c:v>
                </c:pt>
                <c:pt idx="334">
                  <c:v>489.49627965485269</c:v>
                </c:pt>
                <c:pt idx="335">
                  <c:v>486.8413859127898</c:v>
                </c:pt>
                <c:pt idx="336">
                  <c:v>484.18649217072692</c:v>
                </c:pt>
                <c:pt idx="337">
                  <c:v>481.53159842866404</c:v>
                </c:pt>
                <c:pt idx="338">
                  <c:v>478.8767046866011</c:v>
                </c:pt>
                <c:pt idx="339">
                  <c:v>476.22181094453822</c:v>
                </c:pt>
                <c:pt idx="340">
                  <c:v>473.56691720247534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4E-D348-B7B2-CA9CD20EF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4301008"/>
        <c:axId val="804302736"/>
      </c:lineChart>
      <c:catAx>
        <c:axId val="80430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4302736"/>
        <c:crosses val="autoZero"/>
        <c:auto val="1"/>
        <c:lblAlgn val="ctr"/>
        <c:lblOffset val="100"/>
        <c:noMultiLvlLbl val="0"/>
      </c:catAx>
      <c:valAx>
        <c:axId val="80430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430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15" fmlaLink="$E$17" horiz="1" max="420" page="10" val="34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12</xdr:row>
          <xdr:rowOff>12700</xdr:rowOff>
        </xdr:from>
        <xdr:to>
          <xdr:col>4</xdr:col>
          <xdr:colOff>2908300</xdr:colOff>
          <xdr:row>13</xdr:row>
          <xdr:rowOff>101600</xdr:rowOff>
        </xdr:to>
        <xdr:sp macro="" textlink="">
          <xdr:nvSpPr>
            <xdr:cNvPr id="1028" name="Scroll Bar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651934</xdr:colOff>
      <xdr:row>1</xdr:row>
      <xdr:rowOff>38101</xdr:rowOff>
    </xdr:from>
    <xdr:to>
      <xdr:col>11</xdr:col>
      <xdr:colOff>1854199</xdr:colOff>
      <xdr:row>13</xdr:row>
      <xdr:rowOff>101602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DB00F3D-8DB2-A349-00E0-16A819E7B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177800</xdr:colOff>
      <xdr:row>22</xdr:row>
      <xdr:rowOff>186266</xdr:rowOff>
    </xdr:from>
    <xdr:to>
      <xdr:col>4</xdr:col>
      <xdr:colOff>1845733</xdr:colOff>
      <xdr:row>44</xdr:row>
      <xdr:rowOff>33868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6967CBB-FCBF-3140-ADAC-16515C34F2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1981200</xdr:colOff>
      <xdr:row>22</xdr:row>
      <xdr:rowOff>186266</xdr:rowOff>
    </xdr:from>
    <xdr:to>
      <xdr:col>7</xdr:col>
      <xdr:colOff>668867</xdr:colOff>
      <xdr:row>32</xdr:row>
      <xdr:rowOff>194734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98D6623-FB08-4941-AFCA-F246EA48DE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1981201</xdr:colOff>
      <xdr:row>33</xdr:row>
      <xdr:rowOff>59266</xdr:rowOff>
    </xdr:from>
    <xdr:to>
      <xdr:col>7</xdr:col>
      <xdr:colOff>643467</xdr:colOff>
      <xdr:row>44</xdr:row>
      <xdr:rowOff>39416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71A0278-ED38-6341-9755-23762DE817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736598</xdr:colOff>
      <xdr:row>23</xdr:row>
      <xdr:rowOff>50802</xdr:rowOff>
    </xdr:from>
    <xdr:to>
      <xdr:col>8</xdr:col>
      <xdr:colOff>448731</xdr:colOff>
      <xdr:row>28</xdr:row>
      <xdr:rowOff>110068</xdr:rowOff>
    </xdr:to>
    <xdr:sp macro="" textlink="">
      <xdr:nvSpPr>
        <xdr:cNvPr id="2" name="Seta para a Direita 1">
          <a:extLst>
            <a:ext uri="{FF2B5EF4-FFF2-40B4-BE49-F238E27FC236}">
              <a16:creationId xmlns:a16="http://schemas.microsoft.com/office/drawing/2014/main" id="{E38B4BE4-59E0-FDDD-465A-DC9ADDCD3E9C}"/>
            </a:ext>
          </a:extLst>
        </xdr:cNvPr>
        <xdr:cNvSpPr/>
      </xdr:nvSpPr>
      <xdr:spPr>
        <a:xfrm rot="10800000">
          <a:off x="11726331" y="6417735"/>
          <a:ext cx="1278467" cy="1126066"/>
        </a:xfrm>
        <a:prstGeom prst="rightArrow">
          <a:avLst/>
        </a:prstGeom>
        <a:solidFill>
          <a:srgbClr val="FFC0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164353</xdr:colOff>
      <xdr:row>6</xdr:row>
      <xdr:rowOff>112060</xdr:rowOff>
    </xdr:from>
    <xdr:to>
      <xdr:col>19</xdr:col>
      <xdr:colOff>657411</xdr:colOff>
      <xdr:row>20</xdr:row>
      <xdr:rowOff>31377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C4F63B3-A56B-704F-B7AE-3135255C0C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155222</xdr:colOff>
      <xdr:row>21</xdr:row>
      <xdr:rowOff>28223</xdr:rowOff>
    </xdr:from>
    <xdr:to>
      <xdr:col>19</xdr:col>
      <xdr:colOff>663222</xdr:colOff>
      <xdr:row>34</xdr:row>
      <xdr:rowOff>111479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7BB7B22-919E-1B44-9422-94D2E64EB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488909</xdr:colOff>
      <xdr:row>6</xdr:row>
      <xdr:rowOff>112060</xdr:rowOff>
    </xdr:from>
    <xdr:to>
      <xdr:col>21</xdr:col>
      <xdr:colOff>156467</xdr:colOff>
      <xdr:row>20</xdr:row>
      <xdr:rowOff>31377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4C725B-E227-7A45-BC07-BBBB8677A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474488</xdr:colOff>
      <xdr:row>21</xdr:row>
      <xdr:rowOff>145524</xdr:rowOff>
    </xdr:from>
    <xdr:to>
      <xdr:col>21</xdr:col>
      <xdr:colOff>156988</xdr:colOff>
      <xdr:row>35</xdr:row>
      <xdr:rowOff>24169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A9C9A3D-6A22-6A21-085C-75252A8D5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be.com/amigodopairico" TargetMode="External"/><Relationship Id="rId2" Type="http://schemas.openxmlformats.org/officeDocument/2006/relationships/hyperlink" Target="https://www.instagram.com/amigodopairico/" TargetMode="External"/><Relationship Id="rId1" Type="http://schemas.openxmlformats.org/officeDocument/2006/relationships/hyperlink" Target="https://amigodopairico.com.br/daplanilharaiox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www.instagram.com/amigodopairico/" TargetMode="External"/><Relationship Id="rId4" Type="http://schemas.openxmlformats.org/officeDocument/2006/relationships/hyperlink" Target="https://amigodopairico.com.br/daplanilharaio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migodopairico.com.br/daplanilharaiox" TargetMode="External"/><Relationship Id="rId2" Type="http://schemas.openxmlformats.org/officeDocument/2006/relationships/hyperlink" Target="https://youtube.com/amigodopairico" TargetMode="External"/><Relationship Id="rId1" Type="http://schemas.openxmlformats.org/officeDocument/2006/relationships/hyperlink" Target="https://www.instagram.com/amigodopairico/" TargetMode="External"/><Relationship Id="rId6" Type="http://schemas.openxmlformats.org/officeDocument/2006/relationships/drawing" Target="../drawings/drawing3.xml"/><Relationship Id="rId5" Type="http://schemas.openxmlformats.org/officeDocument/2006/relationships/hyperlink" Target="https://www.instagram.com/amigodopairico/" TargetMode="External"/><Relationship Id="rId4" Type="http://schemas.openxmlformats.org/officeDocument/2006/relationships/hyperlink" Target="https://amigodopairico.com.br/daplanilharaio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E75D5-CA4C-244B-8436-75D194CC43A7}">
  <sheetPr codeName="Planilha1">
    <tabColor rgb="FFFFC000"/>
  </sheetPr>
  <dimension ref="B1:T52"/>
  <sheetViews>
    <sheetView showGridLines="0" tabSelected="1" zoomScale="150" zoomScaleNormal="150" workbookViewId="0">
      <selection activeCell="D6" sqref="D6"/>
    </sheetView>
  </sheetViews>
  <sheetFormatPr baseColWidth="10" defaultColWidth="10.83203125" defaultRowHeight="16" x14ac:dyDescent="0.2"/>
  <cols>
    <col min="1" max="1" width="1.5" style="50" customWidth="1"/>
    <col min="2" max="2" width="4" style="50" customWidth="1"/>
    <col min="3" max="3" width="38.6640625" style="50" customWidth="1"/>
    <col min="4" max="4" width="11.33203125" style="50" customWidth="1"/>
    <col min="5" max="5" width="38.6640625" style="50" customWidth="1"/>
    <col min="6" max="6" width="11.33203125" style="50" customWidth="1"/>
    <col min="7" max="7" width="38.6640625" style="50" customWidth="1"/>
    <col min="8" max="8" width="14" style="50" customWidth="1"/>
    <col min="9" max="11" width="10.83203125" style="50"/>
    <col min="12" max="12" width="38" style="50" customWidth="1"/>
    <col min="13" max="13" width="37.6640625" style="50" bestFit="1" customWidth="1"/>
    <col min="14" max="15" width="13.83203125" style="50" customWidth="1"/>
    <col min="16" max="16384" width="10.83203125" style="50"/>
  </cols>
  <sheetData>
    <row r="1" spans="3:15" ht="12" customHeight="1" x14ac:dyDescent="0.2"/>
    <row r="2" spans="3:15" ht="26" x14ac:dyDescent="0.3">
      <c r="C2" s="98" t="s">
        <v>63</v>
      </c>
      <c r="D2" s="98"/>
      <c r="E2" s="98"/>
      <c r="F2" s="98"/>
      <c r="G2" s="98"/>
    </row>
    <row r="3" spans="3:15" ht="7" customHeight="1" x14ac:dyDescent="0.2"/>
    <row r="4" spans="3:15" x14ac:dyDescent="0.2">
      <c r="J4" s="76"/>
      <c r="K4" s="76"/>
      <c r="L4" s="76"/>
      <c r="M4" s="76"/>
    </row>
    <row r="5" spans="3:15" ht="26" x14ac:dyDescent="0.3">
      <c r="C5" s="70" t="s">
        <v>67</v>
      </c>
      <c r="D5" s="87" t="s">
        <v>17</v>
      </c>
      <c r="E5" s="70" t="s">
        <v>39</v>
      </c>
      <c r="G5" s="70" t="s">
        <v>41</v>
      </c>
      <c r="J5" s="76"/>
      <c r="K5" s="76"/>
      <c r="L5" s="76"/>
      <c r="M5" s="77" t="str">
        <f>IF(C17&lt;1,"",IF(C14/C17&gt;90%,"🛩",IF(C14/C17&gt;70%,"🏎",IF(C14/C17&gt;50%,"🚙",IF(C14/C17&gt;30%,"🛵",IF(C14/C17&gt;15%,"🐢","⚓️"))))))</f>
        <v>🛵</v>
      </c>
      <c r="N5" s="51" t="s">
        <v>13</v>
      </c>
      <c r="O5" s="52" t="s">
        <v>17</v>
      </c>
    </row>
    <row r="6" spans="3:15" ht="26" x14ac:dyDescent="0.3">
      <c r="C6" s="94" t="s">
        <v>40</v>
      </c>
      <c r="D6" s="48">
        <f>IF(D5="PRICE",N18,O18)</f>
        <v>0.1077214114896452</v>
      </c>
      <c r="E6" s="80" t="s">
        <v>40</v>
      </c>
      <c r="G6" s="79" t="s">
        <v>40</v>
      </c>
      <c r="J6" s="76"/>
      <c r="K6" s="76"/>
      <c r="L6" s="76"/>
      <c r="M6" s="76" t="s">
        <v>46</v>
      </c>
      <c r="N6" s="53">
        <f>SUM('PRICE @amigodopairico'!G7:G42)</f>
        <v>39890.345007816941</v>
      </c>
      <c r="O6" s="54">
        <f>SUM('SAC @amigodopairico'!G7:G42)</f>
        <v>49249.895748358693</v>
      </c>
    </row>
    <row r="7" spans="3:15" ht="47" x14ac:dyDescent="0.55000000000000004">
      <c r="C7" s="95">
        <f>IF(D5="PRICE",N8,O8)</f>
        <v>16486.771776099027</v>
      </c>
      <c r="D7" s="81" t="s">
        <v>60</v>
      </c>
      <c r="E7" s="89">
        <f>IF(D5="PRICE",N6,O6)</f>
        <v>49249.895748358693</v>
      </c>
      <c r="G7" s="90">
        <f>IF(D5="PRICE",N10,O10)</f>
        <v>400751.8984909993</v>
      </c>
      <c r="J7" s="76"/>
      <c r="K7" s="76"/>
      <c r="L7" s="76"/>
      <c r="M7" s="76" t="s">
        <v>64</v>
      </c>
      <c r="N7" s="53">
        <f>'PRICE @amigodopairico'!F3-'PRICE @amigodopairico'!I42</f>
        <v>-3947.5022536826727</v>
      </c>
      <c r="O7" s="54">
        <f>'SAC @amigodopairico'!F3-'SAC @amigodopairico'!I42</f>
        <v>6948.3684851550497</v>
      </c>
    </row>
    <row r="8" spans="3:15" x14ac:dyDescent="0.2">
      <c r="C8" s="96"/>
      <c r="E8" s="34"/>
      <c r="G8" s="78"/>
      <c r="J8" s="76"/>
      <c r="K8" s="76"/>
      <c r="L8" s="76"/>
      <c r="M8" s="76" t="s">
        <v>65</v>
      </c>
      <c r="N8" s="53">
        <f>SUM('PRICE @amigodopairico'!G7:G18)</f>
        <v>13039.867848368487</v>
      </c>
      <c r="O8" s="54">
        <f>SUM('SAC @amigodopairico'!G7:G18)</f>
        <v>16486.771776099027</v>
      </c>
    </row>
    <row r="9" spans="3:15" ht="26" x14ac:dyDescent="0.3">
      <c r="C9" s="94" t="str">
        <f>"SUA DÍVIDA "&amp; IF(IF(D5="PRICE",N9,O9)&lt;0,"AUMENTA","CAI")</f>
        <v>SUA DÍVIDA CAI</v>
      </c>
      <c r="E9" s="80" t="str">
        <f>"SUA DÍVIDA "&amp; IF(IF(D5="PRICE",N7,O7)&lt;0,"AUMENTA","CAI")</f>
        <v>SUA DÍVIDA CAI</v>
      </c>
      <c r="G9" s="86" t="s">
        <v>42</v>
      </c>
      <c r="J9" s="76"/>
      <c r="K9" s="76"/>
      <c r="L9" s="76"/>
      <c r="M9" s="76" t="s">
        <v>66</v>
      </c>
      <c r="N9" s="53">
        <f>'PRICE @amigodopairico'!F3-'PRICE @amigodopairico'!I18</f>
        <v>-1442.2269788806734</v>
      </c>
      <c r="O9" s="54">
        <f>'SAC @amigodopairico'!F3-'SAC @amigodopairico'!I18</f>
        <v>2164.757132384897</v>
      </c>
    </row>
    <row r="10" spans="3:15" ht="47" x14ac:dyDescent="0.55000000000000004">
      <c r="C10" s="97" t="str">
        <f>TEXT(IF(D5="PRICE",N9,O9),"#.##0"&amp;" "&amp;M5)</f>
        <v>2.165 🛵</v>
      </c>
      <c r="E10" s="33" t="str">
        <f>TEXT(IF(D5="PRICE",N7,O7),"#.##0"&amp;" "&amp;M5)</f>
        <v>6.948 🛵</v>
      </c>
      <c r="G10" s="91">
        <f>G7-C20</f>
        <v>258925.8984909993</v>
      </c>
      <c r="J10" s="76"/>
      <c r="K10" s="76"/>
      <c r="L10" s="76"/>
      <c r="M10" s="76" t="s">
        <v>47</v>
      </c>
      <c r="N10" s="53">
        <f>'PRICE @amigodopairico'!F4</f>
        <v>491017.83801466122</v>
      </c>
      <c r="O10" s="54">
        <f>'SAC @amigodopairico'!F4</f>
        <v>400751.8984909993</v>
      </c>
    </row>
    <row r="11" spans="3:15" x14ac:dyDescent="0.2">
      <c r="C11" s="57">
        <f>IF(D5="PRICE",N9,O9)/C7</f>
        <v>0.13130266869607296</v>
      </c>
      <c r="E11" s="57">
        <f>IF(D5="PRICE",N7,O7)/E7</f>
        <v>0.14108392270833611</v>
      </c>
      <c r="G11" s="58" t="str">
        <f>"Paga "&amp;TEXT((G10/C20),"0,0")&amp;" mais"</f>
        <v>Paga 1,8 mais</v>
      </c>
      <c r="J11" s="76"/>
      <c r="K11" s="76"/>
      <c r="L11" s="76"/>
      <c r="M11" s="76" t="s">
        <v>48</v>
      </c>
      <c r="N11" s="53">
        <f>N10-C20</f>
        <v>349191.83801466122</v>
      </c>
      <c r="O11" s="54">
        <f>O10-C20</f>
        <v>258925.8984909993</v>
      </c>
    </row>
    <row r="12" spans="3:15" ht="21" x14ac:dyDescent="0.25">
      <c r="C12" s="71" t="s">
        <v>45</v>
      </c>
      <c r="E12" s="73"/>
      <c r="J12" s="76"/>
      <c r="K12" s="76"/>
      <c r="L12" s="76"/>
      <c r="M12" s="76" t="s">
        <v>49</v>
      </c>
      <c r="N12" s="55">
        <f>'PRICE @amigodopairico'!A7</f>
        <v>8.2224733554871557E-4</v>
      </c>
      <c r="O12" s="56">
        <f>'SAC @amigodopairico'!A7</f>
        <v>2.9361703002263495E-3</v>
      </c>
    </row>
    <row r="13" spans="3:15" ht="24" x14ac:dyDescent="0.3">
      <c r="C13" s="59">
        <f>IF(D5="PRICE",N12,O12)</f>
        <v>2.9361703002263495E-3</v>
      </c>
      <c r="G13" s="75" t="s">
        <v>20</v>
      </c>
      <c r="J13" s="76"/>
      <c r="K13" s="76"/>
      <c r="L13" s="76"/>
      <c r="M13" s="76" t="s">
        <v>54</v>
      </c>
      <c r="N13" s="55">
        <f>'PRICE @amigodopairico'!A66</f>
        <v>1.2721234780199871E-3</v>
      </c>
      <c r="O13" s="56">
        <f>'SAC @amigodopairico'!A66</f>
        <v>3.5526578499172584E-3</v>
      </c>
    </row>
    <row r="14" spans="3:15" x14ac:dyDescent="0.2">
      <c r="C14" s="60">
        <f>IF(D5="PRICE",N14,O14)</f>
        <v>415.91202346041058</v>
      </c>
      <c r="E14" s="61"/>
      <c r="J14" s="76"/>
      <c r="K14" s="76"/>
      <c r="L14" s="76"/>
      <c r="M14" s="76" t="s">
        <v>50</v>
      </c>
      <c r="N14" s="53">
        <f>'PRICE @amigodopairico'!F7</f>
        <v>116.71832656454433</v>
      </c>
      <c r="O14" s="54">
        <f>'SAC @amigodopairico'!F7</f>
        <v>415.91202346041058</v>
      </c>
    </row>
    <row r="15" spans="3:15" x14ac:dyDescent="0.2">
      <c r="C15" s="57">
        <f>C14/C17</f>
        <v>0.30221095664510739</v>
      </c>
      <c r="J15" s="76"/>
      <c r="K15" s="76"/>
      <c r="L15" s="76"/>
      <c r="M15" s="76" t="s">
        <v>44</v>
      </c>
      <c r="N15" s="53">
        <f>'PRICE @amigodopairico'!G7</f>
        <v>1077.0370926079861</v>
      </c>
      <c r="O15" s="54">
        <f>'SAC @amigodopairico'!G7</f>
        <v>1376.2307895038523</v>
      </c>
    </row>
    <row r="16" spans="3:15" ht="24" x14ac:dyDescent="0.3">
      <c r="C16" s="72" t="s">
        <v>44</v>
      </c>
      <c r="E16" s="72" t="s">
        <v>31</v>
      </c>
      <c r="G16" s="72" t="s">
        <v>36</v>
      </c>
      <c r="H16" s="73"/>
      <c r="M16" s="76" t="s">
        <v>52</v>
      </c>
      <c r="N16" s="53">
        <f>'PRICE @amigodopairico'!G66</f>
        <v>1184.8844981143641</v>
      </c>
      <c r="O16" s="54">
        <f>'SAC @amigodopairico'!G66</f>
        <v>1342.765612704402</v>
      </c>
    </row>
    <row r="17" spans="2:20" ht="24" x14ac:dyDescent="0.3">
      <c r="C17" s="92">
        <f>IF(D5="PRICE",N15,O15)</f>
        <v>1376.2307895038523</v>
      </c>
      <c r="E17" s="32">
        <v>341</v>
      </c>
      <c r="G17" s="31">
        <v>1.6999999999999999E-3</v>
      </c>
      <c r="H17" s="74"/>
      <c r="M17" s="76" t="s">
        <v>53</v>
      </c>
      <c r="N17" s="53">
        <f>'PRICE @amigodopairico'!G126</f>
        <v>1306.313779727132</v>
      </c>
      <c r="O17" s="54">
        <f>'SAC @amigodopairico'!G126</f>
        <v>1286.3885439191306</v>
      </c>
    </row>
    <row r="18" spans="2:20" x14ac:dyDescent="0.2">
      <c r="C18" s="82"/>
      <c r="E18" s="73"/>
      <c r="G18" s="73"/>
      <c r="H18" s="64"/>
      <c r="N18" s="63">
        <f>'PRICE @amigodopairico'!W3</f>
        <v>0.10663481651285633</v>
      </c>
      <c r="O18" s="63">
        <f>'SAC @amigodopairico'!X3</f>
        <v>0.1077214114896452</v>
      </c>
    </row>
    <row r="19" spans="2:20" ht="24" x14ac:dyDescent="0.3">
      <c r="B19" s="73"/>
      <c r="C19" s="72" t="s">
        <v>30</v>
      </c>
      <c r="D19" s="73"/>
      <c r="E19" s="72" t="s">
        <v>32</v>
      </c>
      <c r="F19" s="73"/>
      <c r="G19" s="72" t="s">
        <v>43</v>
      </c>
      <c r="M19" s="76" t="str">
        <f>IF(C13&lt;G17,"🚨CUIDADO: ESTE É UM FINANCIAMENTO EM QUE SALDO DEVEDOR AUMENTA. FAÇA SUA PARCELA PAGAR PELO MENOS 0,20% DA DÍVIDA","")</f>
        <v/>
      </c>
    </row>
    <row r="20" spans="2:20" ht="24" x14ac:dyDescent="0.3">
      <c r="B20" s="73"/>
      <c r="C20" s="93">
        <v>141826</v>
      </c>
      <c r="D20" s="66">
        <f>(1+2%)^12-1</f>
        <v>0.26824179456254527</v>
      </c>
      <c r="E20" s="31">
        <v>7.9347000000000001E-2</v>
      </c>
      <c r="F20" s="73"/>
      <c r="G20" s="93">
        <f>25+30</f>
        <v>55</v>
      </c>
    </row>
    <row r="21" spans="2:20" ht="18" x14ac:dyDescent="0.3">
      <c r="E21" s="66">
        <f>(1+E20)^(1/12)-1</f>
        <v>6.3833060654847618E-3</v>
      </c>
      <c r="F21" s="67"/>
      <c r="G21" s="65" t="s">
        <v>69</v>
      </c>
    </row>
    <row r="22" spans="2:20" ht="15" x14ac:dyDescent="0.2">
      <c r="F22" s="67"/>
    </row>
    <row r="23" spans="2:20" ht="15" x14ac:dyDescent="0.2">
      <c r="F23" s="67"/>
    </row>
    <row r="26" spans="2:20" ht="18" x14ac:dyDescent="0.3">
      <c r="F26" s="67"/>
    </row>
    <row r="28" spans="2:20" ht="18" x14ac:dyDescent="0.3">
      <c r="F28" s="67"/>
    </row>
    <row r="29" spans="2:20" ht="18" x14ac:dyDescent="0.3">
      <c r="F29" s="67"/>
    </row>
    <row r="30" spans="2:20" ht="18" x14ac:dyDescent="0.3">
      <c r="F30" s="67"/>
      <c r="M30" s="73"/>
      <c r="N30" s="73"/>
      <c r="O30" s="73"/>
      <c r="P30" s="73"/>
      <c r="Q30" s="73"/>
      <c r="R30" s="73"/>
      <c r="S30" s="73"/>
      <c r="T30" s="73"/>
    </row>
    <row r="31" spans="2:20" ht="18" x14ac:dyDescent="0.3">
      <c r="F31" s="67"/>
      <c r="M31" s="73"/>
      <c r="N31" s="73"/>
      <c r="O31" s="73"/>
      <c r="P31" s="73"/>
      <c r="Q31" s="73"/>
      <c r="R31" s="73"/>
      <c r="S31" s="73"/>
      <c r="T31" s="73"/>
    </row>
    <row r="32" spans="2:20" ht="26" x14ac:dyDescent="0.3">
      <c r="F32" s="67"/>
      <c r="M32" s="85"/>
      <c r="N32" s="73"/>
      <c r="O32" s="73"/>
      <c r="P32" s="73"/>
      <c r="Q32" s="73"/>
      <c r="R32" s="73"/>
      <c r="S32" s="73"/>
      <c r="T32" s="73"/>
    </row>
    <row r="33" spans="6:20" ht="26" x14ac:dyDescent="0.3">
      <c r="F33" s="67"/>
      <c r="M33" s="85"/>
      <c r="N33" s="73"/>
      <c r="O33" s="73"/>
      <c r="P33" s="73"/>
      <c r="Q33" s="73"/>
      <c r="R33" s="73"/>
      <c r="S33" s="73"/>
      <c r="T33" s="73"/>
    </row>
    <row r="34" spans="6:20" x14ac:dyDescent="0.2">
      <c r="M34" s="73"/>
      <c r="N34" s="73"/>
      <c r="O34" s="73"/>
      <c r="P34" s="73"/>
      <c r="Q34" s="73"/>
      <c r="R34" s="73"/>
      <c r="S34" s="73"/>
      <c r="T34" s="73"/>
    </row>
    <row r="35" spans="6:20" ht="18" x14ac:dyDescent="0.3">
      <c r="F35" s="67"/>
      <c r="M35" s="73"/>
      <c r="N35" s="73"/>
      <c r="O35" s="73"/>
      <c r="P35" s="73"/>
      <c r="Q35" s="73"/>
      <c r="R35" s="73"/>
      <c r="S35" s="73"/>
      <c r="T35" s="73"/>
    </row>
    <row r="36" spans="6:20" x14ac:dyDescent="0.2">
      <c r="F36" s="68"/>
      <c r="M36" s="73"/>
      <c r="N36" s="73"/>
      <c r="O36" s="73"/>
      <c r="P36" s="73"/>
      <c r="Q36" s="73"/>
      <c r="R36" s="73"/>
      <c r="S36" s="73"/>
      <c r="T36" s="73"/>
    </row>
    <row r="37" spans="6:20" x14ac:dyDescent="0.2">
      <c r="M37" s="73"/>
      <c r="N37" s="73"/>
      <c r="O37" s="73"/>
      <c r="P37" s="73"/>
      <c r="Q37" s="73"/>
      <c r="R37" s="73"/>
      <c r="S37" s="73"/>
      <c r="T37" s="73"/>
    </row>
    <row r="38" spans="6:20" x14ac:dyDescent="0.2">
      <c r="M38" s="73"/>
      <c r="N38" s="73"/>
      <c r="O38" s="73"/>
      <c r="P38" s="73"/>
      <c r="Q38" s="73"/>
      <c r="R38" s="73"/>
      <c r="S38" s="73"/>
      <c r="T38" s="73"/>
    </row>
    <row r="39" spans="6:20" x14ac:dyDescent="0.2">
      <c r="M39" s="73"/>
      <c r="N39" s="73"/>
      <c r="O39" s="73"/>
      <c r="P39" s="73"/>
      <c r="Q39" s="73"/>
      <c r="R39" s="73"/>
      <c r="S39" s="73"/>
      <c r="T39" s="73"/>
    </row>
    <row r="40" spans="6:20" x14ac:dyDescent="0.2">
      <c r="M40" s="73"/>
      <c r="N40" s="73"/>
      <c r="O40" s="73"/>
      <c r="P40" s="73"/>
      <c r="Q40" s="73"/>
      <c r="R40" s="73"/>
      <c r="S40" s="73"/>
      <c r="T40" s="73"/>
    </row>
    <row r="41" spans="6:20" x14ac:dyDescent="0.2">
      <c r="M41" s="73"/>
      <c r="N41" s="73"/>
      <c r="O41" s="73"/>
      <c r="P41" s="73"/>
      <c r="Q41" s="73"/>
      <c r="R41" s="73"/>
      <c r="S41" s="73"/>
      <c r="T41" s="73"/>
    </row>
    <row r="42" spans="6:20" x14ac:dyDescent="0.2">
      <c r="M42" s="73"/>
      <c r="N42" s="73"/>
      <c r="O42" s="73"/>
      <c r="P42" s="73"/>
      <c r="Q42" s="73"/>
      <c r="R42" s="73"/>
      <c r="S42" s="73"/>
      <c r="T42" s="73"/>
    </row>
    <row r="43" spans="6:20" x14ac:dyDescent="0.2">
      <c r="M43" s="73"/>
      <c r="N43" s="73"/>
      <c r="O43" s="73"/>
      <c r="P43" s="73"/>
      <c r="Q43" s="73"/>
      <c r="R43" s="73"/>
      <c r="S43" s="73"/>
      <c r="T43" s="73"/>
    </row>
    <row r="52" spans="3:4" x14ac:dyDescent="0.2">
      <c r="C52" s="62"/>
      <c r="D52" s="69"/>
    </row>
  </sheetData>
  <mergeCells count="1">
    <mergeCell ref="C2:G2"/>
  </mergeCells>
  <conditionalFormatting sqref="C10">
    <cfRule type="cellIs" dxfId="6" priority="3" operator="lessThan">
      <formula>0</formula>
    </cfRule>
  </conditionalFormatting>
  <conditionalFormatting sqref="C13">
    <cfRule type="cellIs" dxfId="5" priority="4" stopIfTrue="1" operator="greaterThan">
      <formula>0.004</formula>
    </cfRule>
    <cfRule type="cellIs" dxfId="4" priority="5" operator="between">
      <formula>0.002</formula>
      <formula>0.00399</formula>
    </cfRule>
    <cfRule type="cellIs" dxfId="3" priority="6" operator="lessThan">
      <formula>0.002</formula>
    </cfRule>
  </conditionalFormatting>
  <conditionalFormatting sqref="E10">
    <cfRule type="cellIs" dxfId="2" priority="7" operator="lessThan">
      <formula>0</formula>
    </cfRule>
  </conditionalFormatting>
  <conditionalFormatting sqref="E17">
    <cfRule type="expression" dxfId="1" priority="1">
      <formula>$C$13&lt;=$G$17</formula>
    </cfRule>
  </conditionalFormatting>
  <conditionalFormatting sqref="N14:O14">
    <cfRule type="containsText" dxfId="0" priority="9" operator="containsText" text="🚨">
      <formula>NOT(ISERROR(SEARCH("🚨",N14)))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3" name="Scroll Bar 4">
              <controlPr defaultSize="0" autoPict="0">
                <anchor moveWithCells="1">
                  <from>
                    <xdr:col>4</xdr:col>
                    <xdr:colOff>12700</xdr:colOff>
                    <xdr:row>12</xdr:row>
                    <xdr:rowOff>12700</xdr:rowOff>
                  </from>
                  <to>
                    <xdr:col>4</xdr:col>
                    <xdr:colOff>2908300</xdr:colOff>
                    <xdr:row>13</xdr:row>
                    <xdr:rowOff>101600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E174A4-D467-894E-83D0-66A74F2B2686}">
          <x14:formula1>
            <xm:f>'Data Tipo Finan'!$A$1:$A$3</xm:f>
          </x14:formula1>
          <xm:sqref>D5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43687-47C6-5746-9BE9-782DFE2C3C71}">
  <sheetPr codeName="Planilha2"/>
  <dimension ref="A1:X426"/>
  <sheetViews>
    <sheetView showGridLines="0" zoomScale="180" zoomScaleNormal="180" workbookViewId="0">
      <pane ySplit="6" topLeftCell="A7" activePane="bottomLeft" state="frozen"/>
      <selection pane="bottomLeft" activeCell="L8" sqref="L8"/>
    </sheetView>
  </sheetViews>
  <sheetFormatPr baseColWidth="10" defaultColWidth="10.83203125" defaultRowHeight="16" x14ac:dyDescent="0.2"/>
  <cols>
    <col min="1" max="1" width="10.83203125" customWidth="1"/>
    <col min="2" max="2" width="4.5" customWidth="1"/>
    <col min="3" max="3" width="10.6640625" customWidth="1"/>
    <col min="4" max="4" width="2.83203125" bestFit="1" customWidth="1"/>
    <col min="5" max="9" width="12.5" customWidth="1"/>
    <col min="10" max="10" width="9.1640625" bestFit="1" customWidth="1"/>
    <col min="12" max="12" width="10.33203125" customWidth="1"/>
    <col min="14" max="14" width="10.83203125" customWidth="1"/>
    <col min="15" max="15" width="10" customWidth="1"/>
    <col min="22" max="22" width="12.33203125" customWidth="1"/>
  </cols>
  <sheetData>
    <row r="1" spans="1:24" s="16" customFormat="1" x14ac:dyDescent="0.2">
      <c r="A1" s="88" t="s">
        <v>51</v>
      </c>
      <c r="G1" s="49" t="s">
        <v>68</v>
      </c>
      <c r="I1" s="88" t="s">
        <v>55</v>
      </c>
      <c r="L1" s="88" t="s">
        <v>20</v>
      </c>
    </row>
    <row r="2" spans="1:24" x14ac:dyDescent="0.2">
      <c r="E2" s="9">
        <f>SUM(E7:E426)</f>
        <v>260945.12234951861</v>
      </c>
      <c r="F2" s="9">
        <f>SUM(F7:F426)</f>
        <v>211317.7156651424</v>
      </c>
      <c r="G2" s="9">
        <f>SUM(G7:G426)</f>
        <v>491017.83801466122</v>
      </c>
      <c r="H2" s="9">
        <f>SUM(H7:H426)</f>
        <v>69494.820308368391</v>
      </c>
      <c r="I2" s="9"/>
      <c r="N2" s="9">
        <f>SUM(N7:N426)</f>
        <v>367269.64857932489</v>
      </c>
    </row>
    <row r="3" spans="1:24" ht="19" x14ac:dyDescent="0.25">
      <c r="A3" s="6" t="s">
        <v>13</v>
      </c>
      <c r="B3" s="6"/>
      <c r="E3" s="2" t="s">
        <v>0</v>
      </c>
      <c r="F3" s="19">
        <f>'RAIO X DO SEU FINANCIAMENTO'!C20</f>
        <v>141826</v>
      </c>
      <c r="G3" s="2" t="s">
        <v>1</v>
      </c>
      <c r="H3" s="20">
        <f>'RAIO X DO SEU FINANCIAMENTO'!E17</f>
        <v>341</v>
      </c>
      <c r="I3" s="2" t="s">
        <v>2</v>
      </c>
      <c r="J3" s="21">
        <f>'RAIO X DO SEU FINANCIAMENTO'!E20</f>
        <v>7.9347000000000001E-2</v>
      </c>
      <c r="K3" s="2" t="s">
        <v>7</v>
      </c>
      <c r="L3" s="19">
        <f>IF('RAIO X DO SEU FINANCIAMENTO'!G20&gt;25,25,0)</f>
        <v>25</v>
      </c>
      <c r="N3" s="17" t="s">
        <v>21</v>
      </c>
      <c r="V3" s="28" t="s">
        <v>61</v>
      </c>
      <c r="W3" s="47">
        <f>(1+W4)^12-1</f>
        <v>0.10663481651285633</v>
      </c>
    </row>
    <row r="4" spans="1:24" x14ac:dyDescent="0.2">
      <c r="E4" s="2" t="s">
        <v>16</v>
      </c>
      <c r="F4" s="11">
        <f>G2</f>
        <v>491017.83801466122</v>
      </c>
      <c r="I4" s="2" t="s">
        <v>3</v>
      </c>
      <c r="J4" s="3">
        <f>(1+J3)^(1/12)-1</f>
        <v>6.3833060654847618E-3</v>
      </c>
      <c r="K4" s="2" t="s">
        <v>6</v>
      </c>
      <c r="L4" s="19">
        <f>'RAIO X DO SEU FINANCIAMENTO'!G20-L3</f>
        <v>30</v>
      </c>
      <c r="N4" s="17" t="s">
        <v>22</v>
      </c>
      <c r="V4" s="28" t="s">
        <v>62</v>
      </c>
      <c r="W4" s="3">
        <f>IRR(W6:W426)</f>
        <v>8.4793908946270147E-3</v>
      </c>
    </row>
    <row r="6" spans="1:24" x14ac:dyDescent="0.2">
      <c r="A6" s="5" t="s">
        <v>14</v>
      </c>
      <c r="B6" s="5"/>
      <c r="C6" s="5" t="s">
        <v>10</v>
      </c>
      <c r="D6" s="10" t="s">
        <v>15</v>
      </c>
      <c r="E6" s="5" t="s">
        <v>8</v>
      </c>
      <c r="F6" s="5" t="s">
        <v>9</v>
      </c>
      <c r="G6" s="5" t="s">
        <v>5</v>
      </c>
      <c r="H6" s="5" t="s">
        <v>12</v>
      </c>
      <c r="I6" s="5" t="s">
        <v>11</v>
      </c>
      <c r="J6" s="5"/>
      <c r="K6" s="5" t="s">
        <v>23</v>
      </c>
      <c r="L6" s="5" t="s">
        <v>4</v>
      </c>
      <c r="N6" s="14" t="s">
        <v>18</v>
      </c>
      <c r="W6" s="1">
        <f>F3</f>
        <v>141826</v>
      </c>
      <c r="X6" t="s">
        <v>58</v>
      </c>
    </row>
    <row r="7" spans="1:24" x14ac:dyDescent="0.2">
      <c r="A7" s="7">
        <f t="shared" ref="A7:A70" si="0">F7/I7</f>
        <v>8.2224733554871557E-4</v>
      </c>
      <c r="B7" s="4">
        <v>1</v>
      </c>
      <c r="C7" s="4">
        <f>H3</f>
        <v>341</v>
      </c>
      <c r="D7" s="8">
        <f>C7/12</f>
        <v>28.416666666666668</v>
      </c>
      <c r="E7" s="23">
        <f>F3*$J$4</f>
        <v>905.31876604344177</v>
      </c>
      <c r="F7" s="24">
        <f>G7-E7-$L$3-$L$4</f>
        <v>116.71832656454433</v>
      </c>
      <c r="G7" s="25">
        <f>-PMT($J$4,C7,F3)+$L$3+$L$4</f>
        <v>1077.0370926079861</v>
      </c>
      <c r="H7" s="26">
        <f>F3*$L$7</f>
        <v>241.10419999999999</v>
      </c>
      <c r="I7" s="27">
        <f>F3-F7+H7</f>
        <v>141950.38587343544</v>
      </c>
      <c r="J7" s="46"/>
      <c r="K7" s="18">
        <f t="shared" ref="K7:K70" si="1">IF(C7&lt;1,0,(F7-H7)/G7)</f>
        <v>-0.11548894117867577</v>
      </c>
      <c r="L7" s="21">
        <f>'RAIO X DO SEU FINANCIAMENTO'!G17</f>
        <v>1.6999999999999999E-3</v>
      </c>
      <c r="N7" s="15">
        <f>-PMT($J$4,C7,F3)+$L$3+$L$4</f>
        <v>1077.0370926079861</v>
      </c>
      <c r="W7" s="1">
        <f t="shared" ref="W7:W70" si="2">-G7</f>
        <v>-1077.0370926079861</v>
      </c>
      <c r="X7" t="s">
        <v>59</v>
      </c>
    </row>
    <row r="8" spans="1:24" x14ac:dyDescent="0.2">
      <c r="A8" s="7">
        <f t="shared" si="0"/>
        <v>8.2818246727573374E-4</v>
      </c>
      <c r="B8" s="4">
        <f>B7+1</f>
        <v>2</v>
      </c>
      <c r="C8" s="4">
        <f t="shared" ref="C8:C71" si="3">IF(C7-1&lt;1,0,C7-1)</f>
        <v>340</v>
      </c>
      <c r="D8" s="8">
        <f>C8/12</f>
        <v>28.333333333333332</v>
      </c>
      <c r="E8" s="23">
        <f t="shared" ref="E8:E71" si="4">IF(C8&lt;1,0,I7*$J$4)</f>
        <v>906.11275914380292</v>
      </c>
      <c r="F8" s="24">
        <f t="shared" ref="F8:F71" si="5">IF(C8&lt;1,0,G8-E8-$L$3-$L$4)</f>
        <v>117.66322757664796</v>
      </c>
      <c r="G8" s="25">
        <f t="shared" ref="G8:G71" si="6">IF(C8&lt;1,0,-PMT($J$4,C8,I7)+$L$3+$L$4)</f>
        <v>1078.7759867204509</v>
      </c>
      <c r="H8" s="26">
        <f t="shared" ref="H8:H71" si="7">IF(C8&lt;1,0,I7*L8)</f>
        <v>241.31565598484025</v>
      </c>
      <c r="I8" s="27">
        <f t="shared" ref="I8:I71" si="8">IF(C8&lt;1,0,I7-F8+H8)</f>
        <v>142074.03830184363</v>
      </c>
      <c r="J8" s="46"/>
      <c r="K8" s="18">
        <f t="shared" si="1"/>
        <v>-0.11462289662574314</v>
      </c>
      <c r="L8" s="22">
        <f t="shared" ref="L8:L13" si="9">L7</f>
        <v>1.6999999999999999E-3</v>
      </c>
      <c r="N8" s="15">
        <f t="shared" ref="N8:N71" si="10">IF(C8&lt;1,0,N7)</f>
        <v>1077.0370926079861</v>
      </c>
      <c r="W8" s="1">
        <f t="shared" si="2"/>
        <v>-1078.7759867204509</v>
      </c>
    </row>
    <row r="9" spans="1:24" x14ac:dyDescent="0.2">
      <c r="A9" s="7">
        <f t="shared" si="0"/>
        <v>8.3416543491119071E-4</v>
      </c>
      <c r="B9" s="4">
        <f t="shared" ref="B9:B72" si="11">B8+1</f>
        <v>3</v>
      </c>
      <c r="C9" s="4">
        <f t="shared" si="3"/>
        <v>339</v>
      </c>
      <c r="D9" s="8">
        <f>C9/12</f>
        <v>28.25</v>
      </c>
      <c r="E9" s="23">
        <f t="shared" si="4"/>
        <v>906.90207044007275</v>
      </c>
      <c r="F9" s="24">
        <f t="shared" si="5"/>
        <v>118.61577929483815</v>
      </c>
      <c r="G9" s="25">
        <f t="shared" si="6"/>
        <v>1080.5178497349109</v>
      </c>
      <c r="H9" s="26">
        <f t="shared" si="7"/>
        <v>241.52586511313416</v>
      </c>
      <c r="I9" s="27">
        <f t="shared" si="8"/>
        <v>142196.94838766192</v>
      </c>
      <c r="J9" s="46"/>
      <c r="K9" s="18">
        <f t="shared" si="1"/>
        <v>-0.11375109244928271</v>
      </c>
      <c r="L9" s="22">
        <f t="shared" si="9"/>
        <v>1.6999999999999999E-3</v>
      </c>
      <c r="N9" s="15">
        <f t="shared" si="10"/>
        <v>1077.0370926079861</v>
      </c>
      <c r="W9" s="1">
        <f t="shared" si="2"/>
        <v>-1080.5178497349109</v>
      </c>
    </row>
    <row r="10" spans="1:24" x14ac:dyDescent="0.2">
      <c r="A10" s="7">
        <f t="shared" si="0"/>
        <v>8.4019669652472752E-4</v>
      </c>
      <c r="B10" s="4">
        <f t="shared" si="11"/>
        <v>4</v>
      </c>
      <c r="C10" s="4">
        <f t="shared" si="3"/>
        <v>338</v>
      </c>
      <c r="D10" s="8">
        <f>C10/12</f>
        <v>28.166666666666668</v>
      </c>
      <c r="E10" s="23">
        <f t="shared" si="4"/>
        <v>907.6866431363859</v>
      </c>
      <c r="F10" s="24">
        <f t="shared" si="5"/>
        <v>119.57604368501813</v>
      </c>
      <c r="G10" s="25">
        <f t="shared" si="6"/>
        <v>1082.262686821404</v>
      </c>
      <c r="H10" s="26">
        <f t="shared" si="7"/>
        <v>241.73481225902526</v>
      </c>
      <c r="I10" s="27">
        <f t="shared" si="8"/>
        <v>142319.10715623593</v>
      </c>
      <c r="J10" s="46"/>
      <c r="K10" s="18">
        <f t="shared" si="1"/>
        <v>-0.11287349186248521</v>
      </c>
      <c r="L10" s="22">
        <f t="shared" si="9"/>
        <v>1.6999999999999999E-3</v>
      </c>
      <c r="N10" s="15">
        <f t="shared" si="10"/>
        <v>1077.0370926079861</v>
      </c>
      <c r="W10" s="1">
        <f t="shared" si="2"/>
        <v>-1082.262686821404</v>
      </c>
    </row>
    <row r="11" spans="1:24" x14ac:dyDescent="0.2">
      <c r="A11" s="7">
        <f t="shared" si="0"/>
        <v>8.4627671563974015E-4</v>
      </c>
      <c r="B11" s="4">
        <f t="shared" si="11"/>
        <v>5</v>
      </c>
      <c r="C11" s="4">
        <f t="shared" si="3"/>
        <v>337</v>
      </c>
      <c r="D11" s="8">
        <f t="shared" ref="D11:D74" si="12">C11/12</f>
        <v>28.083333333333332</v>
      </c>
      <c r="E11" s="23">
        <f t="shared" si="4"/>
        <v>908.46641994477659</v>
      </c>
      <c r="F11" s="24">
        <f t="shared" si="5"/>
        <v>120.54408321530718</v>
      </c>
      <c r="G11" s="25">
        <f t="shared" si="6"/>
        <v>1084.0105031600838</v>
      </c>
      <c r="H11" s="26">
        <f t="shared" si="7"/>
        <v>241.94248216560106</v>
      </c>
      <c r="I11" s="27">
        <f t="shared" si="8"/>
        <v>142440.50555518625</v>
      </c>
      <c r="J11" s="46"/>
      <c r="K11" s="18">
        <f t="shared" si="1"/>
        <v>-0.11199005784205589</v>
      </c>
      <c r="L11" s="22">
        <f t="shared" si="9"/>
        <v>1.6999999999999999E-3</v>
      </c>
      <c r="N11" s="15">
        <f t="shared" si="10"/>
        <v>1077.0370926079861</v>
      </c>
      <c r="W11" s="1">
        <f t="shared" si="2"/>
        <v>-1084.0105031600838</v>
      </c>
    </row>
    <row r="12" spans="1:24" x14ac:dyDescent="0.2">
      <c r="A12" s="7">
        <f t="shared" si="0"/>
        <v>8.5240596131423956E-4</v>
      </c>
      <c r="B12" s="4">
        <f t="shared" si="11"/>
        <v>6</v>
      </c>
      <c r="C12" s="4">
        <f t="shared" si="3"/>
        <v>336</v>
      </c>
      <c r="D12" s="8">
        <f t="shared" si="12"/>
        <v>28</v>
      </c>
      <c r="E12" s="23">
        <f t="shared" si="4"/>
        <v>909.24134308113628</v>
      </c>
      <c r="F12" s="24">
        <f t="shared" si="5"/>
        <v>121.51996086011434</v>
      </c>
      <c r="G12" s="25">
        <f t="shared" si="6"/>
        <v>1085.7613039412506</v>
      </c>
      <c r="H12" s="26">
        <f t="shared" si="7"/>
        <v>242.1488594438166</v>
      </c>
      <c r="I12" s="27">
        <f t="shared" si="8"/>
        <v>142561.13445376995</v>
      </c>
      <c r="J12" s="46"/>
      <c r="K12" s="18">
        <f t="shared" si="1"/>
        <v>-0.11110075312670138</v>
      </c>
      <c r="L12" s="22">
        <f t="shared" si="9"/>
        <v>1.6999999999999999E-3</v>
      </c>
      <c r="N12" s="15">
        <f t="shared" si="10"/>
        <v>1077.0370926079861</v>
      </c>
      <c r="W12" s="1">
        <f t="shared" si="2"/>
        <v>-1085.7613039412506</v>
      </c>
    </row>
    <row r="13" spans="1:24" x14ac:dyDescent="0.2">
      <c r="A13" s="7">
        <f t="shared" si="0"/>
        <v>8.5858490822318776E-4</v>
      </c>
      <c r="B13" s="4">
        <f t="shared" si="11"/>
        <v>7</v>
      </c>
      <c r="C13" s="4">
        <f t="shared" si="3"/>
        <v>335</v>
      </c>
      <c r="D13" s="8">
        <f t="shared" si="12"/>
        <v>27.916666666666668</v>
      </c>
      <c r="E13" s="23">
        <f t="shared" si="4"/>
        <v>910.01135426113831</v>
      </c>
      <c r="F13" s="24">
        <f t="shared" si="5"/>
        <v>122.50374010424923</v>
      </c>
      <c r="G13" s="25">
        <f t="shared" si="6"/>
        <v>1087.5150943653875</v>
      </c>
      <c r="H13" s="26">
        <f t="shared" si="7"/>
        <v>242.35392857140889</v>
      </c>
      <c r="I13" s="27">
        <f t="shared" si="8"/>
        <v>142680.98464223713</v>
      </c>
      <c r="J13" s="46"/>
      <c r="K13" s="18">
        <f t="shared" si="1"/>
        <v>-0.11020554021560268</v>
      </c>
      <c r="L13" s="22">
        <f t="shared" si="9"/>
        <v>1.6999999999999999E-3</v>
      </c>
      <c r="N13" s="15">
        <f t="shared" si="10"/>
        <v>1077.0370926079861</v>
      </c>
      <c r="W13" s="1">
        <f t="shared" si="2"/>
        <v>-1087.5150943653875</v>
      </c>
    </row>
    <row r="14" spans="1:24" x14ac:dyDescent="0.2">
      <c r="A14" s="7">
        <f t="shared" si="0"/>
        <v>8.6481403674230179E-4</v>
      </c>
      <c r="B14" s="4">
        <f t="shared" si="11"/>
        <v>8</v>
      </c>
      <c r="C14" s="4">
        <f t="shared" si="3"/>
        <v>334</v>
      </c>
      <c r="D14" s="8">
        <f t="shared" si="12"/>
        <v>27.833333333333332</v>
      </c>
      <c r="E14" s="23">
        <f t="shared" si="4"/>
        <v>910.77639469613041</v>
      </c>
      <c r="F14" s="24">
        <f t="shared" si="5"/>
        <v>123.49548494706414</v>
      </c>
      <c r="G14" s="25">
        <f t="shared" si="6"/>
        <v>1089.2718796431946</v>
      </c>
      <c r="H14" s="26">
        <f t="shared" si="7"/>
        <v>242.55767389180312</v>
      </c>
      <c r="I14" s="27">
        <f t="shared" si="8"/>
        <v>142800.04683118188</v>
      </c>
      <c r="J14" s="46"/>
      <c r="K14" s="18">
        <f t="shared" si="1"/>
        <v>-0.10930438136688095</v>
      </c>
      <c r="L14" s="22">
        <f>L13</f>
        <v>1.6999999999999999E-3</v>
      </c>
      <c r="N14" s="15">
        <f t="shared" si="10"/>
        <v>1077.0370926079861</v>
      </c>
      <c r="W14" s="1">
        <f t="shared" si="2"/>
        <v>-1089.2718796431946</v>
      </c>
    </row>
    <row r="15" spans="1:24" x14ac:dyDescent="0.2">
      <c r="A15" s="7">
        <f t="shared" si="0"/>
        <v>8.7109383303337988E-4</v>
      </c>
      <c r="B15" s="4">
        <f t="shared" si="11"/>
        <v>9</v>
      </c>
      <c r="C15" s="4">
        <f t="shared" si="3"/>
        <v>333</v>
      </c>
      <c r="D15" s="8">
        <f t="shared" si="12"/>
        <v>27.75</v>
      </c>
      <c r="E15" s="23">
        <f t="shared" si="4"/>
        <v>911.53640508899139</v>
      </c>
      <c r="F15" s="24">
        <f t="shared" si="5"/>
        <v>124.49525990663142</v>
      </c>
      <c r="G15" s="25">
        <f t="shared" si="6"/>
        <v>1091.0316649956228</v>
      </c>
      <c r="H15" s="26">
        <f t="shared" si="7"/>
        <v>242.7600796130092</v>
      </c>
      <c r="I15" s="27">
        <f t="shared" si="8"/>
        <v>142918.31165088827</v>
      </c>
      <c r="J15" s="46"/>
      <c r="K15" s="18">
        <f t="shared" si="1"/>
        <v>-0.10839723859605144</v>
      </c>
      <c r="L15" s="22">
        <f t="shared" ref="L15:L77" si="13">L14</f>
        <v>1.6999999999999999E-3</v>
      </c>
      <c r="N15" s="15">
        <f t="shared" si="10"/>
        <v>1077.0370926079861</v>
      </c>
      <c r="W15" s="1">
        <f t="shared" si="2"/>
        <v>-1091.0316649956228</v>
      </c>
    </row>
    <row r="16" spans="1:24" x14ac:dyDescent="0.2">
      <c r="A16" s="7">
        <f t="shared" si="0"/>
        <v>8.7742478913116994E-4</v>
      </c>
      <c r="B16" s="4">
        <f t="shared" si="11"/>
        <v>10</v>
      </c>
      <c r="C16" s="4">
        <f t="shared" si="3"/>
        <v>332</v>
      </c>
      <c r="D16" s="8">
        <f t="shared" si="12"/>
        <v>27.666666666666668</v>
      </c>
      <c r="E16" s="23">
        <f t="shared" si="4"/>
        <v>912.29132562995653</v>
      </c>
      <c r="F16" s="24">
        <f t="shared" si="5"/>
        <v>125.50313002395444</v>
      </c>
      <c r="G16" s="25">
        <f t="shared" si="6"/>
        <v>1092.794455653911</v>
      </c>
      <c r="H16" s="26">
        <f t="shared" si="7"/>
        <v>242.96112980651003</v>
      </c>
      <c r="I16" s="27">
        <f t="shared" si="8"/>
        <v>143035.76965067082</v>
      </c>
      <c r="J16" s="46"/>
      <c r="K16" s="18">
        <f t="shared" si="1"/>
        <v>-0.10748407367446842</v>
      </c>
      <c r="L16" s="22">
        <f t="shared" si="13"/>
        <v>1.6999999999999999E-3</v>
      </c>
      <c r="N16" s="15">
        <f t="shared" si="10"/>
        <v>1077.0370926079861</v>
      </c>
      <c r="W16" s="1">
        <f t="shared" si="2"/>
        <v>-1092.794455653911</v>
      </c>
    </row>
    <row r="17" spans="1:23" x14ac:dyDescent="0.2">
      <c r="A17" s="7">
        <f t="shared" si="0"/>
        <v>8.8380740303180163E-4</v>
      </c>
      <c r="B17" s="4">
        <f t="shared" si="11"/>
        <v>11</v>
      </c>
      <c r="C17" s="4">
        <f t="shared" si="3"/>
        <v>331</v>
      </c>
      <c r="D17" s="8">
        <f t="shared" si="12"/>
        <v>27.583333333333332</v>
      </c>
      <c r="E17" s="23">
        <f t="shared" si="4"/>
        <v>913.04109599240826</v>
      </c>
      <c r="F17" s="24">
        <f t="shared" si="5"/>
        <v>126.5191608672111</v>
      </c>
      <c r="G17" s="25">
        <f t="shared" si="6"/>
        <v>1094.5602568596194</v>
      </c>
      <c r="H17" s="26">
        <f t="shared" si="7"/>
        <v>243.16080840614038</v>
      </c>
      <c r="I17" s="27">
        <f t="shared" si="8"/>
        <v>143152.41129820974</v>
      </c>
      <c r="J17" s="46"/>
      <c r="K17" s="18">
        <f t="shared" si="1"/>
        <v>-0.10656484812776179</v>
      </c>
      <c r="L17" s="22">
        <f t="shared" si="13"/>
        <v>1.6999999999999999E-3</v>
      </c>
      <c r="N17" s="15">
        <f t="shared" si="10"/>
        <v>1077.0370926079861</v>
      </c>
      <c r="W17" s="1">
        <f t="shared" si="2"/>
        <v>-1094.5602568596194</v>
      </c>
    </row>
    <row r="18" spans="1:23" x14ac:dyDescent="0.2">
      <c r="A18" s="7">
        <f t="shared" si="0"/>
        <v>8.9024217878285025E-4</v>
      </c>
      <c r="B18" s="4">
        <f t="shared" si="11"/>
        <v>12</v>
      </c>
      <c r="C18" s="4">
        <f t="shared" si="3"/>
        <v>330</v>
      </c>
      <c r="D18" s="8">
        <f t="shared" si="12"/>
        <v>27.5</v>
      </c>
      <c r="E18" s="23">
        <f t="shared" si="4"/>
        <v>913.78565532863161</v>
      </c>
      <c r="F18" s="24">
        <f t="shared" si="5"/>
        <v>127.54341853603466</v>
      </c>
      <c r="G18" s="25">
        <f t="shared" si="6"/>
        <v>1096.3290738646663</v>
      </c>
      <c r="H18" s="26">
        <f t="shared" si="7"/>
        <v>243.35909920695656</v>
      </c>
      <c r="I18" s="27">
        <f t="shared" si="8"/>
        <v>143268.22697888067</v>
      </c>
      <c r="J18" s="46"/>
      <c r="K18" s="18">
        <f t="shared" si="1"/>
        <v>-0.10563952323426067</v>
      </c>
      <c r="L18" s="22">
        <f t="shared" si="13"/>
        <v>1.6999999999999999E-3</v>
      </c>
      <c r="N18" s="15">
        <f t="shared" si="10"/>
        <v>1077.0370926079861</v>
      </c>
      <c r="W18" s="1">
        <f t="shared" si="2"/>
        <v>-1096.3290738646663</v>
      </c>
    </row>
    <row r="19" spans="1:23" x14ac:dyDescent="0.2">
      <c r="A19" s="7">
        <f t="shared" si="0"/>
        <v>8.967296265750351E-4</v>
      </c>
      <c r="B19" s="4">
        <f t="shared" si="11"/>
        <v>13</v>
      </c>
      <c r="C19" s="4">
        <f t="shared" si="3"/>
        <v>329</v>
      </c>
      <c r="D19" s="8">
        <f t="shared" si="12"/>
        <v>27.416666666666668</v>
      </c>
      <c r="E19" s="23">
        <f t="shared" si="4"/>
        <v>914.52494226553654</v>
      </c>
      <c r="F19" s="24">
        <f t="shared" si="5"/>
        <v>128.5759696658281</v>
      </c>
      <c r="G19" s="25">
        <f t="shared" si="6"/>
        <v>1098.1009119313646</v>
      </c>
      <c r="H19" s="26">
        <f t="shared" si="7"/>
        <v>243.55598586409712</v>
      </c>
      <c r="I19" s="27">
        <f t="shared" si="8"/>
        <v>143383.20699507894</v>
      </c>
      <c r="J19" s="46"/>
      <c r="K19" s="18">
        <f t="shared" si="1"/>
        <v>-0.10470806002340859</v>
      </c>
      <c r="L19" s="22">
        <f t="shared" si="13"/>
        <v>1.6999999999999999E-3</v>
      </c>
      <c r="N19" s="15">
        <f t="shared" si="10"/>
        <v>1077.0370926079861</v>
      </c>
      <c r="W19" s="1">
        <f t="shared" si="2"/>
        <v>-1098.1009119313646</v>
      </c>
    </row>
    <row r="20" spans="1:23" x14ac:dyDescent="0.2">
      <c r="A20" s="7">
        <f t="shared" si="0"/>
        <v>9.0327026283559852E-4</v>
      </c>
      <c r="B20" s="4">
        <f t="shared" si="11"/>
        <v>14</v>
      </c>
      <c r="C20" s="4">
        <f t="shared" si="3"/>
        <v>328</v>
      </c>
      <c r="D20" s="8">
        <f t="shared" si="12"/>
        <v>27.333333333333332</v>
      </c>
      <c r="E20" s="23">
        <f t="shared" si="4"/>
        <v>915.25889490034456</v>
      </c>
      <c r="F20" s="24">
        <f t="shared" si="5"/>
        <v>129.61688143211359</v>
      </c>
      <c r="G20" s="25">
        <f t="shared" si="6"/>
        <v>1099.8757763324581</v>
      </c>
      <c r="H20" s="26">
        <f t="shared" si="7"/>
        <v>243.75145189163419</v>
      </c>
      <c r="I20" s="27">
        <f t="shared" si="8"/>
        <v>143497.34156553846</v>
      </c>
      <c r="J20" s="46"/>
      <c r="K20" s="18">
        <f t="shared" si="1"/>
        <v>-0.10377041927416836</v>
      </c>
      <c r="L20" s="22">
        <f t="shared" si="13"/>
        <v>1.6999999999999999E-3</v>
      </c>
      <c r="N20" s="15">
        <f t="shared" si="10"/>
        <v>1077.0370926079861</v>
      </c>
      <c r="W20" s="1">
        <f t="shared" si="2"/>
        <v>-1099.8757763324581</v>
      </c>
    </row>
    <row r="21" spans="1:23" x14ac:dyDescent="0.2">
      <c r="A21" s="7">
        <f t="shared" si="0"/>
        <v>9.0986461032339992E-4</v>
      </c>
      <c r="B21" s="4">
        <f t="shared" si="11"/>
        <v>15</v>
      </c>
      <c r="C21" s="4">
        <f t="shared" si="3"/>
        <v>327</v>
      </c>
      <c r="D21" s="8">
        <f t="shared" si="12"/>
        <v>27.25</v>
      </c>
      <c r="E21" s="23">
        <f t="shared" si="4"/>
        <v>915.9874507962403</v>
      </c>
      <c r="F21" s="24">
        <f t="shared" si="5"/>
        <v>130.66622155491712</v>
      </c>
      <c r="G21" s="25">
        <f t="shared" si="6"/>
        <v>1101.6536723511574</v>
      </c>
      <c r="H21" s="26">
        <f t="shared" si="7"/>
        <v>243.94548066141536</v>
      </c>
      <c r="I21" s="27">
        <f t="shared" si="8"/>
        <v>143610.62082464495</v>
      </c>
      <c r="J21" s="46"/>
      <c r="K21" s="18">
        <f t="shared" si="1"/>
        <v>-0.10282656151341719</v>
      </c>
      <c r="L21" s="22">
        <f t="shared" si="13"/>
        <v>1.6999999999999999E-3</v>
      </c>
      <c r="N21" s="15">
        <f t="shared" si="10"/>
        <v>1077.0370926079861</v>
      </c>
      <c r="W21" s="1">
        <f t="shared" si="2"/>
        <v>-1101.6536723511574</v>
      </c>
    </row>
    <row r="22" spans="1:23" x14ac:dyDescent="0.2">
      <c r="A22" s="7">
        <f t="shared" si="0"/>
        <v>9.1651319822576912E-4</v>
      </c>
      <c r="B22" s="4">
        <f t="shared" si="11"/>
        <v>16</v>
      </c>
      <c r="C22" s="4">
        <f t="shared" si="3"/>
        <v>326</v>
      </c>
      <c r="D22" s="8">
        <f t="shared" si="12"/>
        <v>27.166666666666668</v>
      </c>
      <c r="E22" s="23">
        <f t="shared" si="4"/>
        <v>916.71054697798832</v>
      </c>
      <c r="F22" s="24">
        <f t="shared" si="5"/>
        <v>131.72405830318985</v>
      </c>
      <c r="G22" s="25">
        <f t="shared" si="6"/>
        <v>1103.4346052811782</v>
      </c>
      <c r="H22" s="26">
        <f t="shared" si="7"/>
        <v>244.13805540189639</v>
      </c>
      <c r="I22" s="27">
        <f t="shared" si="8"/>
        <v>143723.03482174364</v>
      </c>
      <c r="J22" s="46"/>
      <c r="K22" s="18">
        <f t="shared" si="1"/>
        <v>-0.10187644701433042</v>
      </c>
      <c r="L22" s="22">
        <f t="shared" si="13"/>
        <v>1.6999999999999999E-3</v>
      </c>
      <c r="N22" s="15">
        <f t="shared" si="10"/>
        <v>1077.0370926079861</v>
      </c>
      <c r="W22" s="1">
        <f t="shared" si="2"/>
        <v>-1103.4346052811782</v>
      </c>
    </row>
    <row r="23" spans="1:23" x14ac:dyDescent="0.2">
      <c r="A23" s="7">
        <f t="shared" si="0"/>
        <v>9.2321656225715059E-4</v>
      </c>
      <c r="B23" s="4">
        <f t="shared" si="11"/>
        <v>17</v>
      </c>
      <c r="C23" s="4">
        <f t="shared" si="3"/>
        <v>325</v>
      </c>
      <c r="D23" s="8">
        <f t="shared" si="12"/>
        <v>27.083333333333332</v>
      </c>
      <c r="E23" s="23">
        <f t="shared" si="4"/>
        <v>917.42811992751376</v>
      </c>
      <c r="F23" s="24">
        <f t="shared" si="5"/>
        <v>132.79046049926524</v>
      </c>
      <c r="G23" s="25">
        <f t="shared" si="6"/>
        <v>1105.218580426779</v>
      </c>
      <c r="H23" s="26">
        <f t="shared" si="7"/>
        <v>244.32915919696418</v>
      </c>
      <c r="I23" s="27">
        <f t="shared" si="8"/>
        <v>143834.57352044134</v>
      </c>
      <c r="J23" s="46"/>
      <c r="K23" s="18">
        <f t="shared" si="1"/>
        <v>-0.1009200357947551</v>
      </c>
      <c r="L23" s="22">
        <f t="shared" si="13"/>
        <v>1.6999999999999999E-3</v>
      </c>
      <c r="N23" s="15">
        <f t="shared" si="10"/>
        <v>1077.0370926079861</v>
      </c>
      <c r="W23" s="1">
        <f t="shared" si="2"/>
        <v>-1105.218580426779</v>
      </c>
    </row>
    <row r="24" spans="1:23" x14ac:dyDescent="0.2">
      <c r="A24" s="7">
        <f t="shared" si="0"/>
        <v>9.2997524475956959E-4</v>
      </c>
      <c r="B24" s="4">
        <f t="shared" si="11"/>
        <v>18</v>
      </c>
      <c r="C24" s="4">
        <f t="shared" si="3"/>
        <v>324</v>
      </c>
      <c r="D24" s="8">
        <f t="shared" si="12"/>
        <v>27</v>
      </c>
      <c r="E24" s="23">
        <f t="shared" si="4"/>
        <v>918.14010557944709</v>
      </c>
      <c r="F24" s="24">
        <f t="shared" si="5"/>
        <v>133.86549752335134</v>
      </c>
      <c r="G24" s="25">
        <f t="shared" si="6"/>
        <v>1107.0056031027984</v>
      </c>
      <c r="H24" s="26">
        <f t="shared" si="7"/>
        <v>244.51877498475025</v>
      </c>
      <c r="I24" s="27">
        <f t="shared" si="8"/>
        <v>143945.22679790272</v>
      </c>
      <c r="J24" s="46"/>
      <c r="K24" s="18">
        <f t="shared" si="1"/>
        <v>-9.9957287615574486E-2</v>
      </c>
      <c r="L24" s="22">
        <f t="shared" si="13"/>
        <v>1.6999999999999999E-3</v>
      </c>
      <c r="N24" s="15">
        <f t="shared" si="10"/>
        <v>1077.0370926079861</v>
      </c>
      <c r="W24" s="1">
        <f t="shared" si="2"/>
        <v>-1107.0056031027984</v>
      </c>
    </row>
    <row r="25" spans="1:23" x14ac:dyDescent="0.2">
      <c r="A25" s="7">
        <f t="shared" si="0"/>
        <v>9.3678979480497644E-4</v>
      </c>
      <c r="B25" s="4">
        <f t="shared" si="11"/>
        <v>19</v>
      </c>
      <c r="C25" s="4">
        <f t="shared" si="3"/>
        <v>323</v>
      </c>
      <c r="D25" s="8">
        <f t="shared" si="12"/>
        <v>26.916666666666668</v>
      </c>
      <c r="E25" s="23">
        <f t="shared" si="4"/>
        <v>918.84643931663209</v>
      </c>
      <c r="F25" s="24">
        <f t="shared" si="5"/>
        <v>134.94923931806102</v>
      </c>
      <c r="G25" s="25">
        <f t="shared" si="6"/>
        <v>1108.7956786346931</v>
      </c>
      <c r="H25" s="26">
        <f t="shared" si="7"/>
        <v>244.70688555643463</v>
      </c>
      <c r="I25" s="27">
        <f t="shared" si="8"/>
        <v>144054.9844441411</v>
      </c>
      <c r="J25" s="46"/>
      <c r="K25" s="18">
        <f t="shared" si="1"/>
        <v>-9.8988161979060768E-2</v>
      </c>
      <c r="L25" s="22">
        <f t="shared" si="13"/>
        <v>1.6999999999999999E-3</v>
      </c>
      <c r="N25" s="15">
        <f t="shared" si="10"/>
        <v>1077.0370926079861</v>
      </c>
      <c r="W25" s="1">
        <f t="shared" si="2"/>
        <v>-1108.7956786346931</v>
      </c>
    </row>
    <row r="26" spans="1:23" x14ac:dyDescent="0.2">
      <c r="A26" s="7">
        <f t="shared" si="0"/>
        <v>9.4366076829950282E-4</v>
      </c>
      <c r="B26" s="4">
        <f t="shared" si="11"/>
        <v>20</v>
      </c>
      <c r="C26" s="4">
        <f t="shared" si="3"/>
        <v>322</v>
      </c>
      <c r="D26" s="8">
        <f t="shared" si="12"/>
        <v>26.833333333333332</v>
      </c>
      <c r="E26" s="23">
        <f t="shared" si="4"/>
        <v>919.54705596559882</v>
      </c>
      <c r="F26" s="24">
        <f t="shared" si="5"/>
        <v>136.04175639297898</v>
      </c>
      <c r="G26" s="25">
        <f t="shared" si="6"/>
        <v>1110.5888123585778</v>
      </c>
      <c r="H26" s="26">
        <f t="shared" si="7"/>
        <v>244.89347355503986</v>
      </c>
      <c r="I26" s="27">
        <f t="shared" si="8"/>
        <v>144163.83616130316</v>
      </c>
      <c r="J26" s="46"/>
      <c r="K26" s="18">
        <f t="shared" si="1"/>
        <v>-9.8012618127217122E-2</v>
      </c>
      <c r="L26" s="22">
        <f t="shared" si="13"/>
        <v>1.6999999999999999E-3</v>
      </c>
      <c r="N26" s="15">
        <f t="shared" si="10"/>
        <v>1077.0370926079861</v>
      </c>
      <c r="W26" s="1">
        <f t="shared" si="2"/>
        <v>-1110.5888123585778</v>
      </c>
    </row>
    <row r="27" spans="1:23" x14ac:dyDescent="0.2">
      <c r="A27" s="7">
        <f t="shared" si="0"/>
        <v>9.5058872808966488E-4</v>
      </c>
      <c r="B27" s="4">
        <f t="shared" si="11"/>
        <v>21</v>
      </c>
      <c r="C27" s="4">
        <f t="shared" si="3"/>
        <v>321</v>
      </c>
      <c r="D27" s="8">
        <f t="shared" si="12"/>
        <v>26.75</v>
      </c>
      <c r="E27" s="23">
        <f t="shared" si="4"/>
        <v>920.24188979199789</v>
      </c>
      <c r="F27" s="24">
        <f t="shared" si="5"/>
        <v>137.14311982926552</v>
      </c>
      <c r="G27" s="25">
        <f t="shared" si="6"/>
        <v>1112.3850096212634</v>
      </c>
      <c r="H27" s="26">
        <f t="shared" si="7"/>
        <v>245.07852147421536</v>
      </c>
      <c r="I27" s="27">
        <f t="shared" si="8"/>
        <v>144271.7715629481</v>
      </c>
      <c r="J27" s="46"/>
      <c r="K27" s="18">
        <f t="shared" si="1"/>
        <v>-9.7030615040109985E-2</v>
      </c>
      <c r="L27" s="22">
        <f t="shared" si="13"/>
        <v>1.6999999999999999E-3</v>
      </c>
      <c r="N27" s="15">
        <f t="shared" si="10"/>
        <v>1077.0370926079861</v>
      </c>
      <c r="W27" s="1">
        <f t="shared" si="2"/>
        <v>-1112.3850096212634</v>
      </c>
    </row>
    <row r="28" spans="1:23" x14ac:dyDescent="0.2">
      <c r="A28" s="7">
        <f t="shared" si="0"/>
        <v>9.5757424407056529E-4</v>
      </c>
      <c r="B28" s="4">
        <f t="shared" si="11"/>
        <v>22</v>
      </c>
      <c r="C28" s="4">
        <f t="shared" si="3"/>
        <v>320</v>
      </c>
      <c r="D28" s="8">
        <f t="shared" si="12"/>
        <v>26.666666666666668</v>
      </c>
      <c r="E28" s="23">
        <f t="shared" si="4"/>
        <v>920.93087449599852</v>
      </c>
      <c r="F28" s="24">
        <f t="shared" si="5"/>
        <v>138.25340128429798</v>
      </c>
      <c r="G28" s="25">
        <f t="shared" si="6"/>
        <v>1114.1842757802965</v>
      </c>
      <c r="H28" s="26">
        <f t="shared" si="7"/>
        <v>245.26201165701175</v>
      </c>
      <c r="I28" s="27">
        <f t="shared" si="8"/>
        <v>144378.78017332079</v>
      </c>
      <c r="J28" s="46"/>
      <c r="K28" s="18">
        <f t="shared" si="1"/>
        <v>-9.6042111434190225E-2</v>
      </c>
      <c r="L28" s="22">
        <f t="shared" si="13"/>
        <v>1.6999999999999999E-3</v>
      </c>
      <c r="N28" s="15">
        <f t="shared" si="10"/>
        <v>1077.0370926079861</v>
      </c>
      <c r="W28" s="1">
        <f t="shared" si="2"/>
        <v>-1114.1842757802965</v>
      </c>
    </row>
    <row r="29" spans="1:23" x14ac:dyDescent="0.2">
      <c r="A29" s="7">
        <f t="shared" si="0"/>
        <v>9.6461789329613343E-4</v>
      </c>
      <c r="B29" s="4">
        <f t="shared" si="11"/>
        <v>23</v>
      </c>
      <c r="C29" s="4">
        <f t="shared" si="3"/>
        <v>319</v>
      </c>
      <c r="D29" s="8">
        <f t="shared" si="12"/>
        <v>26.583333333333332</v>
      </c>
      <c r="E29" s="23">
        <f t="shared" si="4"/>
        <v>921.61394320764964</v>
      </c>
      <c r="F29" s="24">
        <f t="shared" si="5"/>
        <v>139.37267299635016</v>
      </c>
      <c r="G29" s="25">
        <f t="shared" si="6"/>
        <v>1115.9866162039998</v>
      </c>
      <c r="H29" s="26">
        <f t="shared" si="7"/>
        <v>245.44392629464534</v>
      </c>
      <c r="I29" s="27">
        <f t="shared" si="8"/>
        <v>144484.85142661911</v>
      </c>
      <c r="J29" s="46"/>
      <c r="K29" s="18">
        <f t="shared" si="1"/>
        <v>-9.5047065760603705E-2</v>
      </c>
      <c r="L29" s="22">
        <f t="shared" si="13"/>
        <v>1.6999999999999999E-3</v>
      </c>
      <c r="N29" s="15">
        <f t="shared" si="10"/>
        <v>1077.0370926079861</v>
      </c>
      <c r="W29" s="1">
        <f t="shared" si="2"/>
        <v>-1115.9866162039998</v>
      </c>
    </row>
    <row r="30" spans="1:23" x14ac:dyDescent="0.2">
      <c r="A30" s="7">
        <f t="shared" si="0"/>
        <v>9.7172026009145361E-4</v>
      </c>
      <c r="B30" s="4">
        <f t="shared" si="11"/>
        <v>24</v>
      </c>
      <c r="C30" s="4">
        <f t="shared" si="3"/>
        <v>318</v>
      </c>
      <c r="D30" s="8">
        <f t="shared" si="12"/>
        <v>26.5</v>
      </c>
      <c r="E30" s="23">
        <f t="shared" si="4"/>
        <v>922.29102848220236</v>
      </c>
      <c r="F30" s="24">
        <f t="shared" si="5"/>
        <v>140.50100778931005</v>
      </c>
      <c r="G30" s="25">
        <f t="shared" si="6"/>
        <v>1117.7920362715124</v>
      </c>
      <c r="H30" s="26">
        <f t="shared" si="7"/>
        <v>245.62424742525246</v>
      </c>
      <c r="I30" s="27">
        <f t="shared" si="8"/>
        <v>144589.97466625506</v>
      </c>
      <c r="J30" s="46"/>
      <c r="K30" s="18">
        <f t="shared" si="1"/>
        <v>-9.4045436203490637E-2</v>
      </c>
      <c r="L30" s="22">
        <f t="shared" si="13"/>
        <v>1.6999999999999999E-3</v>
      </c>
      <c r="N30" s="15">
        <f t="shared" si="10"/>
        <v>1077.0370926079861</v>
      </c>
      <c r="W30" s="1">
        <f t="shared" si="2"/>
        <v>-1117.7920362715124</v>
      </c>
    </row>
    <row r="31" spans="1:23" x14ac:dyDescent="0.2">
      <c r="A31" s="7">
        <f t="shared" si="0"/>
        <v>9.7888193616721625E-4</v>
      </c>
      <c r="B31" s="4">
        <f t="shared" si="11"/>
        <v>25</v>
      </c>
      <c r="C31" s="4">
        <f t="shared" si="3"/>
        <v>317</v>
      </c>
      <c r="D31" s="8">
        <f t="shared" si="12"/>
        <v>26.416666666666668</v>
      </c>
      <c r="E31" s="23">
        <f t="shared" si="4"/>
        <v>922.96206229539393</v>
      </c>
      <c r="F31" s="24">
        <f t="shared" si="5"/>
        <v>141.63847907743525</v>
      </c>
      <c r="G31" s="25">
        <f t="shared" si="6"/>
        <v>1119.6005413728292</v>
      </c>
      <c r="H31" s="26">
        <f t="shared" si="7"/>
        <v>245.80295693263358</v>
      </c>
      <c r="I31" s="27">
        <f t="shared" si="8"/>
        <v>144694.13914411026</v>
      </c>
      <c r="J31" s="46"/>
      <c r="K31" s="18">
        <f t="shared" si="1"/>
        <v>-9.3037180678274919E-2</v>
      </c>
      <c r="L31" s="22">
        <f t="shared" si="13"/>
        <v>1.6999999999999999E-3</v>
      </c>
      <c r="N31" s="15">
        <f t="shared" si="10"/>
        <v>1077.0370926079861</v>
      </c>
      <c r="W31" s="1">
        <f t="shared" si="2"/>
        <v>-1119.6005413728292</v>
      </c>
    </row>
    <row r="32" spans="1:23" x14ac:dyDescent="0.2">
      <c r="A32" s="7">
        <f t="shared" si="0"/>
        <v>9.8610352073636408E-4</v>
      </c>
      <c r="B32" s="4">
        <f t="shared" si="11"/>
        <v>26</v>
      </c>
      <c r="C32" s="4">
        <f t="shared" si="3"/>
        <v>316</v>
      </c>
      <c r="D32" s="8">
        <f t="shared" si="12"/>
        <v>26.333333333333332</v>
      </c>
      <c r="E32" s="23">
        <f t="shared" si="4"/>
        <v>923.62697603869515</v>
      </c>
      <c r="F32" s="24">
        <f t="shared" si="5"/>
        <v>142.78516087014941</v>
      </c>
      <c r="G32" s="25">
        <f t="shared" si="6"/>
        <v>1121.4121369088446</v>
      </c>
      <c r="H32" s="26">
        <f t="shared" si="7"/>
        <v>245.98003654498743</v>
      </c>
      <c r="I32" s="27">
        <f t="shared" si="8"/>
        <v>144797.33401978511</v>
      </c>
      <c r="J32" s="46"/>
      <c r="K32" s="18">
        <f t="shared" si="1"/>
        <v>-9.2022256829940433E-2</v>
      </c>
      <c r="L32" s="22">
        <f t="shared" si="13"/>
        <v>1.6999999999999999E-3</v>
      </c>
      <c r="N32" s="15">
        <f t="shared" si="10"/>
        <v>1077.0370926079861</v>
      </c>
      <c r="W32" s="1">
        <f t="shared" si="2"/>
        <v>-1121.4121369088446</v>
      </c>
    </row>
    <row r="33" spans="1:23" x14ac:dyDescent="0.2">
      <c r="A33" s="7">
        <f t="shared" si="0"/>
        <v>9.9338562063293963E-4</v>
      </c>
      <c r="B33" s="4">
        <f t="shared" si="11"/>
        <v>27</v>
      </c>
      <c r="C33" s="4">
        <f t="shared" si="3"/>
        <v>315</v>
      </c>
      <c r="D33" s="8">
        <f t="shared" si="12"/>
        <v>26.25</v>
      </c>
      <c r="E33" s="23">
        <f t="shared" si="4"/>
        <v>924.28570051451732</v>
      </c>
      <c r="F33" s="24">
        <f t="shared" si="5"/>
        <v>143.94112777687417</v>
      </c>
      <c r="G33" s="25">
        <f t="shared" si="6"/>
        <v>1123.2268282913915</v>
      </c>
      <c r="H33" s="26">
        <f t="shared" si="7"/>
        <v>246.15546783363467</v>
      </c>
      <c r="I33" s="27">
        <f t="shared" si="8"/>
        <v>144899.54835984187</v>
      </c>
      <c r="J33" s="46"/>
      <c r="K33" s="18">
        <f t="shared" si="1"/>
        <v>-9.1000622031299716E-2</v>
      </c>
      <c r="L33" s="22">
        <f t="shared" si="13"/>
        <v>1.6999999999999999E-3</v>
      </c>
      <c r="N33" s="15">
        <f t="shared" si="10"/>
        <v>1077.0370926079861</v>
      </c>
      <c r="W33" s="1">
        <f t="shared" si="2"/>
        <v>-1123.2268282913915</v>
      </c>
    </row>
    <row r="34" spans="1:23" x14ac:dyDescent="0.2">
      <c r="A34" s="7">
        <f t="shared" si="0"/>
        <v>1.000728850433229E-3</v>
      </c>
      <c r="B34" s="4">
        <f t="shared" si="11"/>
        <v>28</v>
      </c>
      <c r="C34" s="4">
        <f t="shared" si="3"/>
        <v>314</v>
      </c>
      <c r="D34" s="8">
        <f t="shared" si="12"/>
        <v>26.166666666666668</v>
      </c>
      <c r="E34" s="23">
        <f t="shared" si="4"/>
        <v>924.93816593138115</v>
      </c>
      <c r="F34" s="24">
        <f t="shared" si="5"/>
        <v>145.10645501190345</v>
      </c>
      <c r="G34" s="25">
        <f t="shared" si="6"/>
        <v>1125.0446209432846</v>
      </c>
      <c r="H34" s="26">
        <f t="shared" si="7"/>
        <v>246.32923221173115</v>
      </c>
      <c r="I34" s="27">
        <f t="shared" si="8"/>
        <v>145000.77113704168</v>
      </c>
      <c r="J34" s="46"/>
      <c r="K34" s="18">
        <f t="shared" si="1"/>
        <v>-8.9972233381248726E-2</v>
      </c>
      <c r="L34" s="22">
        <f t="shared" si="13"/>
        <v>1.6999999999999999E-3</v>
      </c>
      <c r="N34" s="15">
        <f t="shared" si="10"/>
        <v>1077.0370926079861</v>
      </c>
      <c r="W34" s="1">
        <f t="shared" si="2"/>
        <v>-1125.0446209432846</v>
      </c>
    </row>
    <row r="35" spans="1:23" x14ac:dyDescent="0.2">
      <c r="A35" s="7">
        <f t="shared" si="0"/>
        <v>1.00813383257923E-3</v>
      </c>
      <c r="B35" s="4">
        <f t="shared" si="11"/>
        <v>29</v>
      </c>
      <c r="C35" s="4">
        <f t="shared" si="3"/>
        <v>313</v>
      </c>
      <c r="D35" s="8">
        <f t="shared" si="12"/>
        <v>26.083333333333332</v>
      </c>
      <c r="E35" s="23">
        <f t="shared" si="4"/>
        <v>925.58430189904595</v>
      </c>
      <c r="F35" s="24">
        <f t="shared" si="5"/>
        <v>146.28121839931703</v>
      </c>
      <c r="G35" s="25">
        <f t="shared" si="6"/>
        <v>1126.865520298363</v>
      </c>
      <c r="H35" s="26">
        <f t="shared" si="7"/>
        <v>246.50131093297085</v>
      </c>
      <c r="I35" s="27">
        <f t="shared" si="8"/>
        <v>145100.99122957533</v>
      </c>
      <c r="J35" s="46"/>
      <c r="K35" s="18">
        <f t="shared" si="1"/>
        <v>-8.8937047703011002E-2</v>
      </c>
      <c r="L35" s="22">
        <f t="shared" si="13"/>
        <v>1.6999999999999999E-3</v>
      </c>
      <c r="N35" s="15">
        <f t="shared" si="10"/>
        <v>1077.0370926079861</v>
      </c>
      <c r="W35" s="1">
        <f t="shared" si="2"/>
        <v>-1126.865520298363</v>
      </c>
    </row>
    <row r="36" spans="1:23" x14ac:dyDescent="0.2">
      <c r="A36" s="7">
        <f t="shared" si="0"/>
        <v>1.0156011975044968E-3</v>
      </c>
      <c r="B36" s="4">
        <f t="shared" si="11"/>
        <v>30</v>
      </c>
      <c r="C36" s="4">
        <f t="shared" si="3"/>
        <v>312</v>
      </c>
      <c r="D36" s="8">
        <f t="shared" si="12"/>
        <v>26</v>
      </c>
      <c r="E36" s="23">
        <f t="shared" si="4"/>
        <v>926.22403742359938</v>
      </c>
      <c r="F36" s="24">
        <f t="shared" si="5"/>
        <v>147.46549437793351</v>
      </c>
      <c r="G36" s="25">
        <f t="shared" si="6"/>
        <v>1128.6895318015329</v>
      </c>
      <c r="H36" s="26">
        <f t="shared" si="7"/>
        <v>246.67168509027806</v>
      </c>
      <c r="I36" s="27">
        <f t="shared" si="8"/>
        <v>145200.19742028767</v>
      </c>
      <c r="J36" s="46"/>
      <c r="K36" s="18">
        <f t="shared" si="1"/>
        <v>-8.7895021542371166E-2</v>
      </c>
      <c r="L36" s="22">
        <f t="shared" si="13"/>
        <v>1.6999999999999999E-3</v>
      </c>
      <c r="N36" s="15">
        <f t="shared" si="10"/>
        <v>1077.0370926079861</v>
      </c>
      <c r="W36" s="1">
        <f t="shared" si="2"/>
        <v>-1128.6895318015329</v>
      </c>
    </row>
    <row r="37" spans="1:23" x14ac:dyDescent="0.2">
      <c r="A37" s="7">
        <f t="shared" si="0"/>
        <v>1.0231315837624119E-3</v>
      </c>
      <c r="B37" s="4">
        <f t="shared" si="11"/>
        <v>31</v>
      </c>
      <c r="C37" s="4">
        <f t="shared" si="3"/>
        <v>311</v>
      </c>
      <c r="D37" s="8">
        <f t="shared" si="12"/>
        <v>25.916666666666668</v>
      </c>
      <c r="E37" s="23">
        <f t="shared" si="4"/>
        <v>926.85730090250718</v>
      </c>
      <c r="F37" s="24">
        <f t="shared" si="5"/>
        <v>148.65936000630313</v>
      </c>
      <c r="G37" s="25">
        <f t="shared" si="6"/>
        <v>1130.5166609088103</v>
      </c>
      <c r="H37" s="26">
        <f t="shared" si="7"/>
        <v>246.84033561448902</v>
      </c>
      <c r="I37" s="27">
        <f t="shared" si="8"/>
        <v>145298.37839589585</v>
      </c>
      <c r="J37" s="46"/>
      <c r="K37" s="18">
        <f t="shared" si="1"/>
        <v>-8.6846111165897591E-2</v>
      </c>
      <c r="L37" s="22">
        <f t="shared" si="13"/>
        <v>1.6999999999999999E-3</v>
      </c>
      <c r="N37" s="15">
        <f t="shared" si="10"/>
        <v>1077.0370926079861</v>
      </c>
      <c r="W37" s="1">
        <f t="shared" si="2"/>
        <v>-1130.5166609088103</v>
      </c>
    </row>
    <row r="38" spans="1:23" x14ac:dyDescent="0.2">
      <c r="A38" s="7">
        <f t="shared" si="0"/>
        <v>1.0307256381569677E-3</v>
      </c>
      <c r="B38" s="4">
        <f t="shared" si="11"/>
        <v>32</v>
      </c>
      <c r="C38" s="4">
        <f t="shared" si="3"/>
        <v>310</v>
      </c>
      <c r="D38" s="8">
        <f t="shared" si="12"/>
        <v>25.833333333333332</v>
      </c>
      <c r="E38" s="23">
        <f t="shared" si="4"/>
        <v>927.48402011962207</v>
      </c>
      <c r="F38" s="24">
        <f t="shared" si="5"/>
        <v>149.86289296774407</v>
      </c>
      <c r="G38" s="25">
        <f t="shared" si="6"/>
        <v>1132.3469130873661</v>
      </c>
      <c r="H38" s="26">
        <f t="shared" si="7"/>
        <v>247.00724327302294</v>
      </c>
      <c r="I38" s="27">
        <f t="shared" si="8"/>
        <v>145395.52274620114</v>
      </c>
      <c r="J38" s="46"/>
      <c r="K38" s="18">
        <f t="shared" si="1"/>
        <v>-8.5790272559151406E-2</v>
      </c>
      <c r="L38" s="22">
        <f t="shared" si="13"/>
        <v>1.6999999999999999E-3</v>
      </c>
      <c r="N38" s="15">
        <f t="shared" si="10"/>
        <v>1077.0370926079861</v>
      </c>
      <c r="W38" s="1">
        <f t="shared" si="2"/>
        <v>-1132.3469130873661</v>
      </c>
    </row>
    <row r="39" spans="1:23" x14ac:dyDescent="0.2">
      <c r="A39" s="7">
        <f t="shared" si="0"/>
        <v>1.0383840158760687E-3</v>
      </c>
      <c r="B39" s="4">
        <f t="shared" si="11"/>
        <v>33</v>
      </c>
      <c r="C39" s="4">
        <f t="shared" si="3"/>
        <v>309</v>
      </c>
      <c r="D39" s="8">
        <f t="shared" si="12"/>
        <v>25.75</v>
      </c>
      <c r="E39" s="23">
        <f t="shared" si="4"/>
        <v>928.1041222401534</v>
      </c>
      <c r="F39" s="24">
        <f t="shared" si="5"/>
        <v>151.07617157541631</v>
      </c>
      <c r="G39" s="25">
        <f t="shared" si="6"/>
        <v>1134.1802938155697</v>
      </c>
      <c r="H39" s="26">
        <f t="shared" si="7"/>
        <v>247.17238866854191</v>
      </c>
      <c r="I39" s="27">
        <f t="shared" si="8"/>
        <v>145491.61896329428</v>
      </c>
      <c r="J39" s="46"/>
      <c r="K39" s="18">
        <f t="shared" si="1"/>
        <v>-8.4727461424886921E-2</v>
      </c>
      <c r="L39" s="22">
        <f t="shared" si="13"/>
        <v>1.6999999999999999E-3</v>
      </c>
      <c r="N39" s="15">
        <f t="shared" si="10"/>
        <v>1077.0370926079861</v>
      </c>
      <c r="W39" s="1">
        <f t="shared" si="2"/>
        <v>-1134.1802938155697</v>
      </c>
    </row>
    <row r="40" spans="1:23" x14ac:dyDescent="0.2">
      <c r="A40" s="7">
        <f t="shared" si="0"/>
        <v>1.0461073806274559E-3</v>
      </c>
      <c r="B40" s="4">
        <f t="shared" si="11"/>
        <v>34</v>
      </c>
      <c r="C40" s="4">
        <f t="shared" si="3"/>
        <v>308</v>
      </c>
      <c r="D40" s="8">
        <f t="shared" si="12"/>
        <v>25.666666666666668</v>
      </c>
      <c r="E40" s="23">
        <f t="shared" si="4"/>
        <v>928.71753380559414</v>
      </c>
      <c r="F40" s="24">
        <f t="shared" si="5"/>
        <v>152.29927477743956</v>
      </c>
      <c r="G40" s="25">
        <f t="shared" si="6"/>
        <v>1136.0168085830337</v>
      </c>
      <c r="H40" s="26">
        <f t="shared" si="7"/>
        <v>247.33575223760027</v>
      </c>
      <c r="I40" s="27">
        <f t="shared" si="8"/>
        <v>145586.65544075443</v>
      </c>
      <c r="J40" s="46"/>
      <c r="K40" s="18">
        <f t="shared" si="1"/>
        <v>-8.3657633181238533E-2</v>
      </c>
      <c r="L40" s="22">
        <f t="shared" si="13"/>
        <v>1.6999999999999999E-3</v>
      </c>
      <c r="N40" s="15">
        <f t="shared" si="10"/>
        <v>1077.0370926079861</v>
      </c>
      <c r="W40" s="1">
        <f t="shared" si="2"/>
        <v>-1136.0168085830337</v>
      </c>
    </row>
    <row r="41" spans="1:23" x14ac:dyDescent="0.2">
      <c r="A41" s="7">
        <f t="shared" si="0"/>
        <v>1.0538964047772811E-3</v>
      </c>
      <c r="B41" s="4">
        <f t="shared" si="11"/>
        <v>35</v>
      </c>
      <c r="C41" s="4">
        <f t="shared" si="3"/>
        <v>307</v>
      </c>
      <c r="D41" s="8">
        <f t="shared" si="12"/>
        <v>25.583333333333332</v>
      </c>
      <c r="E41" s="23">
        <f t="shared" si="4"/>
        <v>929.32418072860787</v>
      </c>
      <c r="F41" s="24">
        <f t="shared" si="5"/>
        <v>153.53228216205139</v>
      </c>
      <c r="G41" s="25">
        <f t="shared" si="6"/>
        <v>1137.8564628906593</v>
      </c>
      <c r="H41" s="26">
        <f t="shared" si="7"/>
        <v>247.49731424928251</v>
      </c>
      <c r="I41" s="27">
        <f t="shared" si="8"/>
        <v>145680.62047284166</v>
      </c>
      <c r="J41" s="46"/>
      <c r="K41" s="18">
        <f t="shared" si="1"/>
        <v>-8.2580742959897008E-2</v>
      </c>
      <c r="L41" s="22">
        <f t="shared" si="13"/>
        <v>1.6999999999999999E-3</v>
      </c>
      <c r="N41" s="15">
        <f t="shared" si="10"/>
        <v>1077.0370926079861</v>
      </c>
      <c r="W41" s="1">
        <f t="shared" si="2"/>
        <v>-1137.8564628906593</v>
      </c>
    </row>
    <row r="42" spans="1:23" x14ac:dyDescent="0.2">
      <c r="A42" s="7">
        <f t="shared" si="0"/>
        <v>1.0617517694914212E-3</v>
      </c>
      <c r="B42" s="4">
        <f t="shared" si="11"/>
        <v>36</v>
      </c>
      <c r="C42" s="4">
        <f t="shared" si="3"/>
        <v>306</v>
      </c>
      <c r="D42" s="8">
        <f t="shared" si="12"/>
        <v>25.5</v>
      </c>
      <c r="E42" s="23">
        <f t="shared" si="4"/>
        <v>929.92398828787373</v>
      </c>
      <c r="F42" s="24">
        <f t="shared" si="5"/>
        <v>154.77527396280925</v>
      </c>
      <c r="G42" s="25">
        <f t="shared" si="6"/>
        <v>1139.699262250683</v>
      </c>
      <c r="H42" s="26">
        <f t="shared" si="7"/>
        <v>247.65705480383082</v>
      </c>
      <c r="I42" s="27">
        <f t="shared" si="8"/>
        <v>145773.50225368267</v>
      </c>
      <c r="J42" s="46"/>
      <c r="K42" s="18">
        <f t="shared" si="1"/>
        <v>-8.149674560427303E-2</v>
      </c>
      <c r="L42" s="22">
        <f t="shared" si="13"/>
        <v>1.6999999999999999E-3</v>
      </c>
      <c r="N42" s="15">
        <f t="shared" si="10"/>
        <v>1077.0370926079861</v>
      </c>
      <c r="W42" s="1">
        <f t="shared" si="2"/>
        <v>-1139.699262250683</v>
      </c>
    </row>
    <row r="43" spans="1:23" x14ac:dyDescent="0.2">
      <c r="A43" s="7">
        <f t="shared" si="0"/>
        <v>1.0696741648795615E-3</v>
      </c>
      <c r="B43" s="4">
        <f t="shared" si="11"/>
        <v>37</v>
      </c>
      <c r="C43" s="4">
        <f t="shared" si="3"/>
        <v>305</v>
      </c>
      <c r="D43" s="8">
        <f t="shared" si="12"/>
        <v>25.416666666666668</v>
      </c>
      <c r="E43" s="23">
        <f t="shared" si="4"/>
        <v>930.51688112288923</v>
      </c>
      <c r="F43" s="24">
        <f t="shared" si="5"/>
        <v>156.02833106383275</v>
      </c>
      <c r="G43" s="25">
        <f t="shared" si="6"/>
        <v>1141.545212186722</v>
      </c>
      <c r="H43" s="26">
        <f t="shared" si="7"/>
        <v>247.81495383126054</v>
      </c>
      <c r="I43" s="27">
        <f t="shared" si="8"/>
        <v>145865.2888764501</v>
      </c>
      <c r="J43" s="46"/>
      <c r="K43" s="18">
        <f t="shared" si="1"/>
        <v>-8.0405595667650431E-2</v>
      </c>
      <c r="L43" s="22">
        <f t="shared" si="13"/>
        <v>1.6999999999999999E-3</v>
      </c>
      <c r="N43" s="15">
        <f t="shared" si="10"/>
        <v>1077.0370926079861</v>
      </c>
      <c r="W43" s="1">
        <f t="shared" si="2"/>
        <v>-1141.545212186722</v>
      </c>
    </row>
    <row r="44" spans="1:23" x14ac:dyDescent="0.2">
      <c r="A44" s="7">
        <f t="shared" si="0"/>
        <v>1.0776642901421428E-3</v>
      </c>
      <c r="B44" s="4">
        <f t="shared" si="11"/>
        <v>38</v>
      </c>
      <c r="C44" s="4">
        <f t="shared" si="3"/>
        <v>304</v>
      </c>
      <c r="D44" s="8">
        <f t="shared" si="12"/>
        <v>25.333333333333332</v>
      </c>
      <c r="E44" s="23">
        <f t="shared" si="4"/>
        <v>931.1027832287308</v>
      </c>
      <c r="F44" s="24">
        <f t="shared" si="5"/>
        <v>157.2915350050904</v>
      </c>
      <c r="G44" s="25">
        <f t="shared" si="6"/>
        <v>1143.3943182338212</v>
      </c>
      <c r="H44" s="26">
        <f t="shared" si="7"/>
        <v>247.97099108996514</v>
      </c>
      <c r="I44" s="27">
        <f t="shared" si="8"/>
        <v>145955.96833253498</v>
      </c>
      <c r="J44" s="46"/>
      <c r="K44" s="18">
        <f t="shared" si="1"/>
        <v>-7.9307247411326581E-2</v>
      </c>
      <c r="L44" s="22">
        <f t="shared" si="13"/>
        <v>1.6999999999999999E-3</v>
      </c>
      <c r="N44" s="15">
        <f t="shared" si="10"/>
        <v>1077.0370926079861</v>
      </c>
      <c r="W44" s="1">
        <f t="shared" si="2"/>
        <v>-1143.3943182338212</v>
      </c>
    </row>
    <row r="45" spans="1:23" x14ac:dyDescent="0.2">
      <c r="A45" s="7">
        <f t="shared" si="0"/>
        <v>1.0857228537202214E-3</v>
      </c>
      <c r="B45" s="4">
        <f t="shared" si="11"/>
        <v>39</v>
      </c>
      <c r="C45" s="4">
        <f t="shared" si="3"/>
        <v>303</v>
      </c>
      <c r="D45" s="8">
        <f t="shared" si="12"/>
        <v>25.25</v>
      </c>
      <c r="E45" s="23">
        <f t="shared" si="4"/>
        <v>931.68161795077231</v>
      </c>
      <c r="F45" s="24">
        <f t="shared" si="5"/>
        <v>158.56496798772878</v>
      </c>
      <c r="G45" s="25">
        <f t="shared" si="6"/>
        <v>1145.2465859385011</v>
      </c>
      <c r="H45" s="26">
        <f t="shared" si="7"/>
        <v>248.12514616530945</v>
      </c>
      <c r="I45" s="27">
        <f t="shared" si="8"/>
        <v>146045.52851071255</v>
      </c>
      <c r="J45" s="46"/>
      <c r="K45" s="18">
        <f t="shared" si="1"/>
        <v>-7.8201654802741299E-2</v>
      </c>
      <c r="L45" s="22">
        <f t="shared" si="13"/>
        <v>1.6999999999999999E-3</v>
      </c>
      <c r="N45" s="15">
        <f t="shared" si="10"/>
        <v>1077.0370926079861</v>
      </c>
      <c r="W45" s="1">
        <f t="shared" si="2"/>
        <v>-1145.2465859385011</v>
      </c>
    </row>
    <row r="46" spans="1:23" x14ac:dyDescent="0.2">
      <c r="A46" s="7">
        <f t="shared" si="0"/>
        <v>1.0938505734483155E-3</v>
      </c>
      <c r="B46" s="4">
        <f t="shared" si="11"/>
        <v>40</v>
      </c>
      <c r="C46" s="4">
        <f t="shared" si="3"/>
        <v>302</v>
      </c>
      <c r="D46" s="8">
        <f t="shared" si="12"/>
        <v>25.166666666666668</v>
      </c>
      <c r="E46" s="23">
        <f t="shared" si="4"/>
        <v>932.25330797935919</v>
      </c>
      <c r="F46" s="24">
        <f t="shared" si="5"/>
        <v>159.84871287944577</v>
      </c>
      <c r="G46" s="25">
        <f t="shared" si="6"/>
        <v>1147.102020858805</v>
      </c>
      <c r="H46" s="26">
        <f t="shared" si="7"/>
        <v>248.27739846821132</v>
      </c>
      <c r="I46" s="27">
        <f t="shared" si="8"/>
        <v>146133.95719630131</v>
      </c>
      <c r="J46" s="46"/>
      <c r="K46" s="18">
        <f t="shared" si="1"/>
        <v>-7.7088771513593293E-2</v>
      </c>
      <c r="L46" s="22">
        <f t="shared" si="13"/>
        <v>1.6999999999999999E-3</v>
      </c>
      <c r="N46" s="15">
        <f t="shared" si="10"/>
        <v>1077.0370926079861</v>
      </c>
      <c r="W46" s="1">
        <f t="shared" si="2"/>
        <v>-1147.102020858805</v>
      </c>
    </row>
    <row r="47" spans="1:23" x14ac:dyDescent="0.2">
      <c r="A47" s="7">
        <f t="shared" si="0"/>
        <v>1.1020481767103096E-3</v>
      </c>
      <c r="B47" s="4">
        <f t="shared" si="11"/>
        <v>41</v>
      </c>
      <c r="C47" s="4">
        <f t="shared" si="3"/>
        <v>301</v>
      </c>
      <c r="D47" s="8">
        <f t="shared" si="12"/>
        <v>25.083333333333332</v>
      </c>
      <c r="E47" s="23">
        <f t="shared" si="4"/>
        <v>932.81777534444075</v>
      </c>
      <c r="F47" s="24">
        <f t="shared" si="5"/>
        <v>161.14285321990758</v>
      </c>
      <c r="G47" s="25">
        <f t="shared" si="6"/>
        <v>1148.9606285643483</v>
      </c>
      <c r="H47" s="26">
        <f t="shared" si="7"/>
        <v>248.42772723371223</v>
      </c>
      <c r="I47" s="27">
        <f t="shared" si="8"/>
        <v>146221.24207031511</v>
      </c>
      <c r="J47" s="46"/>
      <c r="K47" s="18">
        <f t="shared" si="1"/>
        <v>-7.5968550917944883E-2</v>
      </c>
      <c r="L47" s="22">
        <f t="shared" si="13"/>
        <v>1.6999999999999999E-3</v>
      </c>
      <c r="N47" s="15">
        <f t="shared" si="10"/>
        <v>1077.0370926079861</v>
      </c>
      <c r="W47" s="1">
        <f t="shared" si="2"/>
        <v>-1148.9606285643483</v>
      </c>
    </row>
    <row r="48" spans="1:23" x14ac:dyDescent="0.2">
      <c r="A48" s="7">
        <f t="shared" si="0"/>
        <v>1.1103164005984805E-3</v>
      </c>
      <c r="B48" s="4">
        <f t="shared" si="11"/>
        <v>42</v>
      </c>
      <c r="C48" s="4">
        <f t="shared" si="3"/>
        <v>300</v>
      </c>
      <c r="D48" s="8">
        <f t="shared" si="12"/>
        <v>25</v>
      </c>
      <c r="E48" s="23">
        <f t="shared" si="4"/>
        <v>933.37494141015804</v>
      </c>
      <c r="F48" s="24">
        <f t="shared" si="5"/>
        <v>162.44747322620969</v>
      </c>
      <c r="G48" s="25">
        <f t="shared" si="6"/>
        <v>1150.8224146363677</v>
      </c>
      <c r="H48" s="26">
        <f t="shared" si="7"/>
        <v>248.57611151953569</v>
      </c>
      <c r="I48" s="27">
        <f t="shared" si="8"/>
        <v>146307.37070860845</v>
      </c>
      <c r="J48" s="46"/>
      <c r="K48" s="18">
        <f t="shared" si="1"/>
        <v>-7.4840946090314525E-2</v>
      </c>
      <c r="L48" s="22">
        <f t="shared" si="13"/>
        <v>1.6999999999999999E-3</v>
      </c>
      <c r="N48" s="15">
        <f t="shared" si="10"/>
        <v>1077.0370926079861</v>
      </c>
      <c r="W48" s="1">
        <f t="shared" si="2"/>
        <v>-1150.8224146363677</v>
      </c>
    </row>
    <row r="49" spans="1:23" x14ac:dyDescent="0.2">
      <c r="A49" s="7">
        <f t="shared" si="0"/>
        <v>1.1186559920757207E-3</v>
      </c>
      <c r="B49" s="4">
        <f t="shared" si="11"/>
        <v>43</v>
      </c>
      <c r="C49" s="4">
        <f t="shared" si="3"/>
        <v>299</v>
      </c>
      <c r="D49" s="8">
        <f t="shared" si="12"/>
        <v>24.916666666666668</v>
      </c>
      <c r="E49" s="23">
        <f t="shared" si="4"/>
        <v>933.92472686938788</v>
      </c>
      <c r="F49" s="24">
        <f t="shared" si="5"/>
        <v>163.76265779838184</v>
      </c>
      <c r="G49" s="25">
        <f t="shared" si="6"/>
        <v>1152.6873846677697</v>
      </c>
      <c r="H49" s="26">
        <f t="shared" si="7"/>
        <v>248.72253020463435</v>
      </c>
      <c r="I49" s="27">
        <f t="shared" si="8"/>
        <v>146392.33058101468</v>
      </c>
      <c r="J49" s="46"/>
      <c r="K49" s="18">
        <f t="shared" si="1"/>
        <v>-7.3705909803758157E-2</v>
      </c>
      <c r="L49" s="22">
        <f t="shared" si="13"/>
        <v>1.6999999999999999E-3</v>
      </c>
      <c r="N49" s="15">
        <f t="shared" si="10"/>
        <v>1077.0370926079861</v>
      </c>
      <c r="W49" s="1">
        <f t="shared" si="2"/>
        <v>-1152.6873846677697</v>
      </c>
    </row>
    <row r="50" spans="1:23" x14ac:dyDescent="0.2">
      <c r="A50" s="7">
        <f t="shared" si="0"/>
        <v>1.127067708141051E-3</v>
      </c>
      <c r="B50" s="4">
        <f t="shared" si="11"/>
        <v>44</v>
      </c>
      <c r="C50" s="4">
        <f t="shared" si="3"/>
        <v>298</v>
      </c>
      <c r="D50" s="8">
        <f t="shared" si="12"/>
        <v>24.833333333333332</v>
      </c>
      <c r="E50" s="23">
        <f t="shared" si="4"/>
        <v>934.46705173824137</v>
      </c>
      <c r="F50" s="24">
        <f t="shared" si="5"/>
        <v>165.08849252494031</v>
      </c>
      <c r="G50" s="25">
        <f t="shared" si="6"/>
        <v>1154.5555442631817</v>
      </c>
      <c r="H50" s="26">
        <f t="shared" si="7"/>
        <v>248.86696198772495</v>
      </c>
      <c r="I50" s="27">
        <f t="shared" si="8"/>
        <v>146476.10905047748</v>
      </c>
      <c r="J50" s="46"/>
      <c r="K50" s="18">
        <f t="shared" si="1"/>
        <v>-7.2563394527935574E-2</v>
      </c>
      <c r="L50" s="22">
        <f t="shared" si="13"/>
        <v>1.6999999999999999E-3</v>
      </c>
      <c r="N50" s="15">
        <f t="shared" si="10"/>
        <v>1077.0370926079861</v>
      </c>
      <c r="W50" s="1">
        <f t="shared" si="2"/>
        <v>-1154.5555442631817</v>
      </c>
    </row>
    <row r="51" spans="1:23" x14ac:dyDescent="0.2">
      <c r="A51" s="7">
        <f t="shared" si="0"/>
        <v>1.1355523159984717E-3</v>
      </c>
      <c r="B51" s="4">
        <f t="shared" si="11"/>
        <v>45</v>
      </c>
      <c r="C51" s="4">
        <f t="shared" si="3"/>
        <v>297</v>
      </c>
      <c r="D51" s="8">
        <f t="shared" si="12"/>
        <v>24.75</v>
      </c>
      <c r="E51" s="23">
        <f t="shared" si="4"/>
        <v>935.00183535052031</v>
      </c>
      <c r="F51" s="24">
        <f t="shared" si="5"/>
        <v>166.42506368848296</v>
      </c>
      <c r="G51" s="25">
        <f t="shared" si="6"/>
        <v>1156.4268990390033</v>
      </c>
      <c r="H51" s="26">
        <f t="shared" si="7"/>
        <v>249.0093853858117</v>
      </c>
      <c r="I51" s="27">
        <f t="shared" si="8"/>
        <v>146558.69337217481</v>
      </c>
      <c r="J51" s="46"/>
      <c r="K51" s="18">
        <f t="shared" si="1"/>
        <v>-7.1413352427167454E-2</v>
      </c>
      <c r="L51" s="22">
        <f t="shared" si="13"/>
        <v>1.6999999999999999E-3</v>
      </c>
      <c r="N51" s="15">
        <f t="shared" si="10"/>
        <v>1077.0370926079861</v>
      </c>
      <c r="W51" s="1">
        <f t="shared" si="2"/>
        <v>-1156.4268990390033</v>
      </c>
    </row>
    <row r="52" spans="1:23" x14ac:dyDescent="0.2">
      <c r="A52" s="7">
        <f t="shared" si="0"/>
        <v>1.1441105932292587E-3</v>
      </c>
      <c r="B52" s="4">
        <f t="shared" si="11"/>
        <v>46</v>
      </c>
      <c r="C52" s="4">
        <f t="shared" si="3"/>
        <v>296</v>
      </c>
      <c r="D52" s="8">
        <f t="shared" si="12"/>
        <v>24.666666666666668</v>
      </c>
      <c r="E52" s="23">
        <f t="shared" si="4"/>
        <v>935.52899635212475</v>
      </c>
      <c r="F52" s="24">
        <f t="shared" si="5"/>
        <v>167.77245827133243</v>
      </c>
      <c r="G52" s="25">
        <f t="shared" si="6"/>
        <v>1158.3014546234572</v>
      </c>
      <c r="H52" s="26">
        <f t="shared" si="7"/>
        <v>249.14977873269714</v>
      </c>
      <c r="I52" s="27">
        <f t="shared" si="8"/>
        <v>146640.07069263619</v>
      </c>
      <c r="J52" s="46"/>
      <c r="K52" s="18">
        <f t="shared" si="1"/>
        <v>-7.0255735358477137E-2</v>
      </c>
      <c r="L52" s="22">
        <f t="shared" si="13"/>
        <v>1.6999999999999999E-3</v>
      </c>
      <c r="N52" s="15">
        <f t="shared" si="10"/>
        <v>1077.0370926079861</v>
      </c>
      <c r="W52" s="1">
        <f t="shared" si="2"/>
        <v>-1158.3014546234572</v>
      </c>
    </row>
    <row r="53" spans="1:23" x14ac:dyDescent="0.2">
      <c r="A53" s="7">
        <f t="shared" si="0"/>
        <v>1.1527433279677525E-3</v>
      </c>
      <c r="B53" s="4">
        <f t="shared" si="11"/>
        <v>47</v>
      </c>
      <c r="C53" s="4">
        <f t="shared" si="3"/>
        <v>295</v>
      </c>
      <c r="D53" s="8">
        <f t="shared" si="12"/>
        <v>24.583333333333332</v>
      </c>
      <c r="E53" s="23">
        <f t="shared" si="4"/>
        <v>936.04845269541886</v>
      </c>
      <c r="F53" s="24">
        <f t="shared" si="5"/>
        <v>169.13076396122176</v>
      </c>
      <c r="G53" s="25">
        <f t="shared" si="6"/>
        <v>1160.1792166566406</v>
      </c>
      <c r="H53" s="26">
        <f t="shared" si="7"/>
        <v>249.28812017748152</v>
      </c>
      <c r="I53" s="27">
        <f t="shared" si="8"/>
        <v>146720.22804885244</v>
      </c>
      <c r="J53" s="46"/>
      <c r="K53" s="18">
        <f t="shared" si="1"/>
        <v>-6.9090494869623778E-2</v>
      </c>
      <c r="L53" s="22">
        <f t="shared" si="13"/>
        <v>1.6999999999999999E-3</v>
      </c>
      <c r="N53" s="15">
        <f t="shared" si="10"/>
        <v>1077.0370926079861</v>
      </c>
      <c r="W53" s="1">
        <f t="shared" si="2"/>
        <v>-1160.1792166566406</v>
      </c>
    </row>
    <row r="54" spans="1:23" x14ac:dyDescent="0.2">
      <c r="A54" s="7">
        <f t="shared" si="0"/>
        <v>1.1614513190807811E-3</v>
      </c>
      <c r="B54" s="4">
        <f t="shared" si="11"/>
        <v>48</v>
      </c>
      <c r="C54" s="4">
        <f t="shared" si="3"/>
        <v>294</v>
      </c>
      <c r="D54" s="8">
        <f t="shared" si="12"/>
        <v>24.5</v>
      </c>
      <c r="E54" s="23">
        <f t="shared" si="4"/>
        <v>936.56012163354728</v>
      </c>
      <c r="F54" s="24">
        <f t="shared" si="5"/>
        <v>170.50006915703227</v>
      </c>
      <c r="G54" s="25">
        <f t="shared" si="6"/>
        <v>1162.0601907905796</v>
      </c>
      <c r="H54" s="26">
        <f t="shared" si="7"/>
        <v>249.42438768304913</v>
      </c>
      <c r="I54" s="27">
        <f t="shared" si="8"/>
        <v>146799.15236737844</v>
      </c>
      <c r="J54" s="46"/>
      <c r="K54" s="18">
        <f t="shared" si="1"/>
        <v>-6.7917582197117188E-2</v>
      </c>
      <c r="L54" s="22">
        <f t="shared" si="13"/>
        <v>1.6999999999999999E-3</v>
      </c>
      <c r="N54" s="15">
        <f t="shared" si="10"/>
        <v>1077.0370926079861</v>
      </c>
      <c r="W54" s="1">
        <f t="shared" si="2"/>
        <v>-1162.0601907905796</v>
      </c>
    </row>
    <row r="55" spans="1:23" x14ac:dyDescent="0.2">
      <c r="A55" s="7">
        <f t="shared" si="0"/>
        <v>1.1702353763507279E-3</v>
      </c>
      <c r="B55" s="4">
        <f t="shared" si="11"/>
        <v>49</v>
      </c>
      <c r="C55" s="4">
        <f t="shared" si="3"/>
        <v>293</v>
      </c>
      <c r="D55" s="8">
        <f t="shared" si="12"/>
        <v>24.416666666666668</v>
      </c>
      <c r="E55" s="23">
        <f t="shared" si="4"/>
        <v>937.0639197147085</v>
      </c>
      <c r="F55" s="24">
        <f t="shared" si="5"/>
        <v>171.8804629745722</v>
      </c>
      <c r="G55" s="25">
        <f t="shared" si="6"/>
        <v>1163.9443826892807</v>
      </c>
      <c r="H55" s="26">
        <f t="shared" si="7"/>
        <v>249.55855902454334</v>
      </c>
      <c r="I55" s="27">
        <f t="shared" si="8"/>
        <v>146876.8304634284</v>
      </c>
      <c r="J55" s="46"/>
      <c r="K55" s="18">
        <f t="shared" si="1"/>
        <v>-6.6736948264226131E-2</v>
      </c>
      <c r="L55" s="22">
        <f t="shared" si="13"/>
        <v>1.6999999999999999E-3</v>
      </c>
      <c r="N55" s="15">
        <f t="shared" si="10"/>
        <v>1077.0370926079861</v>
      </c>
      <c r="W55" s="1">
        <f t="shared" si="2"/>
        <v>-1163.9443826892807</v>
      </c>
    </row>
    <row r="56" spans="1:23" x14ac:dyDescent="0.2">
      <c r="A56" s="7">
        <f t="shared" si="0"/>
        <v>1.1790963206624037E-3</v>
      </c>
      <c r="B56" s="4">
        <f t="shared" si="11"/>
        <v>50</v>
      </c>
      <c r="C56" s="4">
        <f t="shared" si="3"/>
        <v>292</v>
      </c>
      <c r="D56" s="8">
        <f t="shared" si="12"/>
        <v>24.333333333333332</v>
      </c>
      <c r="E56" s="23">
        <f t="shared" si="4"/>
        <v>937.55976277637956</v>
      </c>
      <c r="F56" s="24">
        <f t="shared" si="5"/>
        <v>173.27203525240725</v>
      </c>
      <c r="G56" s="25">
        <f t="shared" si="6"/>
        <v>1165.8317980287868</v>
      </c>
      <c r="H56" s="26">
        <f t="shared" si="7"/>
        <v>249.69061178782826</v>
      </c>
      <c r="I56" s="27">
        <f t="shared" si="8"/>
        <v>146953.24903996382</v>
      </c>
      <c r="J56" s="46"/>
      <c r="K56" s="18">
        <f t="shared" si="1"/>
        <v>-6.5548543678969104E-2</v>
      </c>
      <c r="L56" s="22">
        <f t="shared" si="13"/>
        <v>1.6999999999999999E-3</v>
      </c>
      <c r="N56" s="15">
        <f t="shared" si="10"/>
        <v>1077.0370926079861</v>
      </c>
      <c r="W56" s="1">
        <f t="shared" si="2"/>
        <v>-1165.8317980287868</v>
      </c>
    </row>
    <row r="57" spans="1:23" x14ac:dyDescent="0.2">
      <c r="A57" s="7">
        <f t="shared" si="0"/>
        <v>1.1880349841937657E-3</v>
      </c>
      <c r="B57" s="4">
        <f t="shared" si="11"/>
        <v>51</v>
      </c>
      <c r="C57" s="4">
        <f t="shared" si="3"/>
        <v>291</v>
      </c>
      <c r="D57" s="8">
        <f t="shared" si="12"/>
        <v>24.25</v>
      </c>
      <c r="E57" s="23">
        <f t="shared" si="4"/>
        <v>938.04756593949378</v>
      </c>
      <c r="F57" s="24">
        <f t="shared" si="5"/>
        <v>174.6748765577363</v>
      </c>
      <c r="G57" s="25">
        <f t="shared" si="6"/>
        <v>1167.7224424972301</v>
      </c>
      <c r="H57" s="26">
        <f t="shared" si="7"/>
        <v>249.82052336793848</v>
      </c>
      <c r="I57" s="27">
        <f t="shared" si="8"/>
        <v>147028.394686774</v>
      </c>
      <c r="J57" s="46"/>
      <c r="K57" s="18">
        <f t="shared" si="1"/>
        <v>-6.435231873209496E-2</v>
      </c>
      <c r="L57" s="22">
        <f t="shared" si="13"/>
        <v>1.6999999999999999E-3</v>
      </c>
      <c r="N57" s="15">
        <f t="shared" si="10"/>
        <v>1077.0370926079861</v>
      </c>
      <c r="W57" s="1">
        <f t="shared" si="2"/>
        <v>-1167.7224424972301</v>
      </c>
    </row>
    <row r="58" spans="1:23" x14ac:dyDescent="0.2">
      <c r="A58" s="7">
        <f t="shared" si="0"/>
        <v>1.1970522106106035E-3</v>
      </c>
      <c r="B58" s="4">
        <f t="shared" si="11"/>
        <v>52</v>
      </c>
      <c r="C58" s="4">
        <f t="shared" si="3"/>
        <v>290</v>
      </c>
      <c r="D58" s="8">
        <f t="shared" si="12"/>
        <v>24.166666666666668</v>
      </c>
      <c r="E58" s="23">
        <f t="shared" si="4"/>
        <v>938.52724360257196</v>
      </c>
      <c r="F58" s="24">
        <f t="shared" si="5"/>
        <v>176.08907819231661</v>
      </c>
      <c r="G58" s="25">
        <f t="shared" si="6"/>
        <v>1169.6163217948886</v>
      </c>
      <c r="H58" s="26">
        <f t="shared" si="7"/>
        <v>249.94827096751578</v>
      </c>
      <c r="I58" s="27">
        <f t="shared" si="8"/>
        <v>147102.25387954921</v>
      </c>
      <c r="J58" s="46"/>
      <c r="K58" s="18">
        <f t="shared" si="1"/>
        <v>-6.3148223395049025E-2</v>
      </c>
      <c r="L58" s="22">
        <f t="shared" si="13"/>
        <v>1.6999999999999999E-3</v>
      </c>
      <c r="N58" s="15">
        <f t="shared" si="10"/>
        <v>1077.0370926079861</v>
      </c>
      <c r="W58" s="1">
        <f t="shared" si="2"/>
        <v>-1169.6163217948886</v>
      </c>
    </row>
    <row r="59" spans="1:23" x14ac:dyDescent="0.2">
      <c r="A59" s="7">
        <f t="shared" si="0"/>
        <v>1.2061488552652707E-3</v>
      </c>
      <c r="B59" s="4">
        <f t="shared" si="11"/>
        <v>53</v>
      </c>
      <c r="C59" s="4">
        <f t="shared" si="3"/>
        <v>289</v>
      </c>
      <c r="D59" s="8">
        <f t="shared" si="12"/>
        <v>24.083333333333332</v>
      </c>
      <c r="E59" s="23">
        <f t="shared" si="4"/>
        <v>938.99870943580584</v>
      </c>
      <c r="F59" s="24">
        <f t="shared" si="5"/>
        <v>177.51473219843604</v>
      </c>
      <c r="G59" s="25">
        <f t="shared" si="6"/>
        <v>1171.5134416342419</v>
      </c>
      <c r="H59" s="26">
        <f t="shared" si="7"/>
        <v>250.07383159523366</v>
      </c>
      <c r="I59" s="27">
        <f t="shared" si="8"/>
        <v>147174.81297894602</v>
      </c>
      <c r="J59" s="46"/>
      <c r="K59" s="18">
        <f t="shared" si="1"/>
        <v>-6.1936207317927892E-2</v>
      </c>
      <c r="L59" s="22">
        <f t="shared" si="13"/>
        <v>1.6999999999999999E-3</v>
      </c>
      <c r="N59" s="15">
        <f t="shared" si="10"/>
        <v>1077.0370926079861</v>
      </c>
      <c r="W59" s="1">
        <f t="shared" si="2"/>
        <v>-1171.5134416342419</v>
      </c>
    </row>
    <row r="60" spans="1:23" x14ac:dyDescent="0.2">
      <c r="A60" s="7">
        <f t="shared" si="0"/>
        <v>1.2153257853995817E-3</v>
      </c>
      <c r="B60" s="4">
        <f t="shared" si="11"/>
        <v>54</v>
      </c>
      <c r="C60" s="4">
        <f t="shared" si="3"/>
        <v>288</v>
      </c>
      <c r="D60" s="8">
        <f t="shared" si="12"/>
        <v>24</v>
      </c>
      <c r="E60" s="23">
        <f t="shared" si="4"/>
        <v>939.46187637509161</v>
      </c>
      <c r="F60" s="24">
        <f t="shared" si="5"/>
        <v>178.95193136493617</v>
      </c>
      <c r="G60" s="25">
        <f t="shared" si="6"/>
        <v>1173.4138077400278</v>
      </c>
      <c r="H60" s="26">
        <f t="shared" si="7"/>
        <v>250.19718206420822</v>
      </c>
      <c r="I60" s="27">
        <f t="shared" si="8"/>
        <v>147246.05822964528</v>
      </c>
      <c r="J60" s="46"/>
      <c r="K60" s="18">
        <f t="shared" si="1"/>
        <v>-6.0716219827418788E-2</v>
      </c>
      <c r="L60" s="22">
        <f t="shared" si="13"/>
        <v>1.6999999999999999E-3</v>
      </c>
      <c r="N60" s="15">
        <f t="shared" si="10"/>
        <v>1077.0370926079861</v>
      </c>
      <c r="W60" s="1">
        <f t="shared" si="2"/>
        <v>-1173.4138077400278</v>
      </c>
    </row>
    <row r="61" spans="1:23" x14ac:dyDescent="0.2">
      <c r="A61" s="7">
        <f t="shared" si="0"/>
        <v>1.2245838803519491E-3</v>
      </c>
      <c r="B61" s="4">
        <f t="shared" si="11"/>
        <v>55</v>
      </c>
      <c r="C61" s="4">
        <f t="shared" si="3"/>
        <v>287</v>
      </c>
      <c r="D61" s="8">
        <f t="shared" si="12"/>
        <v>23.916666666666668</v>
      </c>
      <c r="E61" s="23">
        <f t="shared" si="4"/>
        <v>939.91665661601712</v>
      </c>
      <c r="F61" s="24">
        <f t="shared" si="5"/>
        <v>180.40076923328263</v>
      </c>
      <c r="G61" s="25">
        <f t="shared" si="6"/>
        <v>1175.3174258492998</v>
      </c>
      <c r="H61" s="26">
        <f t="shared" si="7"/>
        <v>250.31829899039695</v>
      </c>
      <c r="I61" s="27">
        <f t="shared" si="8"/>
        <v>147315.97575940238</v>
      </c>
      <c r="J61" s="46"/>
      <c r="K61" s="18">
        <f t="shared" si="1"/>
        <v>-5.9488209924728211E-2</v>
      </c>
      <c r="L61" s="22">
        <f t="shared" si="13"/>
        <v>1.6999999999999999E-3</v>
      </c>
      <c r="N61" s="15">
        <f t="shared" si="10"/>
        <v>1077.0370926079861</v>
      </c>
      <c r="W61" s="1">
        <f t="shared" si="2"/>
        <v>-1175.3174258492998</v>
      </c>
    </row>
    <row r="62" spans="1:23" x14ac:dyDescent="0.2">
      <c r="A62" s="7">
        <f t="shared" si="0"/>
        <v>1.2339240317688978E-3</v>
      </c>
      <c r="B62" s="4">
        <f t="shared" si="11"/>
        <v>56</v>
      </c>
      <c r="C62" s="4">
        <f t="shared" si="3"/>
        <v>286</v>
      </c>
      <c r="D62" s="8">
        <f t="shared" si="12"/>
        <v>23.833333333333332</v>
      </c>
      <c r="E62" s="23">
        <f t="shared" si="4"/>
        <v>940.36296160779932</v>
      </c>
      <c r="F62" s="24">
        <f t="shared" si="5"/>
        <v>181.86134010368744</v>
      </c>
      <c r="G62" s="25">
        <f t="shared" si="6"/>
        <v>1177.2243017114868</v>
      </c>
      <c r="H62" s="26">
        <f t="shared" si="7"/>
        <v>250.43715879098403</v>
      </c>
      <c r="I62" s="27">
        <f t="shared" si="8"/>
        <v>147384.55157808965</v>
      </c>
      <c r="J62" s="46"/>
      <c r="K62" s="18">
        <f t="shared" si="1"/>
        <v>-5.8252126283494868E-2</v>
      </c>
      <c r="L62" s="22">
        <f t="shared" si="13"/>
        <v>1.6999999999999999E-3</v>
      </c>
      <c r="N62" s="15">
        <f t="shared" si="10"/>
        <v>1077.0370926079861</v>
      </c>
      <c r="W62" s="1">
        <f t="shared" si="2"/>
        <v>-1177.2243017114868</v>
      </c>
    </row>
    <row r="63" spans="1:23" x14ac:dyDescent="0.2">
      <c r="A63" s="7">
        <f t="shared" si="0"/>
        <v>1.2433471438210162E-3</v>
      </c>
      <c r="B63" s="4">
        <f t="shared" si="11"/>
        <v>57</v>
      </c>
      <c r="C63" s="4">
        <f t="shared" si="3"/>
        <v>285</v>
      </c>
      <c r="D63" s="8">
        <f t="shared" si="12"/>
        <v>23.75</v>
      </c>
      <c r="E63" s="23">
        <f t="shared" si="4"/>
        <v>940.8007020471714</v>
      </c>
      <c r="F63" s="24">
        <f t="shared" si="5"/>
        <v>183.33373904127757</v>
      </c>
      <c r="G63" s="25">
        <f t="shared" si="6"/>
        <v>1179.134441088449</v>
      </c>
      <c r="H63" s="26">
        <f t="shared" si="7"/>
        <v>250.5537376827524</v>
      </c>
      <c r="I63" s="27">
        <f t="shared" si="8"/>
        <v>147451.77157673115</v>
      </c>
      <c r="J63" s="46"/>
      <c r="K63" s="18">
        <f t="shared" si="1"/>
        <v>-5.700791724769283E-2</v>
      </c>
      <c r="L63" s="22">
        <f t="shared" si="13"/>
        <v>1.6999999999999999E-3</v>
      </c>
      <c r="N63" s="15">
        <f t="shared" si="10"/>
        <v>1077.0370926079861</v>
      </c>
      <c r="W63" s="1">
        <f t="shared" si="2"/>
        <v>-1179.134441088449</v>
      </c>
    </row>
    <row r="64" spans="1:23" x14ac:dyDescent="0.2">
      <c r="A64" s="7">
        <f t="shared" si="0"/>
        <v>1.2528541334235312E-3</v>
      </c>
      <c r="B64" s="4">
        <f t="shared" si="11"/>
        <v>58</v>
      </c>
      <c r="C64" s="4">
        <f t="shared" si="3"/>
        <v>284</v>
      </c>
      <c r="D64" s="8">
        <f t="shared" si="12"/>
        <v>23.666666666666668</v>
      </c>
      <c r="E64" s="23">
        <f t="shared" si="4"/>
        <v>941.22978787222155</v>
      </c>
      <c r="F64" s="24">
        <f t="shared" si="5"/>
        <v>184.81806188232031</v>
      </c>
      <c r="G64" s="25">
        <f t="shared" si="6"/>
        <v>1181.0478497545419</v>
      </c>
      <c r="H64" s="26">
        <f t="shared" si="7"/>
        <v>250.66801168044293</v>
      </c>
      <c r="I64" s="27">
        <f t="shared" si="8"/>
        <v>147517.62152652928</v>
      </c>
      <c r="J64" s="46"/>
      <c r="K64" s="18">
        <f t="shared" si="1"/>
        <v>-5.5755530829515731E-2</v>
      </c>
      <c r="L64" s="22">
        <f t="shared" si="13"/>
        <v>1.6999999999999999E-3</v>
      </c>
      <c r="N64" s="15">
        <f t="shared" si="10"/>
        <v>1077.0370926079861</v>
      </c>
      <c r="W64" s="1">
        <f t="shared" si="2"/>
        <v>-1181.0478497545419</v>
      </c>
    </row>
    <row r="65" spans="1:23" x14ac:dyDescent="0.2">
      <c r="A65" s="7">
        <f t="shared" si="0"/>
        <v>1.2624459304615239E-3</v>
      </c>
      <c r="B65" s="4">
        <f t="shared" si="11"/>
        <v>59</v>
      </c>
      <c r="C65" s="4">
        <f t="shared" si="3"/>
        <v>283</v>
      </c>
      <c r="D65" s="8">
        <f t="shared" si="12"/>
        <v>23.583333333333332</v>
      </c>
      <c r="E65" s="23">
        <f t="shared" si="4"/>
        <v>941.65012825617987</v>
      </c>
      <c r="F65" s="24">
        <f t="shared" si="5"/>
        <v>186.31440524049276</v>
      </c>
      <c r="G65" s="25">
        <f t="shared" si="6"/>
        <v>1182.9645334966726</v>
      </c>
      <c r="H65" s="26">
        <f t="shared" si="7"/>
        <v>250.77995659509978</v>
      </c>
      <c r="I65" s="27">
        <f t="shared" si="8"/>
        <v>147582.08707788389</v>
      </c>
      <c r="J65" s="46"/>
      <c r="K65" s="18">
        <f t="shared" si="1"/>
        <v>-5.4494914707253428E-2</v>
      </c>
      <c r="L65" s="22">
        <f t="shared" si="13"/>
        <v>1.6999999999999999E-3</v>
      </c>
      <c r="N65" s="15">
        <f t="shared" si="10"/>
        <v>1077.0370926079861</v>
      </c>
      <c r="W65" s="1">
        <f t="shared" si="2"/>
        <v>-1182.9645334966726</v>
      </c>
    </row>
    <row r="66" spans="1:23" x14ac:dyDescent="0.2">
      <c r="A66" s="7">
        <f t="shared" si="0"/>
        <v>1.2721234780199871E-3</v>
      </c>
      <c r="B66" s="4">
        <f t="shared" si="11"/>
        <v>60</v>
      </c>
      <c r="C66" s="4">
        <f t="shared" si="3"/>
        <v>282</v>
      </c>
      <c r="D66" s="8">
        <f t="shared" si="12"/>
        <v>23.5</v>
      </c>
      <c r="E66" s="23">
        <f t="shared" si="4"/>
        <v>942.06163160115648</v>
      </c>
      <c r="F66" s="24">
        <f t="shared" si="5"/>
        <v>187.8228665132076</v>
      </c>
      <c r="G66" s="25">
        <f t="shared" si="6"/>
        <v>1184.8844981143641</v>
      </c>
      <c r="H66" s="26">
        <f t="shared" si="7"/>
        <v>250.88954803240259</v>
      </c>
      <c r="I66" s="27">
        <f t="shared" si="8"/>
        <v>147645.15375940307</v>
      </c>
      <c r="J66" s="46"/>
      <c r="K66" s="18">
        <f t="shared" si="1"/>
        <v>-5.3226016223150756E-2</v>
      </c>
      <c r="L66" s="22">
        <f t="shared" si="13"/>
        <v>1.6999999999999999E-3</v>
      </c>
      <c r="N66" s="15">
        <f t="shared" si="10"/>
        <v>1077.0370926079861</v>
      </c>
      <c r="W66" s="1">
        <f t="shared" si="2"/>
        <v>-1184.8844981143641</v>
      </c>
    </row>
    <row r="67" spans="1:23" x14ac:dyDescent="0.2">
      <c r="A67" s="7">
        <f t="shared" si="0"/>
        <v>1.2818877326187974E-3</v>
      </c>
      <c r="B67" s="4">
        <f t="shared" si="11"/>
        <v>61</v>
      </c>
      <c r="C67" s="4">
        <f t="shared" si="3"/>
        <v>281</v>
      </c>
      <c r="D67" s="8">
        <f t="shared" si="12"/>
        <v>23.416666666666668</v>
      </c>
      <c r="E67" s="23">
        <f t="shared" si="4"/>
        <v>942.46420553182793</v>
      </c>
      <c r="F67" s="24">
        <f t="shared" si="5"/>
        <v>189.34354388798852</v>
      </c>
      <c r="G67" s="25">
        <f t="shared" si="6"/>
        <v>1186.8077494198164</v>
      </c>
      <c r="H67" s="26">
        <f t="shared" si="7"/>
        <v>250.9967613909852</v>
      </c>
      <c r="I67" s="27">
        <f t="shared" si="8"/>
        <v>147706.80697690608</v>
      </c>
      <c r="J67" s="46"/>
      <c r="K67" s="18">
        <f t="shared" si="1"/>
        <v>-5.194878238125468E-2</v>
      </c>
      <c r="L67" s="22">
        <f t="shared" si="13"/>
        <v>1.6999999999999999E-3</v>
      </c>
      <c r="N67" s="15">
        <f t="shared" si="10"/>
        <v>1077.0370926079861</v>
      </c>
      <c r="W67" s="1">
        <f t="shared" si="2"/>
        <v>-1186.8077494198164</v>
      </c>
    </row>
    <row r="68" spans="1:23" x14ac:dyDescent="0.2">
      <c r="A68" s="7">
        <f t="shared" si="0"/>
        <v>1.291739664452747E-3</v>
      </c>
      <c r="B68" s="4">
        <f t="shared" si="11"/>
        <v>62</v>
      </c>
      <c r="C68" s="4">
        <f t="shared" si="3"/>
        <v>280</v>
      </c>
      <c r="D68" s="8">
        <f t="shared" si="12"/>
        <v>23.333333333333332</v>
      </c>
      <c r="E68" s="23">
        <f t="shared" si="4"/>
        <v>942.85775688907154</v>
      </c>
      <c r="F68" s="24">
        <f t="shared" si="5"/>
        <v>190.87653634889909</v>
      </c>
      <c r="G68" s="25">
        <f t="shared" si="6"/>
        <v>1188.7342932379706</v>
      </c>
      <c r="H68" s="26">
        <f t="shared" si="7"/>
        <v>251.10157186074034</v>
      </c>
      <c r="I68" s="27">
        <f t="shared" si="8"/>
        <v>147767.03201241794</v>
      </c>
      <c r="J68" s="46"/>
      <c r="K68" s="18">
        <f t="shared" si="1"/>
        <v>-5.0663159845246337E-2</v>
      </c>
      <c r="L68" s="22">
        <f t="shared" si="13"/>
        <v>1.6999999999999999E-3</v>
      </c>
      <c r="N68" s="15">
        <f t="shared" si="10"/>
        <v>1077.0370926079861</v>
      </c>
      <c r="W68" s="1">
        <f t="shared" si="2"/>
        <v>-1188.7342932379706</v>
      </c>
    </row>
    <row r="69" spans="1:23" x14ac:dyDescent="0.2">
      <c r="A69" s="7">
        <f t="shared" si="0"/>
        <v>1.3016802576367398E-3</v>
      </c>
      <c r="B69" s="4">
        <f t="shared" si="11"/>
        <v>63</v>
      </c>
      <c r="C69" s="4">
        <f t="shared" si="3"/>
        <v>279</v>
      </c>
      <c r="D69" s="8">
        <f t="shared" si="12"/>
        <v>23.25</v>
      </c>
      <c r="E69" s="23">
        <f t="shared" si="4"/>
        <v>943.24219172354844</v>
      </c>
      <c r="F69" s="24">
        <f t="shared" si="5"/>
        <v>192.4219436830225</v>
      </c>
      <c r="G69" s="25">
        <f t="shared" si="6"/>
        <v>1190.6641354065709</v>
      </c>
      <c r="H69" s="26">
        <f t="shared" si="7"/>
        <v>251.2039544211105</v>
      </c>
      <c r="I69" s="27">
        <f t="shared" si="8"/>
        <v>147825.81402315601</v>
      </c>
      <c r="J69" s="46"/>
      <c r="K69" s="18">
        <f t="shared" si="1"/>
        <v>-4.9369094936260891E-2</v>
      </c>
      <c r="L69" s="22">
        <f t="shared" si="13"/>
        <v>1.6999999999999999E-3</v>
      </c>
      <c r="N69" s="15">
        <f t="shared" si="10"/>
        <v>1077.0370926079861</v>
      </c>
      <c r="W69" s="1">
        <f t="shared" si="2"/>
        <v>-1190.6641354065709</v>
      </c>
    </row>
    <row r="70" spans="1:23" x14ac:dyDescent="0.2">
      <c r="A70" s="7">
        <f t="shared" si="0"/>
        <v>1.3117105104563118E-3</v>
      </c>
      <c r="B70" s="4">
        <f t="shared" si="11"/>
        <v>64</v>
      </c>
      <c r="C70" s="4">
        <f t="shared" si="3"/>
        <v>278</v>
      </c>
      <c r="D70" s="8">
        <f t="shared" si="12"/>
        <v>23.166666666666668</v>
      </c>
      <c r="E70" s="23">
        <f t="shared" si="4"/>
        <v>943.61741528923415</v>
      </c>
      <c r="F70" s="24">
        <f t="shared" si="5"/>
        <v>193.97986648699646</v>
      </c>
      <c r="G70" s="25">
        <f t="shared" si="6"/>
        <v>1192.5972817762306</v>
      </c>
      <c r="H70" s="26">
        <f t="shared" si="7"/>
        <v>251.3038838393652</v>
      </c>
      <c r="I70" s="27">
        <f t="shared" si="8"/>
        <v>147883.13804050838</v>
      </c>
      <c r="J70" s="46"/>
      <c r="K70" s="18">
        <f t="shared" si="1"/>
        <v>-4.8066533630691743E-2</v>
      </c>
      <c r="L70" s="22">
        <f t="shared" si="13"/>
        <v>1.6999999999999999E-3</v>
      </c>
      <c r="N70" s="15">
        <f t="shared" si="10"/>
        <v>1077.0370926079861</v>
      </c>
      <c r="W70" s="1">
        <f t="shared" si="2"/>
        <v>-1192.5972817762306</v>
      </c>
    </row>
    <row r="71" spans="1:23" x14ac:dyDescent="0.2">
      <c r="A71" s="7">
        <f t="shared" ref="A71:A134" si="14">F71/I71</f>
        <v>1.3218314356235957E-3</v>
      </c>
      <c r="B71" s="4">
        <f t="shared" si="11"/>
        <v>65</v>
      </c>
      <c r="C71" s="4">
        <f t="shared" si="3"/>
        <v>277</v>
      </c>
      <c r="D71" s="8">
        <f t="shared" si="12"/>
        <v>23.083333333333332</v>
      </c>
      <c r="E71" s="23">
        <f t="shared" si="4"/>
        <v>943.98333203689742</v>
      </c>
      <c r="F71" s="24">
        <f t="shared" si="5"/>
        <v>195.55040617360135</v>
      </c>
      <c r="G71" s="25">
        <f t="shared" si="6"/>
        <v>1194.5337382104988</v>
      </c>
      <c r="H71" s="26">
        <f t="shared" si="7"/>
        <v>251.40133466886422</v>
      </c>
      <c r="I71" s="27">
        <f t="shared" si="8"/>
        <v>147938.98896900364</v>
      </c>
      <c r="J71" s="46"/>
      <c r="K71" s="18">
        <f t="shared" ref="K71:K134" si="15">IF(C71&lt;1,0,(F71-H71)/G71)</f>
        <v>-4.6755421557981076E-2</v>
      </c>
      <c r="L71" s="22">
        <f t="shared" si="13"/>
        <v>1.6999999999999999E-3</v>
      </c>
      <c r="N71" s="15">
        <f t="shared" si="10"/>
        <v>1077.0370926079861</v>
      </c>
      <c r="W71" s="1">
        <f t="shared" ref="W71:W134" si="16">-G71</f>
        <v>-1194.5337382104988</v>
      </c>
    </row>
    <row r="72" spans="1:23" x14ac:dyDescent="0.2">
      <c r="A72" s="7">
        <f t="shared" si="14"/>
        <v>1.3320440605388505E-3</v>
      </c>
      <c r="B72" s="4">
        <f t="shared" si="11"/>
        <v>66</v>
      </c>
      <c r="C72" s="4">
        <f t="shared" ref="C72:C135" si="17">IF(C71-1&lt;1,0,C71-1)</f>
        <v>276</v>
      </c>
      <c r="D72" s="8">
        <f t="shared" si="12"/>
        <v>23</v>
      </c>
      <c r="E72" s="23">
        <f t="shared" ref="E72:E135" si="18">IF(C72&lt;1,0,I71*$J$4)</f>
        <v>944.33984560752413</v>
      </c>
      <c r="F72" s="24">
        <f t="shared" ref="F72:F135" si="19">IF(C72&lt;1,0,G72-E72-$L$3-$L$4)</f>
        <v>197.13366497840013</v>
      </c>
      <c r="G72" s="25">
        <f t="shared" ref="G72:G135" si="20">IF(C72&lt;1,0,-PMT($J$4,C72,I71)+$L$3+$L$4)</f>
        <v>1196.4735105859243</v>
      </c>
      <c r="H72" s="26">
        <f t="shared" ref="H72:H135" si="21">IF(C72&lt;1,0,I71*L72)</f>
        <v>251.49628124730617</v>
      </c>
      <c r="I72" s="27">
        <f t="shared" ref="I72:I135" si="22">IF(C72&lt;1,0,I71-F72+H72)</f>
        <v>147993.35158527252</v>
      </c>
      <c r="J72" s="46"/>
      <c r="K72" s="18">
        <f t="shared" si="15"/>
        <v>-4.5435703998397886E-2</v>
      </c>
      <c r="L72" s="22">
        <f t="shared" si="13"/>
        <v>1.6999999999999999E-3</v>
      </c>
      <c r="N72" s="15">
        <f t="shared" ref="N72:N135" si="23">IF(C72&lt;1,0,N71)</f>
        <v>1077.0370926079861</v>
      </c>
      <c r="W72" s="1">
        <f t="shared" si="16"/>
        <v>-1196.4735105859243</v>
      </c>
    </row>
    <row r="73" spans="1:23" x14ac:dyDescent="0.2">
      <c r="A73" s="7">
        <f t="shared" si="14"/>
        <v>1.3423494275577421E-3</v>
      </c>
      <c r="B73" s="4">
        <f t="shared" ref="B73:B136" si="24">B72+1</f>
        <v>67</v>
      </c>
      <c r="C73" s="4">
        <f t="shared" si="17"/>
        <v>275</v>
      </c>
      <c r="D73" s="8">
        <f t="shared" si="12"/>
        <v>22.916666666666668</v>
      </c>
      <c r="E73" s="23">
        <f t="shared" si="18"/>
        <v>944.686858825689</v>
      </c>
      <c r="F73" s="24">
        <f t="shared" si="19"/>
        <v>198.72974596643633</v>
      </c>
      <c r="G73" s="25">
        <f t="shared" si="20"/>
        <v>1198.4166047921253</v>
      </c>
      <c r="H73" s="26">
        <f t="shared" si="21"/>
        <v>251.58869769496329</v>
      </c>
      <c r="I73" s="27">
        <f t="shared" si="22"/>
        <v>148046.21053700105</v>
      </c>
      <c r="J73" s="46"/>
      <c r="K73" s="18">
        <f t="shared" si="15"/>
        <v>-4.4107325880798985E-2</v>
      </c>
      <c r="L73" s="22">
        <f t="shared" si="13"/>
        <v>1.6999999999999999E-3</v>
      </c>
      <c r="N73" s="15">
        <f t="shared" si="23"/>
        <v>1077.0370926079861</v>
      </c>
      <c r="W73" s="1">
        <f t="shared" si="16"/>
        <v>-1198.4166047921253</v>
      </c>
    </row>
    <row r="74" spans="1:23" x14ac:dyDescent="0.2">
      <c r="A74" s="7">
        <f t="shared" si="14"/>
        <v>1.3527485942644826E-3</v>
      </c>
      <c r="B74" s="4">
        <f t="shared" si="24"/>
        <v>68</v>
      </c>
      <c r="C74" s="4">
        <f t="shared" si="17"/>
        <v>274</v>
      </c>
      <c r="D74" s="8">
        <f t="shared" si="12"/>
        <v>22.833333333333332</v>
      </c>
      <c r="E74" s="23">
        <f t="shared" si="18"/>
        <v>945.02427369287284</v>
      </c>
      <c r="F74" s="24">
        <f t="shared" si="19"/>
        <v>200.33875303898481</v>
      </c>
      <c r="G74" s="25">
        <f t="shared" si="20"/>
        <v>1200.3630267318576</v>
      </c>
      <c r="H74" s="26">
        <f t="shared" si="21"/>
        <v>251.67855791290177</v>
      </c>
      <c r="I74" s="27">
        <f t="shared" si="22"/>
        <v>148097.55034187497</v>
      </c>
      <c r="J74" s="46"/>
      <c r="K74" s="18">
        <f t="shared" si="15"/>
        <v>-4.2770231780377449E-2</v>
      </c>
      <c r="L74" s="22">
        <f t="shared" si="13"/>
        <v>1.6999999999999999E-3</v>
      </c>
      <c r="N74" s="15">
        <f t="shared" si="23"/>
        <v>1077.0370926079861</v>
      </c>
      <c r="W74" s="1">
        <f t="shared" si="16"/>
        <v>-1200.3630267318576</v>
      </c>
    </row>
    <row r="75" spans="1:23" x14ac:dyDescent="0.2">
      <c r="A75" s="7">
        <f t="shared" si="14"/>
        <v>1.3632426337509859E-3</v>
      </c>
      <c r="B75" s="4">
        <f t="shared" si="24"/>
        <v>69</v>
      </c>
      <c r="C75" s="4">
        <f t="shared" si="17"/>
        <v>273</v>
      </c>
      <c r="D75" s="8">
        <f t="shared" ref="D75:D138" si="25">C75/12</f>
        <v>22.75</v>
      </c>
      <c r="E75" s="23">
        <f t="shared" si="18"/>
        <v>945.35199138072539</v>
      </c>
      <c r="F75" s="24">
        <f t="shared" si="19"/>
        <v>201.96079094035713</v>
      </c>
      <c r="G75" s="25">
        <f t="shared" si="20"/>
        <v>1202.3127823210825</v>
      </c>
      <c r="H75" s="26">
        <f t="shared" si="21"/>
        <v>251.76583558118745</v>
      </c>
      <c r="I75" s="27">
        <f t="shared" si="22"/>
        <v>148147.35538651582</v>
      </c>
      <c r="J75" s="46"/>
      <c r="K75" s="18">
        <f t="shared" si="15"/>
        <v>-4.1424365916397352E-2</v>
      </c>
      <c r="L75" s="22">
        <f t="shared" si="13"/>
        <v>1.6999999999999999E-3</v>
      </c>
      <c r="N75" s="15">
        <f t="shared" si="23"/>
        <v>1077.0370926079861</v>
      </c>
      <c r="W75" s="1">
        <f t="shared" si="16"/>
        <v>-1202.3127823210825</v>
      </c>
    </row>
    <row r="76" spans="1:23" x14ac:dyDescent="0.2">
      <c r="A76" s="7">
        <f t="shared" si="14"/>
        <v>1.3738326349022293E-3</v>
      </c>
      <c r="B76" s="4">
        <f t="shared" si="24"/>
        <v>70</v>
      </c>
      <c r="C76" s="4">
        <f t="shared" si="17"/>
        <v>272</v>
      </c>
      <c r="D76" s="8">
        <f t="shared" si="25"/>
        <v>22.666666666666668</v>
      </c>
      <c r="E76" s="23">
        <f t="shared" si="18"/>
        <v>945.66991222427305</v>
      </c>
      <c r="F76" s="24">
        <f t="shared" si="19"/>
        <v>203.59596526476639</v>
      </c>
      <c r="G76" s="25">
        <f t="shared" si="20"/>
        <v>1204.2658774890394</v>
      </c>
      <c r="H76" s="26">
        <f t="shared" si="21"/>
        <v>251.85050415707687</v>
      </c>
      <c r="I76" s="27">
        <f t="shared" si="22"/>
        <v>148195.60992540812</v>
      </c>
      <c r="J76" s="46"/>
      <c r="K76" s="18">
        <f t="shared" si="15"/>
        <v>-4.006967214991082E-2</v>
      </c>
      <c r="L76" s="22">
        <f t="shared" si="13"/>
        <v>1.6999999999999999E-3</v>
      </c>
      <c r="N76" s="15">
        <f t="shared" si="23"/>
        <v>1077.0370926079861</v>
      </c>
      <c r="W76" s="1">
        <f t="shared" si="16"/>
        <v>-1204.2658774890394</v>
      </c>
    </row>
    <row r="77" spans="1:23" x14ac:dyDescent="0.2">
      <c r="A77" s="7">
        <f t="shared" si="14"/>
        <v>1.384519702687917E-3</v>
      </c>
      <c r="B77" s="4">
        <f t="shared" si="24"/>
        <v>71</v>
      </c>
      <c r="C77" s="4">
        <f t="shared" si="17"/>
        <v>271</v>
      </c>
      <c r="D77" s="8">
        <f t="shared" si="25"/>
        <v>22.583333333333332</v>
      </c>
      <c r="E77" s="23">
        <f t="shared" si="18"/>
        <v>945.97793571507145</v>
      </c>
      <c r="F77" s="24">
        <f t="shared" si="19"/>
        <v>205.24438246324326</v>
      </c>
      <c r="G77" s="25">
        <f t="shared" si="20"/>
        <v>1206.2223181783147</v>
      </c>
      <c r="H77" s="26">
        <f t="shared" si="21"/>
        <v>251.93253687319378</v>
      </c>
      <c r="I77" s="27">
        <f t="shared" si="22"/>
        <v>148242.29807981805</v>
      </c>
      <c r="J77" s="46"/>
      <c r="K77" s="18">
        <f t="shared" si="15"/>
        <v>-3.8706093981465087E-2</v>
      </c>
      <c r="L77" s="22">
        <f t="shared" si="13"/>
        <v>1.6999999999999999E-3</v>
      </c>
      <c r="N77" s="15">
        <f t="shared" si="23"/>
        <v>1077.0370926079861</v>
      </c>
      <c r="W77" s="1">
        <f t="shared" si="16"/>
        <v>-1206.2223181783147</v>
      </c>
    </row>
    <row r="78" spans="1:23" x14ac:dyDescent="0.2">
      <c r="A78" s="7">
        <f t="shared" si="14"/>
        <v>1.3953049584606914E-3</v>
      </c>
      <c r="B78" s="4">
        <f t="shared" si="24"/>
        <v>72</v>
      </c>
      <c r="C78" s="4">
        <f t="shared" si="17"/>
        <v>270</v>
      </c>
      <c r="D78" s="8">
        <f t="shared" si="25"/>
        <v>22.5</v>
      </c>
      <c r="E78" s="23">
        <f t="shared" si="18"/>
        <v>946.27596049430258</v>
      </c>
      <c r="F78" s="24">
        <f t="shared" si="19"/>
        <v>206.90614985061484</v>
      </c>
      <c r="G78" s="25">
        <f t="shared" si="20"/>
        <v>1208.1821103449174</v>
      </c>
      <c r="H78" s="26">
        <f t="shared" si="21"/>
        <v>252.01190673569067</v>
      </c>
      <c r="I78" s="27">
        <f t="shared" si="22"/>
        <v>148287.40383670313</v>
      </c>
      <c r="J78" s="46"/>
      <c r="K78" s="18">
        <f t="shared" si="15"/>
        <v>-3.7333574548789529E-2</v>
      </c>
      <c r="L78" s="22">
        <f t="shared" ref="L78:L141" si="26">L77</f>
        <v>1.6999999999999999E-3</v>
      </c>
      <c r="N78" s="15">
        <f t="shared" si="23"/>
        <v>1077.0370926079861</v>
      </c>
      <c r="W78" s="1">
        <f t="shared" si="16"/>
        <v>-1208.1821103449174</v>
      </c>
    </row>
    <row r="79" spans="1:23" x14ac:dyDescent="0.2">
      <c r="A79" s="7">
        <f t="shared" si="14"/>
        <v>1.4061895402609677E-3</v>
      </c>
      <c r="B79" s="4">
        <f t="shared" si="24"/>
        <v>73</v>
      </c>
      <c r="C79" s="4">
        <f t="shared" si="17"/>
        <v>269</v>
      </c>
      <c r="D79" s="8">
        <f t="shared" si="25"/>
        <v>22.416666666666668</v>
      </c>
      <c r="E79" s="23">
        <f t="shared" si="18"/>
        <v>946.56388434581538</v>
      </c>
      <c r="F79" s="24">
        <f t="shared" si="19"/>
        <v>208.58137561253341</v>
      </c>
      <c r="G79" s="25">
        <f t="shared" si="20"/>
        <v>1210.1452599583488</v>
      </c>
      <c r="H79" s="26">
        <f t="shared" si="21"/>
        <v>252.0885865223953</v>
      </c>
      <c r="I79" s="27">
        <f t="shared" si="22"/>
        <v>148330.91104761299</v>
      </c>
      <c r="J79" s="46"/>
      <c r="K79" s="18">
        <f t="shared" si="15"/>
        <v>-3.5952056624474441E-2</v>
      </c>
      <c r="L79" s="22">
        <f t="shared" si="26"/>
        <v>1.6999999999999999E-3</v>
      </c>
      <c r="N79" s="15">
        <f t="shared" si="23"/>
        <v>1077.0370926079861</v>
      </c>
      <c r="W79" s="1">
        <f t="shared" si="16"/>
        <v>-1210.1452599583488</v>
      </c>
    </row>
    <row r="80" spans="1:23" x14ac:dyDescent="0.2">
      <c r="A80" s="7">
        <f t="shared" si="14"/>
        <v>1.4171746031286785E-3</v>
      </c>
      <c r="B80" s="4">
        <f t="shared" si="24"/>
        <v>74</v>
      </c>
      <c r="C80" s="4">
        <f t="shared" si="17"/>
        <v>268</v>
      </c>
      <c r="D80" s="8">
        <f t="shared" si="25"/>
        <v>22.333333333333332</v>
      </c>
      <c r="E80" s="23">
        <f t="shared" si="18"/>
        <v>946.84160418910858</v>
      </c>
      <c r="F80" s="24">
        <f t="shared" si="19"/>
        <v>210.27016881257202</v>
      </c>
      <c r="G80" s="25">
        <f t="shared" si="20"/>
        <v>1212.1117730016806</v>
      </c>
      <c r="H80" s="26">
        <f t="shared" si="21"/>
        <v>252.16254878094207</v>
      </c>
      <c r="I80" s="27">
        <f t="shared" si="22"/>
        <v>148372.80342758136</v>
      </c>
      <c r="J80" s="46"/>
      <c r="K80" s="18">
        <f t="shared" si="15"/>
        <v>-3.456148261362689E-2</v>
      </c>
      <c r="L80" s="22">
        <f t="shared" si="26"/>
        <v>1.6999999999999999E-3</v>
      </c>
      <c r="N80" s="15">
        <f t="shared" si="23"/>
        <v>1077.0370926079861</v>
      </c>
      <c r="W80" s="1">
        <f t="shared" si="16"/>
        <v>-1212.1117730016806</v>
      </c>
    </row>
    <row r="81" spans="1:23" x14ac:dyDescent="0.2">
      <c r="A81" s="7">
        <f t="shared" si="14"/>
        <v>1.4282613194219929E-3</v>
      </c>
      <c r="B81" s="4">
        <f t="shared" si="24"/>
        <v>75</v>
      </c>
      <c r="C81" s="4">
        <f t="shared" si="17"/>
        <v>267</v>
      </c>
      <c r="D81" s="8">
        <f t="shared" si="25"/>
        <v>22.25</v>
      </c>
      <c r="E81" s="23">
        <f t="shared" si="18"/>
        <v>947.10901607225833</v>
      </c>
      <c r="F81" s="24">
        <f t="shared" si="19"/>
        <v>211.97263939937011</v>
      </c>
      <c r="G81" s="25">
        <f t="shared" si="20"/>
        <v>1214.0816554716284</v>
      </c>
      <c r="H81" s="26">
        <f t="shared" si="21"/>
        <v>252.23376582688829</v>
      </c>
      <c r="I81" s="27">
        <f t="shared" si="22"/>
        <v>148413.06455400886</v>
      </c>
      <c r="J81" s="46"/>
      <c r="K81" s="18">
        <f t="shared" si="15"/>
        <v>-3.3161794551518971E-2</v>
      </c>
      <c r="L81" s="22">
        <f t="shared" si="26"/>
        <v>1.6999999999999999E-3</v>
      </c>
      <c r="N81" s="15">
        <f t="shared" si="23"/>
        <v>1077.0370926079861</v>
      </c>
      <c r="W81" s="1">
        <f t="shared" si="16"/>
        <v>-1214.0816554716284</v>
      </c>
    </row>
    <row r="82" spans="1:23" x14ac:dyDescent="0.2">
      <c r="A82" s="7">
        <f t="shared" si="14"/>
        <v>1.4394508791432785E-3</v>
      </c>
      <c r="B82" s="4">
        <f t="shared" si="24"/>
        <v>76</v>
      </c>
      <c r="C82" s="4">
        <f t="shared" si="17"/>
        <v>266</v>
      </c>
      <c r="D82" s="8">
        <f t="shared" si="25"/>
        <v>22.166666666666668</v>
      </c>
      <c r="E82" s="23">
        <f t="shared" si="18"/>
        <v>947.36601516478629</v>
      </c>
      <c r="F82" s="24">
        <f t="shared" si="19"/>
        <v>213.68889821384175</v>
      </c>
      <c r="G82" s="25">
        <f t="shared" si="20"/>
        <v>1216.054913378628</v>
      </c>
      <c r="H82" s="26">
        <f t="shared" si="21"/>
        <v>252.30220974181503</v>
      </c>
      <c r="I82" s="27">
        <f t="shared" si="22"/>
        <v>148451.67786553683</v>
      </c>
      <c r="J82" s="46"/>
      <c r="K82" s="18">
        <f t="shared" si="15"/>
        <v>-3.1752934101217462E-2</v>
      </c>
      <c r="L82" s="22">
        <f t="shared" si="26"/>
        <v>1.6999999999999999E-3</v>
      </c>
      <c r="N82" s="15">
        <f t="shared" si="23"/>
        <v>1077.0370926079861</v>
      </c>
      <c r="W82" s="1">
        <f t="shared" si="16"/>
        <v>-1216.054913378628</v>
      </c>
    </row>
    <row r="83" spans="1:23" x14ac:dyDescent="0.2">
      <c r="A83" s="7">
        <f t="shared" si="14"/>
        <v>1.4507444902724822E-3</v>
      </c>
      <c r="B83" s="4">
        <f t="shared" si="24"/>
        <v>77</v>
      </c>
      <c r="C83" s="4">
        <f t="shared" si="17"/>
        <v>265</v>
      </c>
      <c r="D83" s="8">
        <f t="shared" si="25"/>
        <v>22.083333333333332</v>
      </c>
      <c r="E83" s="23">
        <f t="shared" si="18"/>
        <v>947.61249575047111</v>
      </c>
      <c r="F83" s="24">
        <f t="shared" si="19"/>
        <v>215.41905699644542</v>
      </c>
      <c r="G83" s="25">
        <f t="shared" si="20"/>
        <v>1218.0315527469165</v>
      </c>
      <c r="H83" s="26">
        <f t="shared" si="21"/>
        <v>252.3678523714126</v>
      </c>
      <c r="I83" s="27">
        <f t="shared" si="22"/>
        <v>148488.6266609118</v>
      </c>
      <c r="J83" s="46"/>
      <c r="K83" s="18">
        <f t="shared" si="15"/>
        <v>-3.0334842551196554E-2</v>
      </c>
      <c r="L83" s="22">
        <f t="shared" si="26"/>
        <v>1.6999999999999999E-3</v>
      </c>
      <c r="N83" s="15">
        <f t="shared" si="23"/>
        <v>1077.0370926079861</v>
      </c>
      <c r="W83" s="1">
        <f t="shared" si="16"/>
        <v>-1218.0315527469165</v>
      </c>
    </row>
    <row r="84" spans="1:23" x14ac:dyDescent="0.2">
      <c r="A84" s="7">
        <f t="shared" si="14"/>
        <v>1.4621433791080756E-3</v>
      </c>
      <c r="B84" s="4">
        <f t="shared" si="24"/>
        <v>78</v>
      </c>
      <c r="C84" s="4">
        <f t="shared" si="17"/>
        <v>264</v>
      </c>
      <c r="D84" s="8">
        <f t="shared" si="25"/>
        <v>22</v>
      </c>
      <c r="E84" s="23">
        <f t="shared" si="18"/>
        <v>947.84835122010065</v>
      </c>
      <c r="F84" s="24">
        <f t="shared" si="19"/>
        <v>217.16322839450697</v>
      </c>
      <c r="G84" s="25">
        <f t="shared" si="20"/>
        <v>1220.0115796146076</v>
      </c>
      <c r="H84" s="26">
        <f t="shared" si="21"/>
        <v>252.43066532355004</v>
      </c>
      <c r="I84" s="27">
        <f t="shared" si="22"/>
        <v>148523.89409784085</v>
      </c>
      <c r="J84" s="46"/>
      <c r="K84" s="18">
        <f t="shared" si="15"/>
        <v>-2.8907460812940634E-2</v>
      </c>
      <c r="L84" s="22">
        <f t="shared" si="26"/>
        <v>1.6999999999999999E-3</v>
      </c>
      <c r="N84" s="15">
        <f t="shared" si="23"/>
        <v>1077.0370926079861</v>
      </c>
      <c r="W84" s="1">
        <f t="shared" si="16"/>
        <v>-1220.0115796146076</v>
      </c>
    </row>
    <row r="85" spans="1:23" x14ac:dyDescent="0.2">
      <c r="A85" s="7">
        <f t="shared" si="14"/>
        <v>1.4736487906158518E-3</v>
      </c>
      <c r="B85" s="4">
        <f t="shared" si="24"/>
        <v>79</v>
      </c>
      <c r="C85" s="4">
        <f t="shared" si="17"/>
        <v>263</v>
      </c>
      <c r="D85" s="8">
        <f t="shared" si="25"/>
        <v>21.916666666666668</v>
      </c>
      <c r="E85" s="23">
        <f t="shared" si="18"/>
        <v>948.07347406416386</v>
      </c>
      <c r="F85" s="24">
        <f t="shared" si="19"/>
        <v>218.92152596961034</v>
      </c>
      <c r="G85" s="25">
        <f t="shared" si="20"/>
        <v>1221.9950000337742</v>
      </c>
      <c r="H85" s="26">
        <f t="shared" si="21"/>
        <v>252.49061996632943</v>
      </c>
      <c r="I85" s="27">
        <f t="shared" si="22"/>
        <v>148557.46319183757</v>
      </c>
      <c r="J85" s="46"/>
      <c r="K85" s="18">
        <f t="shared" si="15"/>
        <v>-2.7470729418525679E-2</v>
      </c>
      <c r="L85" s="22">
        <f t="shared" si="26"/>
        <v>1.6999999999999999E-3</v>
      </c>
      <c r="N85" s="15">
        <f t="shared" si="23"/>
        <v>1077.0370926079861</v>
      </c>
      <c r="W85" s="1">
        <f t="shared" si="16"/>
        <v>-1221.9950000337742</v>
      </c>
    </row>
    <row r="86" spans="1:23" x14ac:dyDescent="0.2">
      <c r="A86" s="7">
        <f t="shared" si="14"/>
        <v>1.4852619887857021E-3</v>
      </c>
      <c r="B86" s="4">
        <f t="shared" si="24"/>
        <v>80</v>
      </c>
      <c r="C86" s="4">
        <f t="shared" si="17"/>
        <v>262</v>
      </c>
      <c r="D86" s="8">
        <f t="shared" si="25"/>
        <v>21.833333333333332</v>
      </c>
      <c r="E86" s="23">
        <f t="shared" si="18"/>
        <v>948.28775586548602</v>
      </c>
      <c r="F86" s="24">
        <f t="shared" si="19"/>
        <v>220.69406420504276</v>
      </c>
      <c r="G86" s="25">
        <f t="shared" si="20"/>
        <v>1223.9818200705288</v>
      </c>
      <c r="H86" s="26">
        <f t="shared" si="21"/>
        <v>252.54768742612384</v>
      </c>
      <c r="I86" s="27">
        <f t="shared" si="22"/>
        <v>148589.31681505864</v>
      </c>
      <c r="J86" s="46"/>
      <c r="K86" s="18">
        <f t="shared" si="15"/>
        <v>-2.6024588518190242E-2</v>
      </c>
      <c r="L86" s="22">
        <f t="shared" si="26"/>
        <v>1.6999999999999999E-3</v>
      </c>
      <c r="N86" s="15">
        <f t="shared" si="23"/>
        <v>1077.0370926079861</v>
      </c>
      <c r="W86" s="1">
        <f t="shared" si="16"/>
        <v>-1223.9818200705288</v>
      </c>
    </row>
    <row r="87" spans="1:23" x14ac:dyDescent="0.2">
      <c r="A87" s="7">
        <f t="shared" si="14"/>
        <v>1.4969842569966553E-3</v>
      </c>
      <c r="B87" s="4">
        <f t="shared" si="24"/>
        <v>81</v>
      </c>
      <c r="C87" s="4">
        <f t="shared" si="17"/>
        <v>261</v>
      </c>
      <c r="D87" s="8">
        <f t="shared" si="25"/>
        <v>21.75</v>
      </c>
      <c r="E87" s="23">
        <f t="shared" si="18"/>
        <v>948.49108729180068</v>
      </c>
      <c r="F87" s="24">
        <f t="shared" si="19"/>
        <v>222.48095851330629</v>
      </c>
      <c r="G87" s="25">
        <f t="shared" si="20"/>
        <v>1225.972045805107</v>
      </c>
      <c r="H87" s="26">
        <f t="shared" si="21"/>
        <v>252.60183858559967</v>
      </c>
      <c r="I87" s="27">
        <f t="shared" si="22"/>
        <v>148619.43769513094</v>
      </c>
      <c r="J87" s="46"/>
      <c r="K87" s="18">
        <f t="shared" si="15"/>
        <v>-2.4568977877886863E-2</v>
      </c>
      <c r="L87" s="22">
        <f t="shared" si="26"/>
        <v>1.6999999999999999E-3</v>
      </c>
      <c r="N87" s="15">
        <f t="shared" si="23"/>
        <v>1077.0370926079861</v>
      </c>
      <c r="W87" s="1">
        <f t="shared" si="16"/>
        <v>-1225.972045805107</v>
      </c>
    </row>
    <row r="88" spans="1:23" x14ac:dyDescent="0.2">
      <c r="A88" s="7">
        <f t="shared" si="14"/>
        <v>1.5088168983903455E-3</v>
      </c>
      <c r="B88" s="4">
        <f t="shared" si="24"/>
        <v>82</v>
      </c>
      <c r="C88" s="4">
        <f t="shared" si="17"/>
        <v>260</v>
      </c>
      <c r="D88" s="8">
        <f t="shared" si="25"/>
        <v>21.666666666666668</v>
      </c>
      <c r="E88" s="23">
        <f t="shared" si="18"/>
        <v>948.68335808826396</v>
      </c>
      <c r="F88" s="24">
        <f t="shared" si="19"/>
        <v>224.28232524368696</v>
      </c>
      <c r="G88" s="25">
        <f t="shared" si="20"/>
        <v>1227.9656833319509</v>
      </c>
      <c r="H88" s="26">
        <f t="shared" si="21"/>
        <v>252.65304408172258</v>
      </c>
      <c r="I88" s="27">
        <f t="shared" si="22"/>
        <v>148647.80841396897</v>
      </c>
      <c r="J88" s="46"/>
      <c r="K88" s="18">
        <f t="shared" si="15"/>
        <v>-2.3103836876821163E-2</v>
      </c>
      <c r="L88" s="22">
        <f t="shared" si="26"/>
        <v>1.6999999999999999E-3</v>
      </c>
      <c r="N88" s="15">
        <f t="shared" si="23"/>
        <v>1077.0370926079861</v>
      </c>
      <c r="W88" s="1">
        <f t="shared" si="16"/>
        <v>-1227.9656833319509</v>
      </c>
    </row>
    <row r="89" spans="1:23" x14ac:dyDescent="0.2">
      <c r="A89" s="7">
        <f t="shared" si="14"/>
        <v>1.5207612362531887E-3</v>
      </c>
      <c r="B89" s="4">
        <f t="shared" si="24"/>
        <v>83</v>
      </c>
      <c r="C89" s="4">
        <f t="shared" si="17"/>
        <v>259</v>
      </c>
      <c r="D89" s="8">
        <f t="shared" si="25"/>
        <v>21.583333333333332</v>
      </c>
      <c r="E89" s="23">
        <f t="shared" si="18"/>
        <v>948.86445706990492</v>
      </c>
      <c r="F89" s="24">
        <f t="shared" si="19"/>
        <v>226.09828168989009</v>
      </c>
      <c r="G89" s="25">
        <f t="shared" si="20"/>
        <v>1229.962738759795</v>
      </c>
      <c r="H89" s="26">
        <f t="shared" si="21"/>
        <v>252.70127430374725</v>
      </c>
      <c r="I89" s="27">
        <f t="shared" si="22"/>
        <v>148674.41140658283</v>
      </c>
      <c r="J89" s="46"/>
      <c r="K89" s="18">
        <f t="shared" si="15"/>
        <v>-2.1629104504971991E-2</v>
      </c>
      <c r="L89" s="22">
        <f t="shared" si="26"/>
        <v>1.6999999999999999E-3</v>
      </c>
      <c r="N89" s="15">
        <f t="shared" si="23"/>
        <v>1077.0370926079861</v>
      </c>
      <c r="W89" s="1">
        <f t="shared" si="16"/>
        <v>-1229.962738759795</v>
      </c>
    </row>
    <row r="90" spans="1:23" x14ac:dyDescent="0.2">
      <c r="A90" s="7">
        <f t="shared" si="14"/>
        <v>1.5328186144074629E-3</v>
      </c>
      <c r="B90" s="4">
        <f t="shared" si="24"/>
        <v>84</v>
      </c>
      <c r="C90" s="4">
        <f t="shared" si="17"/>
        <v>258</v>
      </c>
      <c r="D90" s="8">
        <f t="shared" si="25"/>
        <v>21.5</v>
      </c>
      <c r="E90" s="23">
        <f t="shared" si="18"/>
        <v>949.03427211401709</v>
      </c>
      <c r="F90" s="24">
        <f t="shared" si="19"/>
        <v>227.92894609773566</v>
      </c>
      <c r="G90" s="25">
        <f t="shared" si="20"/>
        <v>1231.9632182117527</v>
      </c>
      <c r="H90" s="26">
        <f t="shared" si="21"/>
        <v>252.74649939119081</v>
      </c>
      <c r="I90" s="27">
        <f t="shared" si="22"/>
        <v>148699.22895987629</v>
      </c>
      <c r="K90" s="18">
        <f t="shared" si="15"/>
        <v>-2.0144719360598189E-2</v>
      </c>
      <c r="L90" s="22">
        <f t="shared" si="26"/>
        <v>1.6999999999999999E-3</v>
      </c>
      <c r="N90" s="15">
        <f t="shared" si="23"/>
        <v>1077.0370926079861</v>
      </c>
      <c r="W90" s="1">
        <f t="shared" si="16"/>
        <v>-1231.9632182117527</v>
      </c>
    </row>
    <row r="91" spans="1:23" x14ac:dyDescent="0.2">
      <c r="A91" s="7">
        <f t="shared" si="14"/>
        <v>1.5449903976115563E-3</v>
      </c>
      <c r="B91" s="4">
        <f t="shared" si="24"/>
        <v>85</v>
      </c>
      <c r="C91" s="4">
        <f t="shared" si="17"/>
        <v>257</v>
      </c>
      <c r="D91" s="8">
        <f t="shared" si="25"/>
        <v>21.416666666666668</v>
      </c>
      <c r="E91" s="23">
        <f t="shared" si="18"/>
        <v>949.19269015248562</v>
      </c>
      <c r="F91" s="24">
        <f t="shared" si="19"/>
        <v>229.77443767291777</v>
      </c>
      <c r="G91" s="25">
        <f t="shared" si="20"/>
        <v>1233.9671278254034</v>
      </c>
      <c r="H91" s="26">
        <f t="shared" si="21"/>
        <v>252.78868923178968</v>
      </c>
      <c r="I91" s="27">
        <f t="shared" si="22"/>
        <v>148722.24321143515</v>
      </c>
      <c r="K91" s="18">
        <f t="shared" si="15"/>
        <v>-1.8650619647728767E-2</v>
      </c>
      <c r="L91" s="22">
        <f t="shared" si="26"/>
        <v>1.6999999999999999E-3</v>
      </c>
      <c r="N91" s="15">
        <f t="shared" si="23"/>
        <v>1077.0370926079861</v>
      </c>
      <c r="W91" s="1">
        <f t="shared" si="16"/>
        <v>-1233.9671278254034</v>
      </c>
    </row>
    <row r="92" spans="1:23" x14ac:dyDescent="0.2">
      <c r="A92" s="7">
        <f t="shared" si="14"/>
        <v>1.5572779719696421E-3</v>
      </c>
      <c r="B92" s="4">
        <f t="shared" si="24"/>
        <v>86</v>
      </c>
      <c r="C92" s="4">
        <f t="shared" si="17"/>
        <v>256</v>
      </c>
      <c r="D92" s="8">
        <f t="shared" si="25"/>
        <v>21.333333333333332</v>
      </c>
      <c r="E92" s="23">
        <f t="shared" si="18"/>
        <v>949.339597164054</v>
      </c>
      <c r="F92" s="24">
        <f t="shared" si="19"/>
        <v>231.63487658882957</v>
      </c>
      <c r="G92" s="25">
        <f t="shared" si="20"/>
        <v>1235.9744737528836</v>
      </c>
      <c r="H92" s="26">
        <f t="shared" si="21"/>
        <v>252.82781345943974</v>
      </c>
      <c r="I92" s="27">
        <f t="shared" si="22"/>
        <v>148743.43614830577</v>
      </c>
      <c r="K92" s="18">
        <f t="shared" si="15"/>
        <v>-1.7146743173635647E-2</v>
      </c>
      <c r="L92" s="22">
        <f t="shared" si="26"/>
        <v>1.6999999999999999E-3</v>
      </c>
      <c r="N92" s="15">
        <f t="shared" si="23"/>
        <v>1077.0370926079861</v>
      </c>
      <c r="W92" s="1">
        <f t="shared" si="16"/>
        <v>-1235.9744737528836</v>
      </c>
    </row>
    <row r="93" spans="1:23" x14ac:dyDescent="0.2">
      <c r="A93" s="7">
        <f t="shared" si="14"/>
        <v>1.5696827453510189E-3</v>
      </c>
      <c r="B93" s="4">
        <f t="shared" si="24"/>
        <v>87</v>
      </c>
      <c r="C93" s="4">
        <f t="shared" si="17"/>
        <v>255</v>
      </c>
      <c r="D93" s="8">
        <f t="shared" si="25"/>
        <v>21.25</v>
      </c>
      <c r="E93" s="23">
        <f t="shared" si="18"/>
        <v>949.47487816652563</v>
      </c>
      <c r="F93" s="24">
        <f t="shared" si="19"/>
        <v>233.51038399445076</v>
      </c>
      <c r="G93" s="25">
        <f t="shared" si="20"/>
        <v>1237.9852621609764</v>
      </c>
      <c r="H93" s="26">
        <f t="shared" si="21"/>
        <v>252.8638414521198</v>
      </c>
      <c r="I93" s="27">
        <f t="shared" si="22"/>
        <v>148762.78960576342</v>
      </c>
      <c r="K93" s="18">
        <f t="shared" si="15"/>
        <v>-1.563302734629202E-2</v>
      </c>
      <c r="L93" s="22">
        <f t="shared" si="26"/>
        <v>1.6999999999999999E-3</v>
      </c>
      <c r="N93" s="15">
        <f t="shared" si="23"/>
        <v>1077.0370926079861</v>
      </c>
      <c r="W93" s="1">
        <f t="shared" si="16"/>
        <v>-1237.9852621609764</v>
      </c>
    </row>
    <row r="94" spans="1:23" x14ac:dyDescent="0.2">
      <c r="A94" s="7">
        <f t="shared" si="14"/>
        <v>1.5822061478193974E-3</v>
      </c>
      <c r="B94" s="4">
        <f t="shared" si="24"/>
        <v>88</v>
      </c>
      <c r="C94" s="4">
        <f t="shared" si="17"/>
        <v>254</v>
      </c>
      <c r="D94" s="8">
        <f t="shared" si="25"/>
        <v>21.166666666666668</v>
      </c>
      <c r="E94" s="23">
        <f t="shared" si="18"/>
        <v>949.59841720890313</v>
      </c>
      <c r="F94" s="24">
        <f t="shared" si="19"/>
        <v>235.40108202230113</v>
      </c>
      <c r="G94" s="25">
        <f t="shared" si="20"/>
        <v>1239.9994992312043</v>
      </c>
      <c r="H94" s="26">
        <f t="shared" si="21"/>
        <v>252.8967423297978</v>
      </c>
      <c r="I94" s="27">
        <f t="shared" si="22"/>
        <v>148780.28526607092</v>
      </c>
      <c r="K94" s="18">
        <f t="shared" si="15"/>
        <v>-1.410940917181332E-2</v>
      </c>
      <c r="L94" s="22">
        <f t="shared" si="26"/>
        <v>1.6999999999999999E-3</v>
      </c>
      <c r="N94" s="15">
        <f t="shared" si="23"/>
        <v>1077.0370926079861</v>
      </c>
      <c r="W94" s="1">
        <f t="shared" si="16"/>
        <v>-1239.9994992312043</v>
      </c>
    </row>
    <row r="95" spans="1:23" x14ac:dyDescent="0.2">
      <c r="A95" s="7">
        <f t="shared" si="14"/>
        <v>1.5948496320724085E-3</v>
      </c>
      <c r="B95" s="4">
        <f t="shared" si="24"/>
        <v>89</v>
      </c>
      <c r="C95" s="4">
        <f t="shared" si="17"/>
        <v>253</v>
      </c>
      <c r="D95" s="8">
        <f t="shared" si="25"/>
        <v>21.083333333333332</v>
      </c>
      <c r="E95" s="23">
        <f t="shared" si="18"/>
        <v>949.71009736346366</v>
      </c>
      <c r="F95" s="24">
        <f t="shared" si="19"/>
        <v>237.3070937964593</v>
      </c>
      <c r="G95" s="25">
        <f t="shared" si="20"/>
        <v>1242.017191159923</v>
      </c>
      <c r="H95" s="26">
        <f t="shared" si="21"/>
        <v>252.92648495232055</v>
      </c>
      <c r="I95" s="27">
        <f t="shared" si="22"/>
        <v>148795.90465722678</v>
      </c>
      <c r="K95" s="18">
        <f t="shared" si="15"/>
        <v>-1.2575825251882595E-2</v>
      </c>
      <c r="L95" s="22">
        <f t="shared" si="26"/>
        <v>1.6999999999999999E-3</v>
      </c>
      <c r="N95" s="15">
        <f t="shared" si="23"/>
        <v>1077.0370926079861</v>
      </c>
      <c r="W95" s="1">
        <f t="shared" si="16"/>
        <v>-1242.017191159923</v>
      </c>
    </row>
    <row r="96" spans="1:23" x14ac:dyDescent="0.2">
      <c r="A96" s="7">
        <f t="shared" si="14"/>
        <v>1.6076146738916194E-3</v>
      </c>
      <c r="B96" s="4">
        <f t="shared" si="24"/>
        <v>90</v>
      </c>
      <c r="C96" s="4">
        <f t="shared" si="17"/>
        <v>252</v>
      </c>
      <c r="D96" s="8">
        <f t="shared" si="25"/>
        <v>21</v>
      </c>
      <c r="E96" s="23">
        <f t="shared" si="18"/>
        <v>949.80980071776798</v>
      </c>
      <c r="F96" s="24">
        <f t="shared" si="19"/>
        <v>239.22854344064854</v>
      </c>
      <c r="G96" s="25">
        <f t="shared" si="20"/>
        <v>1244.0383441584165</v>
      </c>
      <c r="H96" s="26">
        <f t="shared" si="21"/>
        <v>252.95303791728551</v>
      </c>
      <c r="I96" s="27">
        <f t="shared" si="22"/>
        <v>148809.62915170344</v>
      </c>
      <c r="K96" s="18">
        <f t="shared" si="15"/>
        <v>-1.1032211781158164E-2</v>
      </c>
      <c r="L96" s="22">
        <f t="shared" si="26"/>
        <v>1.6999999999999999E-3</v>
      </c>
      <c r="N96" s="15">
        <f t="shared" si="23"/>
        <v>1077.0370926079861</v>
      </c>
      <c r="W96" s="1">
        <f t="shared" si="16"/>
        <v>-1244.0383441584165</v>
      </c>
    </row>
    <row r="97" spans="1:23" x14ac:dyDescent="0.2">
      <c r="A97" s="7">
        <f t="shared" si="14"/>
        <v>1.6205027726033444E-3</v>
      </c>
      <c r="B97" s="4">
        <f t="shared" si="24"/>
        <v>91</v>
      </c>
      <c r="C97" s="4">
        <f t="shared" si="17"/>
        <v>251</v>
      </c>
      <c r="D97" s="8">
        <f t="shared" si="25"/>
        <v>20.916666666666668</v>
      </c>
      <c r="E97" s="23">
        <f t="shared" si="18"/>
        <v>949.89740836660656</v>
      </c>
      <c r="F97" s="24">
        <f t="shared" si="19"/>
        <v>241.16555608638816</v>
      </c>
      <c r="G97" s="25">
        <f t="shared" si="20"/>
        <v>1246.0629644529947</v>
      </c>
      <c r="H97" s="26">
        <f t="shared" si="21"/>
        <v>252.97636955789582</v>
      </c>
      <c r="I97" s="27">
        <f t="shared" si="22"/>
        <v>148821.43996517494</v>
      </c>
      <c r="K97" s="18">
        <f t="shared" si="15"/>
        <v>-9.4785045446659673E-3</v>
      </c>
      <c r="L97" s="22">
        <f t="shared" si="26"/>
        <v>1.6999999999999999E-3</v>
      </c>
      <c r="N97" s="15">
        <f t="shared" si="23"/>
        <v>1077.0370926079861</v>
      </c>
      <c r="W97" s="1">
        <f t="shared" si="16"/>
        <v>-1246.0629644529947</v>
      </c>
    </row>
    <row r="98" spans="1:23" x14ac:dyDescent="0.2">
      <c r="A98" s="7">
        <f t="shared" si="14"/>
        <v>1.6335154515505579E-3</v>
      </c>
      <c r="B98" s="4">
        <f t="shared" si="24"/>
        <v>92</v>
      </c>
      <c r="C98" s="4">
        <f t="shared" si="17"/>
        <v>250</v>
      </c>
      <c r="D98" s="8">
        <f t="shared" si="25"/>
        <v>20.833333333333332</v>
      </c>
      <c r="E98" s="23">
        <f t="shared" si="18"/>
        <v>949.9728004038775</v>
      </c>
      <c r="F98" s="24">
        <f t="shared" si="19"/>
        <v>243.11825788121268</v>
      </c>
      <c r="G98" s="25">
        <f t="shared" si="20"/>
        <v>1248.0910582850902</v>
      </c>
      <c r="H98" s="26">
        <f t="shared" si="21"/>
        <v>252.9964479407974</v>
      </c>
      <c r="I98" s="27">
        <f t="shared" si="22"/>
        <v>148831.31815523453</v>
      </c>
      <c r="K98" s="18">
        <f t="shared" si="15"/>
        <v>-7.9146389151746686E-3</v>
      </c>
      <c r="L98" s="22">
        <f t="shared" si="26"/>
        <v>1.6999999999999999E-3</v>
      </c>
      <c r="N98" s="15">
        <f t="shared" si="23"/>
        <v>1077.0370926079861</v>
      </c>
      <c r="W98" s="1">
        <f t="shared" si="16"/>
        <v>-1248.0910582850902</v>
      </c>
    </row>
    <row r="99" spans="1:23" x14ac:dyDescent="0.2">
      <c r="A99" s="7">
        <f t="shared" si="14"/>
        <v>1.6466542585762316E-3</v>
      </c>
      <c r="B99" s="4">
        <f t="shared" si="24"/>
        <v>93</v>
      </c>
      <c r="C99" s="4">
        <f t="shared" si="17"/>
        <v>249</v>
      </c>
      <c r="D99" s="8">
        <f t="shared" si="25"/>
        <v>20.75</v>
      </c>
      <c r="E99" s="23">
        <f t="shared" si="18"/>
        <v>950.03585591440094</v>
      </c>
      <c r="F99" s="24">
        <f t="shared" si="19"/>
        <v>245.08677599695955</v>
      </c>
      <c r="G99" s="25">
        <f t="shared" si="20"/>
        <v>1250.1226319113605</v>
      </c>
      <c r="H99" s="26">
        <f t="shared" si="21"/>
        <v>253.01324086389869</v>
      </c>
      <c r="I99" s="27">
        <f t="shared" si="22"/>
        <v>148839.24462010147</v>
      </c>
      <c r="K99" s="18">
        <f t="shared" si="15"/>
        <v>-6.3405498505535139E-3</v>
      </c>
      <c r="L99" s="22">
        <f t="shared" si="26"/>
        <v>1.6999999999999999E-3</v>
      </c>
      <c r="N99" s="15">
        <f t="shared" si="23"/>
        <v>1077.0370926079861</v>
      </c>
      <c r="W99" s="1">
        <f t="shared" si="16"/>
        <v>-1250.1226319113605</v>
      </c>
    </row>
    <row r="100" spans="1:23" x14ac:dyDescent="0.2">
      <c r="A100" s="7">
        <f t="shared" si="14"/>
        <v>1.6599207665184044E-3</v>
      </c>
      <c r="B100" s="4">
        <f t="shared" si="24"/>
        <v>94</v>
      </c>
      <c r="C100" s="4">
        <f t="shared" si="17"/>
        <v>248</v>
      </c>
      <c r="D100" s="8">
        <f t="shared" si="25"/>
        <v>20.666666666666668</v>
      </c>
      <c r="E100" s="23">
        <f t="shared" si="18"/>
        <v>950.08645296566385</v>
      </c>
      <c r="F100" s="24">
        <f t="shared" si="19"/>
        <v>247.07123863812456</v>
      </c>
      <c r="G100" s="25">
        <f t="shared" si="20"/>
        <v>1252.1576916037884</v>
      </c>
      <c r="H100" s="26">
        <f t="shared" si="21"/>
        <v>253.02671585417249</v>
      </c>
      <c r="I100" s="27">
        <f t="shared" si="22"/>
        <v>148845.20009731752</v>
      </c>
      <c r="K100" s="18">
        <f t="shared" si="15"/>
        <v>-4.7561718911138468E-3</v>
      </c>
      <c r="L100" s="22">
        <f t="shared" si="26"/>
        <v>1.6999999999999999E-3</v>
      </c>
      <c r="N100" s="15">
        <f t="shared" si="23"/>
        <v>1077.0370926079861</v>
      </c>
      <c r="W100" s="1">
        <f t="shared" si="16"/>
        <v>-1252.1576916037884</v>
      </c>
    </row>
    <row r="101" spans="1:23" x14ac:dyDescent="0.2">
      <c r="A101" s="7">
        <f t="shared" si="14"/>
        <v>1.6733165737173297E-3</v>
      </c>
      <c r="B101" s="4">
        <f t="shared" si="24"/>
        <v>95</v>
      </c>
      <c r="C101" s="4">
        <f t="shared" si="17"/>
        <v>247</v>
      </c>
      <c r="D101" s="8">
        <f t="shared" si="25"/>
        <v>20.583333333333332</v>
      </c>
      <c r="E101" s="23">
        <f t="shared" si="18"/>
        <v>950.12446859950001</v>
      </c>
      <c r="F101" s="24">
        <f t="shared" si="19"/>
        <v>249.07177505028676</v>
      </c>
      <c r="G101" s="25">
        <f t="shared" si="20"/>
        <v>1254.1962436497868</v>
      </c>
      <c r="H101" s="26">
        <f t="shared" si="21"/>
        <v>253.03684016543977</v>
      </c>
      <c r="I101" s="27">
        <f t="shared" si="22"/>
        <v>148849.16516243268</v>
      </c>
      <c r="K101" s="18">
        <f t="shared" si="15"/>
        <v>-3.1614391569332332E-3</v>
      </c>
      <c r="L101" s="22">
        <f t="shared" si="26"/>
        <v>1.6999999999999999E-3</v>
      </c>
      <c r="N101" s="15">
        <f t="shared" si="23"/>
        <v>1077.0370926079861</v>
      </c>
      <c r="W101" s="1">
        <f t="shared" si="16"/>
        <v>-1254.1962436497868</v>
      </c>
    </row>
    <row r="102" spans="1:23" x14ac:dyDescent="0.2">
      <c r="A102" s="7">
        <f t="shared" si="14"/>
        <v>1.6868433045350325E-3</v>
      </c>
      <c r="B102" s="4">
        <f t="shared" si="24"/>
        <v>96</v>
      </c>
      <c r="C102" s="4">
        <f t="shared" si="17"/>
        <v>246</v>
      </c>
      <c r="D102" s="8">
        <f t="shared" si="25"/>
        <v>20.5</v>
      </c>
      <c r="E102" s="23">
        <f t="shared" si="18"/>
        <v>950.14977882369965</v>
      </c>
      <c r="F102" s="24">
        <f t="shared" si="19"/>
        <v>251.08851552860153</v>
      </c>
      <c r="G102" s="25">
        <f t="shared" si="20"/>
        <v>1256.2382943523012</v>
      </c>
      <c r="H102" s="26">
        <f t="shared" si="21"/>
        <v>253.04358077613554</v>
      </c>
      <c r="I102" s="27">
        <f t="shared" si="22"/>
        <v>148851.12022768022</v>
      </c>
      <c r="K102" s="18">
        <f t="shared" si="15"/>
        <v>-1.5562853451637636E-3</v>
      </c>
      <c r="L102" s="22">
        <f t="shared" si="26"/>
        <v>1.6999999999999999E-3</v>
      </c>
      <c r="N102" s="15">
        <f t="shared" si="23"/>
        <v>1077.0370926079861</v>
      </c>
      <c r="W102" s="1">
        <f t="shared" si="16"/>
        <v>-1256.2382943523012</v>
      </c>
    </row>
    <row r="103" spans="1:23" x14ac:dyDescent="0.2">
      <c r="A103" s="7">
        <f t="shared" si="14"/>
        <v>1.7005026098876642E-3</v>
      </c>
      <c r="B103" s="4">
        <f t="shared" si="24"/>
        <v>97</v>
      </c>
      <c r="C103" s="4">
        <f t="shared" si="17"/>
        <v>245</v>
      </c>
      <c r="D103" s="8">
        <f t="shared" si="25"/>
        <v>20.416666666666668</v>
      </c>
      <c r="E103" s="23">
        <f t="shared" si="18"/>
        <v>950.16225860355269</v>
      </c>
      <c r="F103" s="24">
        <f t="shared" si="19"/>
        <v>253.12159142636744</v>
      </c>
      <c r="G103" s="25">
        <f t="shared" si="20"/>
        <v>1258.2838500299201</v>
      </c>
      <c r="H103" s="26">
        <f t="shared" si="21"/>
        <v>253.04690438705637</v>
      </c>
      <c r="I103" s="27">
        <f t="shared" si="22"/>
        <v>148851.04554064092</v>
      </c>
      <c r="K103" s="18">
        <f t="shared" si="15"/>
        <v>5.9356272679885879E-5</v>
      </c>
      <c r="L103" s="22">
        <f t="shared" si="26"/>
        <v>1.6999999999999999E-3</v>
      </c>
      <c r="N103" s="15">
        <f t="shared" si="23"/>
        <v>1077.0370926079861</v>
      </c>
      <c r="W103" s="1">
        <f t="shared" si="16"/>
        <v>-1258.2838500299201</v>
      </c>
    </row>
    <row r="104" spans="1:23" x14ac:dyDescent="0.2">
      <c r="A104" s="7">
        <f t="shared" si="14"/>
        <v>1.7142961677909768E-3</v>
      </c>
      <c r="B104" s="4">
        <f t="shared" si="24"/>
        <v>98</v>
      </c>
      <c r="C104" s="4">
        <f t="shared" si="17"/>
        <v>244</v>
      </c>
      <c r="D104" s="8">
        <f t="shared" si="25"/>
        <v>20.333333333333332</v>
      </c>
      <c r="E104" s="23">
        <f t="shared" si="18"/>
        <v>950.16178185332171</v>
      </c>
      <c r="F104" s="24">
        <f t="shared" si="19"/>
        <v>255.17113516366032</v>
      </c>
      <c r="G104" s="25">
        <f t="shared" si="20"/>
        <v>1260.332917016982</v>
      </c>
      <c r="H104" s="26">
        <f t="shared" si="21"/>
        <v>253.04677741908955</v>
      </c>
      <c r="I104" s="27">
        <f t="shared" si="22"/>
        <v>148848.92118289633</v>
      </c>
      <c r="K104" s="18">
        <f t="shared" si="15"/>
        <v>1.6855528534466967E-3</v>
      </c>
      <c r="L104" s="22">
        <f t="shared" si="26"/>
        <v>1.6999999999999999E-3</v>
      </c>
      <c r="N104" s="15">
        <f t="shared" si="23"/>
        <v>1077.0370926079861</v>
      </c>
      <c r="W104" s="1">
        <f t="shared" si="16"/>
        <v>-1260.332917016982</v>
      </c>
    </row>
    <row r="105" spans="1:23" x14ac:dyDescent="0.2">
      <c r="A105" s="7">
        <f t="shared" si="14"/>
        <v>1.7282256839193336E-3</v>
      </c>
      <c r="B105" s="4">
        <f t="shared" si="24"/>
        <v>99</v>
      </c>
      <c r="C105" s="4">
        <f t="shared" si="17"/>
        <v>243</v>
      </c>
      <c r="D105" s="8">
        <f t="shared" si="25"/>
        <v>20.25</v>
      </c>
      <c r="E105" s="23">
        <f t="shared" si="18"/>
        <v>950.14822142764535</v>
      </c>
      <c r="F105" s="24">
        <f t="shared" si="19"/>
        <v>257.23728023604087</v>
      </c>
      <c r="G105" s="25">
        <f t="shared" si="20"/>
        <v>1262.3855016636862</v>
      </c>
      <c r="H105" s="26">
        <f t="shared" si="21"/>
        <v>253.04316601092376</v>
      </c>
      <c r="I105" s="27">
        <f t="shared" si="22"/>
        <v>148844.72706867123</v>
      </c>
      <c r="K105" s="18">
        <f t="shared" si="15"/>
        <v>3.3223719850946753E-3</v>
      </c>
      <c r="L105" s="22">
        <f t="shared" si="26"/>
        <v>1.6999999999999999E-3</v>
      </c>
      <c r="N105" s="15">
        <f t="shared" si="23"/>
        <v>1077.0370926079861</v>
      </c>
      <c r="W105" s="1">
        <f t="shared" si="16"/>
        <v>-1262.3855016636862</v>
      </c>
    </row>
    <row r="106" spans="1:23" x14ac:dyDescent="0.2">
      <c r="A106" s="7">
        <f t="shared" si="14"/>
        <v>1.7422928921786345E-3</v>
      </c>
      <c r="B106" s="4">
        <f t="shared" si="24"/>
        <v>100</v>
      </c>
      <c r="C106" s="4">
        <f t="shared" si="17"/>
        <v>242</v>
      </c>
      <c r="D106" s="8">
        <f t="shared" si="25"/>
        <v>20.166666666666668</v>
      </c>
      <c r="E106" s="23">
        <f t="shared" si="18"/>
        <v>950.12144911287294</v>
      </c>
      <c r="F106" s="24">
        <f t="shared" si="19"/>
        <v>259.32016122333368</v>
      </c>
      <c r="G106" s="25">
        <f t="shared" si="20"/>
        <v>1264.4416103362066</v>
      </c>
      <c r="H106" s="26">
        <f t="shared" si="21"/>
        <v>253.03603601674106</v>
      </c>
      <c r="I106" s="27">
        <f t="shared" si="22"/>
        <v>148838.44294346464</v>
      </c>
      <c r="K106" s="18">
        <f t="shared" si="15"/>
        <v>4.9698816894531905E-3</v>
      </c>
      <c r="L106" s="22">
        <f t="shared" si="26"/>
        <v>1.6999999999999999E-3</v>
      </c>
      <c r="N106" s="15">
        <f t="shared" si="23"/>
        <v>1077.0370926079861</v>
      </c>
      <c r="W106" s="1">
        <f t="shared" si="16"/>
        <v>-1264.4416103362066</v>
      </c>
    </row>
    <row r="107" spans="1:23" x14ac:dyDescent="0.2">
      <c r="A107" s="7">
        <f t="shared" si="14"/>
        <v>1.7564995552935649E-3</v>
      </c>
      <c r="B107" s="4">
        <f t="shared" si="24"/>
        <v>101</v>
      </c>
      <c r="C107" s="4">
        <f t="shared" si="17"/>
        <v>241</v>
      </c>
      <c r="D107" s="8">
        <f t="shared" si="25"/>
        <v>20.083333333333332</v>
      </c>
      <c r="E107" s="23">
        <f t="shared" si="18"/>
        <v>950.08133561832551</v>
      </c>
      <c r="F107" s="24">
        <f t="shared" si="19"/>
        <v>261.41991379847968</v>
      </c>
      <c r="G107" s="25">
        <f t="shared" si="20"/>
        <v>1266.5012494168052</v>
      </c>
      <c r="H107" s="26">
        <f t="shared" si="21"/>
        <v>253.02535300388988</v>
      </c>
      <c r="I107" s="27">
        <f t="shared" si="22"/>
        <v>148830.04838267004</v>
      </c>
      <c r="K107" s="18">
        <f t="shared" si="15"/>
        <v>6.6281504250037737E-3</v>
      </c>
      <c r="L107" s="22">
        <f t="shared" si="26"/>
        <v>1.6999999999999999E-3</v>
      </c>
      <c r="N107" s="15">
        <f t="shared" si="23"/>
        <v>1077.0370926079861</v>
      </c>
      <c r="W107" s="1">
        <f t="shared" si="16"/>
        <v>-1266.5012494168052</v>
      </c>
    </row>
    <row r="108" spans="1:23" x14ac:dyDescent="0.2">
      <c r="A108" s="7">
        <f t="shared" si="14"/>
        <v>1.7708474654095762E-3</v>
      </c>
      <c r="B108" s="4">
        <f t="shared" si="24"/>
        <v>102</v>
      </c>
      <c r="C108" s="4">
        <f t="shared" si="17"/>
        <v>240</v>
      </c>
      <c r="D108" s="8">
        <f t="shared" si="25"/>
        <v>20</v>
      </c>
      <c r="E108" s="23">
        <f t="shared" si="18"/>
        <v>950.02775056748817</v>
      </c>
      <c r="F108" s="24">
        <f t="shared" si="19"/>
        <v>263.53667473646021</v>
      </c>
      <c r="G108" s="25">
        <f t="shared" si="20"/>
        <v>1268.5644253039484</v>
      </c>
      <c r="H108" s="26">
        <f t="shared" si="21"/>
        <v>253.01108225053906</v>
      </c>
      <c r="I108" s="27">
        <f t="shared" si="22"/>
        <v>148819.52279018413</v>
      </c>
      <c r="K108" s="18">
        <f t="shared" si="15"/>
        <v>8.29724708967715E-3</v>
      </c>
      <c r="L108" s="22">
        <f t="shared" si="26"/>
        <v>1.6999999999999999E-3</v>
      </c>
      <c r="N108" s="15">
        <f t="shared" si="23"/>
        <v>1077.0370926079861</v>
      </c>
      <c r="W108" s="1">
        <f t="shared" si="16"/>
        <v>-1268.5644253039484</v>
      </c>
    </row>
    <row r="109" spans="1:23" x14ac:dyDescent="0.2">
      <c r="A109" s="7">
        <f t="shared" si="14"/>
        <v>1.7853384447100587E-3</v>
      </c>
      <c r="B109" s="4">
        <f t="shared" si="24"/>
        <v>103</v>
      </c>
      <c r="C109" s="4">
        <f t="shared" si="17"/>
        <v>239</v>
      </c>
      <c r="D109" s="8">
        <f t="shared" si="25"/>
        <v>19.916666666666668</v>
      </c>
      <c r="E109" s="23">
        <f t="shared" si="18"/>
        <v>949.9605624891301</v>
      </c>
      <c r="F109" s="24">
        <f t="shared" si="19"/>
        <v>265.6705819232975</v>
      </c>
      <c r="G109" s="25">
        <f t="shared" si="20"/>
        <v>1270.6311444124276</v>
      </c>
      <c r="H109" s="26">
        <f t="shared" si="21"/>
        <v>252.993188743313</v>
      </c>
      <c r="I109" s="27">
        <f t="shared" si="22"/>
        <v>148806.84539700413</v>
      </c>
      <c r="K109" s="18">
        <f t="shared" si="15"/>
        <v>9.9772410236700568E-3</v>
      </c>
      <c r="L109" s="22">
        <f t="shared" si="26"/>
        <v>1.6999999999999999E-3</v>
      </c>
      <c r="N109" s="15">
        <f t="shared" si="23"/>
        <v>1077.0370926079861</v>
      </c>
      <c r="W109" s="1">
        <f t="shared" si="16"/>
        <v>-1270.6311444124276</v>
      </c>
    </row>
    <row r="110" spans="1:23" x14ac:dyDescent="0.2">
      <c r="A110" s="7">
        <f t="shared" si="14"/>
        <v>1.7999743460491325E-3</v>
      </c>
      <c r="B110" s="4">
        <f t="shared" si="24"/>
        <v>104</v>
      </c>
      <c r="C110" s="4">
        <f t="shared" si="17"/>
        <v>238</v>
      </c>
      <c r="D110" s="8">
        <f t="shared" si="25"/>
        <v>19.833333333333332</v>
      </c>
      <c r="E110" s="23">
        <f t="shared" si="18"/>
        <v>949.87963880834968</v>
      </c>
      <c r="F110" s="24">
        <f t="shared" si="19"/>
        <v>267.82177436512916</v>
      </c>
      <c r="G110" s="25">
        <f t="shared" si="20"/>
        <v>1272.7014131734788</v>
      </c>
      <c r="H110" s="26">
        <f t="shared" si="21"/>
        <v>252.97163717490702</v>
      </c>
      <c r="I110" s="27">
        <f t="shared" si="22"/>
        <v>148791.99525981391</v>
      </c>
      <c r="K110" s="18">
        <f t="shared" si="15"/>
        <v>1.1668202012279808E-2</v>
      </c>
      <c r="L110" s="22">
        <f t="shared" si="26"/>
        <v>1.6999999999999999E-3</v>
      </c>
      <c r="N110" s="15">
        <f t="shared" si="23"/>
        <v>1077.0370926079861</v>
      </c>
      <c r="W110" s="1">
        <f t="shared" si="16"/>
        <v>-1272.7014131734788</v>
      </c>
    </row>
    <row r="111" spans="1:23" x14ac:dyDescent="0.2">
      <c r="A111" s="7">
        <f t="shared" si="14"/>
        <v>1.8147570536005101E-3</v>
      </c>
      <c r="B111" s="4">
        <f t="shared" si="24"/>
        <v>105</v>
      </c>
      <c r="C111" s="4">
        <f t="shared" si="17"/>
        <v>237</v>
      </c>
      <c r="D111" s="8">
        <f t="shared" si="25"/>
        <v>19.75</v>
      </c>
      <c r="E111" s="23">
        <f t="shared" si="18"/>
        <v>949.78484583755005</v>
      </c>
      <c r="F111" s="24">
        <f t="shared" si="19"/>
        <v>269.99039219735539</v>
      </c>
      <c r="G111" s="25">
        <f t="shared" si="20"/>
        <v>1274.7752380349054</v>
      </c>
      <c r="H111" s="26">
        <f t="shared" si="21"/>
        <v>252.94639194168363</v>
      </c>
      <c r="I111" s="27">
        <f t="shared" si="22"/>
        <v>148774.95125955823</v>
      </c>
      <c r="K111" s="18">
        <f t="shared" si="15"/>
        <v>1.33702002887548E-2</v>
      </c>
      <c r="L111" s="22">
        <f t="shared" si="26"/>
        <v>1.6999999999999999E-3</v>
      </c>
      <c r="N111" s="15">
        <f t="shared" si="23"/>
        <v>1077.0370926079861</v>
      </c>
      <c r="W111" s="1">
        <f t="shared" si="16"/>
        <v>-1274.7752380349054</v>
      </c>
    </row>
    <row r="112" spans="1:23" x14ac:dyDescent="0.2">
      <c r="A112" s="7">
        <f t="shared" si="14"/>
        <v>1.8296884835229562E-3</v>
      </c>
      <c r="B112" s="4">
        <f t="shared" si="24"/>
        <v>106</v>
      </c>
      <c r="C112" s="4">
        <f t="shared" si="17"/>
        <v>236</v>
      </c>
      <c r="D112" s="8">
        <f t="shared" si="25"/>
        <v>19.666666666666668</v>
      </c>
      <c r="E112" s="23">
        <f t="shared" si="18"/>
        <v>949.67604876733787</v>
      </c>
      <c r="F112" s="24">
        <f t="shared" si="19"/>
        <v>272.1765766938671</v>
      </c>
      <c r="G112" s="25">
        <f t="shared" si="20"/>
        <v>1276.852625461205</v>
      </c>
      <c r="H112" s="26">
        <f t="shared" si="21"/>
        <v>252.91741714124899</v>
      </c>
      <c r="I112" s="27">
        <f t="shared" si="22"/>
        <v>148755.69210000563</v>
      </c>
      <c r="K112" s="18">
        <f t="shared" si="15"/>
        <v>1.5083306537167215E-2</v>
      </c>
      <c r="L112" s="22">
        <f t="shared" si="26"/>
        <v>1.6999999999999999E-3</v>
      </c>
      <c r="N112" s="15">
        <f t="shared" si="23"/>
        <v>1077.0370926079861</v>
      </c>
      <c r="W112" s="1">
        <f t="shared" si="16"/>
        <v>-1276.852625461205</v>
      </c>
    </row>
    <row r="113" spans="1:23" x14ac:dyDescent="0.2">
      <c r="A113" s="7">
        <f t="shared" si="14"/>
        <v>1.8447705846427712E-3</v>
      </c>
      <c r="B113" s="4">
        <f t="shared" si="24"/>
        <v>107</v>
      </c>
      <c r="C113" s="4">
        <f t="shared" si="17"/>
        <v>235</v>
      </c>
      <c r="D113" s="8">
        <f t="shared" si="25"/>
        <v>19.583333333333332</v>
      </c>
      <c r="E113" s="23">
        <f t="shared" si="18"/>
        <v>949.55311165734963</v>
      </c>
      <c r="F113" s="24">
        <f t="shared" si="19"/>
        <v>274.38047027634445</v>
      </c>
      <c r="G113" s="25">
        <f t="shared" si="20"/>
        <v>1278.9335819336941</v>
      </c>
      <c r="H113" s="26">
        <f t="shared" si="21"/>
        <v>252.88467657000956</v>
      </c>
      <c r="I113" s="27">
        <f t="shared" si="22"/>
        <v>148734.1963062993</v>
      </c>
      <c r="K113" s="18">
        <f t="shared" si="15"/>
        <v>1.6807591895299328E-2</v>
      </c>
      <c r="L113" s="22">
        <f t="shared" si="26"/>
        <v>1.6999999999999999E-3</v>
      </c>
      <c r="N113" s="15">
        <f t="shared" si="23"/>
        <v>1077.0370926079861</v>
      </c>
      <c r="W113" s="1">
        <f t="shared" si="16"/>
        <v>-1278.9335819336941</v>
      </c>
    </row>
    <row r="114" spans="1:23" x14ac:dyDescent="0.2">
      <c r="A114" s="7">
        <f t="shared" si="14"/>
        <v>1.8600053391538934E-3</v>
      </c>
      <c r="B114" s="4">
        <f t="shared" si="24"/>
        <v>108</v>
      </c>
      <c r="C114" s="4">
        <f t="shared" si="17"/>
        <v>234</v>
      </c>
      <c r="D114" s="8">
        <f t="shared" si="25"/>
        <v>19.5</v>
      </c>
      <c r="E114" s="23">
        <f t="shared" si="18"/>
        <v>949.4158974270016</v>
      </c>
      <c r="F114" s="24">
        <f t="shared" si="19"/>
        <v>276.60221652363987</v>
      </c>
      <c r="G114" s="25">
        <f t="shared" si="20"/>
        <v>1281.0181139506415</v>
      </c>
      <c r="H114" s="26">
        <f t="shared" si="21"/>
        <v>252.8481337207088</v>
      </c>
      <c r="I114" s="27">
        <f t="shared" si="22"/>
        <v>148710.44222349639</v>
      </c>
      <c r="K114" s="18">
        <f t="shared" si="15"/>
        <v>1.8543127957553869E-2</v>
      </c>
      <c r="L114" s="22">
        <f t="shared" si="26"/>
        <v>1.6999999999999999E-3</v>
      </c>
      <c r="N114" s="15">
        <f t="shared" si="23"/>
        <v>1077.0370926079861</v>
      </c>
      <c r="W114" s="1">
        <f t="shared" si="16"/>
        <v>-1281.0181139506415</v>
      </c>
    </row>
    <row r="115" spans="1:23" x14ac:dyDescent="0.2">
      <c r="A115" s="7">
        <f t="shared" si="14"/>
        <v>1.8753947633360607E-3</v>
      </c>
      <c r="B115" s="4">
        <f t="shared" si="24"/>
        <v>109</v>
      </c>
      <c r="C115" s="4">
        <f t="shared" si="17"/>
        <v>233</v>
      </c>
      <c r="D115" s="8">
        <f t="shared" si="25"/>
        <v>19.416666666666668</v>
      </c>
      <c r="E115" s="23">
        <f t="shared" si="18"/>
        <v>949.26426784616569</v>
      </c>
      <c r="F115" s="24">
        <f t="shared" si="19"/>
        <v>278.84196018123157</v>
      </c>
      <c r="G115" s="25">
        <f t="shared" si="20"/>
        <v>1283.1062280273973</v>
      </c>
      <c r="H115" s="26">
        <f t="shared" si="21"/>
        <v>252.80775177994383</v>
      </c>
      <c r="I115" s="27">
        <f t="shared" si="22"/>
        <v>148684.4080150951</v>
      </c>
      <c r="K115" s="18">
        <f t="shared" si="15"/>
        <v>2.0289986777877172E-2</v>
      </c>
      <c r="L115" s="22">
        <f t="shared" si="26"/>
        <v>1.6999999999999999E-3</v>
      </c>
      <c r="N115" s="15">
        <f t="shared" si="23"/>
        <v>1077.0370926079861</v>
      </c>
      <c r="W115" s="1">
        <f t="shared" si="16"/>
        <v>-1283.1062280273973</v>
      </c>
    </row>
    <row r="116" spans="1:23" x14ac:dyDescent="0.2">
      <c r="A116" s="7">
        <f t="shared" si="14"/>
        <v>1.890940908291673E-3</v>
      </c>
      <c r="B116" s="4">
        <f t="shared" si="24"/>
        <v>110</v>
      </c>
      <c r="C116" s="4">
        <f t="shared" si="17"/>
        <v>232</v>
      </c>
      <c r="D116" s="8">
        <f t="shared" si="25"/>
        <v>19.333333333333332</v>
      </c>
      <c r="E116" s="23">
        <f t="shared" si="18"/>
        <v>949.09808352576772</v>
      </c>
      <c r="F116" s="24">
        <f t="shared" si="19"/>
        <v>281.09984717076338</v>
      </c>
      <c r="G116" s="25">
        <f t="shared" si="20"/>
        <v>1285.1979306965311</v>
      </c>
      <c r="H116" s="26">
        <f t="shared" si="21"/>
        <v>252.76349362566165</v>
      </c>
      <c r="I116" s="27">
        <f t="shared" si="22"/>
        <v>148656.07166155</v>
      </c>
      <c r="K116" s="18">
        <f t="shared" si="15"/>
        <v>2.2048240872707011E-2</v>
      </c>
      <c r="L116" s="22">
        <f t="shared" si="26"/>
        <v>1.6999999999999999E-3</v>
      </c>
      <c r="N116" s="15">
        <f t="shared" si="23"/>
        <v>1077.0370926079861</v>
      </c>
      <c r="W116" s="1">
        <f t="shared" si="16"/>
        <v>-1285.1979306965311</v>
      </c>
    </row>
    <row r="117" spans="1:23" x14ac:dyDescent="0.2">
      <c r="A117" s="7">
        <f t="shared" si="14"/>
        <v>1.9066458607018256E-3</v>
      </c>
      <c r="B117" s="4">
        <f t="shared" si="24"/>
        <v>111</v>
      </c>
      <c r="C117" s="4">
        <f t="shared" si="17"/>
        <v>231</v>
      </c>
      <c r="D117" s="8">
        <f t="shared" si="25"/>
        <v>19.25</v>
      </c>
      <c r="E117" s="23">
        <f t="shared" si="18"/>
        <v>948.91720390830949</v>
      </c>
      <c r="F117" s="24">
        <f t="shared" si="19"/>
        <v>283.37602459965603</v>
      </c>
      <c r="G117" s="25">
        <f t="shared" si="20"/>
        <v>1287.2932285079655</v>
      </c>
      <c r="H117" s="26">
        <f t="shared" si="21"/>
        <v>252.71532182463497</v>
      </c>
      <c r="I117" s="27">
        <f t="shared" si="22"/>
        <v>148625.41095877497</v>
      </c>
      <c r="K117" s="18">
        <f t="shared" si="15"/>
        <v>2.3817963223933283E-2</v>
      </c>
      <c r="L117" s="22">
        <f t="shared" si="26"/>
        <v>1.6999999999999999E-3</v>
      </c>
      <c r="N117" s="15">
        <f t="shared" si="23"/>
        <v>1077.0370926079861</v>
      </c>
      <c r="W117" s="1">
        <f t="shared" si="16"/>
        <v>-1287.2932285079655</v>
      </c>
    </row>
    <row r="118" spans="1:23" x14ac:dyDescent="0.2">
      <c r="A118" s="7">
        <f t="shared" si="14"/>
        <v>1.9225117436022011E-3</v>
      </c>
      <c r="B118" s="4">
        <f t="shared" si="24"/>
        <v>112</v>
      </c>
      <c r="C118" s="4">
        <f t="shared" si="17"/>
        <v>230</v>
      </c>
      <c r="D118" s="8">
        <f t="shared" si="25"/>
        <v>19.166666666666668</v>
      </c>
      <c r="E118" s="23">
        <f t="shared" si="18"/>
        <v>948.72148725831369</v>
      </c>
      <c r="F118" s="24">
        <f t="shared" si="19"/>
        <v>285.67064077080602</v>
      </c>
      <c r="G118" s="25">
        <f t="shared" si="20"/>
        <v>1289.3921280291197</v>
      </c>
      <c r="H118" s="26">
        <f t="shared" si="21"/>
        <v>252.66319862991745</v>
      </c>
      <c r="I118" s="27">
        <f t="shared" si="22"/>
        <v>148592.40351663408</v>
      </c>
      <c r="K118" s="18">
        <f t="shared" si="15"/>
        <v>2.5599227281883272E-2</v>
      </c>
      <c r="L118" s="22">
        <f t="shared" si="26"/>
        <v>1.6999999999999999E-3</v>
      </c>
      <c r="N118" s="15">
        <f t="shared" si="23"/>
        <v>1077.0370926079861</v>
      </c>
      <c r="W118" s="1">
        <f t="shared" si="16"/>
        <v>-1289.3921280291197</v>
      </c>
    </row>
    <row r="119" spans="1:23" x14ac:dyDescent="0.2">
      <c r="A119" s="7">
        <f t="shared" si="14"/>
        <v>1.938540717179336E-3</v>
      </c>
      <c r="B119" s="4">
        <f t="shared" si="24"/>
        <v>113</v>
      </c>
      <c r="C119" s="4">
        <f t="shared" si="17"/>
        <v>229</v>
      </c>
      <c r="D119" s="8">
        <f t="shared" si="25"/>
        <v>19.083333333333332</v>
      </c>
      <c r="E119" s="23">
        <f t="shared" si="18"/>
        <v>948.51079065268959</v>
      </c>
      <c r="F119" s="24">
        <f t="shared" si="19"/>
        <v>287.98384519235879</v>
      </c>
      <c r="G119" s="25">
        <f t="shared" si="20"/>
        <v>1291.4946358450484</v>
      </c>
      <c r="H119" s="26">
        <f t="shared" si="21"/>
        <v>252.60708597827792</v>
      </c>
      <c r="I119" s="27">
        <f t="shared" si="22"/>
        <v>148557.02675742001</v>
      </c>
      <c r="K119" s="18">
        <f t="shared" si="15"/>
        <v>2.7392106968321405E-2</v>
      </c>
      <c r="L119" s="22">
        <f t="shared" si="26"/>
        <v>1.6999999999999999E-3</v>
      </c>
      <c r="N119" s="15">
        <f t="shared" si="23"/>
        <v>1077.0370926079861</v>
      </c>
      <c r="W119" s="1">
        <f t="shared" si="16"/>
        <v>-1291.4946358450484</v>
      </c>
    </row>
    <row r="120" spans="1:23" x14ac:dyDescent="0.2">
      <c r="A120" s="7">
        <f t="shared" si="14"/>
        <v>1.9547349795879672E-3</v>
      </c>
      <c r="B120" s="4">
        <f t="shared" si="24"/>
        <v>114</v>
      </c>
      <c r="C120" s="4">
        <f t="shared" si="17"/>
        <v>228</v>
      </c>
      <c r="D120" s="8">
        <f t="shared" si="25"/>
        <v>19</v>
      </c>
      <c r="E120" s="23">
        <f t="shared" si="18"/>
        <v>948.28496997102116</v>
      </c>
      <c r="F120" s="24">
        <f t="shared" si="19"/>
        <v>290.31578858756848</v>
      </c>
      <c r="G120" s="25">
        <f t="shared" si="20"/>
        <v>1293.6007585585896</v>
      </c>
      <c r="H120" s="26">
        <f t="shared" si="21"/>
        <v>252.54694548761401</v>
      </c>
      <c r="I120" s="27">
        <f t="shared" si="22"/>
        <v>148519.25791432007</v>
      </c>
      <c r="K120" s="18">
        <f t="shared" si="15"/>
        <v>2.9196676679471692E-2</v>
      </c>
      <c r="L120" s="22">
        <f t="shared" si="26"/>
        <v>1.6999999999999999E-3</v>
      </c>
      <c r="N120" s="15">
        <f t="shared" si="23"/>
        <v>1077.0370926079861</v>
      </c>
      <c r="W120" s="1">
        <f t="shared" si="16"/>
        <v>-1293.6007585585896</v>
      </c>
    </row>
    <row r="121" spans="1:23" x14ac:dyDescent="0.2">
      <c r="A121" s="7">
        <f t="shared" si="14"/>
        <v>1.9710967677900588E-3</v>
      </c>
      <c r="B121" s="4">
        <f t="shared" si="24"/>
        <v>115</v>
      </c>
      <c r="C121" s="4">
        <f t="shared" si="17"/>
        <v>227</v>
      </c>
      <c r="D121" s="8">
        <f t="shared" si="25"/>
        <v>18.916666666666668</v>
      </c>
      <c r="E121" s="23">
        <f t="shared" si="18"/>
        <v>948.04387988577503</v>
      </c>
      <c r="F121" s="24">
        <f t="shared" si="19"/>
        <v>292.66662290473698</v>
      </c>
      <c r="G121" s="25">
        <f t="shared" si="20"/>
        <v>1295.710502790512</v>
      </c>
      <c r="H121" s="26">
        <f t="shared" si="21"/>
        <v>252.48273845434412</v>
      </c>
      <c r="I121" s="27">
        <f t="shared" si="22"/>
        <v>148479.07402986966</v>
      </c>
      <c r="K121" s="18">
        <f t="shared" si="15"/>
        <v>3.1013011289057767E-2</v>
      </c>
      <c r="L121" s="22">
        <f t="shared" si="26"/>
        <v>1.6999999999999999E-3</v>
      </c>
      <c r="N121" s="15">
        <f t="shared" si="23"/>
        <v>1077.0370926079861</v>
      </c>
      <c r="W121" s="1">
        <f t="shared" si="16"/>
        <v>-1295.710502790512</v>
      </c>
    </row>
    <row r="122" spans="1:23" x14ac:dyDescent="0.2">
      <c r="A122" s="7">
        <f t="shared" si="14"/>
        <v>1.9876283584162133E-3</v>
      </c>
      <c r="B122" s="4">
        <f t="shared" si="24"/>
        <v>116</v>
      </c>
      <c r="C122" s="4">
        <f t="shared" si="17"/>
        <v>226</v>
      </c>
      <c r="D122" s="8">
        <f t="shared" si="25"/>
        <v>18.833333333333332</v>
      </c>
      <c r="E122" s="23">
        <f t="shared" si="18"/>
        <v>947.787373852428</v>
      </c>
      <c r="F122" s="24">
        <f t="shared" si="19"/>
        <v>295.03650132723772</v>
      </c>
      <c r="G122" s="25">
        <f t="shared" si="20"/>
        <v>1297.8238751796657</v>
      </c>
      <c r="H122" s="26">
        <f t="shared" si="21"/>
        <v>252.4144258507784</v>
      </c>
      <c r="I122" s="27">
        <f t="shared" si="22"/>
        <v>148436.45195439321</v>
      </c>
      <c r="K122" s="18">
        <f t="shared" si="15"/>
        <v>3.2841186151363472E-2</v>
      </c>
      <c r="L122" s="22">
        <f t="shared" si="26"/>
        <v>1.6999999999999999E-3</v>
      </c>
      <c r="N122" s="15">
        <f t="shared" si="23"/>
        <v>1077.0370926079861</v>
      </c>
      <c r="W122" s="1">
        <f t="shared" si="16"/>
        <v>-1297.8238751796657</v>
      </c>
    </row>
    <row r="123" spans="1:23" x14ac:dyDescent="0.2">
      <c r="A123" s="7">
        <f t="shared" si="14"/>
        <v>2.004332068650133E-3</v>
      </c>
      <c r="B123" s="4">
        <f t="shared" si="24"/>
        <v>117</v>
      </c>
      <c r="C123" s="4">
        <f t="shared" si="17"/>
        <v>225</v>
      </c>
      <c r="D123" s="8">
        <f t="shared" si="25"/>
        <v>18.75</v>
      </c>
      <c r="E123" s="23">
        <f t="shared" si="18"/>
        <v>947.51530409951556</v>
      </c>
      <c r="F123" s="24">
        <f t="shared" si="19"/>
        <v>297.42557828361942</v>
      </c>
      <c r="G123" s="25">
        <f t="shared" si="20"/>
        <v>1299.940882383135</v>
      </c>
      <c r="H123" s="26">
        <f t="shared" si="21"/>
        <v>252.34196832246843</v>
      </c>
      <c r="I123" s="27">
        <f t="shared" si="22"/>
        <v>148391.36834443206</v>
      </c>
      <c r="K123" s="18">
        <f t="shared" si="15"/>
        <v>3.4681277104310175E-2</v>
      </c>
      <c r="L123" s="22">
        <f t="shared" si="26"/>
        <v>1.6999999999999999E-3</v>
      </c>
      <c r="N123" s="15">
        <f t="shared" si="23"/>
        <v>1077.0370926079861</v>
      </c>
      <c r="W123" s="1">
        <f t="shared" si="16"/>
        <v>-1299.940882383135</v>
      </c>
    </row>
    <row r="124" spans="1:23" x14ac:dyDescent="0.2">
      <c r="A124" s="7">
        <f t="shared" si="14"/>
        <v>2.0212102571369223E-3</v>
      </c>
      <c r="B124" s="4">
        <f t="shared" si="24"/>
        <v>118</v>
      </c>
      <c r="C124" s="4">
        <f t="shared" si="17"/>
        <v>224</v>
      </c>
      <c r="D124" s="8">
        <f t="shared" si="25"/>
        <v>18.666666666666668</v>
      </c>
      <c r="E124" s="23">
        <f t="shared" si="18"/>
        <v>947.22752161859671</v>
      </c>
      <c r="F124" s="24">
        <f t="shared" si="19"/>
        <v>299.8340094578009</v>
      </c>
      <c r="G124" s="25">
        <f t="shared" si="20"/>
        <v>1302.0615310763976</v>
      </c>
      <c r="H124" s="26">
        <f t="shared" si="21"/>
        <v>252.26532618553449</v>
      </c>
      <c r="I124" s="27">
        <f t="shared" si="22"/>
        <v>148343.79966115981</v>
      </c>
      <c r="K124" s="18">
        <f t="shared" si="15"/>
        <v>3.6533360472559229E-2</v>
      </c>
      <c r="L124" s="22">
        <f t="shared" si="26"/>
        <v>1.6999999999999999E-3</v>
      </c>
      <c r="N124" s="15">
        <f t="shared" si="23"/>
        <v>1077.0370926079861</v>
      </c>
      <c r="W124" s="1">
        <f t="shared" si="16"/>
        <v>-1302.0615310763976</v>
      </c>
    </row>
    <row r="125" spans="1:23" x14ac:dyDescent="0.2">
      <c r="A125" s="7">
        <f t="shared" si="14"/>
        <v>2.0382653249158928E-3</v>
      </c>
      <c r="B125" s="4">
        <f t="shared" si="24"/>
        <v>119</v>
      </c>
      <c r="C125" s="4">
        <f t="shared" si="17"/>
        <v>223</v>
      </c>
      <c r="D125" s="8">
        <f t="shared" si="25"/>
        <v>18.583333333333332</v>
      </c>
      <c r="E125" s="23">
        <f t="shared" si="18"/>
        <v>946.9238761541377</v>
      </c>
      <c r="F125" s="24">
        <f t="shared" si="19"/>
        <v>302.2619517993445</v>
      </c>
      <c r="G125" s="25">
        <f t="shared" si="20"/>
        <v>1304.1858279534822</v>
      </c>
      <c r="H125" s="26">
        <f t="shared" si="21"/>
        <v>252.18445942397165</v>
      </c>
      <c r="I125" s="27">
        <f t="shared" si="22"/>
        <v>148293.72216878441</v>
      </c>
      <c r="K125" s="18">
        <f t="shared" si="15"/>
        <v>3.8397513070628934E-2</v>
      </c>
      <c r="L125" s="22">
        <f t="shared" si="26"/>
        <v>1.6999999999999999E-3</v>
      </c>
      <c r="N125" s="15">
        <f t="shared" si="23"/>
        <v>1077.0370926079861</v>
      </c>
      <c r="W125" s="1">
        <f t="shared" si="16"/>
        <v>-1304.1858279534822</v>
      </c>
    </row>
    <row r="126" spans="1:23" x14ac:dyDescent="0.2">
      <c r="A126" s="7">
        <f t="shared" si="14"/>
        <v>2.0554997163787143E-3</v>
      </c>
      <c r="B126" s="4">
        <f t="shared" si="24"/>
        <v>120</v>
      </c>
      <c r="C126" s="4">
        <f t="shared" si="17"/>
        <v>222</v>
      </c>
      <c r="D126" s="8">
        <f t="shared" si="25"/>
        <v>18.5</v>
      </c>
      <c r="E126" s="23">
        <f t="shared" si="18"/>
        <v>946.60421619331362</v>
      </c>
      <c r="F126" s="24">
        <f t="shared" si="19"/>
        <v>304.70956353381837</v>
      </c>
      <c r="G126" s="83">
        <f t="shared" si="20"/>
        <v>1306.313779727132</v>
      </c>
      <c r="H126" s="26">
        <f t="shared" si="21"/>
        <v>252.09932768693349</v>
      </c>
      <c r="I126" s="27">
        <f t="shared" si="22"/>
        <v>148241.11193293755</v>
      </c>
      <c r="K126" s="18">
        <f t="shared" si="15"/>
        <v>4.0273812206033925E-2</v>
      </c>
      <c r="L126" s="22">
        <f t="shared" si="26"/>
        <v>1.6999999999999999E-3</v>
      </c>
      <c r="N126" s="15">
        <f t="shared" si="23"/>
        <v>1077.0370926079861</v>
      </c>
      <c r="W126" s="1">
        <f t="shared" si="16"/>
        <v>-1306.313779727132</v>
      </c>
    </row>
    <row r="127" spans="1:23" x14ac:dyDescent="0.2">
      <c r="A127" s="7">
        <f t="shared" si="14"/>
        <v>2.0729159202537151E-3</v>
      </c>
      <c r="B127" s="4">
        <f t="shared" si="24"/>
        <v>121</v>
      </c>
      <c r="C127" s="4">
        <f t="shared" si="17"/>
        <v>221</v>
      </c>
      <c r="D127" s="8">
        <f t="shared" si="25"/>
        <v>18.416666666666668</v>
      </c>
      <c r="E127" s="23">
        <f t="shared" si="18"/>
        <v>946.26838895572575</v>
      </c>
      <c r="F127" s="24">
        <f t="shared" si="19"/>
        <v>307.17700417324784</v>
      </c>
      <c r="G127" s="25">
        <f t="shared" si="20"/>
        <v>1308.4453931289736</v>
      </c>
      <c r="H127" s="26">
        <f t="shared" si="21"/>
        <v>252.00989028599383</v>
      </c>
      <c r="I127" s="27">
        <f t="shared" si="22"/>
        <v>148185.94481905029</v>
      </c>
      <c r="K127" s="18">
        <f t="shared" si="15"/>
        <v>4.216233568244615E-2</v>
      </c>
      <c r="L127" s="22">
        <f t="shared" si="26"/>
        <v>1.6999999999999999E-3</v>
      </c>
      <c r="N127" s="15">
        <f t="shared" si="23"/>
        <v>1077.0370926079861</v>
      </c>
      <c r="W127" s="1">
        <f t="shared" si="16"/>
        <v>-1308.4453931289736</v>
      </c>
    </row>
    <row r="128" spans="1:23" x14ac:dyDescent="0.2">
      <c r="A128" s="7">
        <f t="shared" si="14"/>
        <v>2.090516470617101E-3</v>
      </c>
      <c r="B128" s="4">
        <f t="shared" si="24"/>
        <v>122</v>
      </c>
      <c r="C128" s="4">
        <f t="shared" si="17"/>
        <v>220</v>
      </c>
      <c r="D128" s="8">
        <f t="shared" si="25"/>
        <v>18.333333333333332</v>
      </c>
      <c r="E128" s="23">
        <f t="shared" si="18"/>
        <v>945.91624038303394</v>
      </c>
      <c r="F128" s="24">
        <f t="shared" si="19"/>
        <v>309.66443452664817</v>
      </c>
      <c r="G128" s="25">
        <f t="shared" si="20"/>
        <v>1310.5806749096821</v>
      </c>
      <c r="H128" s="26">
        <f t="shared" si="21"/>
        <v>251.91610619238548</v>
      </c>
      <c r="I128" s="27">
        <f t="shared" si="22"/>
        <v>148128.19649071604</v>
      </c>
      <c r="K128" s="18">
        <f t="shared" si="15"/>
        <v>4.4063161802872126E-2</v>
      </c>
      <c r="L128" s="22">
        <f t="shared" si="26"/>
        <v>1.6999999999999999E-3</v>
      </c>
      <c r="N128" s="15">
        <f t="shared" si="23"/>
        <v>1077.0370926079861</v>
      </c>
      <c r="W128" s="1">
        <f t="shared" si="16"/>
        <v>-1310.5806749096821</v>
      </c>
    </row>
    <row r="129" spans="1:23" x14ac:dyDescent="0.2">
      <c r="A129" s="7">
        <f t="shared" si="14"/>
        <v>2.1083039479320607E-3</v>
      </c>
      <c r="B129" s="4">
        <f t="shared" si="24"/>
        <v>123</v>
      </c>
      <c r="C129" s="4">
        <f t="shared" si="17"/>
        <v>219</v>
      </c>
      <c r="D129" s="8">
        <f t="shared" si="25"/>
        <v>18.25</v>
      </c>
      <c r="E129" s="23">
        <f t="shared" si="18"/>
        <v>945.54761512850632</v>
      </c>
      <c r="F129" s="24">
        <f t="shared" si="19"/>
        <v>312.17201671065209</v>
      </c>
      <c r="G129" s="25">
        <f t="shared" si="20"/>
        <v>1312.7196318391584</v>
      </c>
      <c r="H129" s="26">
        <f t="shared" si="21"/>
        <v>251.81793403421727</v>
      </c>
      <c r="I129" s="27">
        <f t="shared" si="22"/>
        <v>148067.84240803961</v>
      </c>
      <c r="K129" s="18">
        <f t="shared" si="15"/>
        <v>4.5976369372854577E-2</v>
      </c>
      <c r="L129" s="22">
        <f t="shared" si="26"/>
        <v>1.6999999999999999E-3</v>
      </c>
      <c r="N129" s="15">
        <f t="shared" si="23"/>
        <v>1077.0370926079861</v>
      </c>
      <c r="W129" s="1">
        <f t="shared" si="16"/>
        <v>-1312.7196318391584</v>
      </c>
    </row>
    <row r="130" spans="1:23" x14ac:dyDescent="0.2">
      <c r="A130" s="7">
        <f t="shared" si="14"/>
        <v>2.1262809801165625E-3</v>
      </c>
      <c r="B130" s="4">
        <f t="shared" si="24"/>
        <v>124</v>
      </c>
      <c r="C130" s="4">
        <f t="shared" si="17"/>
        <v>218</v>
      </c>
      <c r="D130" s="8">
        <f t="shared" si="25"/>
        <v>18.166666666666668</v>
      </c>
      <c r="E130" s="23">
        <f t="shared" si="18"/>
        <v>945.16235654648108</v>
      </c>
      <c r="F130" s="24">
        <f t="shared" si="19"/>
        <v>314.69991416022253</v>
      </c>
      <c r="G130" s="25">
        <f t="shared" si="20"/>
        <v>1314.8622707067036</v>
      </c>
      <c r="H130" s="26">
        <f t="shared" si="21"/>
        <v>251.71533209366731</v>
      </c>
      <c r="I130" s="27">
        <f t="shared" si="22"/>
        <v>148004.85782597307</v>
      </c>
      <c r="K130" s="18">
        <f t="shared" si="15"/>
        <v>4.7902037703692474E-2</v>
      </c>
      <c r="L130" s="22">
        <f t="shared" si="26"/>
        <v>1.6999999999999999E-3</v>
      </c>
      <c r="N130" s="15">
        <f t="shared" si="23"/>
        <v>1077.0370926079861</v>
      </c>
      <c r="W130" s="1">
        <f t="shared" si="16"/>
        <v>-1314.8622707067036</v>
      </c>
    </row>
    <row r="131" spans="1:23" x14ac:dyDescent="0.2">
      <c r="A131" s="7">
        <f t="shared" si="14"/>
        <v>2.1444502436408345E-3</v>
      </c>
      <c r="B131" s="4">
        <f t="shared" si="24"/>
        <v>125</v>
      </c>
      <c r="C131" s="4">
        <f t="shared" si="17"/>
        <v>217</v>
      </c>
      <c r="D131" s="8">
        <f t="shared" si="25"/>
        <v>18.083333333333332</v>
      </c>
      <c r="E131" s="23">
        <f t="shared" si="18"/>
        <v>944.76030668174371</v>
      </c>
      <c r="F131" s="24">
        <f t="shared" si="19"/>
        <v>317.24829163945651</v>
      </c>
      <c r="G131" s="25">
        <f t="shared" si="20"/>
        <v>1317.0085983212002</v>
      </c>
      <c r="H131" s="26">
        <f t="shared" si="21"/>
        <v>251.60825830415422</v>
      </c>
      <c r="I131" s="27">
        <f t="shared" si="22"/>
        <v>147939.21779263776</v>
      </c>
      <c r="K131" s="18">
        <f t="shared" si="15"/>
        <v>4.9840246615681996E-2</v>
      </c>
      <c r="L131" s="22">
        <f t="shared" si="26"/>
        <v>1.6999999999999999E-3</v>
      </c>
      <c r="N131" s="15">
        <f t="shared" si="23"/>
        <v>1077.0370926079861</v>
      </c>
      <c r="W131" s="1">
        <f t="shared" si="16"/>
        <v>-1317.0085983212002</v>
      </c>
    </row>
    <row r="132" spans="1:23" x14ac:dyDescent="0.2">
      <c r="A132" s="7">
        <f t="shared" si="14"/>
        <v>2.1628144646554529E-3</v>
      </c>
      <c r="B132" s="4">
        <f t="shared" si="24"/>
        <v>126</v>
      </c>
      <c r="C132" s="4">
        <f t="shared" si="17"/>
        <v>216</v>
      </c>
      <c r="D132" s="8">
        <f t="shared" si="25"/>
        <v>18</v>
      </c>
      <c r="E132" s="23">
        <f t="shared" si="18"/>
        <v>944.34130625881585</v>
      </c>
      <c r="F132" s="24">
        <f t="shared" si="19"/>
        <v>319.81731525247892</v>
      </c>
      <c r="G132" s="25">
        <f t="shared" si="20"/>
        <v>1319.1586215112948</v>
      </c>
      <c r="H132" s="26">
        <f t="shared" si="21"/>
        <v>251.49667024748419</v>
      </c>
      <c r="I132" s="27">
        <f t="shared" si="22"/>
        <v>147870.89714763279</v>
      </c>
      <c r="K132" s="18">
        <f t="shared" si="15"/>
        <v>5.1791076441378328E-2</v>
      </c>
      <c r="L132" s="22">
        <f t="shared" si="26"/>
        <v>1.6999999999999999E-3</v>
      </c>
      <c r="N132" s="15">
        <f t="shared" si="23"/>
        <v>1077.0370926079861</v>
      </c>
      <c r="W132" s="1">
        <f t="shared" si="16"/>
        <v>-1319.1586215112948</v>
      </c>
    </row>
    <row r="133" spans="1:23" x14ac:dyDescent="0.2">
      <c r="A133" s="7">
        <f t="shared" si="14"/>
        <v>2.1813764201510885E-3</v>
      </c>
      <c r="B133" s="4">
        <f t="shared" si="24"/>
        <v>127</v>
      </c>
      <c r="C133" s="4">
        <f t="shared" si="17"/>
        <v>215</v>
      </c>
      <c r="D133" s="8">
        <f t="shared" si="25"/>
        <v>17.916666666666668</v>
      </c>
      <c r="E133" s="23">
        <f t="shared" si="18"/>
        <v>943.90519467115769</v>
      </c>
      <c r="F133" s="24">
        <f t="shared" si="19"/>
        <v>322.40715245443039</v>
      </c>
      <c r="G133" s="25">
        <f t="shared" si="20"/>
        <v>1321.3123471255881</v>
      </c>
      <c r="H133" s="26">
        <f t="shared" si="21"/>
        <v>251.38052515097573</v>
      </c>
      <c r="I133" s="27">
        <f t="shared" si="22"/>
        <v>147799.87052032934</v>
      </c>
      <c r="K133" s="18">
        <f t="shared" si="15"/>
        <v>5.3754608028879429E-2</v>
      </c>
      <c r="L133" s="22">
        <f t="shared" si="26"/>
        <v>1.6999999999999999E-3</v>
      </c>
      <c r="N133" s="15">
        <f t="shared" si="23"/>
        <v>1077.0370926079861</v>
      </c>
      <c r="W133" s="1">
        <f t="shared" si="16"/>
        <v>-1321.3123471255881</v>
      </c>
    </row>
    <row r="134" spans="1:23" x14ac:dyDescent="0.2">
      <c r="A134" s="7">
        <f t="shared" si="14"/>
        <v>2.2001389391508876E-3</v>
      </c>
      <c r="B134" s="4">
        <f t="shared" si="24"/>
        <v>128</v>
      </c>
      <c r="C134" s="4">
        <f t="shared" si="17"/>
        <v>214</v>
      </c>
      <c r="D134" s="8">
        <f t="shared" si="25"/>
        <v>17.833333333333332</v>
      </c>
      <c r="E134" s="23">
        <f t="shared" si="18"/>
        <v>943.45180997028069</v>
      </c>
      <c r="F134" s="24">
        <f t="shared" si="19"/>
        <v>325.01797206254378</v>
      </c>
      <c r="G134" s="25">
        <f t="shared" si="20"/>
        <v>1323.4697820328245</v>
      </c>
      <c r="H134" s="26">
        <f t="shared" si="21"/>
        <v>251.25977988455986</v>
      </c>
      <c r="I134" s="27">
        <f t="shared" si="22"/>
        <v>147726.11232815136</v>
      </c>
      <c r="K134" s="18">
        <f t="shared" si="15"/>
        <v>5.5730922745128891E-2</v>
      </c>
      <c r="L134" s="22">
        <f t="shared" si="26"/>
        <v>1.6999999999999999E-3</v>
      </c>
      <c r="N134" s="15">
        <f t="shared" si="23"/>
        <v>1077.0370926079861</v>
      </c>
      <c r="W134" s="1">
        <f t="shared" si="16"/>
        <v>-1323.4697820328245</v>
      </c>
    </row>
    <row r="135" spans="1:23" x14ac:dyDescent="0.2">
      <c r="A135" s="7">
        <f t="shared" ref="A135:A198" si="27">F135/I135</f>
        <v>2.2191049039366247E-3</v>
      </c>
      <c r="B135" s="4">
        <f t="shared" si="24"/>
        <v>129</v>
      </c>
      <c r="C135" s="4">
        <f t="shared" si="17"/>
        <v>213</v>
      </c>
      <c r="D135" s="8">
        <f t="shared" si="25"/>
        <v>17.75</v>
      </c>
      <c r="E135" s="23">
        <f t="shared" si="18"/>
        <v>942.98098885477179</v>
      </c>
      <c r="F135" s="24">
        <f t="shared" si="19"/>
        <v>327.64994426731687</v>
      </c>
      <c r="G135" s="25">
        <f t="shared" si="20"/>
        <v>1325.6309331220887</v>
      </c>
      <c r="H135" s="26">
        <f t="shared" si="21"/>
        <v>251.13439095785731</v>
      </c>
      <c r="I135" s="27">
        <f t="shared" si="22"/>
        <v>147649.59677484189</v>
      </c>
      <c r="K135" s="18">
        <f t="shared" ref="K135:K198" si="28">IF(C135&lt;1,0,(F135-H135)/G135)</f>
        <v>5.7720102479241552E-2</v>
      </c>
      <c r="L135" s="22">
        <f t="shared" si="26"/>
        <v>1.6999999999999999E-3</v>
      </c>
      <c r="N135" s="15">
        <f t="shared" si="23"/>
        <v>1077.0370926079861</v>
      </c>
      <c r="W135" s="1">
        <f t="shared" ref="W135:W198" si="29">-G135</f>
        <v>-1325.6309331220887</v>
      </c>
    </row>
    <row r="136" spans="1:23" x14ac:dyDescent="0.2">
      <c r="A136" s="7">
        <f t="shared" si="27"/>
        <v>2.2382772513097164E-3</v>
      </c>
      <c r="B136" s="4">
        <f t="shared" si="24"/>
        <v>130</v>
      </c>
      <c r="C136" s="4">
        <f t="shared" ref="C136:C199" si="30">IF(C135-1&lt;1,0,C135-1)</f>
        <v>212</v>
      </c>
      <c r="D136" s="8">
        <f t="shared" si="25"/>
        <v>17.666666666666668</v>
      </c>
      <c r="E136" s="23">
        <f t="shared" ref="E136:E199" si="31">IF(C136&lt;1,0,I135*$J$4)</f>
        <v>942.49256665922758</v>
      </c>
      <c r="F136" s="24">
        <f t="shared" ref="F136:F199" si="32">IF(C136&lt;1,0,G136-E136-$L$3-$L$4)</f>
        <v>330.30324064377874</v>
      </c>
      <c r="G136" s="25">
        <f t="shared" ref="G136:G199" si="33">IF(C136&lt;1,0,-PMT($J$4,C136,I135)+$L$3+$L$4)</f>
        <v>1327.7958073030063</v>
      </c>
      <c r="H136" s="26">
        <f t="shared" ref="H136:H199" si="34">IF(C136&lt;1,0,I135*L136)</f>
        <v>251.00431451723119</v>
      </c>
      <c r="I136" s="27">
        <f t="shared" ref="I136:I199" si="35">IF(C136&lt;1,0,I135-F136+H136)</f>
        <v>147570.29784871533</v>
      </c>
      <c r="K136" s="18">
        <f t="shared" si="28"/>
        <v>5.9722229645850458E-2</v>
      </c>
      <c r="L136" s="22">
        <f t="shared" si="26"/>
        <v>1.6999999999999999E-3</v>
      </c>
      <c r="N136" s="15">
        <f t="shared" ref="N136:N199" si="36">IF(C136&lt;1,0,N135)</f>
        <v>1077.0370926079861</v>
      </c>
      <c r="W136" s="1">
        <f t="shared" si="29"/>
        <v>-1327.7958073030063</v>
      </c>
    </row>
    <row r="137" spans="1:23" x14ac:dyDescent="0.2">
      <c r="A137" s="7">
        <f t="shared" si="27"/>
        <v>2.2576589738882561E-3</v>
      </c>
      <c r="B137" s="4">
        <f t="shared" ref="B137:B200" si="37">B136+1</f>
        <v>131</v>
      </c>
      <c r="C137" s="4">
        <f t="shared" si="30"/>
        <v>211</v>
      </c>
      <c r="D137" s="8">
        <f t="shared" si="25"/>
        <v>17.583333333333332</v>
      </c>
      <c r="E137" s="23">
        <f t="shared" si="31"/>
        <v>941.9863773430975</v>
      </c>
      <c r="F137" s="24">
        <f t="shared" si="32"/>
        <v>332.97803416284933</v>
      </c>
      <c r="G137" s="25">
        <f t="shared" si="33"/>
        <v>1329.9644115059468</v>
      </c>
      <c r="H137" s="26">
        <f t="shared" si="34"/>
        <v>250.86950634281604</v>
      </c>
      <c r="I137" s="27">
        <f t="shared" si="35"/>
        <v>147488.1893208953</v>
      </c>
      <c r="K137" s="18">
        <f t="shared" si="28"/>
        <v>6.1737387188473762E-2</v>
      </c>
      <c r="L137" s="22">
        <f t="shared" si="26"/>
        <v>1.6999999999999999E-3</v>
      </c>
      <c r="N137" s="15">
        <f t="shared" si="36"/>
        <v>1077.0370926079861</v>
      </c>
      <c r="W137" s="1">
        <f t="shared" si="29"/>
        <v>-1329.9644115059468</v>
      </c>
    </row>
    <row r="138" spans="1:23" x14ac:dyDescent="0.2">
      <c r="A138" s="7">
        <f t="shared" si="27"/>
        <v>2.2772531214412957E-3</v>
      </c>
      <c r="B138" s="4">
        <f t="shared" si="37"/>
        <v>132</v>
      </c>
      <c r="C138" s="4">
        <f t="shared" si="30"/>
        <v>210</v>
      </c>
      <c r="D138" s="8">
        <f t="shared" si="25"/>
        <v>17.5</v>
      </c>
      <c r="E138" s="23">
        <f t="shared" si="31"/>
        <v>941.46225347943584</v>
      </c>
      <c r="F138" s="24">
        <f t="shared" si="32"/>
        <v>335.67449920279716</v>
      </c>
      <c r="G138" s="25">
        <f t="shared" si="33"/>
        <v>1332.136752682233</v>
      </c>
      <c r="H138" s="26">
        <f t="shared" si="34"/>
        <v>250.729921845522</v>
      </c>
      <c r="I138" s="27">
        <f t="shared" si="35"/>
        <v>147403.244743538</v>
      </c>
      <c r="K138" s="18">
        <f t="shared" si="28"/>
        <v>6.3765658582905102E-2</v>
      </c>
      <c r="L138" s="22">
        <f t="shared" si="26"/>
        <v>1.6999999999999999E-3</v>
      </c>
      <c r="N138" s="15">
        <f t="shared" si="36"/>
        <v>1077.0370926079861</v>
      </c>
      <c r="W138" s="1">
        <f t="shared" si="29"/>
        <v>-1332.136752682233</v>
      </c>
    </row>
    <row r="139" spans="1:23" x14ac:dyDescent="0.2">
      <c r="A139" s="7">
        <f t="shared" si="27"/>
        <v>2.2970628022616051E-3</v>
      </c>
      <c r="B139" s="4">
        <f t="shared" si="37"/>
        <v>133</v>
      </c>
      <c r="C139" s="4">
        <f t="shared" si="30"/>
        <v>209</v>
      </c>
      <c r="D139" s="8">
        <f t="shared" ref="D139:D202" si="38">C139/12</f>
        <v>17.416666666666668</v>
      </c>
      <c r="E139" s="23">
        <f t="shared" si="31"/>
        <v>940.92002624356098</v>
      </c>
      <c r="F139" s="24">
        <f t="shared" si="32"/>
        <v>338.39281156079176</v>
      </c>
      <c r="G139" s="25">
        <f t="shared" si="33"/>
        <v>1334.3128378043527</v>
      </c>
      <c r="H139" s="26">
        <f t="shared" si="34"/>
        <v>250.5855160640146</v>
      </c>
      <c r="I139" s="27">
        <f t="shared" si="35"/>
        <v>147315.43744804122</v>
      </c>
      <c r="K139" s="18">
        <f t="shared" si="28"/>
        <v>6.5807127840624244E-2</v>
      </c>
      <c r="L139" s="22">
        <f t="shared" si="26"/>
        <v>1.6999999999999999E-3</v>
      </c>
      <c r="N139" s="15">
        <f t="shared" si="36"/>
        <v>1077.0370926079861</v>
      </c>
      <c r="W139" s="1">
        <f t="shared" si="29"/>
        <v>-1334.3128378043527</v>
      </c>
    </row>
    <row r="140" spans="1:23" x14ac:dyDescent="0.2">
      <c r="A140" s="7">
        <f t="shared" si="27"/>
        <v>2.3170911845782449E-3</v>
      </c>
      <c r="B140" s="4">
        <f t="shared" si="37"/>
        <v>134</v>
      </c>
      <c r="C140" s="4">
        <f t="shared" si="30"/>
        <v>208</v>
      </c>
      <c r="D140" s="8">
        <f t="shared" si="38"/>
        <v>17.333333333333332</v>
      </c>
      <c r="E140" s="23">
        <f t="shared" si="31"/>
        <v>940.35952540162259</v>
      </c>
      <c r="F140" s="24">
        <f t="shared" si="32"/>
        <v>341.13314846455694</v>
      </c>
      <c r="G140" s="25">
        <f t="shared" si="33"/>
        <v>1336.4926738661795</v>
      </c>
      <c r="H140" s="26">
        <f t="shared" si="34"/>
        <v>250.43624366167006</v>
      </c>
      <c r="I140" s="27">
        <f t="shared" si="35"/>
        <v>147224.74054323835</v>
      </c>
      <c r="K140" s="18">
        <f t="shared" si="28"/>
        <v>6.7861879512231563E-2</v>
      </c>
      <c r="L140" s="22">
        <f t="shared" si="26"/>
        <v>1.6999999999999999E-3</v>
      </c>
      <c r="N140" s="15">
        <f t="shared" si="36"/>
        <v>1077.0370926079861</v>
      </c>
      <c r="W140" s="1">
        <f t="shared" si="29"/>
        <v>-1336.4926738661795</v>
      </c>
    </row>
    <row r="141" spans="1:23" x14ac:dyDescent="0.2">
      <c r="A141" s="7">
        <f t="shared" si="27"/>
        <v>2.3373414980102452E-3</v>
      </c>
      <c r="B141" s="4">
        <f t="shared" si="37"/>
        <v>135</v>
      </c>
      <c r="C141" s="4">
        <f t="shared" si="30"/>
        <v>207</v>
      </c>
      <c r="D141" s="8">
        <f t="shared" si="38"/>
        <v>17.25</v>
      </c>
      <c r="E141" s="23">
        <f t="shared" si="31"/>
        <v>939.78057929907368</v>
      </c>
      <c r="F141" s="24">
        <f t="shared" si="32"/>
        <v>343.89568858411735</v>
      </c>
      <c r="G141" s="25">
        <f t="shared" si="33"/>
        <v>1338.676267883191</v>
      </c>
      <c r="H141" s="26">
        <f t="shared" si="34"/>
        <v>250.28205892350519</v>
      </c>
      <c r="I141" s="27">
        <f t="shared" si="35"/>
        <v>147131.12691357775</v>
      </c>
      <c r="K141" s="18">
        <f t="shared" si="28"/>
        <v>6.9929998690901288E-2</v>
      </c>
      <c r="L141" s="22">
        <f t="shared" si="26"/>
        <v>1.6999999999999999E-3</v>
      </c>
      <c r="N141" s="15">
        <f t="shared" si="36"/>
        <v>1077.0370926079861</v>
      </c>
      <c r="W141" s="1">
        <f t="shared" si="29"/>
        <v>-1338.676267883191</v>
      </c>
    </row>
    <row r="142" spans="1:23" x14ac:dyDescent="0.2">
      <c r="A142" s="7">
        <f t="shared" si="27"/>
        <v>2.35781703506287E-3</v>
      </c>
      <c r="B142" s="4">
        <f t="shared" si="37"/>
        <v>136</v>
      </c>
      <c r="C142" s="4">
        <f t="shared" si="30"/>
        <v>206</v>
      </c>
      <c r="D142" s="8">
        <f t="shared" si="38"/>
        <v>17.166666666666668</v>
      </c>
      <c r="E142" s="23">
        <f t="shared" si="31"/>
        <v>939.18301484904919</v>
      </c>
      <c r="F142" s="24">
        <f t="shared" si="32"/>
        <v>346.6806120436504</v>
      </c>
      <c r="G142" s="25">
        <f t="shared" si="33"/>
        <v>1340.8636268926996</v>
      </c>
      <c r="H142" s="26">
        <f t="shared" si="34"/>
        <v>250.12291575308217</v>
      </c>
      <c r="I142" s="27">
        <f t="shared" si="35"/>
        <v>147034.56921728718</v>
      </c>
      <c r="K142" s="18">
        <f t="shared" si="28"/>
        <v>7.201157101586074E-2</v>
      </c>
      <c r="L142" s="22">
        <f t="shared" ref="L142:L205" si="39">L141</f>
        <v>1.6999999999999999E-3</v>
      </c>
      <c r="N142" s="15">
        <f t="shared" si="36"/>
        <v>1077.0370926079861</v>
      </c>
      <c r="W142" s="1">
        <f t="shared" si="29"/>
        <v>-1340.8636268926996</v>
      </c>
    </row>
    <row r="143" spans="1:23" x14ac:dyDescent="0.2">
      <c r="A143" s="7">
        <f t="shared" si="27"/>
        <v>2.3785211526678651E-3</v>
      </c>
      <c r="B143" s="4">
        <f t="shared" si="37"/>
        <v>137</v>
      </c>
      <c r="C143" s="4">
        <f t="shared" si="30"/>
        <v>205</v>
      </c>
      <c r="D143" s="8">
        <f t="shared" si="38"/>
        <v>17.083333333333332</v>
      </c>
      <c r="E143" s="23">
        <f t="shared" si="31"/>
        <v>938.56665752064828</v>
      </c>
      <c r="F143" s="24">
        <f t="shared" si="32"/>
        <v>349.48810043343474</v>
      </c>
      <c r="G143" s="25">
        <f t="shared" si="33"/>
        <v>1343.054757954083</v>
      </c>
      <c r="H143" s="26">
        <f t="shared" si="34"/>
        <v>249.95876766938818</v>
      </c>
      <c r="I143" s="27">
        <f t="shared" si="35"/>
        <v>146935.03988452314</v>
      </c>
      <c r="K143" s="18">
        <f t="shared" si="28"/>
        <v>7.410668267588931E-2</v>
      </c>
      <c r="L143" s="22">
        <f t="shared" si="39"/>
        <v>1.6999999999999999E-3</v>
      </c>
      <c r="N143" s="15">
        <f t="shared" si="36"/>
        <v>1077.0370926079861</v>
      </c>
      <c r="W143" s="1">
        <f t="shared" si="29"/>
        <v>-1343.054757954083</v>
      </c>
    </row>
    <row r="144" spans="1:23" x14ac:dyDescent="0.2">
      <c r="A144" s="7">
        <f t="shared" si="27"/>
        <v>2.3994572737692358E-3</v>
      </c>
      <c r="B144" s="4">
        <f t="shared" si="37"/>
        <v>138</v>
      </c>
      <c r="C144" s="4">
        <f t="shared" si="30"/>
        <v>204</v>
      </c>
      <c r="D144" s="8">
        <f t="shared" si="38"/>
        <v>17</v>
      </c>
      <c r="E144" s="23">
        <f t="shared" si="31"/>
        <v>937.93133132712194</v>
      </c>
      <c r="F144" s="24">
        <f t="shared" si="32"/>
        <v>352.31833682190052</v>
      </c>
      <c r="G144" s="25">
        <f t="shared" si="33"/>
        <v>1345.2496681490225</v>
      </c>
      <c r="H144" s="26">
        <f t="shared" si="34"/>
        <v>249.78956780368932</v>
      </c>
      <c r="I144" s="27">
        <f t="shared" si="35"/>
        <v>146832.51111550495</v>
      </c>
      <c r="K144" s="18">
        <f t="shared" si="28"/>
        <v>7.6215420412839963E-2</v>
      </c>
      <c r="L144" s="22">
        <f t="shared" si="39"/>
        <v>1.6999999999999999E-3</v>
      </c>
      <c r="N144" s="15">
        <f t="shared" si="36"/>
        <v>1077.0370926079861</v>
      </c>
      <c r="W144" s="1">
        <f t="shared" si="29"/>
        <v>-1345.2496681490225</v>
      </c>
    </row>
    <row r="145" spans="1:23" x14ac:dyDescent="0.2">
      <c r="A145" s="7">
        <f t="shared" si="27"/>
        <v>2.420628888956142E-3</v>
      </c>
      <c r="B145" s="4">
        <f t="shared" si="37"/>
        <v>139</v>
      </c>
      <c r="C145" s="4">
        <f t="shared" si="30"/>
        <v>203</v>
      </c>
      <c r="D145" s="8">
        <f t="shared" si="38"/>
        <v>16.916666666666668</v>
      </c>
      <c r="E145" s="23">
        <f t="shared" si="31"/>
        <v>937.27685881396144</v>
      </c>
      <c r="F145" s="24">
        <f t="shared" si="32"/>
        <v>355.17150576778465</v>
      </c>
      <c r="G145" s="25">
        <f t="shared" si="33"/>
        <v>1347.4483645817461</v>
      </c>
      <c r="H145" s="26">
        <f t="shared" si="34"/>
        <v>249.6152688963584</v>
      </c>
      <c r="I145" s="27">
        <f t="shared" si="35"/>
        <v>146726.95487863352</v>
      </c>
      <c r="K145" s="18">
        <f t="shared" si="28"/>
        <v>7.8337871525185579E-2</v>
      </c>
      <c r="L145" s="22">
        <f t="shared" si="39"/>
        <v>1.6999999999999999E-3</v>
      </c>
      <c r="N145" s="15">
        <f t="shared" si="36"/>
        <v>1077.0370926079861</v>
      </c>
      <c r="W145" s="1">
        <f t="shared" si="29"/>
        <v>-1347.4483645817461</v>
      </c>
    </row>
    <row r="146" spans="1:23" x14ac:dyDescent="0.2">
      <c r="A146" s="7">
        <f t="shared" si="27"/>
        <v>2.4420395581445102E-3</v>
      </c>
      <c r="B146" s="4">
        <f t="shared" si="37"/>
        <v>140</v>
      </c>
      <c r="C146" s="4">
        <f t="shared" si="30"/>
        <v>202</v>
      </c>
      <c r="D146" s="8">
        <f t="shared" si="38"/>
        <v>16.833333333333332</v>
      </c>
      <c r="E146" s="23">
        <f t="shared" si="31"/>
        <v>936.60306104689028</v>
      </c>
      <c r="F146" s="24">
        <f t="shared" si="32"/>
        <v>358.04779333238514</v>
      </c>
      <c r="G146" s="25">
        <f t="shared" si="33"/>
        <v>1349.6508543792754</v>
      </c>
      <c r="H146" s="26">
        <f t="shared" si="34"/>
        <v>249.43582329367698</v>
      </c>
      <c r="I146" s="27">
        <f t="shared" si="35"/>
        <v>146618.34290859482</v>
      </c>
      <c r="K146" s="18">
        <f t="shared" si="28"/>
        <v>8.0474123871584868E-2</v>
      </c>
      <c r="L146" s="22">
        <f t="shared" si="39"/>
        <v>1.6999999999999999E-3</v>
      </c>
      <c r="N146" s="15">
        <f t="shared" si="36"/>
        <v>1077.0370926079861</v>
      </c>
      <c r="W146" s="1">
        <f t="shared" si="29"/>
        <v>-1349.6508543792754</v>
      </c>
    </row>
    <row r="147" spans="1:23" x14ac:dyDescent="0.2">
      <c r="A147" s="7">
        <f t="shared" si="27"/>
        <v>2.4636929123091288E-3</v>
      </c>
      <c r="B147" s="4">
        <f t="shared" si="37"/>
        <v>141</v>
      </c>
      <c r="C147" s="4">
        <f t="shared" si="30"/>
        <v>201</v>
      </c>
      <c r="D147" s="8">
        <f t="shared" si="38"/>
        <v>16.75</v>
      </c>
      <c r="E147" s="23">
        <f t="shared" si="31"/>
        <v>935.909757599758</v>
      </c>
      <c r="F147" s="24">
        <f t="shared" si="32"/>
        <v>360.94738709192484</v>
      </c>
      <c r="G147" s="25">
        <f t="shared" si="33"/>
        <v>1351.8571446916828</v>
      </c>
      <c r="H147" s="26">
        <f t="shared" si="34"/>
        <v>249.25118294461117</v>
      </c>
      <c r="I147" s="27">
        <f t="shared" si="35"/>
        <v>146506.64670444748</v>
      </c>
      <c r="K147" s="18">
        <f t="shared" si="28"/>
        <v>8.2624265874474592E-2</v>
      </c>
      <c r="L147" s="22">
        <f t="shared" si="39"/>
        <v>1.6999999999999999E-3</v>
      </c>
      <c r="N147" s="15">
        <f t="shared" si="36"/>
        <v>1077.0370926079861</v>
      </c>
      <c r="W147" s="1">
        <f t="shared" si="29"/>
        <v>-1351.8571446916828</v>
      </c>
    </row>
    <row r="148" spans="1:23" x14ac:dyDescent="0.2">
      <c r="A148" s="7">
        <f t="shared" si="27"/>
        <v>2.4855926552679337E-3</v>
      </c>
      <c r="B148" s="4">
        <f t="shared" si="37"/>
        <v>142</v>
      </c>
      <c r="C148" s="4">
        <f t="shared" si="30"/>
        <v>200</v>
      </c>
      <c r="D148" s="8">
        <f t="shared" si="38"/>
        <v>16.666666666666668</v>
      </c>
      <c r="E148" s="23">
        <f t="shared" si="31"/>
        <v>935.19676654233274</v>
      </c>
      <c r="F148" s="24">
        <f t="shared" si="32"/>
        <v>363.87047615001541</v>
      </c>
      <c r="G148" s="25">
        <f t="shared" si="33"/>
        <v>1354.0672426923481</v>
      </c>
      <c r="H148" s="26">
        <f t="shared" si="34"/>
        <v>249.0612993975607</v>
      </c>
      <c r="I148" s="27">
        <f t="shared" si="35"/>
        <v>146391.83752769502</v>
      </c>
      <c r="K148" s="18">
        <f t="shared" si="28"/>
        <v>8.4788386523681675E-2</v>
      </c>
      <c r="L148" s="22">
        <f t="shared" si="39"/>
        <v>1.6999999999999999E-3</v>
      </c>
      <c r="N148" s="15">
        <f t="shared" si="36"/>
        <v>1077.0370926079861</v>
      </c>
      <c r="W148" s="1">
        <f t="shared" si="29"/>
        <v>-1354.0672426923481</v>
      </c>
    </row>
    <row r="149" spans="1:23" x14ac:dyDescent="0.2">
      <c r="A149" s="7">
        <f t="shared" si="27"/>
        <v>2.5077425655203808E-3</v>
      </c>
      <c r="B149" s="4">
        <f t="shared" si="37"/>
        <v>143</v>
      </c>
      <c r="C149" s="4">
        <f t="shared" si="30"/>
        <v>199</v>
      </c>
      <c r="D149" s="8">
        <f t="shared" si="38"/>
        <v>16.583333333333332</v>
      </c>
      <c r="E149" s="23">
        <f t="shared" si="31"/>
        <v>934.46390442799543</v>
      </c>
      <c r="F149" s="24">
        <f t="shared" si="32"/>
        <v>366.81725115023005</v>
      </c>
      <c r="G149" s="25">
        <f t="shared" si="33"/>
        <v>1356.2811555782255</v>
      </c>
      <c r="H149" s="26">
        <f t="shared" si="34"/>
        <v>248.86612379708154</v>
      </c>
      <c r="I149" s="27">
        <f t="shared" si="35"/>
        <v>146273.88640034187</v>
      </c>
      <c r="K149" s="18">
        <f t="shared" si="28"/>
        <v>8.6966575380059905E-2</v>
      </c>
      <c r="L149" s="22">
        <f t="shared" si="39"/>
        <v>1.6999999999999999E-3</v>
      </c>
      <c r="N149" s="15">
        <f t="shared" si="36"/>
        <v>1077.0370926079861</v>
      </c>
      <c r="W149" s="1">
        <f t="shared" si="29"/>
        <v>-1356.2811555782255</v>
      </c>
    </row>
    <row r="150" spans="1:23" x14ac:dyDescent="0.2">
      <c r="A150" s="7">
        <f t="shared" si="27"/>
        <v>2.5301464981418225E-3</v>
      </c>
      <c r="B150" s="4">
        <f t="shared" si="37"/>
        <v>144</v>
      </c>
      <c r="C150" s="4">
        <f t="shared" si="30"/>
        <v>198</v>
      </c>
      <c r="D150" s="8">
        <f t="shared" si="38"/>
        <v>16.5</v>
      </c>
      <c r="E150" s="23">
        <f t="shared" si="31"/>
        <v>933.71098628133132</v>
      </c>
      <c r="F150" s="24">
        <f t="shared" si="32"/>
        <v>369.78790428878551</v>
      </c>
      <c r="G150" s="25">
        <f t="shared" si="33"/>
        <v>1358.4988905701168</v>
      </c>
      <c r="H150" s="26">
        <f t="shared" si="34"/>
        <v>248.66560688058118</v>
      </c>
      <c r="I150" s="27">
        <f t="shared" si="35"/>
        <v>146152.76410293367</v>
      </c>
      <c r="K150" s="18">
        <f t="shared" si="28"/>
        <v>8.9158922579151562E-2</v>
      </c>
      <c r="L150" s="22">
        <f t="shared" si="39"/>
        <v>1.6999999999999999E-3</v>
      </c>
      <c r="N150" s="15">
        <f t="shared" si="36"/>
        <v>1077.0370926079861</v>
      </c>
      <c r="W150" s="1">
        <f t="shared" si="29"/>
        <v>-1358.4988905701168</v>
      </c>
    </row>
    <row r="151" spans="1:23" x14ac:dyDescent="0.2">
      <c r="A151" s="7">
        <f t="shared" si="27"/>
        <v>2.5528083867358497E-3</v>
      </c>
      <c r="B151" s="4">
        <f t="shared" si="37"/>
        <v>145</v>
      </c>
      <c r="C151" s="4">
        <f t="shared" si="30"/>
        <v>197</v>
      </c>
      <c r="D151" s="8">
        <f t="shared" si="38"/>
        <v>16.416666666666668</v>
      </c>
      <c r="E151" s="23">
        <f t="shared" si="31"/>
        <v>932.93782558561998</v>
      </c>
      <c r="F151" s="24">
        <f t="shared" si="32"/>
        <v>372.78262932732832</v>
      </c>
      <c r="G151" s="25">
        <f t="shared" si="33"/>
        <v>1360.7204549129483</v>
      </c>
      <c r="H151" s="26">
        <f t="shared" si="34"/>
        <v>248.45969897498722</v>
      </c>
      <c r="I151" s="27">
        <f t="shared" si="35"/>
        <v>146028.44117258134</v>
      </c>
      <c r="K151" s="18">
        <f t="shared" si="28"/>
        <v>9.1365518834869444E-2</v>
      </c>
      <c r="L151" s="22">
        <f t="shared" si="39"/>
        <v>1.6999999999999999E-3</v>
      </c>
      <c r="N151" s="15">
        <f t="shared" si="36"/>
        <v>1077.0370926079861</v>
      </c>
      <c r="W151" s="1">
        <f t="shared" si="29"/>
        <v>-1360.7204549129483</v>
      </c>
    </row>
    <row r="152" spans="1:23" x14ac:dyDescent="0.2">
      <c r="A152" s="7">
        <f t="shared" si="27"/>
        <v>2.5757322454467201E-3</v>
      </c>
      <c r="B152" s="4">
        <f t="shared" si="37"/>
        <v>146</v>
      </c>
      <c r="C152" s="4">
        <f t="shared" si="30"/>
        <v>196</v>
      </c>
      <c r="D152" s="8">
        <f t="shared" si="38"/>
        <v>16.333333333333332</v>
      </c>
      <c r="E152" s="23">
        <f t="shared" si="31"/>
        <v>932.14423427022314</v>
      </c>
      <c r="F152" s="24">
        <f t="shared" si="32"/>
        <v>375.80162160583279</v>
      </c>
      <c r="G152" s="25">
        <f t="shared" si="33"/>
        <v>1362.9458558760559</v>
      </c>
      <c r="H152" s="26">
        <f t="shared" si="34"/>
        <v>248.24834999338827</v>
      </c>
      <c r="I152" s="27">
        <f t="shared" si="35"/>
        <v>145900.8879009689</v>
      </c>
      <c r="K152" s="18">
        <f t="shared" si="28"/>
        <v>9.3586455443204347E-2</v>
      </c>
      <c r="L152" s="22">
        <f t="shared" si="39"/>
        <v>1.6999999999999999E-3</v>
      </c>
      <c r="N152" s="15">
        <f t="shared" si="36"/>
        <v>1077.0370926079861</v>
      </c>
      <c r="W152" s="1">
        <f t="shared" si="29"/>
        <v>-1362.9458558760559</v>
      </c>
    </row>
    <row r="153" spans="1:23" x14ac:dyDescent="0.2">
      <c r="A153" s="7">
        <f t="shared" si="27"/>
        <v>2.5989221710340329E-3</v>
      </c>
      <c r="B153" s="4">
        <f t="shared" si="37"/>
        <v>147</v>
      </c>
      <c r="C153" s="4">
        <f t="shared" si="30"/>
        <v>195</v>
      </c>
      <c r="D153" s="8">
        <f t="shared" si="38"/>
        <v>16.25</v>
      </c>
      <c r="E153" s="23">
        <f t="shared" si="31"/>
        <v>931.33002269786709</v>
      </c>
      <c r="F153" s="24">
        <f t="shared" si="32"/>
        <v>378.84507805561032</v>
      </c>
      <c r="G153" s="25">
        <f t="shared" si="33"/>
        <v>1365.1751007534774</v>
      </c>
      <c r="H153" s="26">
        <f t="shared" si="34"/>
        <v>248.03150943164712</v>
      </c>
      <c r="I153" s="27">
        <f t="shared" si="35"/>
        <v>145770.07433234496</v>
      </c>
      <c r="K153" s="18">
        <f t="shared" si="28"/>
        <v>9.5821824285956883E-2</v>
      </c>
      <c r="L153" s="22">
        <f t="shared" si="39"/>
        <v>1.6999999999999999E-3</v>
      </c>
      <c r="N153" s="15">
        <f t="shared" si="36"/>
        <v>1077.0370926079861</v>
      </c>
      <c r="W153" s="1">
        <f t="shared" si="29"/>
        <v>-1365.1751007534774</v>
      </c>
    </row>
    <row r="154" spans="1:23" x14ac:dyDescent="0.2">
      <c r="A154" s="7">
        <f t="shared" si="27"/>
        <v>2.6223823450118979E-3</v>
      </c>
      <c r="B154" s="4">
        <f t="shared" si="37"/>
        <v>148</v>
      </c>
      <c r="C154" s="4">
        <f t="shared" si="30"/>
        <v>194</v>
      </c>
      <c r="D154" s="8">
        <f t="shared" si="38"/>
        <v>16.166666666666668</v>
      </c>
      <c r="E154" s="23">
        <f t="shared" si="31"/>
        <v>930.49499965182213</v>
      </c>
      <c r="F154" s="24">
        <f t="shared" si="32"/>
        <v>381.91319721242894</v>
      </c>
      <c r="G154" s="25">
        <f t="shared" si="33"/>
        <v>1367.4081968642511</v>
      </c>
      <c r="H154" s="26">
        <f t="shared" si="34"/>
        <v>247.80912636498641</v>
      </c>
      <c r="I154" s="27">
        <f t="shared" si="35"/>
        <v>145635.97026149754</v>
      </c>
      <c r="K154" s="18">
        <f t="shared" si="28"/>
        <v>9.8071717834492159E-2</v>
      </c>
      <c r="L154" s="22">
        <f t="shared" si="39"/>
        <v>1.6999999999999999E-3</v>
      </c>
      <c r="N154" s="15">
        <f t="shared" si="36"/>
        <v>1077.0370926079861</v>
      </c>
      <c r="W154" s="1">
        <f t="shared" si="29"/>
        <v>-1367.4081968642511</v>
      </c>
    </row>
    <row r="155" spans="1:23" x14ac:dyDescent="0.2">
      <c r="A155" s="7">
        <f t="shared" si="27"/>
        <v>2.6461170358549426E-3</v>
      </c>
      <c r="B155" s="4">
        <f t="shared" si="37"/>
        <v>149</v>
      </c>
      <c r="C155" s="4">
        <f t="shared" si="30"/>
        <v>193</v>
      </c>
      <c r="D155" s="8">
        <f t="shared" si="38"/>
        <v>16.083333333333332</v>
      </c>
      <c r="E155" s="23">
        <f t="shared" si="31"/>
        <v>929.63897232297563</v>
      </c>
      <c r="F155" s="24">
        <f t="shared" si="32"/>
        <v>385.00617922974493</v>
      </c>
      <c r="G155" s="25">
        <f t="shared" si="33"/>
        <v>1369.6451515527206</v>
      </c>
      <c r="H155" s="26">
        <f t="shared" si="34"/>
        <v>247.58114944454582</v>
      </c>
      <c r="I155" s="27">
        <f t="shared" si="35"/>
        <v>145498.54523171234</v>
      </c>
      <c r="K155" s="18">
        <f t="shared" si="28"/>
        <v>0.10033622915351834</v>
      </c>
      <c r="L155" s="22">
        <f t="shared" si="39"/>
        <v>1.6999999999999999E-3</v>
      </c>
      <c r="N155" s="15">
        <f t="shared" si="36"/>
        <v>1077.0370926079861</v>
      </c>
      <c r="W155" s="1">
        <f t="shared" si="29"/>
        <v>-1369.6451515527206</v>
      </c>
    </row>
    <row r="156" spans="1:23" x14ac:dyDescent="0.2">
      <c r="A156" s="7">
        <f t="shared" si="27"/>
        <v>2.6701306012736395E-3</v>
      </c>
      <c r="B156" s="4">
        <f t="shared" si="37"/>
        <v>150</v>
      </c>
      <c r="C156" s="4">
        <f t="shared" si="30"/>
        <v>192</v>
      </c>
      <c r="D156" s="8">
        <f t="shared" si="38"/>
        <v>16</v>
      </c>
      <c r="E156" s="23">
        <f t="shared" si="31"/>
        <v>928.76174629679838</v>
      </c>
      <c r="F156" s="24">
        <f t="shared" si="32"/>
        <v>388.12422589205073</v>
      </c>
      <c r="G156" s="25">
        <f t="shared" si="33"/>
        <v>1371.8859721888491</v>
      </c>
      <c r="H156" s="26">
        <f t="shared" si="34"/>
        <v>247.34752689391098</v>
      </c>
      <c r="I156" s="27">
        <f t="shared" si="35"/>
        <v>145357.76853271422</v>
      </c>
      <c r="K156" s="18">
        <f t="shared" si="28"/>
        <v>0.1026154519048912</v>
      </c>
      <c r="L156" s="22">
        <f t="shared" si="39"/>
        <v>1.6999999999999999E-3</v>
      </c>
      <c r="N156" s="15">
        <f t="shared" si="36"/>
        <v>1077.0370926079861</v>
      </c>
      <c r="W156" s="1">
        <f t="shared" si="29"/>
        <v>-1371.8859721888491</v>
      </c>
    </row>
    <row r="157" spans="1:23" x14ac:dyDescent="0.2">
      <c r="A157" s="7">
        <f t="shared" si="27"/>
        <v>2.6944274905614761E-3</v>
      </c>
      <c r="B157" s="4">
        <f t="shared" si="37"/>
        <v>151</v>
      </c>
      <c r="C157" s="4">
        <f t="shared" si="30"/>
        <v>191</v>
      </c>
      <c r="D157" s="8">
        <f t="shared" si="38"/>
        <v>15.916666666666666</v>
      </c>
      <c r="E157" s="23">
        <f t="shared" si="31"/>
        <v>927.86312554020469</v>
      </c>
      <c r="F157" s="24">
        <f t="shared" si="32"/>
        <v>391.26754062833584</v>
      </c>
      <c r="G157" s="25">
        <f t="shared" si="33"/>
        <v>1374.1306661685405</v>
      </c>
      <c r="H157" s="26">
        <f t="shared" si="34"/>
        <v>247.10820650561416</v>
      </c>
      <c r="I157" s="27">
        <f t="shared" si="35"/>
        <v>145213.60919859153</v>
      </c>
      <c r="K157" s="18">
        <f t="shared" si="28"/>
        <v>0.10490948035144146</v>
      </c>
      <c r="L157" s="22">
        <f t="shared" si="39"/>
        <v>1.6999999999999999E-3</v>
      </c>
      <c r="N157" s="15">
        <f t="shared" si="36"/>
        <v>1077.0370926079861</v>
      </c>
      <c r="W157" s="1">
        <f t="shared" si="29"/>
        <v>-1374.1306661685405</v>
      </c>
    </row>
    <row r="158" spans="1:23" x14ac:dyDescent="0.2">
      <c r="A158" s="7">
        <f t="shared" si="27"/>
        <v>2.7190122470166283E-3</v>
      </c>
      <c r="B158" s="4">
        <f t="shared" si="37"/>
        <v>152</v>
      </c>
      <c r="C158" s="4">
        <f t="shared" si="30"/>
        <v>190</v>
      </c>
      <c r="D158" s="8">
        <f t="shared" si="38"/>
        <v>15.833333333333334</v>
      </c>
      <c r="E158" s="23">
        <f t="shared" si="31"/>
        <v>926.94291238830306</v>
      </c>
      <c r="F158" s="24">
        <f t="shared" si="32"/>
        <v>394.43632852566293</v>
      </c>
      <c r="G158" s="25">
        <f t="shared" si="33"/>
        <v>1376.379240913966</v>
      </c>
      <c r="H158" s="26">
        <f t="shared" si="34"/>
        <v>246.86313563760558</v>
      </c>
      <c r="I158" s="27">
        <f t="shared" si="35"/>
        <v>145066.03600570347</v>
      </c>
      <c r="K158" s="18">
        <f t="shared" si="28"/>
        <v>0.10721840936082658</v>
      </c>
      <c r="L158" s="22">
        <f t="shared" si="39"/>
        <v>1.6999999999999999E-3</v>
      </c>
      <c r="N158" s="15">
        <f t="shared" si="36"/>
        <v>1077.0370926079861</v>
      </c>
      <c r="W158" s="1">
        <f t="shared" si="29"/>
        <v>-1376.379240913966</v>
      </c>
    </row>
    <row r="159" spans="1:23" x14ac:dyDescent="0.2">
      <c r="A159" s="7">
        <f t="shared" si="27"/>
        <v>2.7438895104409475E-3</v>
      </c>
      <c r="B159" s="4">
        <f t="shared" si="37"/>
        <v>153</v>
      </c>
      <c r="C159" s="4">
        <f t="shared" si="30"/>
        <v>189</v>
      </c>
      <c r="D159" s="8">
        <f t="shared" si="38"/>
        <v>15.75</v>
      </c>
      <c r="E159" s="23">
        <f t="shared" si="31"/>
        <v>926.0009075310378</v>
      </c>
      <c r="F159" s="24">
        <f t="shared" si="32"/>
        <v>397.63079634286453</v>
      </c>
      <c r="G159" s="25">
        <f t="shared" si="33"/>
        <v>1378.6317038739023</v>
      </c>
      <c r="H159" s="26">
        <f t="shared" si="34"/>
        <v>246.61226120969587</v>
      </c>
      <c r="I159" s="27">
        <f t="shared" si="35"/>
        <v>144915.01747057031</v>
      </c>
      <c r="K159" s="18">
        <f t="shared" si="28"/>
        <v>0.10954233440940923</v>
      </c>
      <c r="L159" s="22">
        <f t="shared" si="39"/>
        <v>1.6999999999999999E-3</v>
      </c>
      <c r="N159" s="15">
        <f t="shared" si="36"/>
        <v>1077.0370926079861</v>
      </c>
      <c r="W159" s="1">
        <f t="shared" si="29"/>
        <v>-1378.6317038739023</v>
      </c>
    </row>
    <row r="160" spans="1:23" x14ac:dyDescent="0.2">
      <c r="A160" s="7">
        <f t="shared" si="27"/>
        <v>2.7690640197191138E-3</v>
      </c>
      <c r="B160" s="4">
        <f t="shared" si="37"/>
        <v>154</v>
      </c>
      <c r="C160" s="4">
        <f t="shared" si="30"/>
        <v>188</v>
      </c>
      <c r="D160" s="8">
        <f t="shared" si="38"/>
        <v>15.666666666666666</v>
      </c>
      <c r="E160" s="23">
        <f t="shared" si="31"/>
        <v>925.03690999972173</v>
      </c>
      <c r="F160" s="24">
        <f t="shared" si="32"/>
        <v>400.85115252435594</v>
      </c>
      <c r="G160" s="25">
        <f t="shared" si="33"/>
        <v>1380.8880625240777</v>
      </c>
      <c r="H160" s="26">
        <f t="shared" si="34"/>
        <v>246.35552969996951</v>
      </c>
      <c r="I160" s="27">
        <f t="shared" si="35"/>
        <v>144760.52184774593</v>
      </c>
      <c r="K160" s="18">
        <f t="shared" si="28"/>
        <v>0.11188135158615914</v>
      </c>
      <c r="L160" s="22">
        <f t="shared" si="39"/>
        <v>1.6999999999999999E-3</v>
      </c>
      <c r="N160" s="15">
        <f t="shared" si="36"/>
        <v>1077.0370926079861</v>
      </c>
      <c r="W160" s="1">
        <f t="shared" si="29"/>
        <v>-1380.8880625240777</v>
      </c>
    </row>
    <row r="161" spans="1:23" x14ac:dyDescent="0.2">
      <c r="A161" s="7">
        <f t="shared" si="27"/>
        <v>2.7945406154809846E-3</v>
      </c>
      <c r="B161" s="4">
        <f t="shared" si="37"/>
        <v>155</v>
      </c>
      <c r="C161" s="4">
        <f t="shared" si="30"/>
        <v>187</v>
      </c>
      <c r="D161" s="8">
        <f t="shared" si="38"/>
        <v>15.583333333333334</v>
      </c>
      <c r="E161" s="23">
        <f t="shared" si="31"/>
        <v>924.05071715345593</v>
      </c>
      <c r="F161" s="24">
        <f t="shared" si="32"/>
        <v>404.09760721406701</v>
      </c>
      <c r="G161" s="25">
        <f t="shared" si="33"/>
        <v>1383.1483243675229</v>
      </c>
      <c r="H161" s="26">
        <f t="shared" si="34"/>
        <v>246.09288714116806</v>
      </c>
      <c r="I161" s="27">
        <f t="shared" si="35"/>
        <v>144602.51712767303</v>
      </c>
      <c r="K161" s="18">
        <f t="shared" si="28"/>
        <v>0.11423555759657976</v>
      </c>
      <c r="L161" s="22">
        <f t="shared" si="39"/>
        <v>1.6999999999999999E-3</v>
      </c>
      <c r="N161" s="15">
        <f t="shared" si="36"/>
        <v>1077.0370926079861</v>
      </c>
      <c r="W161" s="1">
        <f t="shared" si="29"/>
        <v>-1383.1483243675229</v>
      </c>
    </row>
    <row r="162" spans="1:23" x14ac:dyDescent="0.2">
      <c r="A162" s="7">
        <f t="shared" si="27"/>
        <v>2.8203242428503049E-3</v>
      </c>
      <c r="B162" s="4">
        <f t="shared" si="37"/>
        <v>156</v>
      </c>
      <c r="C162" s="4">
        <f t="shared" si="30"/>
        <v>186</v>
      </c>
      <c r="D162" s="8">
        <f t="shared" si="38"/>
        <v>15.5</v>
      </c>
      <c r="E162" s="23">
        <f t="shared" si="31"/>
        <v>923.04212466543936</v>
      </c>
      <c r="F162" s="24">
        <f t="shared" si="32"/>
        <v>407.37037226949701</v>
      </c>
      <c r="G162" s="25">
        <f t="shared" si="33"/>
        <v>1385.4124969349364</v>
      </c>
      <c r="H162" s="26">
        <f t="shared" si="34"/>
        <v>245.82427911704414</v>
      </c>
      <c r="I162" s="27">
        <f t="shared" si="35"/>
        <v>144440.97103452057</v>
      </c>
      <c r="K162" s="18">
        <f t="shared" si="28"/>
        <v>0.11660504976666139</v>
      </c>
      <c r="L162" s="22">
        <f t="shared" si="39"/>
        <v>1.6999999999999999E-3</v>
      </c>
      <c r="N162" s="15">
        <f t="shared" si="36"/>
        <v>1077.0370926079861</v>
      </c>
      <c r="W162" s="1">
        <f t="shared" si="29"/>
        <v>-1385.4124969349364</v>
      </c>
    </row>
    <row r="163" spans="1:23" x14ac:dyDescent="0.2">
      <c r="A163" s="7">
        <f t="shared" si="27"/>
        <v>2.8464199542830404E-3</v>
      </c>
      <c r="B163" s="4">
        <f t="shared" si="37"/>
        <v>157</v>
      </c>
      <c r="C163" s="4">
        <f t="shared" si="30"/>
        <v>185</v>
      </c>
      <c r="D163" s="8">
        <f t="shared" si="38"/>
        <v>15.416666666666666</v>
      </c>
      <c r="E163" s="23">
        <f t="shared" si="31"/>
        <v>922.01092650916394</v>
      </c>
      <c r="F163" s="24">
        <f t="shared" si="32"/>
        <v>410.66966127589035</v>
      </c>
      <c r="G163" s="25">
        <f t="shared" si="33"/>
        <v>1387.6805877850543</v>
      </c>
      <c r="H163" s="26">
        <f t="shared" si="34"/>
        <v>245.54965075868495</v>
      </c>
      <c r="I163" s="27">
        <f t="shared" si="35"/>
        <v>144275.85102400335</v>
      </c>
      <c r="K163" s="18">
        <f t="shared" si="28"/>
        <v>0.11898992604685897</v>
      </c>
      <c r="L163" s="22">
        <f t="shared" si="39"/>
        <v>1.6999999999999999E-3</v>
      </c>
      <c r="N163" s="15">
        <f t="shared" si="36"/>
        <v>1077.0370926079861</v>
      </c>
      <c r="W163" s="1">
        <f t="shared" si="29"/>
        <v>-1387.6805877850543</v>
      </c>
    </row>
    <row r="164" spans="1:23" x14ac:dyDescent="0.2">
      <c r="A164" s="7">
        <f t="shared" si="27"/>
        <v>2.8728329124987741E-3</v>
      </c>
      <c r="B164" s="4">
        <f t="shared" si="37"/>
        <v>158</v>
      </c>
      <c r="C164" s="4">
        <f t="shared" si="30"/>
        <v>184</v>
      </c>
      <c r="D164" s="8">
        <f t="shared" si="38"/>
        <v>15.333333333333334</v>
      </c>
      <c r="E164" s="23">
        <f t="shared" si="31"/>
        <v>920.95691494449648</v>
      </c>
      <c r="F164" s="24">
        <f t="shared" si="32"/>
        <v>413.99568956053554</v>
      </c>
      <c r="G164" s="25">
        <f t="shared" si="33"/>
        <v>1389.952604505032</v>
      </c>
      <c r="H164" s="26">
        <f t="shared" si="34"/>
        <v>245.26894674080569</v>
      </c>
      <c r="I164" s="27">
        <f t="shared" si="35"/>
        <v>144107.12428118361</v>
      </c>
      <c r="K164" s="18">
        <f t="shared" si="28"/>
        <v>0.12139028501609532</v>
      </c>
      <c r="L164" s="22">
        <f t="shared" si="39"/>
        <v>1.6999999999999999E-3</v>
      </c>
      <c r="N164" s="15">
        <f t="shared" si="36"/>
        <v>1077.0370926079861</v>
      </c>
      <c r="W164" s="1">
        <f t="shared" si="29"/>
        <v>-1389.952604505032</v>
      </c>
    </row>
    <row r="165" spans="1:23" x14ac:dyDescent="0.2">
      <c r="A165" s="7">
        <f t="shared" si="27"/>
        <v>2.8995683935087559E-3</v>
      </c>
      <c r="B165" s="4">
        <f t="shared" si="37"/>
        <v>159</v>
      </c>
      <c r="C165" s="4">
        <f t="shared" si="30"/>
        <v>183</v>
      </c>
      <c r="D165" s="8">
        <f t="shared" si="38"/>
        <v>15.25</v>
      </c>
      <c r="E165" s="23">
        <f t="shared" si="31"/>
        <v>919.87988050364572</v>
      </c>
      <c r="F165" s="24">
        <f t="shared" si="32"/>
        <v>417.34867420719104</v>
      </c>
      <c r="G165" s="25">
        <f t="shared" si="33"/>
        <v>1392.2285547108368</v>
      </c>
      <c r="H165" s="26">
        <f t="shared" si="34"/>
        <v>244.98211127801213</v>
      </c>
      <c r="I165" s="27">
        <f t="shared" si="35"/>
        <v>143934.75771825443</v>
      </c>
      <c r="K165" s="18">
        <f t="shared" si="28"/>
        <v>0.12380622588579152</v>
      </c>
      <c r="L165" s="22">
        <f t="shared" si="39"/>
        <v>1.6999999999999999E-3</v>
      </c>
      <c r="N165" s="15">
        <f t="shared" si="36"/>
        <v>1077.0370926079861</v>
      </c>
      <c r="W165" s="1">
        <f t="shared" si="29"/>
        <v>-1392.2285547108368</v>
      </c>
    </row>
    <row r="166" spans="1:23" x14ac:dyDescent="0.2">
      <c r="A166" s="7">
        <f t="shared" si="27"/>
        <v>2.9266317897442976E-3</v>
      </c>
      <c r="B166" s="4">
        <f t="shared" si="37"/>
        <v>160</v>
      </c>
      <c r="C166" s="4">
        <f t="shared" si="30"/>
        <v>182</v>
      </c>
      <c r="D166" s="8">
        <f t="shared" si="38"/>
        <v>15.166666666666666</v>
      </c>
      <c r="E166" s="23">
        <f t="shared" si="31"/>
        <v>918.77961197701313</v>
      </c>
      <c r="F166" s="24">
        <f t="shared" si="32"/>
        <v>420.72883407063216</v>
      </c>
      <c r="G166" s="25">
        <f t="shared" si="33"/>
        <v>1394.5084460476453</v>
      </c>
      <c r="H166" s="26">
        <f t="shared" si="34"/>
        <v>244.68908812103251</v>
      </c>
      <c r="I166" s="27">
        <f t="shared" si="35"/>
        <v>143758.71797230482</v>
      </c>
      <c r="K166" s="18">
        <f t="shared" si="28"/>
        <v>0.12623784850392009</v>
      </c>
      <c r="L166" s="22">
        <f t="shared" si="39"/>
        <v>1.6999999999999999E-3</v>
      </c>
      <c r="N166" s="15">
        <f t="shared" si="36"/>
        <v>1077.0370926079861</v>
      </c>
      <c r="W166" s="1">
        <f t="shared" si="29"/>
        <v>-1394.5084460476453</v>
      </c>
    </row>
    <row r="167" spans="1:23" x14ac:dyDescent="0.2">
      <c r="A167" s="7">
        <f t="shared" si="27"/>
        <v>2.9540286132894874E-3</v>
      </c>
      <c r="B167" s="4">
        <f t="shared" si="37"/>
        <v>161</v>
      </c>
      <c r="C167" s="4">
        <f t="shared" si="30"/>
        <v>181</v>
      </c>
      <c r="D167" s="8">
        <f t="shared" si="38"/>
        <v>15.083333333333334</v>
      </c>
      <c r="E167" s="23">
        <f t="shared" si="31"/>
        <v>917.65589639892653</v>
      </c>
      <c r="F167" s="24">
        <f t="shared" si="32"/>
        <v>424.13638979133123</v>
      </c>
      <c r="G167" s="25">
        <f t="shared" si="33"/>
        <v>1396.7922861902578</v>
      </c>
      <c r="H167" s="26">
        <f t="shared" si="34"/>
        <v>244.38982055291817</v>
      </c>
      <c r="I167" s="27">
        <f t="shared" si="35"/>
        <v>143578.97140306642</v>
      </c>
      <c r="K167" s="18">
        <f t="shared" si="28"/>
        <v>0.12868525335908798</v>
      </c>
      <c r="L167" s="22">
        <f t="shared" si="39"/>
        <v>1.6999999999999999E-3</v>
      </c>
      <c r="N167" s="15">
        <f t="shared" si="36"/>
        <v>1077.0370926079861</v>
      </c>
      <c r="W167" s="1">
        <f t="shared" si="29"/>
        <v>-1396.7922861902578</v>
      </c>
    </row>
    <row r="168" spans="1:23" x14ac:dyDescent="0.2">
      <c r="A168" s="7">
        <f t="shared" si="27"/>
        <v>2.9817644992222543E-3</v>
      </c>
      <c r="B168" s="4">
        <f t="shared" si="37"/>
        <v>162</v>
      </c>
      <c r="C168" s="4">
        <f t="shared" si="30"/>
        <v>180</v>
      </c>
      <c r="D168" s="8">
        <f t="shared" si="38"/>
        <v>15</v>
      </c>
      <c r="E168" s="23">
        <f t="shared" si="31"/>
        <v>916.50851903325702</v>
      </c>
      <c r="F168" s="24">
        <f t="shared" si="32"/>
        <v>427.57156381026402</v>
      </c>
      <c r="G168" s="25">
        <f t="shared" si="33"/>
        <v>1399.080082843521</v>
      </c>
      <c r="H168" s="26">
        <f t="shared" si="34"/>
        <v>244.08425138521289</v>
      </c>
      <c r="I168" s="27">
        <f t="shared" si="35"/>
        <v>143395.48409064137</v>
      </c>
      <c r="K168" s="18">
        <f t="shared" si="28"/>
        <v>0.13114854158464431</v>
      </c>
      <c r="L168" s="22">
        <f t="shared" si="39"/>
        <v>1.6999999999999999E-3</v>
      </c>
      <c r="N168" s="15">
        <f t="shared" si="36"/>
        <v>1077.0370926079861</v>
      </c>
      <c r="W168" s="1">
        <f t="shared" si="29"/>
        <v>-1399.080082843521</v>
      </c>
    </row>
    <row r="169" spans="1:23" x14ac:dyDescent="0.2">
      <c r="A169" s="7">
        <f t="shared" si="27"/>
        <v>3.0098452090680287E-3</v>
      </c>
      <c r="B169" s="4">
        <f t="shared" si="37"/>
        <v>163</v>
      </c>
      <c r="C169" s="4">
        <f t="shared" si="30"/>
        <v>179</v>
      </c>
      <c r="D169" s="8">
        <f t="shared" si="38"/>
        <v>14.916666666666666</v>
      </c>
      <c r="E169" s="23">
        <f t="shared" si="31"/>
        <v>915.3372633589147</v>
      </c>
      <c r="F169" s="24">
        <f t="shared" si="32"/>
        <v>431.03458038384338</v>
      </c>
      <c r="G169" s="25">
        <f t="shared" si="33"/>
        <v>1401.3718437427581</v>
      </c>
      <c r="H169" s="26">
        <f t="shared" si="34"/>
        <v>243.77232295409033</v>
      </c>
      <c r="I169" s="27">
        <f t="shared" si="35"/>
        <v>143208.2218332116</v>
      </c>
      <c r="K169" s="18">
        <f t="shared" si="28"/>
        <v>0.13362781496281279</v>
      </c>
      <c r="L169" s="22">
        <f t="shared" si="39"/>
        <v>1.6999999999999999E-3</v>
      </c>
      <c r="N169" s="15">
        <f t="shared" si="36"/>
        <v>1077.0370926079861</v>
      </c>
      <c r="W169" s="1">
        <f t="shared" si="29"/>
        <v>-1401.3718437427581</v>
      </c>
    </row>
    <row r="170" spans="1:23" x14ac:dyDescent="0.2">
      <c r="A170" s="7">
        <f t="shared" si="27"/>
        <v>3.0382766343705057E-3</v>
      </c>
      <c r="B170" s="4">
        <f t="shared" si="37"/>
        <v>164</v>
      </c>
      <c r="C170" s="4">
        <f t="shared" si="30"/>
        <v>178</v>
      </c>
      <c r="D170" s="8">
        <f t="shared" si="38"/>
        <v>14.833333333333334</v>
      </c>
      <c r="E170" s="23">
        <f t="shared" si="31"/>
        <v>914.14191105522696</v>
      </c>
      <c r="F170" s="24">
        <f t="shared" si="32"/>
        <v>434.52566559898878</v>
      </c>
      <c r="G170" s="25">
        <f t="shared" si="33"/>
        <v>1403.6675766542157</v>
      </c>
      <c r="H170" s="26">
        <f t="shared" si="34"/>
        <v>243.4539771164597</v>
      </c>
      <c r="I170" s="27">
        <f t="shared" si="35"/>
        <v>143017.15014472909</v>
      </c>
      <c r="K170" s="18">
        <f t="shared" si="28"/>
        <v>0.13612317592885337</v>
      </c>
      <c r="L170" s="22">
        <f t="shared" si="39"/>
        <v>1.6999999999999999E-3</v>
      </c>
      <c r="N170" s="15">
        <f t="shared" si="36"/>
        <v>1077.0370926079861</v>
      </c>
      <c r="W170" s="1">
        <f t="shared" si="29"/>
        <v>-1403.6675766542157</v>
      </c>
    </row>
    <row r="171" spans="1:23" x14ac:dyDescent="0.2">
      <c r="A171" s="7">
        <f t="shared" si="27"/>
        <v>3.0670648003841422E-3</v>
      </c>
      <c r="B171" s="4">
        <f t="shared" si="37"/>
        <v>165</v>
      </c>
      <c r="C171" s="4">
        <f t="shared" si="30"/>
        <v>177</v>
      </c>
      <c r="D171" s="8">
        <f t="shared" si="38"/>
        <v>14.75</v>
      </c>
      <c r="E171" s="23">
        <f t="shared" si="31"/>
        <v>912.92224198719407</v>
      </c>
      <c r="F171" s="24">
        <f t="shared" si="32"/>
        <v>438.04504738832736</v>
      </c>
      <c r="G171" s="25">
        <f t="shared" si="33"/>
        <v>1405.9672893755214</v>
      </c>
      <c r="H171" s="26">
        <f t="shared" si="34"/>
        <v>243.12915524603946</v>
      </c>
      <c r="I171" s="27">
        <f t="shared" si="35"/>
        <v>142822.23425258682</v>
      </c>
      <c r="K171" s="18">
        <f t="shared" si="28"/>
        <v>0.13863472757524986</v>
      </c>
      <c r="L171" s="22">
        <f t="shared" si="39"/>
        <v>1.6999999999999999E-3</v>
      </c>
      <c r="N171" s="15">
        <f t="shared" si="36"/>
        <v>1077.0370926079861</v>
      </c>
      <c r="W171" s="1">
        <f t="shared" si="29"/>
        <v>-1405.9672893755214</v>
      </c>
    </row>
    <row r="172" spans="1:23" x14ac:dyDescent="0.2">
      <c r="A172" s="7">
        <f t="shared" si="27"/>
        <v>3.0962158698932293E-3</v>
      </c>
      <c r="B172" s="4">
        <f t="shared" si="37"/>
        <v>166</v>
      </c>
      <c r="C172" s="4">
        <f t="shared" si="30"/>
        <v>176</v>
      </c>
      <c r="D172" s="8">
        <f t="shared" si="38"/>
        <v>14.666666666666666</v>
      </c>
      <c r="E172" s="23">
        <f t="shared" si="31"/>
        <v>911.67803419062295</v>
      </c>
      <c r="F172" s="24">
        <f t="shared" si="32"/>
        <v>441.59295554552762</v>
      </c>
      <c r="G172" s="25">
        <f t="shared" si="33"/>
        <v>1408.2709897361506</v>
      </c>
      <c r="H172" s="26">
        <f t="shared" si="34"/>
        <v>242.79779822939759</v>
      </c>
      <c r="I172" s="27">
        <f t="shared" si="35"/>
        <v>142623.4390952707</v>
      </c>
      <c r="K172" s="18">
        <f t="shared" si="28"/>
        <v>0.14116257365592377</v>
      </c>
      <c r="L172" s="22">
        <f t="shared" si="39"/>
        <v>1.6999999999999999E-3</v>
      </c>
      <c r="N172" s="15">
        <f t="shared" si="36"/>
        <v>1077.0370926079861</v>
      </c>
      <c r="W172" s="1">
        <f t="shared" si="29"/>
        <v>-1408.2709897361506</v>
      </c>
    </row>
    <row r="173" spans="1:23" x14ac:dyDescent="0.2">
      <c r="A173" s="7">
        <f t="shared" si="27"/>
        <v>3.1257361471626862E-3</v>
      </c>
      <c r="B173" s="4">
        <f t="shared" si="37"/>
        <v>167</v>
      </c>
      <c r="C173" s="4">
        <f t="shared" si="30"/>
        <v>175</v>
      </c>
      <c r="D173" s="8">
        <f t="shared" si="38"/>
        <v>14.583333333333334</v>
      </c>
      <c r="E173" s="23">
        <f t="shared" si="31"/>
        <v>910.40906385713799</v>
      </c>
      <c r="F173" s="24">
        <f t="shared" si="32"/>
        <v>445.16962174077128</v>
      </c>
      <c r="G173" s="25">
        <f t="shared" si="33"/>
        <v>1410.5786855979093</v>
      </c>
      <c r="H173" s="26">
        <f t="shared" si="34"/>
        <v>242.45984646196018</v>
      </c>
      <c r="I173" s="27">
        <f t="shared" si="35"/>
        <v>142420.72931999189</v>
      </c>
      <c r="K173" s="18">
        <f t="shared" si="28"/>
        <v>0.14370681859047618</v>
      </c>
      <c r="L173" s="22">
        <f t="shared" si="39"/>
        <v>1.6999999999999999E-3</v>
      </c>
      <c r="N173" s="15">
        <f t="shared" si="36"/>
        <v>1077.0370926079861</v>
      </c>
      <c r="W173" s="1">
        <f t="shared" si="29"/>
        <v>-1410.5786855979093</v>
      </c>
    </row>
    <row r="174" spans="1:23" x14ac:dyDescent="0.2">
      <c r="A174" s="7">
        <f t="shared" si="27"/>
        <v>3.1556320820258473E-3</v>
      </c>
      <c r="B174" s="4">
        <f t="shared" si="37"/>
        <v>168</v>
      </c>
      <c r="C174" s="4">
        <f t="shared" si="30"/>
        <v>174</v>
      </c>
      <c r="D174" s="8">
        <f t="shared" si="38"/>
        <v>14.5</v>
      </c>
      <c r="E174" s="23">
        <f t="shared" si="31"/>
        <v>909.11510531906765</v>
      </c>
      <c r="F174" s="24">
        <f t="shared" si="32"/>
        <v>448.77527953635968</v>
      </c>
      <c r="G174" s="25">
        <f t="shared" si="33"/>
        <v>1412.8903848554273</v>
      </c>
      <c r="H174" s="26">
        <f t="shared" si="34"/>
        <v>242.11523984398622</v>
      </c>
      <c r="I174" s="27">
        <f t="shared" si="35"/>
        <v>142214.06928029953</v>
      </c>
      <c r="K174" s="18">
        <f t="shared" si="28"/>
        <v>0.14626756746845562</v>
      </c>
      <c r="L174" s="22">
        <f t="shared" si="39"/>
        <v>1.6999999999999999E-3</v>
      </c>
      <c r="N174" s="15">
        <f t="shared" si="36"/>
        <v>1077.0370926079861</v>
      </c>
      <c r="W174" s="1">
        <f t="shared" si="29"/>
        <v>-1412.8903848554273</v>
      </c>
    </row>
    <row r="175" spans="1:23" x14ac:dyDescent="0.2">
      <c r="A175" s="7">
        <f t="shared" si="27"/>
        <v>3.1859102741148885E-3</v>
      </c>
      <c r="B175" s="4">
        <f t="shared" si="37"/>
        <v>169</v>
      </c>
      <c r="C175" s="4">
        <f t="shared" si="30"/>
        <v>173</v>
      </c>
      <c r="D175" s="8">
        <f t="shared" si="38"/>
        <v>14.416666666666666</v>
      </c>
      <c r="E175" s="23">
        <f t="shared" si="31"/>
        <v>907.79593103420609</v>
      </c>
      <c r="F175" s="24">
        <f t="shared" si="32"/>
        <v>452.41016440246347</v>
      </c>
      <c r="G175" s="25">
        <f t="shared" si="33"/>
        <v>1415.2060954366696</v>
      </c>
      <c r="H175" s="26">
        <f t="shared" si="34"/>
        <v>241.7639177765092</v>
      </c>
      <c r="I175" s="27">
        <f t="shared" si="35"/>
        <v>142003.42303367358</v>
      </c>
      <c r="K175" s="18">
        <f t="shared" si="28"/>
        <v>0.14884492605365596</v>
      </c>
      <c r="L175" s="22">
        <f t="shared" si="39"/>
        <v>1.6999999999999999E-3</v>
      </c>
      <c r="N175" s="15">
        <f t="shared" si="36"/>
        <v>1077.0370926079861</v>
      </c>
      <c r="W175" s="1">
        <f t="shared" si="29"/>
        <v>-1415.2060954366696</v>
      </c>
    </row>
    <row r="176" spans="1:23" x14ac:dyDescent="0.2">
      <c r="A176" s="7">
        <f t="shared" si="27"/>
        <v>3.216577477239654E-3</v>
      </c>
      <c r="B176" s="4">
        <f t="shared" si="37"/>
        <v>170</v>
      </c>
      <c r="C176" s="4">
        <f t="shared" si="30"/>
        <v>172</v>
      </c>
      <c r="D176" s="8">
        <f t="shared" si="38"/>
        <v>14.333333333333334</v>
      </c>
      <c r="E176" s="23">
        <f t="shared" si="31"/>
        <v>906.45131157044705</v>
      </c>
      <c r="F176" s="24">
        <f t="shared" si="32"/>
        <v>456.0745137330083</v>
      </c>
      <c r="G176" s="25">
        <f t="shared" si="33"/>
        <v>1417.5258253034553</v>
      </c>
      <c r="H176" s="26">
        <f t="shared" si="34"/>
        <v>241.40581915724508</v>
      </c>
      <c r="I176" s="27">
        <f t="shared" si="35"/>
        <v>141788.75433909782</v>
      </c>
      <c r="K176" s="18">
        <f t="shared" si="28"/>
        <v>0.15143900078843942</v>
      </c>
      <c r="L176" s="22">
        <f t="shared" si="39"/>
        <v>1.6999999999999999E-3</v>
      </c>
      <c r="N176" s="15">
        <f t="shared" si="36"/>
        <v>1077.0370926079861</v>
      </c>
      <c r="W176" s="1">
        <f t="shared" si="29"/>
        <v>-1417.5258253034553</v>
      </c>
    </row>
    <row r="177" spans="1:23" x14ac:dyDescent="0.2">
      <c r="A177" s="7">
        <f t="shared" si="27"/>
        <v>3.2476406039210464E-3</v>
      </c>
      <c r="B177" s="4">
        <f t="shared" si="37"/>
        <v>171</v>
      </c>
      <c r="C177" s="4">
        <f t="shared" si="30"/>
        <v>171</v>
      </c>
      <c r="D177" s="8">
        <f t="shared" si="38"/>
        <v>14.25</v>
      </c>
      <c r="E177" s="23">
        <f t="shared" si="31"/>
        <v>905.08101559029194</v>
      </c>
      <c r="F177" s="24">
        <f t="shared" si="32"/>
        <v>459.7685668617047</v>
      </c>
      <c r="G177" s="25">
        <f t="shared" si="33"/>
        <v>1419.8495824519966</v>
      </c>
      <c r="H177" s="26">
        <f t="shared" si="34"/>
        <v>241.0408823764663</v>
      </c>
      <c r="I177" s="27">
        <f t="shared" si="35"/>
        <v>141570.02665461259</v>
      </c>
      <c r="K177" s="18">
        <f t="shared" si="28"/>
        <v>0.15404989879808859</v>
      </c>
      <c r="L177" s="22">
        <f t="shared" si="39"/>
        <v>1.6999999999999999E-3</v>
      </c>
      <c r="N177" s="15">
        <f t="shared" si="36"/>
        <v>1077.0370926079861</v>
      </c>
      <c r="W177" s="1">
        <f t="shared" si="29"/>
        <v>-1419.8495824519966</v>
      </c>
    </row>
    <row r="178" spans="1:23" x14ac:dyDescent="0.2">
      <c r="A178" s="7">
        <f t="shared" si="27"/>
        <v>3.279106730085371E-3</v>
      </c>
      <c r="B178" s="4">
        <f t="shared" si="37"/>
        <v>172</v>
      </c>
      <c r="C178" s="4">
        <f t="shared" si="30"/>
        <v>170</v>
      </c>
      <c r="D178" s="8">
        <f t="shared" si="38"/>
        <v>14.166666666666666</v>
      </c>
      <c r="E178" s="23">
        <f t="shared" si="31"/>
        <v>903.68480983522795</v>
      </c>
      <c r="F178" s="24">
        <f t="shared" si="32"/>
        <v>463.49256507822156</v>
      </c>
      <c r="G178" s="25">
        <f t="shared" si="33"/>
        <v>1422.1773749134495</v>
      </c>
      <c r="H178" s="26">
        <f t="shared" si="34"/>
        <v>240.6690453128414</v>
      </c>
      <c r="I178" s="27">
        <f t="shared" si="35"/>
        <v>141347.20313484722</v>
      </c>
      <c r="K178" s="18">
        <f t="shared" si="28"/>
        <v>0.15667772789518655</v>
      </c>
      <c r="L178" s="22">
        <f t="shared" si="39"/>
        <v>1.6999999999999999E-3</v>
      </c>
      <c r="N178" s="15">
        <f t="shared" si="36"/>
        <v>1077.0370926079861</v>
      </c>
      <c r="W178" s="1">
        <f t="shared" si="29"/>
        <v>-1422.1773749134495</v>
      </c>
    </row>
    <row r="179" spans="1:23" x14ac:dyDescent="0.2">
      <c r="A179" s="7">
        <f t="shared" si="27"/>
        <v>3.310983099926325E-3</v>
      </c>
      <c r="B179" s="4">
        <f t="shared" si="37"/>
        <v>173</v>
      </c>
      <c r="C179" s="4">
        <f t="shared" si="30"/>
        <v>169</v>
      </c>
      <c r="D179" s="8">
        <f t="shared" si="38"/>
        <v>14.083333333333334</v>
      </c>
      <c r="E179" s="23">
        <f t="shared" si="31"/>
        <v>902.26245910997704</v>
      </c>
      <c r="F179" s="24">
        <f t="shared" si="32"/>
        <v>467.24675164450423</v>
      </c>
      <c r="G179" s="25">
        <f t="shared" si="33"/>
        <v>1424.5092107544813</v>
      </c>
      <c r="H179" s="26">
        <f t="shared" si="34"/>
        <v>240.29024532924026</v>
      </c>
      <c r="I179" s="27">
        <f t="shared" si="35"/>
        <v>141120.24662853195</v>
      </c>
      <c r="K179" s="18">
        <f t="shared" si="28"/>
        <v>0.15932259658402492</v>
      </c>
      <c r="L179" s="22">
        <f t="shared" si="39"/>
        <v>1.6999999999999999E-3</v>
      </c>
      <c r="N179" s="15">
        <f t="shared" si="36"/>
        <v>1077.0370926079861</v>
      </c>
      <c r="W179" s="1">
        <f t="shared" si="29"/>
        <v>-1424.5092107544813</v>
      </c>
    </row>
    <row r="180" spans="1:23" x14ac:dyDescent="0.2">
      <c r="A180" s="7">
        <f t="shared" si="27"/>
        <v>3.3432771309416819E-3</v>
      </c>
      <c r="B180" s="4">
        <f t="shared" si="37"/>
        <v>174</v>
      </c>
      <c r="C180" s="4">
        <f t="shared" si="30"/>
        <v>168</v>
      </c>
      <c r="D180" s="8">
        <f t="shared" si="38"/>
        <v>14</v>
      </c>
      <c r="E180" s="23">
        <f t="shared" si="31"/>
        <v>900.81372626661357</v>
      </c>
      <c r="F180" s="24">
        <f t="shared" si="32"/>
        <v>471.03137181124055</v>
      </c>
      <c r="G180" s="25">
        <f t="shared" si="33"/>
        <v>1426.8450980778541</v>
      </c>
      <c r="H180" s="26">
        <f t="shared" si="34"/>
        <v>239.90441926850431</v>
      </c>
      <c r="I180" s="27">
        <f t="shared" si="35"/>
        <v>140889.11967598923</v>
      </c>
      <c r="K180" s="18">
        <f t="shared" si="28"/>
        <v>0.16198461406504061</v>
      </c>
      <c r="L180" s="22">
        <f t="shared" si="39"/>
        <v>1.6999999999999999E-3</v>
      </c>
      <c r="N180" s="15">
        <f t="shared" si="36"/>
        <v>1077.0370926079861</v>
      </c>
      <c r="W180" s="1">
        <f t="shared" si="29"/>
        <v>-1426.8450980778541</v>
      </c>
    </row>
    <row r="181" spans="1:23" x14ac:dyDescent="0.2">
      <c r="A181" s="7">
        <f t="shared" si="27"/>
        <v>3.3759964191520222E-3</v>
      </c>
      <c r="B181" s="4">
        <f t="shared" si="37"/>
        <v>175</v>
      </c>
      <c r="C181" s="4">
        <f t="shared" si="30"/>
        <v>167</v>
      </c>
      <c r="D181" s="8">
        <f t="shared" si="38"/>
        <v>13.916666666666666</v>
      </c>
      <c r="E181" s="23">
        <f t="shared" si="31"/>
        <v>899.33837218855058</v>
      </c>
      <c r="F181" s="24">
        <f t="shared" si="32"/>
        <v>474.84667283447504</v>
      </c>
      <c r="G181" s="25">
        <f t="shared" si="33"/>
        <v>1429.1850450230256</v>
      </c>
      <c r="H181" s="26">
        <f t="shared" si="34"/>
        <v>239.51150344918167</v>
      </c>
      <c r="I181" s="27">
        <f t="shared" si="35"/>
        <v>140653.78450660393</v>
      </c>
      <c r="K181" s="18">
        <f t="shared" si="28"/>
        <v>0.16466389023928099</v>
      </c>
      <c r="L181" s="22">
        <f t="shared" si="39"/>
        <v>1.6999999999999999E-3</v>
      </c>
      <c r="N181" s="15">
        <f t="shared" si="36"/>
        <v>1077.0370926079861</v>
      </c>
      <c r="W181" s="1">
        <f t="shared" si="29"/>
        <v>-1429.1850450230256</v>
      </c>
    </row>
    <row r="182" spans="1:23" x14ac:dyDescent="0.2">
      <c r="A182" s="7">
        <f t="shared" si="27"/>
        <v>3.4091487445092297E-3</v>
      </c>
      <c r="B182" s="4">
        <f t="shared" si="37"/>
        <v>176</v>
      </c>
      <c r="C182" s="4">
        <f t="shared" si="30"/>
        <v>166</v>
      </c>
      <c r="D182" s="8">
        <f t="shared" si="38"/>
        <v>13.833333333333334</v>
      </c>
      <c r="E182" s="23">
        <f t="shared" si="31"/>
        <v>897.8361557743915</v>
      </c>
      <c r="F182" s="24">
        <f t="shared" si="32"/>
        <v>478.69290399237343</v>
      </c>
      <c r="G182" s="25">
        <f t="shared" si="33"/>
        <v>1431.5290597667649</v>
      </c>
      <c r="H182" s="26">
        <f t="shared" si="34"/>
        <v>239.11143366122667</v>
      </c>
      <c r="I182" s="27">
        <f t="shared" si="35"/>
        <v>140414.20303627278</v>
      </c>
      <c r="K182" s="18">
        <f t="shared" si="28"/>
        <v>0.16736053571289786</v>
      </c>
      <c r="L182" s="22">
        <f t="shared" si="39"/>
        <v>1.6999999999999999E-3</v>
      </c>
      <c r="N182" s="15">
        <f t="shared" si="36"/>
        <v>1077.0370926079861</v>
      </c>
      <c r="W182" s="1">
        <f t="shared" si="29"/>
        <v>-1431.5290597667649</v>
      </c>
    </row>
    <row r="183" spans="1:23" x14ac:dyDescent="0.2">
      <c r="A183" s="7">
        <f t="shared" si="27"/>
        <v>3.442742076502876E-3</v>
      </c>
      <c r="B183" s="4">
        <f t="shared" si="37"/>
        <v>177</v>
      </c>
      <c r="C183" s="4">
        <f t="shared" si="30"/>
        <v>165</v>
      </c>
      <c r="D183" s="8">
        <f t="shared" si="38"/>
        <v>13.75</v>
      </c>
      <c r="E183" s="23">
        <f t="shared" si="31"/>
        <v>896.30683392164894</v>
      </c>
      <c r="F183" s="24">
        <f t="shared" si="32"/>
        <v>482.57031660214045</v>
      </c>
      <c r="G183" s="25">
        <f t="shared" si="33"/>
        <v>1433.8771505237894</v>
      </c>
      <c r="H183" s="26">
        <f t="shared" si="34"/>
        <v>238.70414516166372</v>
      </c>
      <c r="I183" s="27">
        <f t="shared" si="35"/>
        <v>140170.33686483232</v>
      </c>
      <c r="K183" s="18">
        <f t="shared" si="28"/>
        <v>0.17007466180167069</v>
      </c>
      <c r="L183" s="22">
        <f t="shared" si="39"/>
        <v>1.6999999999999999E-3</v>
      </c>
      <c r="N183" s="15">
        <f t="shared" si="36"/>
        <v>1077.0370926079861</v>
      </c>
      <c r="W183" s="1">
        <f t="shared" si="29"/>
        <v>-1433.8771505237894</v>
      </c>
    </row>
    <row r="184" spans="1:23" x14ac:dyDescent="0.2">
      <c r="A184" s="7">
        <f t="shared" si="27"/>
        <v>3.4767845799729712E-3</v>
      </c>
      <c r="B184" s="4">
        <f t="shared" si="37"/>
        <v>178</v>
      </c>
      <c r="C184" s="4">
        <f t="shared" si="30"/>
        <v>164</v>
      </c>
      <c r="D184" s="8">
        <f t="shared" si="38"/>
        <v>13.666666666666666</v>
      </c>
      <c r="E184" s="23">
        <f t="shared" si="31"/>
        <v>894.75016151032651</v>
      </c>
      <c r="F184" s="24">
        <f t="shared" si="32"/>
        <v>486.47916403709178</v>
      </c>
      <c r="G184" s="25">
        <f t="shared" si="33"/>
        <v>1436.2293255474183</v>
      </c>
      <c r="H184" s="26">
        <f t="shared" si="34"/>
        <v>238.28957267021494</v>
      </c>
      <c r="I184" s="27">
        <f t="shared" si="35"/>
        <v>139922.14727346544</v>
      </c>
      <c r="K184" s="18">
        <f t="shared" si="28"/>
        <v>0.1728063805355593</v>
      </c>
      <c r="L184" s="22">
        <f t="shared" si="39"/>
        <v>1.6999999999999999E-3</v>
      </c>
      <c r="N184" s="15">
        <f t="shared" si="36"/>
        <v>1077.0370926079861</v>
      </c>
      <c r="W184" s="1">
        <f t="shared" si="29"/>
        <v>-1436.2293255474183</v>
      </c>
    </row>
    <row r="185" spans="1:23" x14ac:dyDescent="0.2">
      <c r="A185" s="7">
        <f t="shared" si="27"/>
        <v>3.5112846211379778E-3</v>
      </c>
      <c r="B185" s="4">
        <f t="shared" si="37"/>
        <v>179</v>
      </c>
      <c r="C185" s="4">
        <f t="shared" si="30"/>
        <v>163</v>
      </c>
      <c r="D185" s="8">
        <f t="shared" si="38"/>
        <v>13.583333333333334</v>
      </c>
      <c r="E185" s="23">
        <f t="shared" si="31"/>
        <v>893.16589138636402</v>
      </c>
      <c r="F185" s="24">
        <f t="shared" si="32"/>
        <v>490.41970174387859</v>
      </c>
      <c r="G185" s="25">
        <f t="shared" si="33"/>
        <v>1438.5855931302426</v>
      </c>
      <c r="H185" s="26">
        <f t="shared" si="34"/>
        <v>237.86765036489123</v>
      </c>
      <c r="I185" s="27">
        <f t="shared" si="35"/>
        <v>139669.59522208647</v>
      </c>
      <c r="K185" s="18">
        <f t="shared" si="28"/>
        <v>0.17555580466328397</v>
      </c>
      <c r="L185" s="22">
        <f t="shared" si="39"/>
        <v>1.6999999999999999E-3</v>
      </c>
      <c r="N185" s="15">
        <f t="shared" si="36"/>
        <v>1077.0370926079861</v>
      </c>
      <c r="W185" s="1">
        <f t="shared" si="29"/>
        <v>-1438.5855931302426</v>
      </c>
    </row>
    <row r="186" spans="1:23" x14ac:dyDescent="0.2">
      <c r="A186" s="7">
        <f t="shared" si="27"/>
        <v>3.5462507738475276E-3</v>
      </c>
      <c r="B186" s="4">
        <f t="shared" si="37"/>
        <v>180</v>
      </c>
      <c r="C186" s="4">
        <f t="shared" si="30"/>
        <v>162</v>
      </c>
      <c r="D186" s="8">
        <f t="shared" si="38"/>
        <v>13.5</v>
      </c>
      <c r="E186" s="23">
        <f t="shared" si="31"/>
        <v>891.55377434494608</v>
      </c>
      <c r="F186" s="24">
        <f t="shared" si="32"/>
        <v>494.39218725987735</v>
      </c>
      <c r="G186" s="25">
        <f t="shared" si="33"/>
        <v>1440.9459616048234</v>
      </c>
      <c r="H186" s="26">
        <f t="shared" si="34"/>
        <v>237.43831187754699</v>
      </c>
      <c r="I186" s="27">
        <f t="shared" si="35"/>
        <v>139412.64134670413</v>
      </c>
      <c r="K186" s="18">
        <f t="shared" si="28"/>
        <v>0.17832304765693874</v>
      </c>
      <c r="L186" s="22">
        <f t="shared" si="39"/>
        <v>1.6999999999999999E-3</v>
      </c>
      <c r="N186" s="15">
        <f t="shared" si="36"/>
        <v>1077.0370926079861</v>
      </c>
      <c r="W186" s="1">
        <f t="shared" si="29"/>
        <v>-1440.9459616048234</v>
      </c>
    </row>
    <row r="187" spans="1:23" x14ac:dyDescent="0.2">
      <c r="A187" s="7">
        <f t="shared" si="27"/>
        <v>3.5816918260695588E-3</v>
      </c>
      <c r="B187" s="4">
        <f t="shared" si="37"/>
        <v>181</v>
      </c>
      <c r="C187" s="4">
        <f t="shared" si="30"/>
        <v>161</v>
      </c>
      <c r="D187" s="8">
        <f t="shared" si="38"/>
        <v>13.416666666666666</v>
      </c>
      <c r="E187" s="23">
        <f t="shared" si="31"/>
        <v>889.91355911366816</v>
      </c>
      <c r="F187" s="24">
        <f t="shared" si="32"/>
        <v>498.39688023073211</v>
      </c>
      <c r="G187" s="25">
        <f t="shared" si="33"/>
        <v>1443.3104393444003</v>
      </c>
      <c r="H187" s="26">
        <f t="shared" si="34"/>
        <v>237.001490289397</v>
      </c>
      <c r="I187" s="27">
        <f t="shared" si="35"/>
        <v>139151.24595676281</v>
      </c>
      <c r="K187" s="18">
        <f t="shared" si="28"/>
        <v>0.18110822371663135</v>
      </c>
      <c r="L187" s="22">
        <f t="shared" si="39"/>
        <v>1.6999999999999999E-3</v>
      </c>
      <c r="N187" s="15">
        <f t="shared" si="36"/>
        <v>1077.0370926079861</v>
      </c>
      <c r="W187" s="1">
        <f t="shared" si="29"/>
        <v>-1443.3104393444003</v>
      </c>
    </row>
    <row r="188" spans="1:23" x14ac:dyDescent="0.2">
      <c r="A188" s="7">
        <f t="shared" si="27"/>
        <v>3.6176167866222918E-3</v>
      </c>
      <c r="B188" s="4">
        <f t="shared" si="37"/>
        <v>182</v>
      </c>
      <c r="C188" s="4">
        <f t="shared" si="30"/>
        <v>160</v>
      </c>
      <c r="D188" s="8">
        <f t="shared" si="38"/>
        <v>13.333333333333334</v>
      </c>
      <c r="E188" s="23">
        <f t="shared" si="31"/>
        <v>888.24499233556594</v>
      </c>
      <c r="F188" s="24">
        <f t="shared" si="32"/>
        <v>502.43404242806355</v>
      </c>
      <c r="G188" s="25">
        <f t="shared" si="33"/>
        <v>1445.6790347636295</v>
      </c>
      <c r="H188" s="26">
        <f t="shared" si="34"/>
        <v>236.55711812649676</v>
      </c>
      <c r="I188" s="27">
        <f t="shared" si="35"/>
        <v>138885.36903246123</v>
      </c>
      <c r="K188" s="18">
        <f t="shared" si="28"/>
        <v>0.18391144777515434</v>
      </c>
      <c r="L188" s="22">
        <f t="shared" si="39"/>
        <v>1.6999999999999999E-3</v>
      </c>
      <c r="N188" s="15">
        <f t="shared" si="36"/>
        <v>1077.0370926079861</v>
      </c>
      <c r="W188" s="1">
        <f t="shared" si="29"/>
        <v>-1445.6790347636295</v>
      </c>
    </row>
    <row r="189" spans="1:23" x14ac:dyDescent="0.2">
      <c r="A189" s="7">
        <f t="shared" si="27"/>
        <v>3.6540348921618236E-3</v>
      </c>
      <c r="B189" s="4">
        <f t="shared" si="37"/>
        <v>183</v>
      </c>
      <c r="C189" s="4">
        <f t="shared" si="30"/>
        <v>159</v>
      </c>
      <c r="D189" s="8">
        <f t="shared" si="38"/>
        <v>13.25</v>
      </c>
      <c r="E189" s="23">
        <f t="shared" si="31"/>
        <v>886.54781855199928</v>
      </c>
      <c r="F189" s="24">
        <f t="shared" si="32"/>
        <v>506.50393776733938</v>
      </c>
      <c r="G189" s="25">
        <f t="shared" si="33"/>
        <v>1448.0517563193387</v>
      </c>
      <c r="H189" s="26">
        <f t="shared" si="34"/>
        <v>236.10512735518407</v>
      </c>
      <c r="I189" s="27">
        <f t="shared" si="35"/>
        <v>138614.97022204904</v>
      </c>
      <c r="K189" s="18">
        <f t="shared" si="28"/>
        <v>0.18673283550268646</v>
      </c>
      <c r="L189" s="22">
        <f t="shared" si="39"/>
        <v>1.6999999999999999E-3</v>
      </c>
      <c r="N189" s="15">
        <f t="shared" si="36"/>
        <v>1077.0370926079861</v>
      </c>
      <c r="W189" s="1">
        <f t="shared" si="29"/>
        <v>-1448.0517563193387</v>
      </c>
    </row>
    <row r="190" spans="1:23" x14ac:dyDescent="0.2">
      <c r="A190" s="7">
        <f t="shared" si="27"/>
        <v>3.6909556144367884E-3</v>
      </c>
      <c r="B190" s="4">
        <f t="shared" si="37"/>
        <v>184</v>
      </c>
      <c r="C190" s="4">
        <f t="shared" si="30"/>
        <v>158</v>
      </c>
      <c r="D190" s="8">
        <f t="shared" si="38"/>
        <v>13.166666666666666</v>
      </c>
      <c r="E190" s="23">
        <f t="shared" si="31"/>
        <v>884.82178018539526</v>
      </c>
      <c r="F190" s="24">
        <f t="shared" si="32"/>
        <v>510.60683232591327</v>
      </c>
      <c r="G190" s="25">
        <f t="shared" si="33"/>
        <v>1450.4286125113085</v>
      </c>
      <c r="H190" s="26">
        <f t="shared" si="34"/>
        <v>235.64544937748337</v>
      </c>
      <c r="I190" s="27">
        <f t="shared" si="35"/>
        <v>138340.0088391006</v>
      </c>
      <c r="K190" s="18">
        <f t="shared" si="28"/>
        <v>0.18957250331152448</v>
      </c>
      <c r="L190" s="22">
        <f t="shared" si="39"/>
        <v>1.6999999999999999E-3</v>
      </c>
      <c r="N190" s="15">
        <f t="shared" si="36"/>
        <v>1077.0370926079861</v>
      </c>
      <c r="W190" s="1">
        <f t="shared" si="29"/>
        <v>-1450.4286125113085</v>
      </c>
    </row>
    <row r="191" spans="1:23" x14ac:dyDescent="0.2">
      <c r="A191" s="7">
        <f t="shared" si="27"/>
        <v>3.7283886678220303E-3</v>
      </c>
      <c r="B191" s="4">
        <f t="shared" si="37"/>
        <v>185</v>
      </c>
      <c r="C191" s="4">
        <f t="shared" si="30"/>
        <v>157</v>
      </c>
      <c r="D191" s="8">
        <f t="shared" si="38"/>
        <v>13.083333333333334</v>
      </c>
      <c r="E191" s="23">
        <f t="shared" si="31"/>
        <v>883.06661752184641</v>
      </c>
      <c r="F191" s="24">
        <f t="shared" si="32"/>
        <v>514.74299436123056</v>
      </c>
      <c r="G191" s="25">
        <f t="shared" si="33"/>
        <v>1452.809611883077</v>
      </c>
      <c r="H191" s="26">
        <f t="shared" si="34"/>
        <v>235.178015026471</v>
      </c>
      <c r="I191" s="27">
        <f t="shared" si="35"/>
        <v>138060.44385976583</v>
      </c>
      <c r="K191" s="18">
        <f t="shared" si="28"/>
        <v>0.19243056836084527</v>
      </c>
      <c r="L191" s="22">
        <f t="shared" si="39"/>
        <v>1.6999999999999999E-3</v>
      </c>
      <c r="N191" s="15">
        <f t="shared" si="36"/>
        <v>1077.0370926079861</v>
      </c>
      <c r="W191" s="1">
        <f t="shared" si="29"/>
        <v>-1452.809611883077</v>
      </c>
    </row>
    <row r="192" spans="1:23" x14ac:dyDescent="0.2">
      <c r="A192" s="7">
        <f t="shared" si="27"/>
        <v>3.7663440171439065E-3</v>
      </c>
      <c r="B192" s="4">
        <f t="shared" si="37"/>
        <v>186</v>
      </c>
      <c r="C192" s="4">
        <f t="shared" si="30"/>
        <v>156</v>
      </c>
      <c r="D192" s="8">
        <f t="shared" si="38"/>
        <v>13</v>
      </c>
      <c r="E192" s="23">
        <f t="shared" si="31"/>
        <v>881.28206869356165</v>
      </c>
      <c r="F192" s="24">
        <f t="shared" si="32"/>
        <v>518.91269432920478</v>
      </c>
      <c r="G192" s="25">
        <f t="shared" si="33"/>
        <v>1455.1947630227664</v>
      </c>
      <c r="H192" s="26">
        <f t="shared" si="34"/>
        <v>234.70275456160189</v>
      </c>
      <c r="I192" s="27">
        <f t="shared" si="35"/>
        <v>137776.23391999825</v>
      </c>
      <c r="K192" s="18">
        <f t="shared" si="28"/>
        <v>0.19530714856149911</v>
      </c>
      <c r="L192" s="22">
        <f t="shared" si="39"/>
        <v>1.6999999999999999E-3</v>
      </c>
      <c r="N192" s="15">
        <f t="shared" si="36"/>
        <v>1077.0370926079861</v>
      </c>
      <c r="W192" s="1">
        <f t="shared" si="29"/>
        <v>-1455.1947630227664</v>
      </c>
    </row>
    <row r="193" spans="1:23" x14ac:dyDescent="0.2">
      <c r="A193" s="7">
        <f t="shared" si="27"/>
        <v>3.8048318858104717E-3</v>
      </c>
      <c r="B193" s="4">
        <f t="shared" si="37"/>
        <v>187</v>
      </c>
      <c r="C193" s="4">
        <f t="shared" si="30"/>
        <v>155</v>
      </c>
      <c r="D193" s="8">
        <f t="shared" si="38"/>
        <v>12.916666666666666</v>
      </c>
      <c r="E193" s="23">
        <f t="shared" si="31"/>
        <v>879.46786966117224</v>
      </c>
      <c r="F193" s="24">
        <f t="shared" si="32"/>
        <v>523.11620490276709</v>
      </c>
      <c r="G193" s="25">
        <f t="shared" si="33"/>
        <v>1457.5840745639393</v>
      </c>
      <c r="H193" s="26">
        <f t="shared" si="34"/>
        <v>234.21959766399701</v>
      </c>
      <c r="I193" s="27">
        <f t="shared" si="35"/>
        <v>137487.33731275948</v>
      </c>
      <c r="K193" s="18">
        <f t="shared" si="28"/>
        <v>0.19820236258083321</v>
      </c>
      <c r="L193" s="22">
        <f t="shared" si="39"/>
        <v>1.6999999999999999E-3</v>
      </c>
      <c r="N193" s="15">
        <f t="shared" si="36"/>
        <v>1077.0370926079861</v>
      </c>
      <c r="W193" s="1">
        <f t="shared" si="29"/>
        <v>-1457.5840745639393</v>
      </c>
    </row>
    <row r="194" spans="1:23" x14ac:dyDescent="0.2">
      <c r="A194" s="7">
        <f t="shared" si="27"/>
        <v>3.8438627642605051E-3</v>
      </c>
      <c r="B194" s="4">
        <f t="shared" si="37"/>
        <v>188</v>
      </c>
      <c r="C194" s="4">
        <f t="shared" si="30"/>
        <v>154</v>
      </c>
      <c r="D194" s="8">
        <f t="shared" si="38"/>
        <v>12.833333333333334</v>
      </c>
      <c r="E194" s="23">
        <f t="shared" si="31"/>
        <v>877.62375419588705</v>
      </c>
      <c r="F194" s="24">
        <f t="shared" si="32"/>
        <v>527.35380099059273</v>
      </c>
      <c r="G194" s="25">
        <f t="shared" si="33"/>
        <v>1459.9775551864798</v>
      </c>
      <c r="H194" s="26">
        <f t="shared" si="34"/>
        <v>233.7284734316911</v>
      </c>
      <c r="I194" s="27">
        <f t="shared" si="35"/>
        <v>137193.71198520059</v>
      </c>
      <c r="K194" s="18">
        <f t="shared" si="28"/>
        <v>0.20111632984754857</v>
      </c>
      <c r="L194" s="22">
        <f t="shared" si="39"/>
        <v>1.6999999999999999E-3</v>
      </c>
      <c r="N194" s="15">
        <f t="shared" si="36"/>
        <v>1077.0370926079861</v>
      </c>
      <c r="W194" s="1">
        <f t="shared" si="29"/>
        <v>-1459.9775551864798</v>
      </c>
    </row>
    <row r="195" spans="1:23" x14ac:dyDescent="0.2">
      <c r="A195" s="7">
        <f t="shared" si="27"/>
        <v>3.8834474187460252E-3</v>
      </c>
      <c r="B195" s="4">
        <f t="shared" si="37"/>
        <v>189</v>
      </c>
      <c r="C195" s="4">
        <f t="shared" si="30"/>
        <v>153</v>
      </c>
      <c r="D195" s="8">
        <f t="shared" si="38"/>
        <v>12.75</v>
      </c>
      <c r="E195" s="23">
        <f t="shared" si="31"/>
        <v>875.74945386150034</v>
      </c>
      <c r="F195" s="24">
        <f t="shared" si="32"/>
        <v>531.62575975600066</v>
      </c>
      <c r="G195" s="25">
        <f t="shared" si="33"/>
        <v>1462.375213617501</v>
      </c>
      <c r="H195" s="26">
        <f t="shared" si="34"/>
        <v>233.22931037484099</v>
      </c>
      <c r="I195" s="27">
        <f t="shared" si="35"/>
        <v>136895.31553581945</v>
      </c>
      <c r="K195" s="18">
        <f t="shared" si="28"/>
        <v>0.20404917055658484</v>
      </c>
      <c r="L195" s="22">
        <f t="shared" si="39"/>
        <v>1.6999999999999999E-3</v>
      </c>
      <c r="N195" s="15">
        <f t="shared" si="36"/>
        <v>1077.0370926079861</v>
      </c>
      <c r="W195" s="1">
        <f t="shared" si="29"/>
        <v>-1462.375213617501</v>
      </c>
    </row>
    <row r="196" spans="1:23" x14ac:dyDescent="0.2">
      <c r="A196" s="7">
        <f t="shared" si="27"/>
        <v>3.9235969004638195E-3</v>
      </c>
      <c r="B196" s="4">
        <f t="shared" si="37"/>
        <v>190</v>
      </c>
      <c r="C196" s="4">
        <f t="shared" si="30"/>
        <v>152</v>
      </c>
      <c r="D196" s="8">
        <f t="shared" si="38"/>
        <v>12.666666666666666</v>
      </c>
      <c r="E196" s="23">
        <f t="shared" si="31"/>
        <v>873.84469799624662</v>
      </c>
      <c r="F196" s="24">
        <f t="shared" si="32"/>
        <v>535.93236063603922</v>
      </c>
      <c r="G196" s="25">
        <f t="shared" si="33"/>
        <v>1464.7770586322858</v>
      </c>
      <c r="H196" s="26">
        <f t="shared" si="34"/>
        <v>232.72203641089305</v>
      </c>
      <c r="I196" s="27">
        <f t="shared" si="35"/>
        <v>136592.10521159429</v>
      </c>
      <c r="K196" s="18">
        <f t="shared" si="28"/>
        <v>0.20700100567404051</v>
      </c>
      <c r="L196" s="22">
        <f t="shared" si="39"/>
        <v>1.6999999999999999E-3</v>
      </c>
      <c r="N196" s="15">
        <f t="shared" si="36"/>
        <v>1077.0370926079861</v>
      </c>
      <c r="W196" s="1">
        <f t="shared" si="29"/>
        <v>-1464.7770586322858</v>
      </c>
    </row>
    <row r="197" spans="1:23" x14ac:dyDescent="0.2">
      <c r="A197" s="7">
        <f t="shared" si="27"/>
        <v>3.9643225550521936E-3</v>
      </c>
      <c r="B197" s="4">
        <f t="shared" si="37"/>
        <v>191</v>
      </c>
      <c r="C197" s="4">
        <f t="shared" si="30"/>
        <v>151</v>
      </c>
      <c r="D197" s="8">
        <f t="shared" si="38"/>
        <v>12.583333333333334</v>
      </c>
      <c r="E197" s="23">
        <f t="shared" si="31"/>
        <v>871.90921369450257</v>
      </c>
      <c r="F197" s="24">
        <f t="shared" si="32"/>
        <v>540.27388536074932</v>
      </c>
      <c r="G197" s="25">
        <f t="shared" si="33"/>
        <v>1467.1830990552519</v>
      </c>
      <c r="H197" s="26">
        <f t="shared" si="34"/>
        <v>232.20657885971028</v>
      </c>
      <c r="I197" s="27">
        <f t="shared" si="35"/>
        <v>136284.03790509325</v>
      </c>
      <c r="K197" s="18">
        <f t="shared" si="28"/>
        <v>0.20997195694212242</v>
      </c>
      <c r="L197" s="22">
        <f t="shared" si="39"/>
        <v>1.6999999999999999E-3</v>
      </c>
      <c r="N197" s="15">
        <f t="shared" si="36"/>
        <v>1077.0370926079861</v>
      </c>
      <c r="W197" s="1">
        <f t="shared" si="29"/>
        <v>-1467.1830990552519</v>
      </c>
    </row>
    <row r="198" spans="1:23" x14ac:dyDescent="0.2">
      <c r="A198" s="7">
        <f t="shared" si="27"/>
        <v>4.0056360324701862E-3</v>
      </c>
      <c r="B198" s="4">
        <f t="shared" si="37"/>
        <v>192</v>
      </c>
      <c r="C198" s="4">
        <f t="shared" si="30"/>
        <v>150</v>
      </c>
      <c r="D198" s="8">
        <f t="shared" si="38"/>
        <v>12.5</v>
      </c>
      <c r="E198" s="23">
        <f t="shared" si="31"/>
        <v>869.94272578833693</v>
      </c>
      <c r="F198" s="24">
        <f t="shared" si="32"/>
        <v>544.65061797261728</v>
      </c>
      <c r="G198" s="25">
        <f t="shared" si="33"/>
        <v>1469.5933437609542</v>
      </c>
      <c r="H198" s="26">
        <f t="shared" si="34"/>
        <v>231.68286443865853</v>
      </c>
      <c r="I198" s="27">
        <f t="shared" si="35"/>
        <v>135971.07015155928</v>
      </c>
      <c r="K198" s="18">
        <f t="shared" si="28"/>
        <v>0.21296214688412912</v>
      </c>
      <c r="L198" s="22">
        <f t="shared" si="39"/>
        <v>1.6999999999999999E-3</v>
      </c>
      <c r="N198" s="15">
        <f t="shared" si="36"/>
        <v>1077.0370926079861</v>
      </c>
      <c r="W198" s="1">
        <f t="shared" si="29"/>
        <v>-1469.5933437609542</v>
      </c>
    </row>
    <row r="199" spans="1:23" x14ac:dyDescent="0.2">
      <c r="A199" s="7">
        <f t="shared" ref="A199:A262" si="40">F199/I199</f>
        <v>4.0475492972772307E-3</v>
      </c>
      <c r="B199" s="4">
        <f t="shared" si="37"/>
        <v>193</v>
      </c>
      <c r="C199" s="4">
        <f t="shared" si="30"/>
        <v>149</v>
      </c>
      <c r="D199" s="8">
        <f t="shared" si="38"/>
        <v>12.416666666666666</v>
      </c>
      <c r="E199" s="23">
        <f t="shared" si="31"/>
        <v>867.94495682890238</v>
      </c>
      <c r="F199" s="24">
        <f t="shared" si="32"/>
        <v>549.06284484620983</v>
      </c>
      <c r="G199" s="25">
        <f t="shared" si="33"/>
        <v>1472.0078016751122</v>
      </c>
      <c r="H199" s="26">
        <f t="shared" si="34"/>
        <v>231.15081925765077</v>
      </c>
      <c r="I199" s="27">
        <f t="shared" si="35"/>
        <v>135653.15812597072</v>
      </c>
      <c r="K199" s="18">
        <f t="shared" ref="K199:K262" si="41">IF(C199&lt;1,0,(F199-H199)/G199)</f>
        <v>0.21597169880946435</v>
      </c>
      <c r="L199" s="22">
        <f t="shared" si="39"/>
        <v>1.6999999999999999E-3</v>
      </c>
      <c r="N199" s="15">
        <f t="shared" si="36"/>
        <v>1077.0370926079861</v>
      </c>
      <c r="W199" s="1">
        <f t="shared" ref="W199:W262" si="42">-G199</f>
        <v>-1472.0078016751122</v>
      </c>
    </row>
    <row r="200" spans="1:23" x14ac:dyDescent="0.2">
      <c r="A200" s="7">
        <f t="shared" si="40"/>
        <v>4.0900746393324715E-3</v>
      </c>
      <c r="B200" s="4">
        <f t="shared" si="37"/>
        <v>194</v>
      </c>
      <c r="C200" s="4">
        <f t="shared" ref="C200:C263" si="43">IF(C199-1&lt;1,0,C199-1)</f>
        <v>148</v>
      </c>
      <c r="D200" s="8">
        <f t="shared" si="38"/>
        <v>12.333333333333334</v>
      </c>
      <c r="E200" s="23">
        <f t="shared" ref="E200:E263" si="44">IF(C200&lt;1,0,I199*$J$4)</f>
        <v>865.9156270676724</v>
      </c>
      <c r="F200" s="24">
        <f t="shared" ref="F200:F263" si="45">IF(C200&lt;1,0,G200-E200-$L$3-$L$4)</f>
        <v>553.51085470800786</v>
      </c>
      <c r="G200" s="25">
        <f t="shared" ref="G200:G263" si="46">IF(C200&lt;1,0,-PMT($J$4,C200,I199)+$L$3+$L$4)</f>
        <v>1474.4264817756803</v>
      </c>
      <c r="H200" s="26">
        <f t="shared" ref="H200:H263" si="47">IF(C200&lt;1,0,I199*L200)</f>
        <v>230.61036881415021</v>
      </c>
      <c r="I200" s="27">
        <f t="shared" ref="I200:I263" si="48">IF(C200&lt;1,0,I199-F200+H200)</f>
        <v>135330.25764007686</v>
      </c>
      <c r="K200" s="18">
        <f t="shared" si="41"/>
        <v>0.21900073681868651</v>
      </c>
      <c r="L200" s="22">
        <f t="shared" si="39"/>
        <v>1.6999999999999999E-3</v>
      </c>
      <c r="N200" s="15">
        <f t="shared" ref="N200:N263" si="49">IF(C200&lt;1,0,N199)</f>
        <v>1077.0370926079861</v>
      </c>
      <c r="W200" s="1">
        <f t="shared" si="42"/>
        <v>-1474.4264817756803</v>
      </c>
    </row>
    <row r="201" spans="1:23" x14ac:dyDescent="0.2">
      <c r="A201" s="7">
        <f t="shared" si="40"/>
        <v>4.1332246849337048E-3</v>
      </c>
      <c r="B201" s="4">
        <f t="shared" ref="B201:B264" si="50">B200+1</f>
        <v>195</v>
      </c>
      <c r="C201" s="4">
        <f t="shared" si="43"/>
        <v>147</v>
      </c>
      <c r="D201" s="8">
        <f t="shared" si="38"/>
        <v>12.25</v>
      </c>
      <c r="E201" s="23">
        <f t="shared" si="44"/>
        <v>863.85445443751814</v>
      </c>
      <c r="F201" s="24">
        <f t="shared" si="45"/>
        <v>557.99493865642489</v>
      </c>
      <c r="G201" s="25">
        <f t="shared" si="46"/>
        <v>1476.849393093943</v>
      </c>
      <c r="H201" s="26">
        <f t="shared" si="47"/>
        <v>230.06143798813065</v>
      </c>
      <c r="I201" s="27">
        <f t="shared" si="48"/>
        <v>135002.32413940856</v>
      </c>
      <c r="K201" s="18">
        <f t="shared" si="41"/>
        <v>0.22204938580858682</v>
      </c>
      <c r="L201" s="22">
        <f t="shared" si="39"/>
        <v>1.6999999999999999E-3</v>
      </c>
      <c r="N201" s="15">
        <f t="shared" si="49"/>
        <v>1077.0370926079861</v>
      </c>
      <c r="W201" s="1">
        <f t="shared" si="42"/>
        <v>-1476.849393093943</v>
      </c>
    </row>
    <row r="202" spans="1:23" x14ac:dyDescent="0.2">
      <c r="A202" s="7">
        <f t="shared" si="40"/>
        <v>4.1770124084172973E-3</v>
      </c>
      <c r="B202" s="4">
        <f t="shared" si="50"/>
        <v>196</v>
      </c>
      <c r="C202" s="4">
        <f t="shared" si="43"/>
        <v>146</v>
      </c>
      <c r="D202" s="8">
        <f t="shared" si="38"/>
        <v>12.166666666666666</v>
      </c>
      <c r="E202" s="23">
        <f t="shared" si="44"/>
        <v>861.76115453362661</v>
      </c>
      <c r="F202" s="24">
        <f t="shared" si="45"/>
        <v>562.51539018202982</v>
      </c>
      <c r="G202" s="25">
        <f t="shared" si="46"/>
        <v>1479.2765447156564</v>
      </c>
      <c r="H202" s="26">
        <f t="shared" si="47"/>
        <v>229.50395103699455</v>
      </c>
      <c r="I202" s="27">
        <f t="shared" si="48"/>
        <v>134669.31270026352</v>
      </c>
      <c r="K202" s="18">
        <f t="shared" si="41"/>
        <v>0.22511777147730419</v>
      </c>
      <c r="L202" s="22">
        <f t="shared" si="39"/>
        <v>1.6999999999999999E-3</v>
      </c>
      <c r="N202" s="15">
        <f t="shared" si="49"/>
        <v>1077.0370926079861</v>
      </c>
      <c r="W202" s="1">
        <f t="shared" si="42"/>
        <v>-1479.2765447156564</v>
      </c>
    </row>
    <row r="203" spans="1:23" x14ac:dyDescent="0.2">
      <c r="A203" s="7">
        <f t="shared" si="40"/>
        <v>4.2214511442414003E-3</v>
      </c>
      <c r="B203" s="4">
        <f t="shared" si="50"/>
        <v>197</v>
      </c>
      <c r="C203" s="4">
        <f t="shared" si="43"/>
        <v>145</v>
      </c>
      <c r="D203" s="8">
        <f t="shared" ref="D203:D266" si="51">C203/12</f>
        <v>12.083333333333334</v>
      </c>
      <c r="E203" s="23">
        <f t="shared" si="44"/>
        <v>859.63544059425612</v>
      </c>
      <c r="F203" s="24">
        <f t="shared" si="45"/>
        <v>567.07250518796445</v>
      </c>
      <c r="G203" s="25">
        <f t="shared" si="46"/>
        <v>1481.7079457822206</v>
      </c>
      <c r="H203" s="26">
        <f t="shared" si="47"/>
        <v>228.93783159044796</v>
      </c>
      <c r="I203" s="27">
        <f t="shared" si="48"/>
        <v>134331.17802666599</v>
      </c>
      <c r="K203" s="18">
        <f t="shared" si="41"/>
        <v>0.22820602032947124</v>
      </c>
      <c r="L203" s="22">
        <f t="shared" si="39"/>
        <v>1.6999999999999999E-3</v>
      </c>
      <c r="N203" s="15">
        <f t="shared" si="49"/>
        <v>1077.0370926079861</v>
      </c>
      <c r="W203" s="1">
        <f t="shared" si="42"/>
        <v>-1481.7079457822206</v>
      </c>
    </row>
    <row r="204" spans="1:23" x14ac:dyDescent="0.2">
      <c r="A204" s="7">
        <f t="shared" si="40"/>
        <v>4.2665545995761636E-3</v>
      </c>
      <c r="B204" s="4">
        <f t="shared" si="50"/>
        <v>198</v>
      </c>
      <c r="C204" s="4">
        <f t="shared" si="43"/>
        <v>144</v>
      </c>
      <c r="D204" s="8">
        <f t="shared" si="51"/>
        <v>12</v>
      </c>
      <c r="E204" s="23">
        <f t="shared" si="44"/>
        <v>857.47702348133032</v>
      </c>
      <c r="F204" s="24">
        <f t="shared" si="45"/>
        <v>571.66658201056464</v>
      </c>
      <c r="G204" s="25">
        <f t="shared" si="46"/>
        <v>1484.143605491895</v>
      </c>
      <c r="H204" s="26">
        <f t="shared" si="47"/>
        <v>228.36300264533216</v>
      </c>
      <c r="I204" s="27">
        <f t="shared" si="48"/>
        <v>133987.87444730077</v>
      </c>
      <c r="K204" s="18">
        <f t="shared" si="41"/>
        <v>0.23131425968139396</v>
      </c>
      <c r="L204" s="22">
        <f t="shared" si="39"/>
        <v>1.6999999999999999E-3</v>
      </c>
      <c r="N204" s="15">
        <f t="shared" si="49"/>
        <v>1077.0370926079861</v>
      </c>
      <c r="W204" s="1">
        <f t="shared" si="42"/>
        <v>-1484.143605491895</v>
      </c>
    </row>
    <row r="205" spans="1:23" x14ac:dyDescent="0.2">
      <c r="A205" s="7">
        <f t="shared" si="40"/>
        <v>4.312336867425934E-3</v>
      </c>
      <c r="B205" s="4">
        <f t="shared" si="50"/>
        <v>199</v>
      </c>
      <c r="C205" s="4">
        <f t="shared" si="43"/>
        <v>143</v>
      </c>
      <c r="D205" s="8">
        <f t="shared" si="51"/>
        <v>11.916666666666666</v>
      </c>
      <c r="E205" s="23">
        <f t="shared" si="44"/>
        <v>855.2856116608657</v>
      </c>
      <c r="F205" s="24">
        <f t="shared" si="45"/>
        <v>576.29792144018893</v>
      </c>
      <c r="G205" s="25">
        <f t="shared" si="46"/>
        <v>1486.5835331010546</v>
      </c>
      <c r="H205" s="26">
        <f t="shared" si="47"/>
        <v>227.7793865604113</v>
      </c>
      <c r="I205" s="27">
        <f t="shared" si="48"/>
        <v>133639.35591242099</v>
      </c>
      <c r="K205" s="18">
        <f t="shared" si="41"/>
        <v>0.23444261766626615</v>
      </c>
      <c r="L205" s="22">
        <f t="shared" si="39"/>
        <v>1.6999999999999999E-3</v>
      </c>
      <c r="N205" s="15">
        <f t="shared" si="49"/>
        <v>1077.0370926079861</v>
      </c>
      <c r="W205" s="1">
        <f t="shared" si="42"/>
        <v>-1486.5835331010546</v>
      </c>
    </row>
    <row r="206" spans="1:23" x14ac:dyDescent="0.2">
      <c r="A206" s="7">
        <f t="shared" si="40"/>
        <v>4.3588124403098252E-3</v>
      </c>
      <c r="B206" s="4">
        <f t="shared" si="50"/>
        <v>200</v>
      </c>
      <c r="C206" s="4">
        <f t="shared" si="43"/>
        <v>142</v>
      </c>
      <c r="D206" s="8">
        <f t="shared" si="51"/>
        <v>11.833333333333334</v>
      </c>
      <c r="E206" s="23">
        <f t="shared" si="44"/>
        <v>853.06091118323377</v>
      </c>
      <c r="F206" s="24">
        <f t="shared" si="45"/>
        <v>580.96682674225383</v>
      </c>
      <c r="G206" s="25">
        <f t="shared" si="46"/>
        <v>1489.0277379254876</v>
      </c>
      <c r="H206" s="26">
        <f t="shared" si="47"/>
        <v>227.18690505111567</v>
      </c>
      <c r="I206" s="27">
        <f t="shared" si="48"/>
        <v>133285.57599072985</v>
      </c>
      <c r="K206" s="18">
        <f t="shared" si="41"/>
        <v>0.23759122323941667</v>
      </c>
      <c r="L206" s="22">
        <f t="shared" ref="L206:L269" si="52">L205</f>
        <v>1.6999999999999999E-3</v>
      </c>
      <c r="N206" s="15">
        <f t="shared" si="49"/>
        <v>1077.0370926079861</v>
      </c>
      <c r="W206" s="1">
        <f t="shared" si="42"/>
        <v>-1489.0277379254876</v>
      </c>
    </row>
    <row r="207" spans="1:23" x14ac:dyDescent="0.2">
      <c r="A207" s="7">
        <f t="shared" si="40"/>
        <v>4.4059962245286289E-3</v>
      </c>
      <c r="B207" s="4">
        <f t="shared" si="50"/>
        <v>201</v>
      </c>
      <c r="C207" s="4">
        <f t="shared" si="43"/>
        <v>141</v>
      </c>
      <c r="D207" s="8">
        <f t="shared" si="51"/>
        <v>11.75</v>
      </c>
      <c r="E207" s="23">
        <f t="shared" si="44"/>
        <v>850.80262566325598</v>
      </c>
      <c r="F207" s="24">
        <f t="shared" si="45"/>
        <v>585.67360367848471</v>
      </c>
      <c r="G207" s="25">
        <f t="shared" si="46"/>
        <v>1491.4762293417407</v>
      </c>
      <c r="H207" s="26">
        <f t="shared" si="47"/>
        <v>226.58547918424074</v>
      </c>
      <c r="I207" s="27">
        <f t="shared" si="48"/>
        <v>132926.48786623561</v>
      </c>
      <c r="K207" s="18">
        <f t="shared" si="41"/>
        <v>0.24076020618359209</v>
      </c>
      <c r="L207" s="22">
        <f t="shared" si="52"/>
        <v>1.6999999999999999E-3</v>
      </c>
      <c r="N207" s="15">
        <f t="shared" si="49"/>
        <v>1077.0370926079861</v>
      </c>
      <c r="W207" s="1">
        <f t="shared" si="42"/>
        <v>-1491.4762293417407</v>
      </c>
    </row>
    <row r="208" spans="1:23" x14ac:dyDescent="0.2">
      <c r="A208" s="7">
        <f t="shared" si="40"/>
        <v>4.4539035550475213E-3</v>
      </c>
      <c r="B208" s="4">
        <f t="shared" si="50"/>
        <v>202</v>
      </c>
      <c r="C208" s="4">
        <f t="shared" si="43"/>
        <v>140</v>
      </c>
      <c r="D208" s="8">
        <f t="shared" si="51"/>
        <v>11.666666666666666</v>
      </c>
      <c r="E208" s="23">
        <f t="shared" si="44"/>
        <v>848.51045626012831</v>
      </c>
      <c r="F208" s="24">
        <f t="shared" si="45"/>
        <v>590.41856052837932</v>
      </c>
      <c r="G208" s="25">
        <f t="shared" si="46"/>
        <v>1493.9290167885076</v>
      </c>
      <c r="H208" s="26">
        <f t="shared" si="47"/>
        <v>225.97502937260052</v>
      </c>
      <c r="I208" s="27">
        <f t="shared" si="48"/>
        <v>132562.04433507985</v>
      </c>
      <c r="K208" s="18">
        <f t="shared" si="41"/>
        <v>0.24394969711427214</v>
      </c>
      <c r="L208" s="22">
        <f t="shared" si="52"/>
        <v>1.6999999999999999E-3</v>
      </c>
      <c r="N208" s="15">
        <f t="shared" si="49"/>
        <v>1077.0370926079861</v>
      </c>
      <c r="W208" s="1">
        <f t="shared" si="42"/>
        <v>-1493.9290167885076</v>
      </c>
    </row>
    <row r="209" spans="1:23" x14ac:dyDescent="0.2">
      <c r="A209" s="7">
        <f t="shared" si="40"/>
        <v>4.5025502110258827E-3</v>
      </c>
      <c r="B209" s="4">
        <f t="shared" si="50"/>
        <v>203</v>
      </c>
      <c r="C209" s="4">
        <f t="shared" si="43"/>
        <v>139</v>
      </c>
      <c r="D209" s="8">
        <f t="shared" si="51"/>
        <v>11.583333333333334</v>
      </c>
      <c r="E209" s="23">
        <f t="shared" si="44"/>
        <v>846.18410165717512</v>
      </c>
      <c r="F209" s="24">
        <f t="shared" si="45"/>
        <v>595.20200811089478</v>
      </c>
      <c r="G209" s="25">
        <f t="shared" si="46"/>
        <v>1496.3861097680699</v>
      </c>
      <c r="H209" s="26">
        <f t="shared" si="47"/>
        <v>225.35547536963571</v>
      </c>
      <c r="I209" s="27">
        <f t="shared" si="48"/>
        <v>132192.19780233857</v>
      </c>
      <c r="K209" s="18">
        <f t="shared" si="41"/>
        <v>0.2471598274850218</v>
      </c>
      <c r="L209" s="22">
        <f t="shared" si="52"/>
        <v>1.6999999999999999E-3</v>
      </c>
      <c r="N209" s="15">
        <f t="shared" si="49"/>
        <v>1077.0370926079861</v>
      </c>
      <c r="W209" s="1">
        <f t="shared" si="42"/>
        <v>-1496.3861097680699</v>
      </c>
    </row>
    <row r="210" spans="1:23" x14ac:dyDescent="0.2">
      <c r="A210" s="7">
        <f t="shared" si="40"/>
        <v>4.5519524320272132E-3</v>
      </c>
      <c r="B210" s="4">
        <f t="shared" si="50"/>
        <v>204</v>
      </c>
      <c r="C210" s="4">
        <f t="shared" si="43"/>
        <v>138</v>
      </c>
      <c r="D210" s="8">
        <f t="shared" si="51"/>
        <v>11.5</v>
      </c>
      <c r="E210" s="23">
        <f t="shared" si="44"/>
        <v>843.8232580414292</v>
      </c>
      <c r="F210" s="24">
        <f t="shared" si="45"/>
        <v>600.02425980635508</v>
      </c>
      <c r="G210" s="25">
        <f t="shared" si="46"/>
        <v>1498.8475178477843</v>
      </c>
      <c r="H210" s="26">
        <f t="shared" si="47"/>
        <v>224.72673626397557</v>
      </c>
      <c r="I210" s="27">
        <f t="shared" si="48"/>
        <v>131816.90027879621</v>
      </c>
      <c r="K210" s="18">
        <f t="shared" si="41"/>
        <v>0.25039072959287706</v>
      </c>
      <c r="L210" s="22">
        <f t="shared" si="52"/>
        <v>1.6999999999999999E-3</v>
      </c>
      <c r="N210" s="15">
        <f t="shared" si="49"/>
        <v>1077.0370926079861</v>
      </c>
      <c r="W210" s="1">
        <f t="shared" si="42"/>
        <v>-1498.8475178477843</v>
      </c>
    </row>
    <row r="211" spans="1:23" x14ac:dyDescent="0.2">
      <c r="A211" s="7">
        <f t="shared" si="40"/>
        <v>4.6021269349442208E-3</v>
      </c>
      <c r="B211" s="4">
        <f t="shared" si="50"/>
        <v>205</v>
      </c>
      <c r="C211" s="4">
        <f t="shared" si="43"/>
        <v>137</v>
      </c>
      <c r="D211" s="8">
        <f t="shared" si="51"/>
        <v>11.416666666666666</v>
      </c>
      <c r="E211" s="23">
        <f t="shared" si="44"/>
        <v>841.42761908303987</v>
      </c>
      <c r="F211" s="24">
        <f t="shared" si="45"/>
        <v>604.88563157858744</v>
      </c>
      <c r="G211" s="25">
        <f t="shared" si="46"/>
        <v>1501.3132506616273</v>
      </c>
      <c r="H211" s="26">
        <f t="shared" si="47"/>
        <v>224.08873047395355</v>
      </c>
      <c r="I211" s="27">
        <f t="shared" si="48"/>
        <v>131436.10337769156</v>
      </c>
      <c r="K211" s="18">
        <f t="shared" si="41"/>
        <v>0.25364253658376562</v>
      </c>
      <c r="L211" s="22">
        <f t="shared" si="52"/>
        <v>1.6999999999999999E-3</v>
      </c>
      <c r="N211" s="15">
        <f t="shared" si="49"/>
        <v>1077.0370926079861</v>
      </c>
      <c r="W211" s="1">
        <f t="shared" si="42"/>
        <v>-1501.3132506616273</v>
      </c>
    </row>
    <row r="212" spans="1:23" x14ac:dyDescent="0.2">
      <c r="A212" s="7">
        <f t="shared" si="40"/>
        <v>4.6530909316761255E-3</v>
      </c>
      <c r="B212" s="4">
        <f t="shared" si="50"/>
        <v>206</v>
      </c>
      <c r="C212" s="4">
        <f t="shared" si="43"/>
        <v>136</v>
      </c>
      <c r="D212" s="8">
        <f t="shared" si="51"/>
        <v>11.333333333333334</v>
      </c>
      <c r="E212" s="23">
        <f t="shared" si="44"/>
        <v>838.99687591450072</v>
      </c>
      <c r="F212" s="24">
        <f t="shared" si="45"/>
        <v>609.7864419972924</v>
      </c>
      <c r="G212" s="25">
        <f t="shared" si="46"/>
        <v>1503.7833179117931</v>
      </c>
      <c r="H212" s="26">
        <f t="shared" si="47"/>
        <v>223.44137574207562</v>
      </c>
      <c r="I212" s="27">
        <f t="shared" si="48"/>
        <v>131049.75831143634</v>
      </c>
      <c r="K212" s="18">
        <f t="shared" si="41"/>
        <v>0.25691538245796558</v>
      </c>
      <c r="L212" s="22">
        <f t="shared" si="52"/>
        <v>1.6999999999999999E-3</v>
      </c>
      <c r="N212" s="15">
        <f t="shared" si="49"/>
        <v>1077.0370926079861</v>
      </c>
      <c r="W212" s="1">
        <f t="shared" si="42"/>
        <v>-1503.7833179117931</v>
      </c>
    </row>
    <row r="213" spans="1:23" x14ac:dyDescent="0.2">
      <c r="A213" s="7">
        <f t="shared" si="40"/>
        <v>4.7048621475974679E-3</v>
      </c>
      <c r="B213" s="4">
        <f t="shared" si="50"/>
        <v>207</v>
      </c>
      <c r="C213" s="4">
        <f t="shared" si="43"/>
        <v>135</v>
      </c>
      <c r="D213" s="8">
        <f t="shared" si="51"/>
        <v>11.25</v>
      </c>
      <c r="E213" s="23">
        <f t="shared" si="44"/>
        <v>836.53071710970369</v>
      </c>
      <c r="F213" s="24">
        <f t="shared" si="45"/>
        <v>614.72701226064589</v>
      </c>
      <c r="G213" s="25">
        <f t="shared" si="46"/>
        <v>1506.2577293703496</v>
      </c>
      <c r="H213" s="26">
        <f t="shared" si="47"/>
        <v>222.78458912944177</v>
      </c>
      <c r="I213" s="27">
        <f t="shared" si="48"/>
        <v>130657.81588830514</v>
      </c>
      <c r="K213" s="18">
        <f t="shared" si="41"/>
        <v>0.2602094020755964</v>
      </c>
      <c r="L213" s="22">
        <f t="shared" si="52"/>
        <v>1.6999999999999999E-3</v>
      </c>
      <c r="N213" s="15">
        <f t="shared" si="49"/>
        <v>1077.0370926079861</v>
      </c>
      <c r="W213" s="1">
        <f t="shared" si="42"/>
        <v>-1506.2577293703496</v>
      </c>
    </row>
    <row r="214" spans="1:23" x14ac:dyDescent="0.2">
      <c r="A214" s="7">
        <f t="shared" si="40"/>
        <v>4.7574588408600908E-3</v>
      </c>
      <c r="B214" s="4">
        <f t="shared" si="50"/>
        <v>208</v>
      </c>
      <c r="C214" s="4">
        <f t="shared" si="43"/>
        <v>134</v>
      </c>
      <c r="D214" s="8">
        <f t="shared" si="51"/>
        <v>11.166666666666666</v>
      </c>
      <c r="E214" s="23">
        <f t="shared" si="44"/>
        <v>834.02882866280947</v>
      </c>
      <c r="F214" s="24">
        <f t="shared" si="45"/>
        <v>619.70766621814209</v>
      </c>
      <c r="G214" s="25">
        <f t="shared" si="46"/>
        <v>1508.7364948809516</v>
      </c>
      <c r="H214" s="26">
        <f t="shared" si="47"/>
        <v>222.11828701011871</v>
      </c>
      <c r="I214" s="27">
        <f t="shared" si="48"/>
        <v>130260.22650909712</v>
      </c>
      <c r="K214" s="18">
        <f t="shared" si="41"/>
        <v>0.26352473116214742</v>
      </c>
      <c r="L214" s="22">
        <f t="shared" si="52"/>
        <v>1.6999999999999999E-3</v>
      </c>
      <c r="N214" s="15">
        <f t="shared" si="49"/>
        <v>1077.0370926079861</v>
      </c>
      <c r="W214" s="1">
        <f t="shared" si="42"/>
        <v>-1508.7364948809516</v>
      </c>
    </row>
    <row r="215" spans="1:23" x14ac:dyDescent="0.2">
      <c r="A215" s="7">
        <f t="shared" si="40"/>
        <v>4.8108998225725123E-3</v>
      </c>
      <c r="B215" s="4">
        <f t="shared" si="50"/>
        <v>209</v>
      </c>
      <c r="C215" s="4">
        <f t="shared" si="43"/>
        <v>133</v>
      </c>
      <c r="D215" s="8">
        <f t="shared" si="51"/>
        <v>11.083333333333334</v>
      </c>
      <c r="E215" s="23">
        <f t="shared" si="44"/>
        <v>831.49089396693864</v>
      </c>
      <c r="F215" s="24">
        <f t="shared" si="45"/>
        <v>624.72873039368517</v>
      </c>
      <c r="G215" s="25">
        <f t="shared" si="46"/>
        <v>1511.2196243606238</v>
      </c>
      <c r="H215" s="26">
        <f t="shared" si="47"/>
        <v>221.44238506546509</v>
      </c>
      <c r="I215" s="27">
        <f t="shared" si="48"/>
        <v>129856.9401637689</v>
      </c>
      <c r="K215" s="18">
        <f t="shared" si="41"/>
        <v>0.26686150631404415</v>
      </c>
      <c r="L215" s="22">
        <f t="shared" si="52"/>
        <v>1.6999999999999999E-3</v>
      </c>
      <c r="N215" s="15">
        <f t="shared" si="49"/>
        <v>1077.0370926079861</v>
      </c>
      <c r="W215" s="1">
        <f t="shared" si="42"/>
        <v>-1511.2196243606238</v>
      </c>
    </row>
    <row r="216" spans="1:23" x14ac:dyDescent="0.2">
      <c r="A216" s="7">
        <f t="shared" si="40"/>
        <v>4.8652044779034943E-3</v>
      </c>
      <c r="B216" s="4">
        <f t="shared" si="50"/>
        <v>210</v>
      </c>
      <c r="C216" s="4">
        <f t="shared" si="43"/>
        <v>132</v>
      </c>
      <c r="D216" s="8">
        <f t="shared" si="51"/>
        <v>11</v>
      </c>
      <c r="E216" s="23">
        <f t="shared" si="44"/>
        <v>828.91659379267776</v>
      </c>
      <c r="F216" s="24">
        <f t="shared" si="45"/>
        <v>629.79053400892485</v>
      </c>
      <c r="G216" s="25">
        <f t="shared" si="46"/>
        <v>1513.7071278016026</v>
      </c>
      <c r="H216" s="26">
        <f t="shared" si="47"/>
        <v>220.75679827840713</v>
      </c>
      <c r="I216" s="27">
        <f t="shared" si="48"/>
        <v>129447.90642803839</v>
      </c>
      <c r="K216" s="18">
        <f t="shared" si="41"/>
        <v>0.27021986500424844</v>
      </c>
      <c r="L216" s="22">
        <f t="shared" si="52"/>
        <v>1.6999999999999999E-3</v>
      </c>
      <c r="N216" s="15">
        <f t="shared" si="49"/>
        <v>1077.0370926079861</v>
      </c>
      <c r="W216" s="1">
        <f t="shared" si="42"/>
        <v>-1513.7071278016026</v>
      </c>
    </row>
    <row r="217" spans="1:23" x14ac:dyDescent="0.2">
      <c r="A217" s="7">
        <f t="shared" si="40"/>
        <v>4.920392788159653E-3</v>
      </c>
      <c r="B217" s="4">
        <f t="shared" si="50"/>
        <v>211</v>
      </c>
      <c r="C217" s="4">
        <f t="shared" si="43"/>
        <v>131</v>
      </c>
      <c r="D217" s="8">
        <f t="shared" si="51"/>
        <v>10.916666666666666</v>
      </c>
      <c r="E217" s="23">
        <f t="shared" si="44"/>
        <v>826.30560626640136</v>
      </c>
      <c r="F217" s="24">
        <f t="shared" si="45"/>
        <v>634.89340900685079</v>
      </c>
      <c r="G217" s="25">
        <f t="shared" si="46"/>
        <v>1516.1990152732521</v>
      </c>
      <c r="H217" s="26">
        <f t="shared" si="47"/>
        <v>220.06144092766525</v>
      </c>
      <c r="I217" s="27">
        <f t="shared" si="48"/>
        <v>129033.0744599592</v>
      </c>
      <c r="K217" s="18">
        <f t="shared" si="41"/>
        <v>0.27359994558789752</v>
      </c>
      <c r="L217" s="22">
        <f t="shared" si="52"/>
        <v>1.6999999999999999E-3</v>
      </c>
      <c r="N217" s="15">
        <f t="shared" si="49"/>
        <v>1077.0370926079861</v>
      </c>
      <c r="W217" s="1">
        <f t="shared" si="42"/>
        <v>-1516.1990152732521</v>
      </c>
    </row>
    <row r="218" spans="1:23" x14ac:dyDescent="0.2">
      <c r="A218" s="7">
        <f t="shared" si="40"/>
        <v>4.9764853538899088E-3</v>
      </c>
      <c r="B218" s="4">
        <f t="shared" si="50"/>
        <v>212</v>
      </c>
      <c r="C218" s="4">
        <f t="shared" si="43"/>
        <v>130</v>
      </c>
      <c r="D218" s="8">
        <f t="shared" si="51"/>
        <v>10.833333333333334</v>
      </c>
      <c r="E218" s="23">
        <f t="shared" si="44"/>
        <v>823.6576068484045</v>
      </c>
      <c r="F218" s="24">
        <f t="shared" si="45"/>
        <v>640.03769007564358</v>
      </c>
      <c r="G218" s="25">
        <f t="shared" si="46"/>
        <v>1518.6952969240481</v>
      </c>
      <c r="H218" s="26">
        <f t="shared" si="47"/>
        <v>219.35622658193063</v>
      </c>
      <c r="I218" s="27">
        <f t="shared" si="48"/>
        <v>128612.3929964655</v>
      </c>
      <c r="K218" s="18">
        <f t="shared" si="41"/>
        <v>0.27700188730797903</v>
      </c>
      <c r="L218" s="22">
        <f t="shared" si="52"/>
        <v>1.6999999999999999E-3</v>
      </c>
      <c r="N218" s="15">
        <f t="shared" si="49"/>
        <v>1077.0370926079861</v>
      </c>
      <c r="W218" s="1">
        <f t="shared" si="42"/>
        <v>-1518.6952969240481</v>
      </c>
    </row>
    <row r="219" spans="1:23" x14ac:dyDescent="0.2">
      <c r="A219" s="7">
        <f t="shared" si="40"/>
        <v>5.0335034190729473E-3</v>
      </c>
      <c r="B219" s="4">
        <f t="shared" si="50"/>
        <v>213</v>
      </c>
      <c r="C219" s="4">
        <f t="shared" si="43"/>
        <v>129</v>
      </c>
      <c r="D219" s="8">
        <f t="shared" si="51"/>
        <v>10.75</v>
      </c>
      <c r="E219" s="23">
        <f t="shared" si="44"/>
        <v>820.97226831084811</v>
      </c>
      <c r="F219" s="24">
        <f t="shared" si="45"/>
        <v>645.22371467279106</v>
      </c>
      <c r="G219" s="25">
        <f t="shared" si="46"/>
        <v>1521.1959829836392</v>
      </c>
      <c r="H219" s="26">
        <f t="shared" si="47"/>
        <v>218.64106809399132</v>
      </c>
      <c r="I219" s="27">
        <f t="shared" si="48"/>
        <v>128185.8103498867</v>
      </c>
      <c r="K219" s="18">
        <f t="shared" si="41"/>
        <v>0.28042583030104395</v>
      </c>
      <c r="L219" s="22">
        <f t="shared" si="52"/>
        <v>1.6999999999999999E-3</v>
      </c>
      <c r="N219" s="15">
        <f t="shared" si="49"/>
        <v>1077.0370926079861</v>
      </c>
      <c r="W219" s="1">
        <f t="shared" si="42"/>
        <v>-1521.1959829836392</v>
      </c>
    </row>
    <row r="220" spans="1:23" x14ac:dyDescent="0.2">
      <c r="A220" s="7">
        <f t="shared" si="40"/>
        <v>5.0914688964474025E-3</v>
      </c>
      <c r="B220" s="4">
        <f t="shared" si="50"/>
        <v>214</v>
      </c>
      <c r="C220" s="4">
        <f t="shared" si="43"/>
        <v>128</v>
      </c>
      <c r="D220" s="8">
        <f t="shared" si="51"/>
        <v>10.666666666666666</v>
      </c>
      <c r="E220" s="23">
        <f t="shared" si="44"/>
        <v>818.24926071551113</v>
      </c>
      <c r="F220" s="24">
        <f t="shared" si="45"/>
        <v>650.45182304947571</v>
      </c>
      <c r="G220" s="25">
        <f t="shared" si="46"/>
        <v>1523.7010837649868</v>
      </c>
      <c r="H220" s="26">
        <f t="shared" si="47"/>
        <v>217.91587759480737</v>
      </c>
      <c r="I220" s="27">
        <f t="shared" si="48"/>
        <v>127753.27440443203</v>
      </c>
      <c r="K220" s="18">
        <f t="shared" si="41"/>
        <v>0.28387191560295688</v>
      </c>
      <c r="L220" s="22">
        <f t="shared" si="52"/>
        <v>1.6999999999999999E-3</v>
      </c>
      <c r="N220" s="15">
        <f t="shared" si="49"/>
        <v>1077.0370926079861</v>
      </c>
      <c r="W220" s="1">
        <f t="shared" si="42"/>
        <v>-1523.7010837649868</v>
      </c>
    </row>
    <row r="221" spans="1:23" x14ac:dyDescent="0.2">
      <c r="A221" s="7">
        <f t="shared" si="40"/>
        <v>5.1504043940482211E-3</v>
      </c>
      <c r="B221" s="4">
        <f t="shared" si="50"/>
        <v>215</v>
      </c>
      <c r="C221" s="4">
        <f t="shared" si="43"/>
        <v>127</v>
      </c>
      <c r="D221" s="8">
        <f t="shared" si="51"/>
        <v>10.583333333333334</v>
      </c>
      <c r="E221" s="23">
        <f t="shared" si="44"/>
        <v>815.4882513913501</v>
      </c>
      <c r="F221" s="24">
        <f t="shared" si="45"/>
        <v>655.72235827523764</v>
      </c>
      <c r="G221" s="25">
        <f t="shared" si="46"/>
        <v>1526.2106096665877</v>
      </c>
      <c r="H221" s="26">
        <f t="shared" si="47"/>
        <v>217.18056648753443</v>
      </c>
      <c r="I221" s="27">
        <f t="shared" si="48"/>
        <v>127314.73261264432</v>
      </c>
      <c r="K221" s="18">
        <f t="shared" si="41"/>
        <v>0.28734028515468518</v>
      </c>
      <c r="L221" s="22">
        <f t="shared" si="52"/>
        <v>1.6999999999999999E-3</v>
      </c>
      <c r="N221" s="15">
        <f t="shared" si="49"/>
        <v>1077.0370926079861</v>
      </c>
      <c r="W221" s="1">
        <f t="shared" si="42"/>
        <v>-1526.2106096665877</v>
      </c>
    </row>
    <row r="222" spans="1:23" x14ac:dyDescent="0.2">
      <c r="A222" s="7">
        <f t="shared" si="40"/>
        <v>5.2103332430167675E-3</v>
      </c>
      <c r="B222" s="4">
        <f t="shared" si="50"/>
        <v>216</v>
      </c>
      <c r="C222" s="4">
        <f t="shared" si="43"/>
        <v>126</v>
      </c>
      <c r="D222" s="8">
        <f t="shared" si="51"/>
        <v>10.5</v>
      </c>
      <c r="E222" s="23">
        <f t="shared" si="44"/>
        <v>812.68890491186312</v>
      </c>
      <c r="F222" s="24">
        <f t="shared" si="45"/>
        <v>661.0356662629199</v>
      </c>
      <c r="G222" s="25">
        <f t="shared" si="46"/>
        <v>1528.724571174783</v>
      </c>
      <c r="H222" s="26">
        <f t="shared" si="47"/>
        <v>216.43504544149533</v>
      </c>
      <c r="I222" s="27">
        <f t="shared" si="48"/>
        <v>126870.1319918229</v>
      </c>
      <c r="K222" s="18">
        <f t="shared" si="41"/>
        <v>0.29083108180812528</v>
      </c>
      <c r="L222" s="22">
        <f t="shared" si="52"/>
        <v>1.6999999999999999E-3</v>
      </c>
      <c r="N222" s="15">
        <f t="shared" si="49"/>
        <v>1077.0370926079861</v>
      </c>
      <c r="W222" s="1">
        <f t="shared" si="42"/>
        <v>-1528.724571174783</v>
      </c>
    </row>
    <row r="223" spans="1:23" x14ac:dyDescent="0.2">
      <c r="A223" s="7">
        <f t="shared" si="40"/>
        <v>5.2712795267565457E-3</v>
      </c>
      <c r="B223" s="4">
        <f t="shared" si="50"/>
        <v>217</v>
      </c>
      <c r="C223" s="4">
        <f t="shared" si="43"/>
        <v>125</v>
      </c>
      <c r="D223" s="8">
        <f t="shared" si="51"/>
        <v>10.416666666666666</v>
      </c>
      <c r="E223" s="23">
        <f t="shared" si="44"/>
        <v>809.85088307225544</v>
      </c>
      <c r="F223" s="24">
        <f t="shared" si="45"/>
        <v>666.3920957938991</v>
      </c>
      <c r="G223" s="25">
        <f t="shared" si="46"/>
        <v>1531.2429788661545</v>
      </c>
      <c r="H223" s="26">
        <f t="shared" si="47"/>
        <v>215.67922438609892</v>
      </c>
      <c r="I223" s="27">
        <f t="shared" si="48"/>
        <v>126419.4191204151</v>
      </c>
      <c r="K223" s="18">
        <f t="shared" si="41"/>
        <v>0.29434444933196774</v>
      </c>
      <c r="L223" s="22">
        <f t="shared" si="52"/>
        <v>1.6999999999999999E-3</v>
      </c>
      <c r="N223" s="15">
        <f t="shared" si="49"/>
        <v>1077.0370926079861</v>
      </c>
      <c r="W223" s="1">
        <f t="shared" si="42"/>
        <v>-1531.2429788661545</v>
      </c>
    </row>
    <row r="224" spans="1:23" x14ac:dyDescent="0.2">
      <c r="A224" s="7">
        <f t="shared" si="40"/>
        <v>5.3332681115111922E-3</v>
      </c>
      <c r="B224" s="4">
        <f t="shared" si="50"/>
        <v>218</v>
      </c>
      <c r="C224" s="4">
        <f t="shared" si="43"/>
        <v>124</v>
      </c>
      <c r="D224" s="8">
        <f t="shared" si="51"/>
        <v>10.333333333333334</v>
      </c>
      <c r="E224" s="23">
        <f t="shared" si="44"/>
        <v>806.97384486640601</v>
      </c>
      <c r="F224" s="24">
        <f t="shared" si="45"/>
        <v>671.7919985436173</v>
      </c>
      <c r="G224" s="25">
        <f t="shared" si="46"/>
        <v>1533.7658434100233</v>
      </c>
      <c r="H224" s="26">
        <f t="shared" si="47"/>
        <v>214.91301250470565</v>
      </c>
      <c r="I224" s="27">
        <f t="shared" si="48"/>
        <v>125962.54013437619</v>
      </c>
      <c r="K224" s="18">
        <f t="shared" si="41"/>
        <v>0.29788053241760298</v>
      </c>
      <c r="L224" s="22">
        <f t="shared" si="52"/>
        <v>1.6999999999999999E-3</v>
      </c>
      <c r="N224" s="15">
        <f t="shared" si="49"/>
        <v>1077.0370926079861</v>
      </c>
      <c r="W224" s="1">
        <f t="shared" si="42"/>
        <v>-1533.7658434100233</v>
      </c>
    </row>
    <row r="225" spans="1:23" x14ac:dyDescent="0.2">
      <c r="A225" s="7">
        <f t="shared" si="40"/>
        <v>5.396324678446216E-3</v>
      </c>
      <c r="B225" s="4">
        <f t="shared" si="50"/>
        <v>219</v>
      </c>
      <c r="C225" s="4">
        <f t="shared" si="43"/>
        <v>123</v>
      </c>
      <c r="D225" s="8">
        <f t="shared" si="51"/>
        <v>10.25</v>
      </c>
      <c r="E225" s="23">
        <f t="shared" si="44"/>
        <v>804.05744646363132</v>
      </c>
      <c r="F225" s="24">
        <f t="shared" si="45"/>
        <v>677.23572910740609</v>
      </c>
      <c r="G225" s="25">
        <f t="shared" si="46"/>
        <v>1536.2931755710374</v>
      </c>
      <c r="H225" s="26">
        <f t="shared" si="47"/>
        <v>214.13631822843951</v>
      </c>
      <c r="I225" s="27">
        <f t="shared" si="48"/>
        <v>125499.44072349723</v>
      </c>
      <c r="K225" s="18">
        <f t="shared" si="41"/>
        <v>0.30143947668506266</v>
      </c>
      <c r="L225" s="22">
        <f t="shared" si="52"/>
        <v>1.6999999999999999E-3</v>
      </c>
      <c r="N225" s="15">
        <f t="shared" si="49"/>
        <v>1077.0370926079861</v>
      </c>
      <c r="W225" s="1">
        <f t="shared" si="42"/>
        <v>-1536.2931755710374</v>
      </c>
    </row>
    <row r="226" spans="1:23" x14ac:dyDescent="0.2">
      <c r="A226" s="7">
        <f t="shared" si="40"/>
        <v>5.4604757573216266E-3</v>
      </c>
      <c r="B226" s="4">
        <f t="shared" si="50"/>
        <v>220</v>
      </c>
      <c r="C226" s="4">
        <f t="shared" si="43"/>
        <v>122</v>
      </c>
      <c r="D226" s="8">
        <f t="shared" si="51"/>
        <v>10.166666666666666</v>
      </c>
      <c r="E226" s="23">
        <f t="shared" si="44"/>
        <v>801.10134118524525</v>
      </c>
      <c r="F226" s="24">
        <f t="shared" si="45"/>
        <v>682.72364502662867</v>
      </c>
      <c r="G226" s="25">
        <f t="shared" si="46"/>
        <v>1538.8249862118739</v>
      </c>
      <c r="H226" s="26">
        <f t="shared" si="47"/>
        <v>213.34904922994528</v>
      </c>
      <c r="I226" s="27">
        <f t="shared" si="48"/>
        <v>125030.06612770054</v>
      </c>
      <c r="K226" s="18">
        <f t="shared" si="41"/>
        <v>0.30502142868900445</v>
      </c>
      <c r="L226" s="22">
        <f t="shared" si="52"/>
        <v>1.6999999999999999E-3</v>
      </c>
      <c r="N226" s="15">
        <f t="shared" si="49"/>
        <v>1077.0370926079861</v>
      </c>
      <c r="W226" s="1">
        <f t="shared" si="42"/>
        <v>-1538.8249862118739</v>
      </c>
    </row>
    <row r="227" spans="1:23" x14ac:dyDescent="0.2">
      <c r="A227" s="7">
        <f t="shared" si="40"/>
        <v>5.5257487618481371E-3</v>
      </c>
      <c r="B227" s="4">
        <f t="shared" si="50"/>
        <v>221</v>
      </c>
      <c r="C227" s="4">
        <f t="shared" si="43"/>
        <v>121</v>
      </c>
      <c r="D227" s="8">
        <f t="shared" si="51"/>
        <v>10.083333333333334</v>
      </c>
      <c r="E227" s="23">
        <f t="shared" si="44"/>
        <v>798.10517948091172</v>
      </c>
      <c r="F227" s="24">
        <f t="shared" si="45"/>
        <v>688.25610681513206</v>
      </c>
      <c r="G227" s="25">
        <f t="shared" si="46"/>
        <v>1541.3612862960438</v>
      </c>
      <c r="H227" s="26">
        <f t="shared" si="47"/>
        <v>212.55111241709091</v>
      </c>
      <c r="I227" s="27">
        <f t="shared" si="48"/>
        <v>124554.3611333025</v>
      </c>
      <c r="K227" s="18">
        <f t="shared" si="41"/>
        <v>0.30862653592473466</v>
      </c>
      <c r="L227" s="22">
        <f t="shared" si="52"/>
        <v>1.6999999999999999E-3</v>
      </c>
      <c r="N227" s="15">
        <f t="shared" si="49"/>
        <v>1077.0370926079861</v>
      </c>
      <c r="W227" s="1">
        <f t="shared" si="42"/>
        <v>-1541.3612862960438</v>
      </c>
    </row>
    <row r="228" spans="1:23" x14ac:dyDescent="0.2">
      <c r="A228" s="7">
        <f t="shared" si="40"/>
        <v>5.5921720268260235E-3</v>
      </c>
      <c r="B228" s="4">
        <f t="shared" si="50"/>
        <v>222</v>
      </c>
      <c r="C228" s="4">
        <f t="shared" si="43"/>
        <v>120</v>
      </c>
      <c r="D228" s="8">
        <f t="shared" si="51"/>
        <v>10</v>
      </c>
      <c r="E228" s="23">
        <f t="shared" si="44"/>
        <v>795.06860890478936</v>
      </c>
      <c r="F228" s="24">
        <f t="shared" si="45"/>
        <v>693.83347798602483</v>
      </c>
      <c r="G228" s="25">
        <f t="shared" si="46"/>
        <v>1543.9020868908142</v>
      </c>
      <c r="H228" s="26">
        <f t="shared" si="47"/>
        <v>211.74241392661423</v>
      </c>
      <c r="I228" s="27">
        <f t="shared" si="48"/>
        <v>124072.27006924308</v>
      </c>
      <c r="K228" s="18">
        <f t="shared" si="41"/>
        <v>0.31225494683427057</v>
      </c>
      <c r="L228" s="22">
        <f t="shared" si="52"/>
        <v>1.6999999999999999E-3</v>
      </c>
      <c r="N228" s="15">
        <f t="shared" si="49"/>
        <v>1077.0370926079861</v>
      </c>
      <c r="W228" s="1">
        <f t="shared" si="42"/>
        <v>-1543.9020868908142</v>
      </c>
    </row>
    <row r="229" spans="1:23" x14ac:dyDescent="0.2">
      <c r="A229" s="7">
        <f t="shared" si="40"/>
        <v>5.6597748471723924E-3</v>
      </c>
      <c r="B229" s="4">
        <f t="shared" si="50"/>
        <v>223</v>
      </c>
      <c r="C229" s="4">
        <f t="shared" si="43"/>
        <v>119</v>
      </c>
      <c r="D229" s="8">
        <f t="shared" si="51"/>
        <v>9.9166666666666661</v>
      </c>
      <c r="E229" s="23">
        <f t="shared" si="44"/>
        <v>791.99127409146286</v>
      </c>
      <c r="F229" s="24">
        <f t="shared" si="45"/>
        <v>699.45612507878855</v>
      </c>
      <c r="G229" s="25">
        <f t="shared" si="46"/>
        <v>1546.4473991702514</v>
      </c>
      <c r="H229" s="26">
        <f t="shared" si="47"/>
        <v>210.92285911771322</v>
      </c>
      <c r="I229" s="27">
        <f t="shared" si="48"/>
        <v>123583.73680328199</v>
      </c>
      <c r="K229" s="18">
        <f t="shared" si="41"/>
        <v>0.31590681081244576</v>
      </c>
      <c r="L229" s="22">
        <f t="shared" si="52"/>
        <v>1.6999999999999999E-3</v>
      </c>
      <c r="N229" s="15">
        <f t="shared" si="49"/>
        <v>1077.0370926079861</v>
      </c>
      <c r="W229" s="1">
        <f t="shared" si="42"/>
        <v>-1546.4473991702514</v>
      </c>
    </row>
    <row r="230" spans="1:23" x14ac:dyDescent="0.2">
      <c r="A230" s="7">
        <f t="shared" si="40"/>
        <v>5.7285875189498027E-3</v>
      </c>
      <c r="B230" s="4">
        <f t="shared" si="50"/>
        <v>224</v>
      </c>
      <c r="C230" s="4">
        <f t="shared" si="43"/>
        <v>118</v>
      </c>
      <c r="D230" s="8">
        <f t="shared" si="51"/>
        <v>9.8333333333333339</v>
      </c>
      <c r="E230" s="23">
        <f t="shared" si="44"/>
        <v>788.87281673166228</v>
      </c>
      <c r="F230" s="24">
        <f t="shared" si="45"/>
        <v>705.12441768672568</v>
      </c>
      <c r="G230" s="25">
        <f t="shared" si="46"/>
        <v>1548.997234418388</v>
      </c>
      <c r="H230" s="26">
        <f t="shared" si="47"/>
        <v>210.09235256557938</v>
      </c>
      <c r="I230" s="27">
        <f t="shared" si="48"/>
        <v>123088.70473816086</v>
      </c>
      <c r="K230" s="18">
        <f t="shared" si="41"/>
        <v>0.31958227821305257</v>
      </c>
      <c r="L230" s="22">
        <f t="shared" si="52"/>
        <v>1.6999999999999999E-3</v>
      </c>
      <c r="N230" s="15">
        <f t="shared" si="49"/>
        <v>1077.0370926079861</v>
      </c>
      <c r="W230" s="1">
        <f t="shared" si="42"/>
        <v>-1548.997234418388</v>
      </c>
    </row>
    <row r="231" spans="1:23" x14ac:dyDescent="0.2">
      <c r="A231" s="7">
        <f t="shared" si="40"/>
        <v>5.7986413825170703E-3</v>
      </c>
      <c r="B231" s="4">
        <f t="shared" si="50"/>
        <v>225</v>
      </c>
      <c r="C231" s="4">
        <f t="shared" si="43"/>
        <v>117</v>
      </c>
      <c r="D231" s="8">
        <f t="shared" si="51"/>
        <v>9.75</v>
      </c>
      <c r="E231" s="23">
        <f t="shared" si="44"/>
        <v>785.71287554776518</v>
      </c>
      <c r="F231" s="24">
        <f t="shared" si="45"/>
        <v>710.83872848476267</v>
      </c>
      <c r="G231" s="25">
        <f t="shared" si="46"/>
        <v>1551.5516040325278</v>
      </c>
      <c r="H231" s="26">
        <f t="shared" si="47"/>
        <v>209.25079805487346</v>
      </c>
      <c r="I231" s="27">
        <f t="shared" si="48"/>
        <v>122587.11680773097</v>
      </c>
      <c r="K231" s="18">
        <f t="shared" si="41"/>
        <v>0.32328150035503012</v>
      </c>
      <c r="L231" s="22">
        <f t="shared" si="52"/>
        <v>1.6999999999999999E-3</v>
      </c>
      <c r="N231" s="15">
        <f t="shared" si="49"/>
        <v>1077.0370926079861</v>
      </c>
      <c r="W231" s="1">
        <f t="shared" si="42"/>
        <v>-1551.5516040325278</v>
      </c>
    </row>
    <row r="232" spans="1:23" x14ac:dyDescent="0.2">
      <c r="A232" s="7">
        <f t="shared" si="40"/>
        <v>5.8699688679313654E-3</v>
      </c>
      <c r="B232" s="4">
        <f t="shared" si="50"/>
        <v>226</v>
      </c>
      <c r="C232" s="4">
        <f t="shared" si="43"/>
        <v>116</v>
      </c>
      <c r="D232" s="8">
        <f t="shared" si="51"/>
        <v>9.6666666666666661</v>
      </c>
      <c r="E232" s="23">
        <f t="shared" si="44"/>
        <v>782.51108626907808</v>
      </c>
      <c r="F232" s="24">
        <f t="shared" si="45"/>
        <v>716.59943325760764</v>
      </c>
      <c r="G232" s="25">
        <f t="shared" si="46"/>
        <v>1554.1105195266857</v>
      </c>
      <c r="H232" s="26">
        <f t="shared" si="47"/>
        <v>208.39809857314265</v>
      </c>
      <c r="I232" s="27">
        <f t="shared" si="48"/>
        <v>122078.91547304651</v>
      </c>
      <c r="K232" s="18">
        <f t="shared" si="41"/>
        <v>0.32700462952869075</v>
      </c>
      <c r="L232" s="22">
        <f t="shared" si="52"/>
        <v>1.6999999999999999E-3</v>
      </c>
      <c r="N232" s="15">
        <f t="shared" si="49"/>
        <v>1077.0370926079861</v>
      </c>
      <c r="W232" s="1">
        <f t="shared" si="42"/>
        <v>-1554.1105195266857</v>
      </c>
    </row>
    <row r="233" spans="1:23" x14ac:dyDescent="0.2">
      <c r="A233" s="7">
        <f t="shared" si="40"/>
        <v>5.9426035427398698E-3</v>
      </c>
      <c r="B233" s="4">
        <f t="shared" si="50"/>
        <v>227</v>
      </c>
      <c r="C233" s="4">
        <f t="shared" si="43"/>
        <v>115</v>
      </c>
      <c r="D233" s="8">
        <f t="shared" si="51"/>
        <v>9.5833333333333339</v>
      </c>
      <c r="E233" s="23">
        <f t="shared" si="44"/>
        <v>779.2670816068993</v>
      </c>
      <c r="F233" s="24">
        <f t="shared" si="45"/>
        <v>722.40691092827785</v>
      </c>
      <c r="G233" s="25">
        <f t="shared" si="46"/>
        <v>1556.6739925351771</v>
      </c>
      <c r="H233" s="26">
        <f t="shared" si="47"/>
        <v>207.53415630417905</v>
      </c>
      <c r="I233" s="27">
        <f t="shared" si="48"/>
        <v>121564.04271842241</v>
      </c>
      <c r="K233" s="18">
        <f t="shared" si="41"/>
        <v>0.33075181900198919</v>
      </c>
      <c r="L233" s="22">
        <f t="shared" si="52"/>
        <v>1.6999999999999999E-3</v>
      </c>
      <c r="N233" s="15">
        <f t="shared" si="49"/>
        <v>1077.0370926079861</v>
      </c>
      <c r="W233" s="1">
        <f t="shared" si="42"/>
        <v>-1556.6739925351771</v>
      </c>
    </row>
    <row r="234" spans="1:23" x14ac:dyDescent="0.2">
      <c r="A234" s="7">
        <f t="shared" si="40"/>
        <v>6.01658016230904E-3</v>
      </c>
      <c r="B234" s="4">
        <f t="shared" si="50"/>
        <v>228</v>
      </c>
      <c r="C234" s="4">
        <f t="shared" si="43"/>
        <v>114</v>
      </c>
      <c r="D234" s="8">
        <f t="shared" si="51"/>
        <v>9.5</v>
      </c>
      <c r="E234" s="23">
        <f t="shared" si="44"/>
        <v>775.98049122935447</v>
      </c>
      <c r="F234" s="24">
        <f t="shared" si="45"/>
        <v>728.26154358700944</v>
      </c>
      <c r="G234" s="25">
        <f t="shared" si="46"/>
        <v>1559.2420348163639</v>
      </c>
      <c r="H234" s="26">
        <f t="shared" si="47"/>
        <v>206.6588726213181</v>
      </c>
      <c r="I234" s="27">
        <f t="shared" si="48"/>
        <v>121042.44004745672</v>
      </c>
      <c r="K234" s="18">
        <f t="shared" si="41"/>
        <v>0.33452322302683551</v>
      </c>
      <c r="L234" s="22">
        <f t="shared" si="52"/>
        <v>1.6999999999999999E-3</v>
      </c>
      <c r="N234" s="15">
        <f t="shared" si="49"/>
        <v>1077.0370926079861</v>
      </c>
      <c r="W234" s="1">
        <f t="shared" si="42"/>
        <v>-1559.2420348163639</v>
      </c>
    </row>
    <row r="235" spans="1:23" x14ac:dyDescent="0.2">
      <c r="A235" s="7">
        <f t="shared" si="40"/>
        <v>6.0919347228500214E-3</v>
      </c>
      <c r="B235" s="4">
        <f t="shared" si="50"/>
        <v>229</v>
      </c>
      <c r="C235" s="4">
        <f t="shared" si="43"/>
        <v>113</v>
      </c>
      <c r="D235" s="8">
        <f t="shared" si="51"/>
        <v>9.4166666666666661</v>
      </c>
      <c r="E235" s="23">
        <f t="shared" si="44"/>
        <v>772.65094173600619</v>
      </c>
      <c r="F235" s="24">
        <f t="shared" si="45"/>
        <v>734.16371652055363</v>
      </c>
      <c r="G235" s="25">
        <f t="shared" si="46"/>
        <v>1561.8146582565598</v>
      </c>
      <c r="H235" s="26">
        <f t="shared" si="47"/>
        <v>205.77214808067643</v>
      </c>
      <c r="I235" s="27">
        <f t="shared" si="48"/>
        <v>120514.04847901686</v>
      </c>
      <c r="K235" s="18">
        <f t="shared" si="41"/>
        <v>0.33831899684544908</v>
      </c>
      <c r="L235" s="22">
        <f t="shared" si="52"/>
        <v>1.6999999999999999E-3</v>
      </c>
      <c r="N235" s="15">
        <f t="shared" si="49"/>
        <v>1077.0370926079861</v>
      </c>
      <c r="W235" s="1">
        <f t="shared" si="42"/>
        <v>-1561.8146582565598</v>
      </c>
    </row>
    <row r="236" spans="1:23" x14ac:dyDescent="0.2">
      <c r="A236" s="7">
        <f t="shared" si="40"/>
        <v>6.1687045173102802E-3</v>
      </c>
      <c r="B236" s="4">
        <f t="shared" si="50"/>
        <v>230</v>
      </c>
      <c r="C236" s="4">
        <f t="shared" si="43"/>
        <v>112</v>
      </c>
      <c r="D236" s="8">
        <f t="shared" si="51"/>
        <v>9.3333333333333339</v>
      </c>
      <c r="E236" s="23">
        <f t="shared" si="44"/>
        <v>769.27805663223296</v>
      </c>
      <c r="F236" s="24">
        <f t="shared" si="45"/>
        <v>740.11381824187708</v>
      </c>
      <c r="G236" s="25">
        <f t="shared" si="46"/>
        <v>1564.39187487411</v>
      </c>
      <c r="H236" s="26">
        <f t="shared" si="47"/>
        <v>204.87388241432865</v>
      </c>
      <c r="I236" s="27">
        <f t="shared" si="48"/>
        <v>119978.8085431893</v>
      </c>
      <c r="K236" s="18">
        <f t="shared" si="41"/>
        <v>0.34213929669675652</v>
      </c>
      <c r="L236" s="22">
        <f t="shared" si="52"/>
        <v>1.6999999999999999E-3</v>
      </c>
      <c r="N236" s="15">
        <f t="shared" si="49"/>
        <v>1077.0370926079861</v>
      </c>
      <c r="W236" s="1">
        <f t="shared" si="42"/>
        <v>-1564.39187487411</v>
      </c>
    </row>
    <row r="237" spans="1:23" x14ac:dyDescent="0.2">
      <c r="A237" s="7">
        <f t="shared" si="40"/>
        <v>6.2469281943138286E-3</v>
      </c>
      <c r="B237" s="4">
        <f t="shared" si="50"/>
        <v>231</v>
      </c>
      <c r="C237" s="4">
        <f t="shared" si="43"/>
        <v>111</v>
      </c>
      <c r="D237" s="8">
        <f t="shared" si="51"/>
        <v>9.25</v>
      </c>
      <c r="E237" s="23">
        <f t="shared" si="44"/>
        <v>765.86145630337523</v>
      </c>
      <c r="F237" s="24">
        <f t="shared" si="45"/>
        <v>746.11224052027592</v>
      </c>
      <c r="G237" s="25">
        <f t="shared" si="46"/>
        <v>1566.9736968236512</v>
      </c>
      <c r="H237" s="26">
        <f t="shared" si="47"/>
        <v>203.9639745234218</v>
      </c>
      <c r="I237" s="27">
        <f t="shared" si="48"/>
        <v>119436.66027719244</v>
      </c>
      <c r="K237" s="18">
        <f t="shared" si="41"/>
        <v>0.34598427982283358</v>
      </c>
      <c r="L237" s="22">
        <f t="shared" si="52"/>
        <v>1.6999999999999999E-3</v>
      </c>
      <c r="N237" s="15">
        <f t="shared" si="49"/>
        <v>1077.0370926079861</v>
      </c>
      <c r="W237" s="1">
        <f t="shared" si="42"/>
        <v>-1566.9736968236512</v>
      </c>
    </row>
    <row r="238" spans="1:23" x14ac:dyDescent="0.2">
      <c r="A238" s="7">
        <f t="shared" si="40"/>
        <v>6.32664582034583E-3</v>
      </c>
      <c r="B238" s="4">
        <f t="shared" si="50"/>
        <v>232</v>
      </c>
      <c r="C238" s="4">
        <f t="shared" si="43"/>
        <v>110</v>
      </c>
      <c r="D238" s="8">
        <f t="shared" si="51"/>
        <v>9.1666666666666661</v>
      </c>
      <c r="E238" s="23">
        <f t="shared" si="44"/>
        <v>762.40075798864541</v>
      </c>
      <c r="F238" s="24">
        <f t="shared" si="45"/>
        <v>752.15937841191658</v>
      </c>
      <c r="G238" s="25">
        <f t="shared" si="46"/>
        <v>1569.560136400562</v>
      </c>
      <c r="H238" s="26">
        <f t="shared" si="47"/>
        <v>203.04232247122712</v>
      </c>
      <c r="I238" s="27">
        <f t="shared" si="48"/>
        <v>118887.54322125175</v>
      </c>
      <c r="K238" s="18">
        <f t="shared" si="41"/>
        <v>0.34985410447538989</v>
      </c>
      <c r="L238" s="22">
        <f t="shared" si="52"/>
        <v>1.6999999999999999E-3</v>
      </c>
      <c r="N238" s="15">
        <f t="shared" si="49"/>
        <v>1077.0370926079861</v>
      </c>
      <c r="W238" s="1">
        <f t="shared" si="42"/>
        <v>-1569.560136400562</v>
      </c>
    </row>
    <row r="239" spans="1:23" x14ac:dyDescent="0.2">
      <c r="A239" s="7">
        <f t="shared" si="40"/>
        <v>6.4078989453918572E-3</v>
      </c>
      <c r="B239" s="4">
        <f t="shared" si="50"/>
        <v>233</v>
      </c>
      <c r="C239" s="4">
        <f t="shared" si="43"/>
        <v>109</v>
      </c>
      <c r="D239" s="8">
        <f t="shared" si="51"/>
        <v>9.0833333333333339</v>
      </c>
      <c r="E239" s="23">
        <f t="shared" si="44"/>
        <v>758.89557575479807</v>
      </c>
      <c r="F239" s="24">
        <f t="shared" si="45"/>
        <v>758.25563029081695</v>
      </c>
      <c r="G239" s="25">
        <f t="shared" si="46"/>
        <v>1572.151206045615</v>
      </c>
      <c r="H239" s="26">
        <f t="shared" si="47"/>
        <v>202.10882347612795</v>
      </c>
      <c r="I239" s="27">
        <f t="shared" si="48"/>
        <v>118331.39641443705</v>
      </c>
      <c r="K239" s="18">
        <f t="shared" si="41"/>
        <v>0.3537489299222995</v>
      </c>
      <c r="L239" s="22">
        <f t="shared" si="52"/>
        <v>1.6999999999999999E-3</v>
      </c>
      <c r="N239" s="15">
        <f t="shared" si="49"/>
        <v>1077.0370926079861</v>
      </c>
      <c r="W239" s="1">
        <f t="shared" si="42"/>
        <v>-1572.151206045615</v>
      </c>
    </row>
    <row r="240" spans="1:23" x14ac:dyDescent="0.2">
      <c r="A240" s="7">
        <f t="shared" si="40"/>
        <v>6.4907306722578077E-3</v>
      </c>
      <c r="B240" s="4">
        <f t="shared" si="50"/>
        <v>234</v>
      </c>
      <c r="C240" s="4">
        <f t="shared" si="43"/>
        <v>108</v>
      </c>
      <c r="D240" s="8">
        <f t="shared" si="51"/>
        <v>9</v>
      </c>
      <c r="E240" s="23">
        <f t="shared" si="44"/>
        <v>755.34552046955787</v>
      </c>
      <c r="F240" s="24">
        <f t="shared" si="45"/>
        <v>764.40139788028296</v>
      </c>
      <c r="G240" s="25">
        <f t="shared" si="46"/>
        <v>1574.7469183498408</v>
      </c>
      <c r="H240" s="26">
        <f t="shared" si="47"/>
        <v>201.16337390454299</v>
      </c>
      <c r="I240" s="27">
        <f t="shared" si="48"/>
        <v>117768.15839046132</v>
      </c>
      <c r="K240" s="18">
        <f t="shared" si="41"/>
        <v>0.35766891645417576</v>
      </c>
      <c r="L240" s="22">
        <f t="shared" si="52"/>
        <v>1.6999999999999999E-3</v>
      </c>
      <c r="N240" s="15">
        <f t="shared" si="49"/>
        <v>1077.0370926079861</v>
      </c>
      <c r="W240" s="1">
        <f t="shared" si="42"/>
        <v>-1574.7469183498408</v>
      </c>
    </row>
    <row r="241" spans="1:23" x14ac:dyDescent="0.2">
      <c r="A241" s="7">
        <f t="shared" si="40"/>
        <v>6.5751857298135341E-3</v>
      </c>
      <c r="B241" s="4">
        <f t="shared" si="50"/>
        <v>235</v>
      </c>
      <c r="C241" s="4">
        <f t="shared" si="43"/>
        <v>107</v>
      </c>
      <c r="D241" s="8">
        <f t="shared" si="51"/>
        <v>8.9166666666666661</v>
      </c>
      <c r="E241" s="23">
        <f t="shared" si="44"/>
        <v>751.7501997748019</v>
      </c>
      <c r="F241" s="24">
        <f t="shared" si="45"/>
        <v>770.5970862848136</v>
      </c>
      <c r="G241" s="25">
        <f t="shared" si="46"/>
        <v>1577.3472860596155</v>
      </c>
      <c r="H241" s="26">
        <f t="shared" si="47"/>
        <v>200.20586926378422</v>
      </c>
      <c r="I241" s="27">
        <f t="shared" si="48"/>
        <v>117197.76717344028</v>
      </c>
      <c r="K241" s="18">
        <f t="shared" si="41"/>
        <v>0.36161422539099081</v>
      </c>
      <c r="L241" s="22">
        <f t="shared" si="52"/>
        <v>1.6999999999999999E-3</v>
      </c>
      <c r="N241" s="15">
        <f t="shared" si="49"/>
        <v>1077.0370926079861</v>
      </c>
      <c r="W241" s="1">
        <f t="shared" si="42"/>
        <v>-1577.3472860596155</v>
      </c>
    </row>
    <row r="242" spans="1:23" x14ac:dyDescent="0.2">
      <c r="A242" s="7">
        <f t="shared" si="40"/>
        <v>6.6613105504217717E-3</v>
      </c>
      <c r="B242" s="4">
        <f t="shared" si="50"/>
        <v>236</v>
      </c>
      <c r="C242" s="4">
        <f t="shared" si="43"/>
        <v>106</v>
      </c>
      <c r="D242" s="8">
        <f t="shared" si="51"/>
        <v>8.8333333333333339</v>
      </c>
      <c r="E242" s="23">
        <f t="shared" si="44"/>
        <v>748.10921805949226</v>
      </c>
      <c r="F242" s="24">
        <f t="shared" si="45"/>
        <v>776.84310402249378</v>
      </c>
      <c r="G242" s="25">
        <f t="shared" si="46"/>
        <v>1579.952322081986</v>
      </c>
      <c r="H242" s="26">
        <f t="shared" si="47"/>
        <v>199.23620419484848</v>
      </c>
      <c r="I242" s="27">
        <f t="shared" si="48"/>
        <v>116620.16027361264</v>
      </c>
      <c r="K242" s="18">
        <f t="shared" si="41"/>
        <v>0.36558501908874214</v>
      </c>
      <c r="L242" s="22">
        <f t="shared" si="52"/>
        <v>1.6999999999999999E-3</v>
      </c>
      <c r="N242" s="15">
        <f t="shared" si="49"/>
        <v>1077.0370926079861</v>
      </c>
      <c r="W242" s="1">
        <f t="shared" si="42"/>
        <v>-1579.952322081986</v>
      </c>
    </row>
    <row r="243" spans="1:23" x14ac:dyDescent="0.2">
      <c r="A243" s="7">
        <f t="shared" si="40"/>
        <v>6.7491533518340644E-3</v>
      </c>
      <c r="B243" s="4">
        <f t="shared" si="50"/>
        <v>237</v>
      </c>
      <c r="C243" s="4">
        <f t="shared" si="43"/>
        <v>105</v>
      </c>
      <c r="D243" s="8">
        <f t="shared" si="51"/>
        <v>8.75</v>
      </c>
      <c r="E243" s="23">
        <f t="shared" si="44"/>
        <v>744.42217643235665</v>
      </c>
      <c r="F243" s="24">
        <f t="shared" si="45"/>
        <v>783.13986305789001</v>
      </c>
      <c r="G243" s="25">
        <f t="shared" si="46"/>
        <v>1582.5620394902467</v>
      </c>
      <c r="H243" s="26">
        <f t="shared" si="47"/>
        <v>198.25427246514147</v>
      </c>
      <c r="I243" s="27">
        <f t="shared" si="48"/>
        <v>116035.27468301989</v>
      </c>
      <c r="K243" s="18">
        <f t="shared" si="41"/>
        <v>0.3695814609461654</v>
      </c>
      <c r="L243" s="22">
        <f t="shared" si="52"/>
        <v>1.6999999999999999E-3</v>
      </c>
      <c r="N243" s="15">
        <f t="shared" si="49"/>
        <v>1077.0370926079861</v>
      </c>
      <c r="W243" s="1">
        <f t="shared" si="42"/>
        <v>-1582.5620394902467</v>
      </c>
    </row>
    <row r="244" spans="1:23" x14ac:dyDescent="0.2">
      <c r="A244" s="7">
        <f t="shared" si="40"/>
        <v>6.8387642238572363E-3</v>
      </c>
      <c r="B244" s="4">
        <f t="shared" si="50"/>
        <v>238</v>
      </c>
      <c r="C244" s="4">
        <f t="shared" si="43"/>
        <v>104</v>
      </c>
      <c r="D244" s="8">
        <f t="shared" si="51"/>
        <v>8.6666666666666661</v>
      </c>
      <c r="E244" s="23">
        <f t="shared" si="44"/>
        <v>740.68867269431132</v>
      </c>
      <c r="F244" s="24">
        <f t="shared" si="45"/>
        <v>789.48777883546438</v>
      </c>
      <c r="G244" s="25">
        <f t="shared" si="46"/>
        <v>1585.1764515297757</v>
      </c>
      <c r="H244" s="26">
        <f t="shared" si="47"/>
        <v>197.25996696113381</v>
      </c>
      <c r="I244" s="27">
        <f t="shared" si="48"/>
        <v>115443.04687114556</v>
      </c>
      <c r="K244" s="18">
        <f t="shared" si="41"/>
        <v>0.37360371541149295</v>
      </c>
      <c r="L244" s="22">
        <f t="shared" si="52"/>
        <v>1.6999999999999999E-3</v>
      </c>
      <c r="N244" s="15">
        <f t="shared" si="49"/>
        <v>1077.0370926079861</v>
      </c>
      <c r="W244" s="1">
        <f t="shared" si="42"/>
        <v>-1585.1764515297757</v>
      </c>
    </row>
    <row r="245" spans="1:23" x14ac:dyDescent="0.2">
      <c r="A245" s="7">
        <f t="shared" si="40"/>
        <v>6.9301952201178407E-3</v>
      </c>
      <c r="B245" s="4">
        <f t="shared" si="50"/>
        <v>239</v>
      </c>
      <c r="C245" s="4">
        <f t="shared" si="43"/>
        <v>103</v>
      </c>
      <c r="D245" s="8">
        <f t="shared" si="51"/>
        <v>8.5833333333333339</v>
      </c>
      <c r="E245" s="23">
        <f t="shared" si="44"/>
        <v>736.90830131062512</v>
      </c>
      <c r="F245" s="24">
        <f t="shared" si="45"/>
        <v>795.88727031353119</v>
      </c>
      <c r="G245" s="25">
        <f t="shared" si="46"/>
        <v>1587.7955716241563</v>
      </c>
      <c r="H245" s="26">
        <f t="shared" si="47"/>
        <v>196.25317968094745</v>
      </c>
      <c r="I245" s="27">
        <f t="shared" si="48"/>
        <v>114843.41278051298</v>
      </c>
      <c r="K245" s="18">
        <f t="shared" si="41"/>
        <v>0.37765194798926033</v>
      </c>
      <c r="L245" s="22">
        <f t="shared" si="52"/>
        <v>1.6999999999999999E-3</v>
      </c>
      <c r="N245" s="15">
        <f t="shared" si="49"/>
        <v>1077.0370926079861</v>
      </c>
      <c r="W245" s="1">
        <f t="shared" si="42"/>
        <v>-1587.7955716241563</v>
      </c>
    </row>
    <row r="246" spans="1:23" x14ac:dyDescent="0.2">
      <c r="A246" s="7">
        <f t="shared" si="40"/>
        <v>7.0235004552778773E-3</v>
      </c>
      <c r="B246" s="4">
        <f t="shared" si="50"/>
        <v>240</v>
      </c>
      <c r="C246" s="4">
        <f t="shared" si="43"/>
        <v>102</v>
      </c>
      <c r="D246" s="8">
        <f t="shared" si="51"/>
        <v>8.5</v>
      </c>
      <c r="E246" s="23">
        <f t="shared" si="44"/>
        <v>733.0806533828187</v>
      </c>
      <c r="F246" s="24">
        <f t="shared" si="45"/>
        <v>802.33875999877398</v>
      </c>
      <c r="G246" s="25">
        <f t="shared" si="46"/>
        <v>1590.4194133815927</v>
      </c>
      <c r="H246" s="26">
        <f t="shared" si="47"/>
        <v>195.23380172687206</v>
      </c>
      <c r="I246" s="27">
        <f t="shared" si="48"/>
        <v>114236.30782224108</v>
      </c>
      <c r="K246" s="18">
        <f t="shared" si="41"/>
        <v>0.38172632524716171</v>
      </c>
      <c r="L246" s="22">
        <f t="shared" si="52"/>
        <v>1.6999999999999999E-3</v>
      </c>
      <c r="N246" s="15">
        <f t="shared" si="49"/>
        <v>1077.0370926079861</v>
      </c>
      <c r="W246" s="1">
        <f t="shared" si="42"/>
        <v>-1590.4194133815927</v>
      </c>
    </row>
    <row r="247" spans="1:23" x14ac:dyDescent="0.2">
      <c r="A247" s="7">
        <f t="shared" si="40"/>
        <v>7.1187362080833488E-3</v>
      </c>
      <c r="B247" s="4">
        <f t="shared" si="50"/>
        <v>241</v>
      </c>
      <c r="C247" s="4">
        <f t="shared" si="43"/>
        <v>101</v>
      </c>
      <c r="D247" s="8">
        <f t="shared" si="51"/>
        <v>8.4166666666666661</v>
      </c>
      <c r="E247" s="23">
        <f t="shared" si="44"/>
        <v>729.20531662029589</v>
      </c>
      <c r="F247" s="24">
        <f t="shared" si="45"/>
        <v>808.84267398134102</v>
      </c>
      <c r="G247" s="25">
        <f t="shared" si="46"/>
        <v>1593.0479906016369</v>
      </c>
      <c r="H247" s="26">
        <f t="shared" si="47"/>
        <v>194.20172329780982</v>
      </c>
      <c r="I247" s="27">
        <f t="shared" si="48"/>
        <v>113621.66687155755</v>
      </c>
      <c r="K247" s="18">
        <f t="shared" si="41"/>
        <v>0.38582701482295167</v>
      </c>
      <c r="L247" s="22">
        <f t="shared" si="52"/>
        <v>1.6999999999999999E-3</v>
      </c>
      <c r="N247" s="15">
        <f t="shared" si="49"/>
        <v>1077.0370926079861</v>
      </c>
      <c r="W247" s="1">
        <f t="shared" si="42"/>
        <v>-1593.0479906016369</v>
      </c>
    </row>
    <row r="248" spans="1:23" x14ac:dyDescent="0.2">
      <c r="A248" s="7">
        <f t="shared" si="40"/>
        <v>7.2159610306581287E-3</v>
      </c>
      <c r="B248" s="4">
        <f t="shared" si="50"/>
        <v>242</v>
      </c>
      <c r="C248" s="4">
        <f t="shared" si="43"/>
        <v>100</v>
      </c>
      <c r="D248" s="8">
        <f t="shared" si="51"/>
        <v>8.3333333333333339</v>
      </c>
      <c r="E248" s="23">
        <f t="shared" si="44"/>
        <v>725.28187531170238</v>
      </c>
      <c r="F248" s="24">
        <f t="shared" si="45"/>
        <v>815.39944197055115</v>
      </c>
      <c r="G248" s="25">
        <f t="shared" si="46"/>
        <v>1595.6813172822535</v>
      </c>
      <c r="H248" s="26">
        <f t="shared" si="47"/>
        <v>193.15683368164784</v>
      </c>
      <c r="I248" s="27">
        <f t="shared" si="48"/>
        <v>112999.42426326864</v>
      </c>
      <c r="K248" s="18">
        <f t="shared" si="41"/>
        <v>0.38995418543139926</v>
      </c>
      <c r="L248" s="22">
        <f t="shared" si="52"/>
        <v>1.6999999999999999E-3</v>
      </c>
      <c r="N248" s="15">
        <f t="shared" si="49"/>
        <v>1077.0370926079861</v>
      </c>
      <c r="W248" s="1">
        <f t="shared" si="42"/>
        <v>-1595.6813172822535</v>
      </c>
    </row>
    <row r="249" spans="1:23" x14ac:dyDescent="0.2">
      <c r="A249" s="7">
        <f t="shared" si="40"/>
        <v>7.315235864489119E-3</v>
      </c>
      <c r="B249" s="4">
        <f t="shared" si="50"/>
        <v>243</v>
      </c>
      <c r="C249" s="4">
        <f t="shared" si="43"/>
        <v>99</v>
      </c>
      <c r="D249" s="8">
        <f t="shared" si="51"/>
        <v>8.25</v>
      </c>
      <c r="E249" s="23">
        <f t="shared" si="44"/>
        <v>721.30991029600864</v>
      </c>
      <c r="F249" s="24">
        <f t="shared" si="45"/>
        <v>822.00949733122002</v>
      </c>
      <c r="G249" s="25">
        <f t="shared" si="46"/>
        <v>1598.3194076272287</v>
      </c>
      <c r="H249" s="26">
        <f t="shared" si="47"/>
        <v>192.09902124755666</v>
      </c>
      <c r="I249" s="27">
        <f t="shared" si="48"/>
        <v>112369.51378718497</v>
      </c>
      <c r="K249" s="18">
        <f t="shared" si="41"/>
        <v>0.39410800687128705</v>
      </c>
      <c r="L249" s="22">
        <f t="shared" si="52"/>
        <v>1.6999999999999999E-3</v>
      </c>
      <c r="N249" s="15">
        <f t="shared" si="49"/>
        <v>1077.0370926079861</v>
      </c>
      <c r="W249" s="1">
        <f t="shared" si="42"/>
        <v>-1598.3194076272287</v>
      </c>
    </row>
    <row r="250" spans="1:23" x14ac:dyDescent="0.2">
      <c r="A250" s="7">
        <f t="shared" si="40"/>
        <v>7.4166241635857163E-3</v>
      </c>
      <c r="B250" s="4">
        <f t="shared" si="50"/>
        <v>244</v>
      </c>
      <c r="C250" s="4">
        <f t="shared" si="43"/>
        <v>98</v>
      </c>
      <c r="D250" s="8">
        <f t="shared" si="51"/>
        <v>8.1666666666666661</v>
      </c>
      <c r="E250" s="23">
        <f t="shared" si="44"/>
        <v>717.2889989333114</v>
      </c>
      <c r="F250" s="24">
        <f t="shared" si="45"/>
        <v>828.67327712065116</v>
      </c>
      <c r="G250" s="25">
        <f t="shared" si="46"/>
        <v>1600.9622760539626</v>
      </c>
      <c r="H250" s="26">
        <f t="shared" si="47"/>
        <v>191.02817343821445</v>
      </c>
      <c r="I250" s="27">
        <f t="shared" si="48"/>
        <v>111731.86868350254</v>
      </c>
      <c r="K250" s="18">
        <f t="shared" si="41"/>
        <v>0.39828865003246583</v>
      </c>
      <c r="L250" s="22">
        <f t="shared" si="52"/>
        <v>1.6999999999999999E-3</v>
      </c>
      <c r="N250" s="15">
        <f t="shared" si="49"/>
        <v>1077.0370926079861</v>
      </c>
      <c r="W250" s="1">
        <f t="shared" si="42"/>
        <v>-1600.9622760539626</v>
      </c>
    </row>
    <row r="251" spans="1:23" x14ac:dyDescent="0.2">
      <c r="A251" s="7">
        <f t="shared" si="40"/>
        <v>7.5201920253365672E-3</v>
      </c>
      <c r="B251" s="4">
        <f t="shared" si="50"/>
        <v>245</v>
      </c>
      <c r="C251" s="4">
        <f t="shared" si="43"/>
        <v>97</v>
      </c>
      <c r="D251" s="8">
        <f t="shared" si="51"/>
        <v>8.0833333333333339</v>
      </c>
      <c r="E251" s="23">
        <f t="shared" si="44"/>
        <v>713.21871507534865</v>
      </c>
      <c r="F251" s="24">
        <f t="shared" si="45"/>
        <v>835.39122212630241</v>
      </c>
      <c r="G251" s="25">
        <f t="shared" si="46"/>
        <v>1603.6099372016511</v>
      </c>
      <c r="H251" s="26">
        <f t="shared" si="47"/>
        <v>189.94417676195431</v>
      </c>
      <c r="I251" s="27">
        <f t="shared" si="48"/>
        <v>111086.4216381382</v>
      </c>
      <c r="K251" s="18">
        <f t="shared" si="41"/>
        <v>0.40249628690295669</v>
      </c>
      <c r="L251" s="22">
        <f t="shared" si="52"/>
        <v>1.6999999999999999E-3</v>
      </c>
      <c r="N251" s="15">
        <f t="shared" si="49"/>
        <v>1077.0370926079861</v>
      </c>
      <c r="W251" s="1">
        <f t="shared" si="42"/>
        <v>-1603.6099372016511</v>
      </c>
    </row>
    <row r="252" spans="1:23" x14ac:dyDescent="0.2">
      <c r="A252" s="7">
        <f t="shared" si="40"/>
        <v>7.6260083296308193E-3</v>
      </c>
      <c r="B252" s="4">
        <f t="shared" si="50"/>
        <v>246</v>
      </c>
      <c r="C252" s="4">
        <f t="shared" si="43"/>
        <v>96</v>
      </c>
      <c r="D252" s="8">
        <f t="shared" si="51"/>
        <v>8</v>
      </c>
      <c r="E252" s="23">
        <f t="shared" si="44"/>
        <v>709.09862903572525</v>
      </c>
      <c r="F252" s="24">
        <f t="shared" si="45"/>
        <v>842.16377690416493</v>
      </c>
      <c r="G252" s="25">
        <f t="shared" si="46"/>
        <v>1606.2624059398902</v>
      </c>
      <c r="H252" s="26">
        <f t="shared" si="47"/>
        <v>188.84691678483492</v>
      </c>
      <c r="I252" s="27">
        <f t="shared" si="48"/>
        <v>110433.10477801887</v>
      </c>
      <c r="K252" s="18">
        <f t="shared" si="41"/>
        <v>0.40673109057610513</v>
      </c>
      <c r="L252" s="22">
        <f t="shared" si="52"/>
        <v>1.6999999999999999E-3</v>
      </c>
      <c r="N252" s="15">
        <f t="shared" si="49"/>
        <v>1077.0370926079861</v>
      </c>
      <c r="W252" s="1">
        <f t="shared" si="42"/>
        <v>-1606.2624059398902</v>
      </c>
    </row>
    <row r="253" spans="1:23" x14ac:dyDescent="0.2">
      <c r="A253" s="7">
        <f t="shared" si="40"/>
        <v>7.7341448868593569E-3</v>
      </c>
      <c r="B253" s="4">
        <f t="shared" si="50"/>
        <v>247</v>
      </c>
      <c r="C253" s="4">
        <f t="shared" si="43"/>
        <v>95</v>
      </c>
      <c r="D253" s="8">
        <f t="shared" si="51"/>
        <v>7.916666666666667</v>
      </c>
      <c r="E253" s="23">
        <f t="shared" si="44"/>
        <v>704.9283075598421</v>
      </c>
      <c r="F253" s="24">
        <f t="shared" si="45"/>
        <v>848.99138981789065</v>
      </c>
      <c r="G253" s="25">
        <f t="shared" si="46"/>
        <v>1608.9196973777327</v>
      </c>
      <c r="H253" s="26">
        <f t="shared" si="47"/>
        <v>187.73627812263206</v>
      </c>
      <c r="I253" s="27">
        <f t="shared" si="48"/>
        <v>109771.8496663236</v>
      </c>
      <c r="K253" s="18">
        <f t="shared" si="41"/>
        <v>0.41099323525778986</v>
      </c>
      <c r="L253" s="22">
        <f t="shared" si="52"/>
        <v>1.6999999999999999E-3</v>
      </c>
      <c r="N253" s="15">
        <f t="shared" si="49"/>
        <v>1077.0370926079861</v>
      </c>
      <c r="W253" s="1">
        <f t="shared" si="42"/>
        <v>-1608.9196973777327</v>
      </c>
    </row>
    <row r="254" spans="1:23" x14ac:dyDescent="0.2">
      <c r="A254" s="7">
        <f t="shared" si="40"/>
        <v>7.8446765954642891E-3</v>
      </c>
      <c r="B254" s="4">
        <f t="shared" si="50"/>
        <v>248</v>
      </c>
      <c r="C254" s="4">
        <f t="shared" si="43"/>
        <v>94</v>
      </c>
      <c r="D254" s="8">
        <f t="shared" si="51"/>
        <v>7.833333333333333</v>
      </c>
      <c r="E254" s="23">
        <f t="shared" si="44"/>
        <v>700.70731379452491</v>
      </c>
      <c r="F254" s="24">
        <f t="shared" si="45"/>
        <v>855.87451307869128</v>
      </c>
      <c r="G254" s="25">
        <f t="shared" si="46"/>
        <v>1611.5818268732162</v>
      </c>
      <c r="H254" s="26">
        <f t="shared" si="47"/>
        <v>186.61214443275011</v>
      </c>
      <c r="I254" s="27">
        <f t="shared" si="48"/>
        <v>109102.58729767766</v>
      </c>
      <c r="K254" s="18">
        <f t="shared" si="41"/>
        <v>0.4152828962736822</v>
      </c>
      <c r="L254" s="22">
        <f t="shared" si="52"/>
        <v>1.6999999999999999E-3</v>
      </c>
      <c r="N254" s="15">
        <f t="shared" si="49"/>
        <v>1077.0370926079861</v>
      </c>
      <c r="W254" s="1">
        <f t="shared" si="42"/>
        <v>-1611.5818268732162</v>
      </c>
    </row>
    <row r="255" spans="1:23" x14ac:dyDescent="0.2">
      <c r="A255" s="7">
        <f t="shared" si="40"/>
        <v>7.9576816097632567E-3</v>
      </c>
      <c r="B255" s="4">
        <f t="shared" si="50"/>
        <v>249</v>
      </c>
      <c r="C255" s="4">
        <f t="shared" si="43"/>
        <v>93</v>
      </c>
      <c r="D255" s="8">
        <f t="shared" si="51"/>
        <v>7.75</v>
      </c>
      <c r="E255" s="23">
        <f t="shared" si="44"/>
        <v>696.43520725734652</v>
      </c>
      <c r="F255" s="24">
        <f t="shared" si="45"/>
        <v>862.81360278605325</v>
      </c>
      <c r="G255" s="25">
        <f t="shared" si="46"/>
        <v>1614.2488100433998</v>
      </c>
      <c r="H255" s="26">
        <f t="shared" si="47"/>
        <v>185.47439840605202</v>
      </c>
      <c r="I255" s="27">
        <f t="shared" si="48"/>
        <v>108425.24809329765</v>
      </c>
      <c r="K255" s="18">
        <f t="shared" si="41"/>
        <v>0.41960025007656077</v>
      </c>
      <c r="L255" s="22">
        <f t="shared" si="52"/>
        <v>1.6999999999999999E-3</v>
      </c>
      <c r="N255" s="15">
        <f t="shared" si="49"/>
        <v>1077.0370926079861</v>
      </c>
      <c r="W255" s="1">
        <f t="shared" si="42"/>
        <v>-1614.2488100433998</v>
      </c>
    </row>
    <row r="256" spans="1:23" x14ac:dyDescent="0.2">
      <c r="A256" s="7">
        <f t="shared" si="40"/>
        <v>8.0732415188388799E-3</v>
      </c>
      <c r="B256" s="4">
        <f t="shared" si="50"/>
        <v>250</v>
      </c>
      <c r="C256" s="4">
        <f t="shared" si="43"/>
        <v>92</v>
      </c>
      <c r="D256" s="8">
        <f t="shared" si="51"/>
        <v>7.666666666666667</v>
      </c>
      <c r="E256" s="23">
        <f t="shared" si="44"/>
        <v>692.11154380563698</v>
      </c>
      <c r="F256" s="24">
        <f t="shared" si="45"/>
        <v>869.80911896930434</v>
      </c>
      <c r="G256" s="25">
        <f t="shared" si="46"/>
        <v>1616.9206627749413</v>
      </c>
      <c r="H256" s="26">
        <f t="shared" si="47"/>
        <v>184.32292175860599</v>
      </c>
      <c r="I256" s="27">
        <f t="shared" si="48"/>
        <v>107739.76189608694</v>
      </c>
      <c r="K256" s="18">
        <f t="shared" si="41"/>
        <v>0.42394547425368079</v>
      </c>
      <c r="L256" s="22">
        <f t="shared" si="52"/>
        <v>1.6999999999999999E-3</v>
      </c>
      <c r="N256" s="15">
        <f t="shared" si="49"/>
        <v>1077.0370926079861</v>
      </c>
      <c r="W256" s="1">
        <f t="shared" si="42"/>
        <v>-1616.9206627749413</v>
      </c>
    </row>
    <row r="257" spans="1:23" x14ac:dyDescent="0.2">
      <c r="A257" s="7">
        <f t="shared" si="40"/>
        <v>8.1914415373539641E-3</v>
      </c>
      <c r="B257" s="4">
        <f t="shared" si="50"/>
        <v>251</v>
      </c>
      <c r="C257" s="4">
        <f t="shared" si="43"/>
        <v>91</v>
      </c>
      <c r="D257" s="8">
        <f t="shared" si="51"/>
        <v>7.583333333333333</v>
      </c>
      <c r="E257" s="23">
        <f t="shared" si="44"/>
        <v>687.73587560517581</v>
      </c>
      <c r="F257" s="24">
        <f t="shared" si="45"/>
        <v>876.86152563007317</v>
      </c>
      <c r="G257" s="25">
        <f t="shared" si="46"/>
        <v>1619.597401235249</v>
      </c>
      <c r="H257" s="26">
        <f t="shared" si="47"/>
        <v>183.15759522334778</v>
      </c>
      <c r="I257" s="27">
        <f t="shared" si="48"/>
        <v>107046.05796568023</v>
      </c>
      <c r="K257" s="18">
        <f t="shared" si="41"/>
        <v>0.42831874753419896</v>
      </c>
      <c r="L257" s="22">
        <f t="shared" si="52"/>
        <v>1.6999999999999999E-3</v>
      </c>
      <c r="N257" s="15">
        <f t="shared" si="49"/>
        <v>1077.0370926079861</v>
      </c>
      <c r="W257" s="1">
        <f t="shared" si="42"/>
        <v>-1619.597401235249</v>
      </c>
    </row>
    <row r="258" spans="1:23" x14ac:dyDescent="0.2">
      <c r="A258" s="7">
        <f t="shared" si="40"/>
        <v>8.312370709230384E-3</v>
      </c>
      <c r="B258" s="4">
        <f t="shared" si="50"/>
        <v>252</v>
      </c>
      <c r="C258" s="4">
        <f t="shared" si="43"/>
        <v>90</v>
      </c>
      <c r="D258" s="8">
        <f t="shared" si="51"/>
        <v>7.5</v>
      </c>
      <c r="E258" s="23">
        <f t="shared" si="44"/>
        <v>683.30775109856006</v>
      </c>
      <c r="F258" s="24">
        <f t="shared" si="45"/>
        <v>883.97129078568389</v>
      </c>
      <c r="G258" s="25">
        <f t="shared" si="46"/>
        <v>1622.279041884244</v>
      </c>
      <c r="H258" s="26">
        <f t="shared" si="47"/>
        <v>181.97829854165639</v>
      </c>
      <c r="I258" s="27">
        <f t="shared" si="48"/>
        <v>106344.06497343619</v>
      </c>
      <c r="K258" s="18">
        <f t="shared" si="41"/>
        <v>0.43272024979665458</v>
      </c>
      <c r="L258" s="22">
        <f t="shared" si="52"/>
        <v>1.6999999999999999E-3</v>
      </c>
      <c r="N258" s="15">
        <f t="shared" si="49"/>
        <v>1077.0370926079861</v>
      </c>
      <c r="W258" s="1">
        <f t="shared" si="42"/>
        <v>-1622.279041884244</v>
      </c>
    </row>
    <row r="259" spans="1:23" x14ac:dyDescent="0.2">
      <c r="A259" s="7">
        <f t="shared" si="40"/>
        <v>8.4361221252149902E-3</v>
      </c>
      <c r="B259" s="4">
        <f t="shared" si="50"/>
        <v>253</v>
      </c>
      <c r="C259" s="4">
        <f t="shared" si="43"/>
        <v>89</v>
      </c>
      <c r="D259" s="8">
        <f t="shared" si="51"/>
        <v>7.416666666666667</v>
      </c>
      <c r="E259" s="23">
        <f t="shared" si="44"/>
        <v>678.82671497324088</v>
      </c>
      <c r="F259" s="24">
        <f t="shared" si="45"/>
        <v>891.13888651354239</v>
      </c>
      <c r="G259" s="25">
        <f t="shared" si="46"/>
        <v>1624.9656014867833</v>
      </c>
      <c r="H259" s="26">
        <f t="shared" si="47"/>
        <v>180.78491045484151</v>
      </c>
      <c r="I259" s="27">
        <f t="shared" si="48"/>
        <v>105633.71099737749</v>
      </c>
      <c r="K259" s="18">
        <f t="shared" si="41"/>
        <v>0.43715016207651003</v>
      </c>
      <c r="L259" s="22">
        <f t="shared" si="52"/>
        <v>1.6999999999999999E-3</v>
      </c>
      <c r="N259" s="15">
        <f t="shared" si="49"/>
        <v>1077.0370926079861</v>
      </c>
      <c r="W259" s="1">
        <f t="shared" si="42"/>
        <v>-1624.9656014867833</v>
      </c>
    </row>
    <row r="260" spans="1:23" x14ac:dyDescent="0.2">
      <c r="A260" s="7">
        <f t="shared" si="40"/>
        <v>8.562793155449706E-3</v>
      </c>
      <c r="B260" s="4">
        <f t="shared" si="50"/>
        <v>254</v>
      </c>
      <c r="C260" s="4">
        <f t="shared" si="43"/>
        <v>88</v>
      </c>
      <c r="D260" s="8">
        <f t="shared" si="51"/>
        <v>7.333333333333333</v>
      </c>
      <c r="E260" s="23">
        <f t="shared" si="44"/>
        <v>674.29230812922412</v>
      </c>
      <c r="F260" s="24">
        <f t="shared" si="45"/>
        <v>898.36478899655197</v>
      </c>
      <c r="G260" s="25">
        <f t="shared" si="46"/>
        <v>1627.6570971257761</v>
      </c>
      <c r="H260" s="26">
        <f t="shared" si="47"/>
        <v>179.57730869554172</v>
      </c>
      <c r="I260" s="27">
        <f t="shared" si="48"/>
        <v>104914.92351707649</v>
      </c>
      <c r="K260" s="18">
        <f t="shared" si="41"/>
        <v>0.44160866657374725</v>
      </c>
      <c r="L260" s="22">
        <f t="shared" si="52"/>
        <v>1.6999999999999999E-3</v>
      </c>
      <c r="N260" s="15">
        <f t="shared" si="49"/>
        <v>1077.0370926079861</v>
      </c>
      <c r="W260" s="1">
        <f t="shared" si="42"/>
        <v>-1627.6570971257761</v>
      </c>
    </row>
    <row r="261" spans="1:23" x14ac:dyDescent="0.2">
      <c r="A261" s="7">
        <f t="shared" si="40"/>
        <v>8.6924856982671661E-3</v>
      </c>
      <c r="B261" s="4">
        <f t="shared" si="50"/>
        <v>255</v>
      </c>
      <c r="C261" s="4">
        <f t="shared" si="43"/>
        <v>87</v>
      </c>
      <c r="D261" s="8">
        <f t="shared" si="51"/>
        <v>7.25</v>
      </c>
      <c r="E261" s="23">
        <f t="shared" si="44"/>
        <v>669.70406764642416</v>
      </c>
      <c r="F261" s="24">
        <f t="shared" si="45"/>
        <v>905.64947856962317</v>
      </c>
      <c r="G261" s="25">
        <f t="shared" si="46"/>
        <v>1630.3535462160473</v>
      </c>
      <c r="H261" s="26">
        <f t="shared" si="47"/>
        <v>178.35536997903003</v>
      </c>
      <c r="I261" s="27">
        <f t="shared" si="48"/>
        <v>104187.6294084859</v>
      </c>
      <c r="K261" s="18">
        <f t="shared" si="41"/>
        <v>0.44609594666052593</v>
      </c>
      <c r="L261" s="22">
        <f t="shared" si="52"/>
        <v>1.6999999999999999E-3</v>
      </c>
      <c r="N261" s="15">
        <f t="shared" si="49"/>
        <v>1077.0370926079861</v>
      </c>
      <c r="W261" s="1">
        <f t="shared" si="42"/>
        <v>-1630.3535462160473</v>
      </c>
    </row>
    <row r="262" spans="1:23" x14ac:dyDescent="0.2">
      <c r="A262" s="7">
        <f t="shared" si="40"/>
        <v>8.8253064465480691E-3</v>
      </c>
      <c r="B262" s="4">
        <f t="shared" si="50"/>
        <v>256</v>
      </c>
      <c r="C262" s="4">
        <f t="shared" si="43"/>
        <v>86</v>
      </c>
      <c r="D262" s="8">
        <f t="shared" si="51"/>
        <v>7.166666666666667</v>
      </c>
      <c r="E262" s="23">
        <f t="shared" si="44"/>
        <v>665.06152675166652</v>
      </c>
      <c r="F262" s="24">
        <f t="shared" si="45"/>
        <v>912.99343976733473</v>
      </c>
      <c r="G262" s="25">
        <f t="shared" si="46"/>
        <v>1633.0549665190013</v>
      </c>
      <c r="H262" s="26">
        <f t="shared" si="47"/>
        <v>177.11896999442601</v>
      </c>
      <c r="I262" s="27">
        <f t="shared" si="48"/>
        <v>103451.75493871298</v>
      </c>
      <c r="K262" s="18">
        <f t="shared" si="41"/>
        <v>0.45061218688890131</v>
      </c>
      <c r="L262" s="22">
        <f t="shared" si="52"/>
        <v>1.6999999999999999E-3</v>
      </c>
      <c r="N262" s="15">
        <f t="shared" si="49"/>
        <v>1077.0370926079861</v>
      </c>
      <c r="W262" s="1">
        <f t="shared" si="42"/>
        <v>-1633.0549665190013</v>
      </c>
    </row>
    <row r="263" spans="1:23" x14ac:dyDescent="0.2">
      <c r="A263" s="7">
        <f t="shared" ref="A263:A326" si="53">F263/I263</f>
        <v>8.9613671731037167E-3</v>
      </c>
      <c r="B263" s="4">
        <f t="shared" si="50"/>
        <v>257</v>
      </c>
      <c r="C263" s="4">
        <f t="shared" si="43"/>
        <v>85</v>
      </c>
      <c r="D263" s="8">
        <f t="shared" si="51"/>
        <v>7.083333333333333</v>
      </c>
      <c r="E263" s="23">
        <f t="shared" si="44"/>
        <v>660.36421478532975</v>
      </c>
      <c r="F263" s="24">
        <f t="shared" si="45"/>
        <v>920.39716137281198</v>
      </c>
      <c r="G263" s="25">
        <f t="shared" si="46"/>
        <v>1635.7613761581417</v>
      </c>
      <c r="H263" s="26">
        <f t="shared" si="47"/>
        <v>175.86798339581208</v>
      </c>
      <c r="I263" s="27">
        <f t="shared" si="48"/>
        <v>102707.22576073599</v>
      </c>
      <c r="K263" s="18">
        <f t="shared" ref="K263:K326" si="54">IF(C263&lt;1,0,(F263-H263)/G263)</f>
        <v>0.45515757299860621</v>
      </c>
      <c r="L263" s="22">
        <f t="shared" si="52"/>
        <v>1.6999999999999999E-3</v>
      </c>
      <c r="N263" s="15">
        <f t="shared" si="49"/>
        <v>1077.0370926079861</v>
      </c>
      <c r="W263" s="1">
        <f t="shared" ref="W263:W326" si="55">-G263</f>
        <v>-1635.7613761581417</v>
      </c>
    </row>
    <row r="264" spans="1:23" x14ac:dyDescent="0.2">
      <c r="A264" s="7">
        <f t="shared" si="53"/>
        <v>9.1007850366881422E-3</v>
      </c>
      <c r="B264" s="4">
        <f t="shared" si="50"/>
        <v>258</v>
      </c>
      <c r="C264" s="4">
        <f t="shared" ref="C264:C327" si="56">IF(C263-1&lt;1,0,C263-1)</f>
        <v>84</v>
      </c>
      <c r="D264" s="8">
        <f t="shared" si="51"/>
        <v>7</v>
      </c>
      <c r="E264" s="23">
        <f t="shared" ref="E264:E327" si="57">IF(C264&lt;1,0,I263*$J$4)</f>
        <v>655.61165716761889</v>
      </c>
      <c r="F264" s="24">
        <f t="shared" ref="F264:F327" si="58">IF(C264&lt;1,0,G264-E264-$L$3-$L$4)</f>
        <v>927.86113646788294</v>
      </c>
      <c r="G264" s="25">
        <f t="shared" ref="G264:G327" si="59">IF(C264&lt;1,0,-PMT($J$4,C264,I263)+$L$3+$L$4)</f>
        <v>1638.4727936355018</v>
      </c>
      <c r="H264" s="26">
        <f t="shared" ref="H264:H327" si="60">IF(C264&lt;1,0,I263*L264)</f>
        <v>174.60228379325119</v>
      </c>
      <c r="I264" s="27">
        <f t="shared" ref="I264:I327" si="61">IF(C264&lt;1,0,I263-F264+H264)</f>
        <v>101953.96690806137</v>
      </c>
      <c r="K264" s="18">
        <f t="shared" si="54"/>
        <v>0.45973229192489312</v>
      </c>
      <c r="L264" s="22">
        <f t="shared" si="52"/>
        <v>1.6999999999999999E-3</v>
      </c>
      <c r="N264" s="15">
        <f t="shared" ref="N264:N327" si="62">IF(C264&lt;1,0,N263)</f>
        <v>1077.0370926079861</v>
      </c>
      <c r="W264" s="1">
        <f t="shared" si="55"/>
        <v>-1638.4727936355018</v>
      </c>
    </row>
    <row r="265" spans="1:23" x14ac:dyDescent="0.2">
      <c r="A265" s="7">
        <f t="shared" si="53"/>
        <v>9.2436829104009834E-3</v>
      </c>
      <c r="B265" s="4">
        <f t="shared" ref="B265:B328" si="63">B264+1</f>
        <v>259</v>
      </c>
      <c r="C265" s="4">
        <f t="shared" si="56"/>
        <v>83</v>
      </c>
      <c r="D265" s="8">
        <f t="shared" si="51"/>
        <v>6.916666666666667</v>
      </c>
      <c r="E265" s="23">
        <f t="shared" si="57"/>
        <v>650.80337536446086</v>
      </c>
      <c r="F265" s="24">
        <f t="shared" si="58"/>
        <v>935.3858624845991</v>
      </c>
      <c r="G265" s="25">
        <f t="shared" si="59"/>
        <v>1641.18923784906</v>
      </c>
      <c r="H265" s="26">
        <f t="shared" si="60"/>
        <v>173.3217437437043</v>
      </c>
      <c r="I265" s="27">
        <f t="shared" si="61"/>
        <v>101191.90278932046</v>
      </c>
      <c r="K265" s="18">
        <f t="shared" si="54"/>
        <v>0.46433653180644474</v>
      </c>
      <c r="L265" s="22">
        <f t="shared" si="52"/>
        <v>1.6999999999999999E-3</v>
      </c>
      <c r="N265" s="15">
        <f t="shared" si="62"/>
        <v>1077.0370926079861</v>
      </c>
      <c r="W265" s="1">
        <f t="shared" si="55"/>
        <v>-1641.18923784906</v>
      </c>
    </row>
    <row r="266" spans="1:23" x14ac:dyDescent="0.2">
      <c r="A266" s="7">
        <f t="shared" si="53"/>
        <v>9.3901897344159779E-3</v>
      </c>
      <c r="B266" s="4">
        <f t="shared" si="63"/>
        <v>260</v>
      </c>
      <c r="C266" s="4">
        <f t="shared" si="56"/>
        <v>82</v>
      </c>
      <c r="D266" s="8">
        <f t="shared" si="51"/>
        <v>6.833333333333333</v>
      </c>
      <c r="E266" s="23">
        <f t="shared" si="57"/>
        <v>645.93888685301374</v>
      </c>
      <c r="F266" s="24">
        <f t="shared" si="58"/>
        <v>942.97184125819365</v>
      </c>
      <c r="G266" s="25">
        <f t="shared" si="59"/>
        <v>1643.9107281112074</v>
      </c>
      <c r="H266" s="26">
        <f t="shared" si="60"/>
        <v>172.02623474184477</v>
      </c>
      <c r="I266" s="27">
        <f t="shared" si="61"/>
        <v>100420.95718280411</v>
      </c>
      <c r="K266" s="18">
        <f t="shared" si="54"/>
        <v>0.46897048199334818</v>
      </c>
      <c r="L266" s="22">
        <f t="shared" si="52"/>
        <v>1.6999999999999999E-3</v>
      </c>
      <c r="N266" s="15">
        <f t="shared" si="62"/>
        <v>1077.0370926079861</v>
      </c>
      <c r="W266" s="1">
        <f t="shared" si="55"/>
        <v>-1643.9107281112074</v>
      </c>
    </row>
    <row r="267" spans="1:23" x14ac:dyDescent="0.2">
      <c r="A267" s="7">
        <f t="shared" si="53"/>
        <v>9.5404408951635551E-3</v>
      </c>
      <c r="B267" s="4">
        <f t="shared" si="63"/>
        <v>261</v>
      </c>
      <c r="C267" s="4">
        <f t="shared" si="56"/>
        <v>81</v>
      </c>
      <c r="D267" s="8">
        <f t="shared" ref="D267:D330" si="64">C267/12</f>
        <v>6.75</v>
      </c>
      <c r="E267" s="23">
        <f t="shared" si="57"/>
        <v>641.01770508677896</v>
      </c>
      <c r="F267" s="24">
        <f t="shared" si="58"/>
        <v>950.61957908156478</v>
      </c>
      <c r="G267" s="25">
        <f t="shared" si="59"/>
        <v>1646.6372841683437</v>
      </c>
      <c r="H267" s="26">
        <f t="shared" si="60"/>
        <v>170.71562721076697</v>
      </c>
      <c r="I267" s="27">
        <f t="shared" si="61"/>
        <v>99641.053230933307</v>
      </c>
      <c r="K267" s="18">
        <f t="shared" si="54"/>
        <v>0.4736343330551383</v>
      </c>
      <c r="L267" s="22">
        <f t="shared" si="52"/>
        <v>1.6999999999999999E-3</v>
      </c>
      <c r="N267" s="15">
        <f t="shared" si="62"/>
        <v>1077.0370926079861</v>
      </c>
      <c r="W267" s="1">
        <f t="shared" si="55"/>
        <v>-1646.6372841683437</v>
      </c>
    </row>
    <row r="268" spans="1:23" x14ac:dyDescent="0.2">
      <c r="A268" s="7">
        <f t="shared" si="53"/>
        <v>9.6945786333114958E-3</v>
      </c>
      <c r="B268" s="4">
        <f t="shared" si="63"/>
        <v>262</v>
      </c>
      <c r="C268" s="4">
        <f t="shared" si="56"/>
        <v>80</v>
      </c>
      <c r="D268" s="8">
        <f t="shared" si="64"/>
        <v>6.666666666666667</v>
      </c>
      <c r="E268" s="23">
        <f t="shared" si="57"/>
        <v>636.03933946030656</v>
      </c>
      <c r="F268" s="24">
        <f t="shared" si="58"/>
        <v>958.32958676138287</v>
      </c>
      <c r="G268" s="25">
        <f t="shared" si="59"/>
        <v>1649.3689262216894</v>
      </c>
      <c r="H268" s="26">
        <f t="shared" si="60"/>
        <v>169.3897904925866</v>
      </c>
      <c r="I268" s="27">
        <f t="shared" si="61"/>
        <v>98852.113434664512</v>
      </c>
      <c r="K268" s="18">
        <f t="shared" si="54"/>
        <v>0.47832827678891043</v>
      </c>
      <c r="L268" s="22">
        <f t="shared" si="52"/>
        <v>1.6999999999999999E-3</v>
      </c>
      <c r="N268" s="15">
        <f t="shared" si="62"/>
        <v>1077.0370926079861</v>
      </c>
      <c r="W268" s="1">
        <f t="shared" si="55"/>
        <v>-1649.3689262216894</v>
      </c>
    </row>
    <row r="269" spans="1:23" x14ac:dyDescent="0.2">
      <c r="A269" s="7">
        <f t="shared" si="53"/>
        <v>9.8527524831280907E-3</v>
      </c>
      <c r="B269" s="4">
        <f t="shared" si="63"/>
        <v>263</v>
      </c>
      <c r="C269" s="4">
        <f t="shared" si="56"/>
        <v>79</v>
      </c>
      <c r="D269" s="8">
        <f t="shared" si="64"/>
        <v>6.583333333333333</v>
      </c>
      <c r="E269" s="23">
        <f t="shared" si="57"/>
        <v>631.00329527348174</v>
      </c>
      <c r="F269" s="24">
        <f t="shared" si="58"/>
        <v>966.10237967592241</v>
      </c>
      <c r="G269" s="25">
        <f t="shared" si="59"/>
        <v>1652.1056749494041</v>
      </c>
      <c r="H269" s="26">
        <f t="shared" si="60"/>
        <v>168.04859283892966</v>
      </c>
      <c r="I269" s="27">
        <f t="shared" si="61"/>
        <v>98054.059647827511</v>
      </c>
      <c r="K269" s="18">
        <f t="shared" si="54"/>
        <v>0.48305250622750456</v>
      </c>
      <c r="L269" s="22">
        <f t="shared" si="52"/>
        <v>1.6999999999999999E-3</v>
      </c>
      <c r="N269" s="15">
        <f t="shared" si="62"/>
        <v>1077.0370926079861</v>
      </c>
      <c r="W269" s="1">
        <f t="shared" si="55"/>
        <v>-1652.1056749494041</v>
      </c>
    </row>
    <row r="270" spans="1:23" x14ac:dyDescent="0.2">
      <c r="A270" s="7">
        <f t="shared" si="53"/>
        <v>1.0015119746080591E-2</v>
      </c>
      <c r="B270" s="4">
        <f t="shared" si="63"/>
        <v>264</v>
      </c>
      <c r="C270" s="4">
        <f t="shared" si="56"/>
        <v>78</v>
      </c>
      <c r="D270" s="8">
        <f t="shared" si="64"/>
        <v>6.5</v>
      </c>
      <c r="E270" s="23">
        <f t="shared" si="57"/>
        <v>625.90907369538195</v>
      </c>
      <c r="F270" s="24">
        <f t="shared" si="58"/>
        <v>973.93847783472711</v>
      </c>
      <c r="G270" s="25">
        <f t="shared" si="59"/>
        <v>1654.8475515301091</v>
      </c>
      <c r="H270" s="26">
        <f t="shared" si="60"/>
        <v>166.69190140130675</v>
      </c>
      <c r="I270" s="27">
        <f t="shared" si="61"/>
        <v>97246.813071394092</v>
      </c>
      <c r="K270" s="18">
        <f t="shared" si="54"/>
        <v>0.48780721564776292</v>
      </c>
      <c r="L270" s="22">
        <f t="shared" ref="L270:L333" si="65">L269</f>
        <v>1.6999999999999999E-3</v>
      </c>
      <c r="N270" s="15">
        <f t="shared" si="62"/>
        <v>1077.0370926079861</v>
      </c>
      <c r="W270" s="1">
        <f t="shared" si="55"/>
        <v>-1654.8475515301091</v>
      </c>
    </row>
    <row r="271" spans="1:23" x14ac:dyDescent="0.2">
      <c r="A271" s="7">
        <f t="shared" si="53"/>
        <v>1.0181846001822268E-2</v>
      </c>
      <c r="B271" s="4">
        <f t="shared" si="63"/>
        <v>265</v>
      </c>
      <c r="C271" s="4">
        <f t="shared" si="56"/>
        <v>77</v>
      </c>
      <c r="D271" s="8">
        <f t="shared" si="64"/>
        <v>6.416666666666667</v>
      </c>
      <c r="E271" s="23">
        <f t="shared" si="57"/>
        <v>620.75617172769273</v>
      </c>
      <c r="F271" s="24">
        <f t="shared" si="58"/>
        <v>981.83840594023695</v>
      </c>
      <c r="G271" s="25">
        <f t="shared" si="59"/>
        <v>1657.5945776679298</v>
      </c>
      <c r="H271" s="26">
        <f t="shared" si="60"/>
        <v>165.31958222136996</v>
      </c>
      <c r="I271" s="27">
        <f t="shared" si="61"/>
        <v>96430.294247675236</v>
      </c>
      <c r="K271" s="18">
        <f t="shared" si="54"/>
        <v>0.49259260057886262</v>
      </c>
      <c r="L271" s="22">
        <f t="shared" si="65"/>
        <v>1.6999999999999999E-3</v>
      </c>
      <c r="N271" s="15">
        <f t="shared" si="62"/>
        <v>1077.0370926079861</v>
      </c>
      <c r="W271" s="1">
        <f t="shared" si="55"/>
        <v>-1657.5945776679298</v>
      </c>
    </row>
    <row r="272" spans="1:23" x14ac:dyDescent="0.2">
      <c r="A272" s="7">
        <f t="shared" si="53"/>
        <v>1.0353105660057487E-2</v>
      </c>
      <c r="B272" s="4">
        <f t="shared" si="63"/>
        <v>266</v>
      </c>
      <c r="C272" s="4">
        <f t="shared" si="56"/>
        <v>76</v>
      </c>
      <c r="D272" s="8">
        <f t="shared" si="64"/>
        <v>6.333333333333333</v>
      </c>
      <c r="E272" s="23">
        <f t="shared" si="57"/>
        <v>615.54408216766569</v>
      </c>
      <c r="F272" s="24">
        <f t="shared" si="58"/>
        <v>989.80269345150282</v>
      </c>
      <c r="G272" s="25">
        <f t="shared" si="59"/>
        <v>1660.3467756191685</v>
      </c>
      <c r="H272" s="26">
        <f t="shared" si="60"/>
        <v>163.93150022104788</v>
      </c>
      <c r="I272" s="27">
        <f t="shared" si="61"/>
        <v>95604.423054444778</v>
      </c>
      <c r="K272" s="18">
        <f t="shared" si="54"/>
        <v>0.49740885781072758</v>
      </c>
      <c r="L272" s="22">
        <f t="shared" si="65"/>
        <v>1.6999999999999999E-3</v>
      </c>
      <c r="N272" s="15">
        <f t="shared" si="62"/>
        <v>1077.0370926079861</v>
      </c>
      <c r="W272" s="1">
        <f t="shared" si="55"/>
        <v>-1660.3467756191685</v>
      </c>
    </row>
    <row r="273" spans="1:23" x14ac:dyDescent="0.2">
      <c r="A273" s="7">
        <f t="shared" si="53"/>
        <v>1.0529082557151589E-2</v>
      </c>
      <c r="B273" s="4">
        <f t="shared" si="63"/>
        <v>267</v>
      </c>
      <c r="C273" s="4">
        <f t="shared" si="56"/>
        <v>75</v>
      </c>
      <c r="D273" s="8">
        <f t="shared" si="64"/>
        <v>6.25</v>
      </c>
      <c r="E273" s="23">
        <f t="shared" si="57"/>
        <v>610.27229357060855</v>
      </c>
      <c r="F273" s="24">
        <f t="shared" si="58"/>
        <v>997.83187465013475</v>
      </c>
      <c r="G273" s="25">
        <f t="shared" si="59"/>
        <v>1663.1041682207433</v>
      </c>
      <c r="H273" s="26">
        <f t="shared" si="60"/>
        <v>162.52751919255613</v>
      </c>
      <c r="I273" s="27">
        <f t="shared" si="61"/>
        <v>94769.118698987208</v>
      </c>
      <c r="K273" s="18">
        <f t="shared" si="54"/>
        <v>0.50225618540251826</v>
      </c>
      <c r="L273" s="22">
        <f t="shared" si="65"/>
        <v>1.6999999999999999E-3</v>
      </c>
      <c r="N273" s="15">
        <f t="shared" si="62"/>
        <v>1077.0370926079861</v>
      </c>
      <c r="W273" s="1">
        <f t="shared" si="55"/>
        <v>-1663.1041682207433</v>
      </c>
    </row>
    <row r="274" spans="1:23" x14ac:dyDescent="0.2">
      <c r="A274" s="7">
        <f t="shared" si="53"/>
        <v>1.0709970601776119E-2</v>
      </c>
      <c r="B274" s="4">
        <f t="shared" si="63"/>
        <v>268</v>
      </c>
      <c r="C274" s="4">
        <f t="shared" si="56"/>
        <v>74</v>
      </c>
      <c r="D274" s="8">
        <f t="shared" si="64"/>
        <v>6.166666666666667</v>
      </c>
      <c r="E274" s="23">
        <f t="shared" si="57"/>
        <v>604.94029021189044</v>
      </c>
      <c r="F274" s="24">
        <f t="shared" si="58"/>
        <v>1005.9264887086451</v>
      </c>
      <c r="G274" s="25">
        <f t="shared" si="59"/>
        <v>1665.8667789205356</v>
      </c>
      <c r="H274" s="26">
        <f t="shared" si="60"/>
        <v>161.10750178827826</v>
      </c>
      <c r="I274" s="27">
        <f t="shared" si="61"/>
        <v>93924.299712066844</v>
      </c>
      <c r="K274" s="18">
        <f t="shared" si="54"/>
        <v>0.50713478269120704</v>
      </c>
      <c r="L274" s="22">
        <f t="shared" si="65"/>
        <v>1.6999999999999999E-3</v>
      </c>
      <c r="N274" s="15">
        <f t="shared" si="62"/>
        <v>1077.0370926079861</v>
      </c>
      <c r="W274" s="1">
        <f t="shared" si="55"/>
        <v>-1665.8667789205356</v>
      </c>
    </row>
    <row r="275" spans="1:23" x14ac:dyDescent="0.2">
      <c r="A275" s="7">
        <f t="shared" si="53"/>
        <v>1.0895974474356529E-2</v>
      </c>
      <c r="B275" s="4">
        <f t="shared" si="63"/>
        <v>269</v>
      </c>
      <c r="C275" s="4">
        <f t="shared" si="56"/>
        <v>73</v>
      </c>
      <c r="D275" s="8">
        <f t="shared" si="64"/>
        <v>6.083333333333333</v>
      </c>
      <c r="E275" s="23">
        <f t="shared" si="57"/>
        <v>599.54755204844491</v>
      </c>
      <c r="F275" s="24">
        <f t="shared" si="58"/>
        <v>1014.0870797613518</v>
      </c>
      <c r="G275" s="25">
        <f t="shared" si="59"/>
        <v>1668.6346318097967</v>
      </c>
      <c r="H275" s="26">
        <f t="shared" si="60"/>
        <v>159.67130951051362</v>
      </c>
      <c r="I275" s="27">
        <f t="shared" si="61"/>
        <v>93069.883941816006</v>
      </c>
      <c r="K275" s="18">
        <f t="shared" si="54"/>
        <v>0.51204485030023683</v>
      </c>
      <c r="L275" s="22">
        <f t="shared" si="65"/>
        <v>1.6999999999999999E-3</v>
      </c>
      <c r="N275" s="15">
        <f t="shared" si="62"/>
        <v>1077.0370926079861</v>
      </c>
      <c r="W275" s="1">
        <f t="shared" si="55"/>
        <v>-1668.6346318097967</v>
      </c>
    </row>
    <row r="276" spans="1:23" x14ac:dyDescent="0.2">
      <c r="A276" s="7">
        <f t="shared" si="53"/>
        <v>1.1087310385626822E-2</v>
      </c>
      <c r="B276" s="4">
        <f t="shared" si="63"/>
        <v>270</v>
      </c>
      <c r="C276" s="4">
        <f t="shared" si="56"/>
        <v>72</v>
      </c>
      <c r="D276" s="8">
        <f t="shared" si="64"/>
        <v>6</v>
      </c>
      <c r="E276" s="23">
        <f t="shared" si="57"/>
        <v>594.09355467975695</v>
      </c>
      <c r="F276" s="24">
        <f t="shared" si="58"/>
        <v>1022.3141969780404</v>
      </c>
      <c r="G276" s="25">
        <f t="shared" si="59"/>
        <v>1671.4077516577972</v>
      </c>
      <c r="H276" s="26">
        <f t="shared" si="60"/>
        <v>158.21880270108721</v>
      </c>
      <c r="I276" s="27">
        <f t="shared" si="61"/>
        <v>92205.78854753905</v>
      </c>
      <c r="K276" s="18">
        <f t="shared" si="54"/>
        <v>0.5169865901482712</v>
      </c>
      <c r="L276" s="22">
        <f t="shared" si="65"/>
        <v>1.6999999999999999E-3</v>
      </c>
      <c r="N276" s="15">
        <f t="shared" si="62"/>
        <v>1077.0370926079861</v>
      </c>
      <c r="W276" s="1">
        <f t="shared" si="55"/>
        <v>-1671.4077516577972</v>
      </c>
    </row>
    <row r="277" spans="1:23" x14ac:dyDescent="0.2">
      <c r="A277" s="7">
        <f t="shared" si="53"/>
        <v>1.128420690020151E-2</v>
      </c>
      <c r="B277" s="4">
        <f t="shared" si="63"/>
        <v>271</v>
      </c>
      <c r="C277" s="4">
        <f t="shared" si="56"/>
        <v>71</v>
      </c>
      <c r="D277" s="8">
        <f t="shared" si="64"/>
        <v>5.916666666666667</v>
      </c>
      <c r="E277" s="23">
        <f t="shared" si="57"/>
        <v>588.57776930831142</v>
      </c>
      <c r="F277" s="24">
        <f t="shared" si="58"/>
        <v>1030.6083946405761</v>
      </c>
      <c r="G277" s="25">
        <f t="shared" si="59"/>
        <v>1674.1861639488875</v>
      </c>
      <c r="H277" s="26">
        <f t="shared" si="60"/>
        <v>156.74984053081639</v>
      </c>
      <c r="I277" s="27">
        <f t="shared" si="61"/>
        <v>91331.929993429294</v>
      </c>
      <c r="K277" s="18">
        <f t="shared" si="54"/>
        <v>0.52196020545803434</v>
      </c>
      <c r="L277" s="22">
        <f t="shared" si="65"/>
        <v>1.6999999999999999E-3</v>
      </c>
      <c r="N277" s="15">
        <f t="shared" si="62"/>
        <v>1077.0370926079861</v>
      </c>
      <c r="W277" s="1">
        <f t="shared" si="55"/>
        <v>-1674.1861639488875</v>
      </c>
    </row>
    <row r="278" spans="1:23" x14ac:dyDescent="0.2">
      <c r="A278" s="7">
        <f t="shared" si="53"/>
        <v>1.148690583176089E-2</v>
      </c>
      <c r="B278" s="4">
        <f t="shared" si="63"/>
        <v>272</v>
      </c>
      <c r="C278" s="4">
        <f t="shared" si="56"/>
        <v>70</v>
      </c>
      <c r="D278" s="8">
        <f t="shared" si="64"/>
        <v>5.833333333333333</v>
      </c>
      <c r="E278" s="23">
        <f t="shared" si="57"/>
        <v>582.99966269948686</v>
      </c>
      <c r="F278" s="24">
        <f t="shared" si="58"/>
        <v>1038.9702322227101</v>
      </c>
      <c r="G278" s="25">
        <f t="shared" si="59"/>
        <v>1676.969894922197</v>
      </c>
      <c r="H278" s="26">
        <f t="shared" si="60"/>
        <v>155.2642809888298</v>
      </c>
      <c r="I278" s="27">
        <f t="shared" si="61"/>
        <v>90448.224042195419</v>
      </c>
      <c r="K278" s="18">
        <f t="shared" si="54"/>
        <v>0.52696590076524885</v>
      </c>
      <c r="L278" s="22">
        <f t="shared" si="65"/>
        <v>1.6999999999999999E-3</v>
      </c>
      <c r="N278" s="15">
        <f t="shared" si="62"/>
        <v>1077.0370926079861</v>
      </c>
      <c r="W278" s="1">
        <f t="shared" si="55"/>
        <v>-1676.969894922197</v>
      </c>
    </row>
    <row r="279" spans="1:23" x14ac:dyDescent="0.2">
      <c r="A279" s="7">
        <f t="shared" si="53"/>
        <v>1.169566321722125E-2</v>
      </c>
      <c r="B279" s="4">
        <f t="shared" si="63"/>
        <v>273</v>
      </c>
      <c r="C279" s="4">
        <f t="shared" si="56"/>
        <v>69</v>
      </c>
      <c r="D279" s="8">
        <f t="shared" si="64"/>
        <v>5.75</v>
      </c>
      <c r="E279" s="23">
        <f t="shared" si="57"/>
        <v>577.35869714087073</v>
      </c>
      <c r="F279" s="24">
        <f t="shared" si="58"/>
        <v>1047.4002744733152</v>
      </c>
      <c r="G279" s="25">
        <f t="shared" si="59"/>
        <v>1679.7589716141858</v>
      </c>
      <c r="H279" s="26">
        <f t="shared" si="60"/>
        <v>153.76198087173219</v>
      </c>
      <c r="I279" s="27">
        <f t="shared" si="61"/>
        <v>89554.585748593832</v>
      </c>
      <c r="K279" s="18">
        <f t="shared" si="54"/>
        <v>0.53200388192767312</v>
      </c>
      <c r="L279" s="22">
        <f t="shared" si="65"/>
        <v>1.6999999999999999E-3</v>
      </c>
      <c r="N279" s="15">
        <f t="shared" si="62"/>
        <v>1077.0370926079861</v>
      </c>
      <c r="W279" s="1">
        <f t="shared" si="55"/>
        <v>-1679.7589716141858</v>
      </c>
    </row>
    <row r="280" spans="1:23" x14ac:dyDescent="0.2">
      <c r="A280" s="7">
        <f t="shared" si="53"/>
        <v>1.191075037814201E-2</v>
      </c>
      <c r="B280" s="4">
        <f t="shared" si="63"/>
        <v>274</v>
      </c>
      <c r="C280" s="4">
        <f t="shared" si="56"/>
        <v>68</v>
      </c>
      <c r="D280" s="8">
        <f t="shared" si="64"/>
        <v>5.666666666666667</v>
      </c>
      <c r="E280" s="23">
        <f t="shared" si="57"/>
        <v>571.65433040097423</v>
      </c>
      <c r="F280" s="24">
        <f t="shared" si="58"/>
        <v>1055.8990915033298</v>
      </c>
      <c r="G280" s="25">
        <f t="shared" si="59"/>
        <v>1682.5534219043041</v>
      </c>
      <c r="H280" s="26">
        <f t="shared" si="60"/>
        <v>152.2427957726095</v>
      </c>
      <c r="I280" s="27">
        <f t="shared" si="61"/>
        <v>88650.9294528631</v>
      </c>
      <c r="K280" s="18">
        <f t="shared" si="54"/>
        <v>0.53707435613424237</v>
      </c>
      <c r="L280" s="22">
        <f t="shared" si="65"/>
        <v>1.6999999999999999E-3</v>
      </c>
      <c r="N280" s="15">
        <f t="shared" si="62"/>
        <v>1077.0370926079861</v>
      </c>
      <c r="W280" s="1">
        <f t="shared" si="55"/>
        <v>-1682.5534219043041</v>
      </c>
    </row>
    <row r="281" spans="1:23" x14ac:dyDescent="0.2">
      <c r="A281" s="7">
        <f t="shared" si="53"/>
        <v>1.2132455078622024E-2</v>
      </c>
      <c r="B281" s="4">
        <f t="shared" si="63"/>
        <v>275</v>
      </c>
      <c r="C281" s="4">
        <f t="shared" si="56"/>
        <v>67</v>
      </c>
      <c r="D281" s="8">
        <f t="shared" si="64"/>
        <v>5.583333333333333</v>
      </c>
      <c r="E281" s="23">
        <f t="shared" si="57"/>
        <v>565.8860156873227</v>
      </c>
      <c r="F281" s="24">
        <f t="shared" si="58"/>
        <v>1064.4672588767164</v>
      </c>
      <c r="G281" s="25">
        <f t="shared" si="59"/>
        <v>1685.3532745640391</v>
      </c>
      <c r="H281" s="26">
        <f t="shared" si="60"/>
        <v>150.70658006986727</v>
      </c>
      <c r="I281" s="27">
        <f t="shared" si="61"/>
        <v>87737.168774056248</v>
      </c>
      <c r="K281" s="18">
        <f t="shared" si="54"/>
        <v>0.54217753191432061</v>
      </c>
      <c r="L281" s="22">
        <f t="shared" si="65"/>
        <v>1.6999999999999999E-3</v>
      </c>
      <c r="N281" s="15">
        <f t="shared" si="62"/>
        <v>1077.0370926079861</v>
      </c>
      <c r="W281" s="1">
        <f t="shared" si="55"/>
        <v>-1685.3532745640391</v>
      </c>
    </row>
    <row r="282" spans="1:23" x14ac:dyDescent="0.2">
      <c r="A282" s="7">
        <f t="shared" si="53"/>
        <v>1.2361082790075835E-2</v>
      </c>
      <c r="B282" s="4">
        <f t="shared" si="63"/>
        <v>276</v>
      </c>
      <c r="C282" s="4">
        <f t="shared" si="56"/>
        <v>66</v>
      </c>
      <c r="D282" s="8">
        <f t="shared" si="64"/>
        <v>5.5</v>
      </c>
      <c r="E282" s="23">
        <f t="shared" si="57"/>
        <v>560.05320160389351</v>
      </c>
      <c r="F282" s="24">
        <f t="shared" si="58"/>
        <v>1073.1053577057619</v>
      </c>
      <c r="G282" s="25">
        <f t="shared" si="59"/>
        <v>1688.1585593096554</v>
      </c>
      <c r="H282" s="26">
        <f t="shared" si="60"/>
        <v>149.15318691589562</v>
      </c>
      <c r="I282" s="27">
        <f t="shared" si="61"/>
        <v>86813.216603266381</v>
      </c>
      <c r="K282" s="18">
        <f t="shared" si="54"/>
        <v>0.54731361914706711</v>
      </c>
      <c r="L282" s="22">
        <f t="shared" si="65"/>
        <v>1.6999999999999999E-3</v>
      </c>
      <c r="N282" s="15">
        <f t="shared" si="62"/>
        <v>1077.0370926079861</v>
      </c>
      <c r="W282" s="1">
        <f t="shared" si="55"/>
        <v>-1688.1585593096554</v>
      </c>
    </row>
    <row r="283" spans="1:23" x14ac:dyDescent="0.2">
      <c r="A283" s="7">
        <f t="shared" si="53"/>
        <v>1.2596958074579518E-2</v>
      </c>
      <c r="B283" s="4">
        <f t="shared" si="63"/>
        <v>277</v>
      </c>
      <c r="C283" s="4">
        <f t="shared" si="56"/>
        <v>65</v>
      </c>
      <c r="D283" s="8">
        <f t="shared" si="64"/>
        <v>5.416666666666667</v>
      </c>
      <c r="E283" s="23">
        <f t="shared" si="57"/>
        <v>554.15533210787271</v>
      </c>
      <c r="F283" s="24">
        <f t="shared" si="58"/>
        <v>1081.8139747510836</v>
      </c>
      <c r="G283" s="25">
        <f t="shared" si="59"/>
        <v>1690.9693068589563</v>
      </c>
      <c r="H283" s="26">
        <f t="shared" si="60"/>
        <v>147.58246822555284</v>
      </c>
      <c r="I283" s="27">
        <f t="shared" si="61"/>
        <v>85878.985096740842</v>
      </c>
      <c r="K283" s="18">
        <f t="shared" si="54"/>
        <v>0.55248282907092117</v>
      </c>
      <c r="L283" s="22">
        <f t="shared" si="65"/>
        <v>1.6999999999999999E-3</v>
      </c>
      <c r="N283" s="15">
        <f t="shared" si="62"/>
        <v>1077.0370926079861</v>
      </c>
      <c r="W283" s="1">
        <f t="shared" si="55"/>
        <v>-1690.9693068589563</v>
      </c>
    </row>
    <row r="284" spans="1:23" x14ac:dyDescent="0.2">
      <c r="A284" s="7">
        <f t="shared" si="53"/>
        <v>1.2840426099960361E-2</v>
      </c>
      <c r="B284" s="4">
        <f t="shared" si="63"/>
        <v>278</v>
      </c>
      <c r="C284" s="4">
        <f t="shared" si="56"/>
        <v>64</v>
      </c>
      <c r="D284" s="8">
        <f t="shared" si="64"/>
        <v>5.333333333333333</v>
      </c>
      <c r="E284" s="23">
        <f t="shared" si="57"/>
        <v>548.19184646570125</v>
      </c>
      <c r="F284" s="24">
        <f t="shared" si="58"/>
        <v>1090.5937025267674</v>
      </c>
      <c r="G284" s="25">
        <f t="shared" si="59"/>
        <v>1693.7855489924686</v>
      </c>
      <c r="H284" s="26">
        <f t="shared" si="60"/>
        <v>145.99427466445943</v>
      </c>
      <c r="I284" s="27">
        <f t="shared" si="61"/>
        <v>84934.385668878545</v>
      </c>
      <c r="K284" s="18">
        <f t="shared" si="54"/>
        <v>0.55768537429321763</v>
      </c>
      <c r="L284" s="22">
        <f t="shared" si="65"/>
        <v>1.6999999999999999E-3</v>
      </c>
      <c r="N284" s="15">
        <f t="shared" si="62"/>
        <v>1077.0370926079861</v>
      </c>
      <c r="W284" s="1">
        <f t="shared" si="55"/>
        <v>-1693.7855489924686</v>
      </c>
    </row>
    <row r="285" spans="1:23" x14ac:dyDescent="0.2">
      <c r="A285" s="7">
        <f t="shared" si="53"/>
        <v>1.309185430150403E-2</v>
      </c>
      <c r="B285" s="4">
        <f t="shared" si="63"/>
        <v>279</v>
      </c>
      <c r="C285" s="4">
        <f t="shared" si="56"/>
        <v>63</v>
      </c>
      <c r="D285" s="8">
        <f t="shared" si="64"/>
        <v>5.25</v>
      </c>
      <c r="E285" s="23">
        <f t="shared" si="57"/>
        <v>542.16217920837448</v>
      </c>
      <c r="F285" s="24">
        <f t="shared" si="58"/>
        <v>1099.4451394110633</v>
      </c>
      <c r="G285" s="25">
        <f t="shared" si="59"/>
        <v>1696.6073186194378</v>
      </c>
      <c r="H285" s="26">
        <f t="shared" si="60"/>
        <v>144.38845563709353</v>
      </c>
      <c r="I285" s="27">
        <f t="shared" si="61"/>
        <v>83979.32898510457</v>
      </c>
      <c r="K285" s="18">
        <f t="shared" si="54"/>
        <v>0.56292146879993299</v>
      </c>
      <c r="L285" s="22">
        <f t="shared" si="65"/>
        <v>1.6999999999999999E-3</v>
      </c>
      <c r="N285" s="15">
        <f t="shared" si="62"/>
        <v>1077.0370926079861</v>
      </c>
      <c r="W285" s="1">
        <f t="shared" si="55"/>
        <v>-1696.6073186194378</v>
      </c>
    </row>
    <row r="286" spans="1:23" x14ac:dyDescent="0.2">
      <c r="A286" s="7">
        <f t="shared" si="53"/>
        <v>1.3351634207103906E-2</v>
      </c>
      <c r="B286" s="4">
        <f t="shared" si="63"/>
        <v>280</v>
      </c>
      <c r="C286" s="4">
        <f t="shared" si="56"/>
        <v>62</v>
      </c>
      <c r="D286" s="8">
        <f t="shared" si="64"/>
        <v>5.166666666666667</v>
      </c>
      <c r="E286" s="23">
        <f t="shared" si="57"/>
        <v>536.06576008595823</v>
      </c>
      <c r="F286" s="24">
        <f t="shared" si="58"/>
        <v>1108.3688897631673</v>
      </c>
      <c r="G286" s="25">
        <f t="shared" si="59"/>
        <v>1699.4346498491257</v>
      </c>
      <c r="H286" s="26">
        <f t="shared" si="60"/>
        <v>142.76485927467778</v>
      </c>
      <c r="I286" s="27">
        <f t="shared" si="61"/>
        <v>83013.724954616089</v>
      </c>
      <c r="K286" s="18">
        <f t="shared" si="54"/>
        <v>0.5681913279655767</v>
      </c>
      <c r="L286" s="22">
        <f t="shared" si="65"/>
        <v>1.6999999999999999E-3</v>
      </c>
      <c r="N286" s="15">
        <f t="shared" si="62"/>
        <v>1077.0370926079861</v>
      </c>
      <c r="W286" s="1">
        <f t="shared" si="55"/>
        <v>-1699.4346498491257</v>
      </c>
    </row>
    <row r="287" spans="1:23" x14ac:dyDescent="0.2">
      <c r="A287" s="7">
        <f t="shared" si="53"/>
        <v>1.3620183444920228E-2</v>
      </c>
      <c r="B287" s="4">
        <f t="shared" si="63"/>
        <v>281</v>
      </c>
      <c r="C287" s="4">
        <f t="shared" si="56"/>
        <v>61</v>
      </c>
      <c r="D287" s="8">
        <f t="shared" si="64"/>
        <v>5.083333333333333</v>
      </c>
      <c r="E287" s="23">
        <f t="shared" si="57"/>
        <v>529.90201402128457</v>
      </c>
      <c r="F287" s="24">
        <f t="shared" si="58"/>
        <v>1117.3655640466291</v>
      </c>
      <c r="G287" s="25">
        <f t="shared" si="59"/>
        <v>1702.2675780679135</v>
      </c>
      <c r="H287" s="26">
        <f t="shared" si="60"/>
        <v>141.12333242284734</v>
      </c>
      <c r="I287" s="27">
        <f t="shared" si="61"/>
        <v>82037.48272299231</v>
      </c>
      <c r="K287" s="18">
        <f t="shared" si="54"/>
        <v>0.57349516856323135</v>
      </c>
      <c r="L287" s="22">
        <f t="shared" si="65"/>
        <v>1.6999999999999999E-3</v>
      </c>
      <c r="N287" s="15">
        <f t="shared" si="62"/>
        <v>1077.0370926079861</v>
      </c>
      <c r="W287" s="1">
        <f t="shared" si="55"/>
        <v>-1702.2675780679135</v>
      </c>
    </row>
    <row r="288" spans="1:23" x14ac:dyDescent="0.2">
      <c r="A288" s="7">
        <f t="shared" si="53"/>
        <v>1.389794795520205E-2</v>
      </c>
      <c r="B288" s="4">
        <f t="shared" si="63"/>
        <v>282</v>
      </c>
      <c r="C288" s="4">
        <f t="shared" si="56"/>
        <v>60</v>
      </c>
      <c r="D288" s="8">
        <f t="shared" si="64"/>
        <v>5</v>
      </c>
      <c r="E288" s="23">
        <f t="shared" si="57"/>
        <v>523.67036106277817</v>
      </c>
      <c r="F288" s="24">
        <f t="shared" si="58"/>
        <v>1126.4357789600126</v>
      </c>
      <c r="G288" s="25">
        <f t="shared" si="59"/>
        <v>1705.1061400227909</v>
      </c>
      <c r="H288" s="26">
        <f t="shared" si="60"/>
        <v>139.46372062908691</v>
      </c>
      <c r="I288" s="27">
        <f t="shared" si="61"/>
        <v>81050.510664661386</v>
      </c>
      <c r="K288" s="18">
        <f t="shared" si="54"/>
        <v>0.57883320877475319</v>
      </c>
      <c r="L288" s="22">
        <f t="shared" si="65"/>
        <v>1.6999999999999999E-3</v>
      </c>
      <c r="N288" s="15">
        <f t="shared" si="62"/>
        <v>1077.0370926079861</v>
      </c>
      <c r="W288" s="1">
        <f t="shared" si="55"/>
        <v>-1705.1061400227909</v>
      </c>
    </row>
    <row r="289" spans="1:23" x14ac:dyDescent="0.2">
      <c r="A289" s="7">
        <f t="shared" si="53"/>
        <v>1.4185404430911869E-2</v>
      </c>
      <c r="B289" s="4">
        <f t="shared" si="63"/>
        <v>283</v>
      </c>
      <c r="C289" s="4">
        <f t="shared" si="56"/>
        <v>59</v>
      </c>
      <c r="D289" s="8">
        <f t="shared" si="64"/>
        <v>4.916666666666667</v>
      </c>
      <c r="E289" s="23">
        <f t="shared" si="57"/>
        <v>517.37021633637039</v>
      </c>
      <c r="F289" s="24">
        <f t="shared" si="58"/>
        <v>1135.5801575755172</v>
      </c>
      <c r="G289" s="25">
        <f t="shared" si="59"/>
        <v>1707.9503739118875</v>
      </c>
      <c r="H289" s="26">
        <f t="shared" si="60"/>
        <v>137.78586812992435</v>
      </c>
      <c r="I289" s="27">
        <f t="shared" si="61"/>
        <v>80052.716375215794</v>
      </c>
      <c r="K289" s="18">
        <f t="shared" si="54"/>
        <v>0.58420566820114683</v>
      </c>
      <c r="L289" s="22">
        <f t="shared" si="65"/>
        <v>1.6999999999999999E-3</v>
      </c>
      <c r="N289" s="15">
        <f t="shared" si="62"/>
        <v>1077.0370926079861</v>
      </c>
      <c r="W289" s="1">
        <f t="shared" si="55"/>
        <v>-1707.9503739118875</v>
      </c>
    </row>
    <row r="290" spans="1:23" x14ac:dyDescent="0.2">
      <c r="A290" s="7">
        <f t="shared" si="53"/>
        <v>1.4483063015250323E-2</v>
      </c>
      <c r="B290" s="4">
        <f t="shared" si="63"/>
        <v>284</v>
      </c>
      <c r="C290" s="4">
        <f t="shared" si="56"/>
        <v>58</v>
      </c>
      <c r="D290" s="8">
        <f t="shared" si="64"/>
        <v>4.833333333333333</v>
      </c>
      <c r="E290" s="23">
        <f t="shared" si="57"/>
        <v>511.00098999644626</v>
      </c>
      <c r="F290" s="24">
        <f t="shared" si="58"/>
        <v>1144.7993294863122</v>
      </c>
      <c r="G290" s="25">
        <f t="shared" si="59"/>
        <v>1710.8003194827586</v>
      </c>
      <c r="H290" s="26">
        <f t="shared" si="60"/>
        <v>136.08961783786685</v>
      </c>
      <c r="I290" s="27">
        <f t="shared" si="61"/>
        <v>79044.006663567343</v>
      </c>
      <c r="K290" s="18">
        <f t="shared" si="54"/>
        <v>0.58961276787311889</v>
      </c>
      <c r="L290" s="22">
        <f t="shared" si="65"/>
        <v>1.6999999999999999E-3</v>
      </c>
      <c r="N290" s="15">
        <f t="shared" si="62"/>
        <v>1077.0370926079861</v>
      </c>
      <c r="W290" s="1">
        <f t="shared" si="55"/>
        <v>-1710.8003194827586</v>
      </c>
    </row>
    <row r="291" spans="1:23" x14ac:dyDescent="0.2">
      <c r="A291" s="7">
        <f t="shared" si="53"/>
        <v>1.4791470288192853E-2</v>
      </c>
      <c r="B291" s="4">
        <f t="shared" si="63"/>
        <v>285</v>
      </c>
      <c r="C291" s="4">
        <f t="shared" si="56"/>
        <v>57</v>
      </c>
      <c r="D291" s="8">
        <f t="shared" si="64"/>
        <v>4.75</v>
      </c>
      <c r="E291" s="23">
        <f t="shared" si="57"/>
        <v>504.56208717576737</v>
      </c>
      <c r="F291" s="24">
        <f t="shared" si="58"/>
        <v>1154.0939309634846</v>
      </c>
      <c r="G291" s="25">
        <f t="shared" si="59"/>
        <v>1713.656018139252</v>
      </c>
      <c r="H291" s="26">
        <f t="shared" si="60"/>
        <v>134.37481132806448</v>
      </c>
      <c r="I291" s="27">
        <f t="shared" si="61"/>
        <v>78024.287543931918</v>
      </c>
      <c r="K291" s="18">
        <f t="shared" si="54"/>
        <v>0.59505473026183342</v>
      </c>
      <c r="L291" s="22">
        <f t="shared" si="65"/>
        <v>1.6999999999999999E-3</v>
      </c>
      <c r="N291" s="15">
        <f t="shared" si="62"/>
        <v>1077.0370926079861</v>
      </c>
      <c r="W291" s="1">
        <f t="shared" si="55"/>
        <v>-1713.656018139252</v>
      </c>
    </row>
    <row r="292" spans="1:23" x14ac:dyDescent="0.2">
      <c r="A292" s="7">
        <f t="shared" si="53"/>
        <v>1.5111212578820289E-2</v>
      </c>
      <c r="B292" s="4">
        <f t="shared" si="63"/>
        <v>286</v>
      </c>
      <c r="C292" s="4">
        <f t="shared" si="56"/>
        <v>56</v>
      </c>
      <c r="D292" s="8">
        <f t="shared" si="64"/>
        <v>4.666666666666667</v>
      </c>
      <c r="E292" s="23">
        <f t="shared" si="57"/>
        <v>498.05290793430777</v>
      </c>
      <c r="F292" s="24">
        <f t="shared" si="58"/>
        <v>1163.4646051235584</v>
      </c>
      <c r="G292" s="25">
        <f t="shared" si="59"/>
        <v>1716.5175130578662</v>
      </c>
      <c r="H292" s="26">
        <f t="shared" si="60"/>
        <v>132.64128882468427</v>
      </c>
      <c r="I292" s="27">
        <f t="shared" si="61"/>
        <v>76993.464227633041</v>
      </c>
      <c r="K292" s="18">
        <f t="shared" si="54"/>
        <v>0.60053177928987644</v>
      </c>
      <c r="L292" s="22">
        <f t="shared" si="65"/>
        <v>1.6999999999999999E-3</v>
      </c>
      <c r="N292" s="15">
        <f t="shared" si="62"/>
        <v>1077.0370926079861</v>
      </c>
      <c r="W292" s="1">
        <f t="shared" si="55"/>
        <v>-1716.5175130578662</v>
      </c>
    </row>
    <row r="293" spans="1:23" x14ac:dyDescent="0.2">
      <c r="A293" s="7">
        <f t="shared" si="53"/>
        <v>1.5442919645674635E-2</v>
      </c>
      <c r="B293" s="4">
        <f t="shared" si="63"/>
        <v>287</v>
      </c>
      <c r="C293" s="4">
        <f t="shared" si="56"/>
        <v>55</v>
      </c>
      <c r="D293" s="8">
        <f t="shared" si="64"/>
        <v>4.583333333333333</v>
      </c>
      <c r="E293" s="23">
        <f t="shared" si="57"/>
        <v>491.47284720693403</v>
      </c>
      <c r="F293" s="24">
        <f t="shared" si="58"/>
        <v>1172.912002107691</v>
      </c>
      <c r="G293" s="25">
        <f t="shared" si="59"/>
        <v>1719.3848493146252</v>
      </c>
      <c r="H293" s="26">
        <f t="shared" si="60"/>
        <v>130.88888918697617</v>
      </c>
      <c r="I293" s="27">
        <f t="shared" si="61"/>
        <v>75951.441114712317</v>
      </c>
      <c r="K293" s="18">
        <f t="shared" si="54"/>
        <v>0.60604414034244991</v>
      </c>
      <c r="L293" s="22">
        <f t="shared" si="65"/>
        <v>1.6999999999999999E-3</v>
      </c>
      <c r="N293" s="15">
        <f t="shared" si="62"/>
        <v>1077.0370926079861</v>
      </c>
      <c r="W293" s="1">
        <f t="shared" si="55"/>
        <v>-1719.3848493146252</v>
      </c>
    </row>
    <row r="294" spans="1:23" x14ac:dyDescent="0.2">
      <c r="A294" s="7">
        <f t="shared" si="53"/>
        <v>1.5787268773745713E-2</v>
      </c>
      <c r="B294" s="4">
        <f t="shared" si="63"/>
        <v>288</v>
      </c>
      <c r="C294" s="4">
        <f t="shared" si="56"/>
        <v>54</v>
      </c>
      <c r="D294" s="8">
        <f t="shared" si="64"/>
        <v>4.5</v>
      </c>
      <c r="E294" s="23">
        <f t="shared" si="57"/>
        <v>484.82129474985186</v>
      </c>
      <c r="F294" s="24">
        <f t="shared" si="58"/>
        <v>1182.4367792737994</v>
      </c>
      <c r="G294" s="25">
        <f t="shared" si="59"/>
        <v>1722.2580740236513</v>
      </c>
      <c r="H294" s="26">
        <f t="shared" si="60"/>
        <v>129.11744989501094</v>
      </c>
      <c r="I294" s="27">
        <f t="shared" si="61"/>
        <v>74898.121785333526</v>
      </c>
      <c r="K294" s="18">
        <f t="shared" si="54"/>
        <v>0.61159204027881575</v>
      </c>
      <c r="L294" s="22">
        <f t="shared" si="65"/>
        <v>1.6999999999999999E-3</v>
      </c>
      <c r="N294" s="15">
        <f t="shared" si="62"/>
        <v>1077.0370926079861</v>
      </c>
      <c r="W294" s="1">
        <f t="shared" si="55"/>
        <v>-1722.2580740236513</v>
      </c>
    </row>
    <row r="295" spans="1:23" x14ac:dyDescent="0.2">
      <c r="A295" s="7">
        <f t="shared" si="53"/>
        <v>1.6144989344171645E-2</v>
      </c>
      <c r="B295" s="4">
        <f t="shared" si="63"/>
        <v>289</v>
      </c>
      <c r="C295" s="4">
        <f t="shared" si="56"/>
        <v>53</v>
      </c>
      <c r="D295" s="8">
        <f t="shared" si="64"/>
        <v>4.416666666666667</v>
      </c>
      <c r="E295" s="23">
        <f t="shared" si="57"/>
        <v>478.09763508573587</v>
      </c>
      <c r="F295" s="24">
        <f t="shared" si="58"/>
        <v>1192.0396014030061</v>
      </c>
      <c r="G295" s="25">
        <f t="shared" si="59"/>
        <v>1725.137236488742</v>
      </c>
      <c r="H295" s="26">
        <f t="shared" si="60"/>
        <v>127.32680703506699</v>
      </c>
      <c r="I295" s="27">
        <f t="shared" si="61"/>
        <v>73833.408990965574</v>
      </c>
      <c r="K295" s="18">
        <f t="shared" si="54"/>
        <v>0.61717570744400729</v>
      </c>
      <c r="L295" s="22">
        <f t="shared" si="65"/>
        <v>1.6999999999999999E-3</v>
      </c>
      <c r="N295" s="15">
        <f t="shared" si="62"/>
        <v>1077.0370926079861</v>
      </c>
      <c r="W295" s="1">
        <f t="shared" si="55"/>
        <v>-1725.137236488742</v>
      </c>
    </row>
    <row r="296" spans="1:23" x14ac:dyDescent="0.2">
      <c r="A296" s="7">
        <f t="shared" si="53"/>
        <v>1.6516867941533321E-2</v>
      </c>
      <c r="B296" s="4">
        <f t="shared" si="63"/>
        <v>290</v>
      </c>
      <c r="C296" s="4">
        <f t="shared" si="56"/>
        <v>52</v>
      </c>
      <c r="D296" s="8">
        <f t="shared" si="64"/>
        <v>4.333333333333333</v>
      </c>
      <c r="E296" s="23">
        <f t="shared" si="57"/>
        <v>471.30124744744768</v>
      </c>
      <c r="F296" s="24">
        <f t="shared" si="58"/>
        <v>1201.7211409220008</v>
      </c>
      <c r="G296" s="25">
        <f t="shared" si="59"/>
        <v>1728.0223883694484</v>
      </c>
      <c r="H296" s="26">
        <f t="shared" si="60"/>
        <v>125.51679528464147</v>
      </c>
      <c r="I296" s="27">
        <f t="shared" si="61"/>
        <v>72757.204645328209</v>
      </c>
      <c r="K296" s="18">
        <f t="shared" si="54"/>
        <v>0.62279537168083765</v>
      </c>
      <c r="L296" s="22">
        <f t="shared" si="65"/>
        <v>1.6999999999999999E-3</v>
      </c>
      <c r="N296" s="15">
        <f t="shared" si="62"/>
        <v>1077.0370926079861</v>
      </c>
      <c r="W296" s="1">
        <f t="shared" si="55"/>
        <v>-1728.0223883694484</v>
      </c>
    </row>
    <row r="297" spans="1:23" x14ac:dyDescent="0.2">
      <c r="A297" s="7">
        <f t="shared" si="53"/>
        <v>1.690375407400355E-2</v>
      </c>
      <c r="B297" s="4">
        <f t="shared" si="63"/>
        <v>291</v>
      </c>
      <c r="C297" s="4">
        <f t="shared" si="56"/>
        <v>51</v>
      </c>
      <c r="D297" s="8">
        <f t="shared" si="64"/>
        <v>4.25</v>
      </c>
      <c r="E297" s="23">
        <f t="shared" si="57"/>
        <v>464.43150572023967</v>
      </c>
      <c r="F297" s="24">
        <f t="shared" si="58"/>
        <v>1211.4820781431249</v>
      </c>
      <c r="G297" s="25">
        <f t="shared" si="59"/>
        <v>1730.9135838633645</v>
      </c>
      <c r="H297" s="26">
        <f t="shared" si="60"/>
        <v>123.68724789705794</v>
      </c>
      <c r="I297" s="27">
        <f t="shared" si="61"/>
        <v>71669.409815082152</v>
      </c>
      <c r="K297" s="18">
        <f t="shared" si="54"/>
        <v>0.6284512643422272</v>
      </c>
      <c r="L297" s="22">
        <f t="shared" si="65"/>
        <v>1.6999999999999999E-3</v>
      </c>
      <c r="N297" s="15">
        <f t="shared" si="62"/>
        <v>1077.0370926079861</v>
      </c>
      <c r="W297" s="1">
        <f t="shared" si="55"/>
        <v>-1730.9135838633645</v>
      </c>
    </row>
    <row r="298" spans="1:23" x14ac:dyDescent="0.2">
      <c r="A298" s="7">
        <f t="shared" si="53"/>
        <v>1.7306566593898478E-2</v>
      </c>
      <c r="B298" s="4">
        <f t="shared" si="63"/>
        <v>292</v>
      </c>
      <c r="C298" s="4">
        <f t="shared" si="56"/>
        <v>50</v>
      </c>
      <c r="D298" s="8">
        <f t="shared" si="64"/>
        <v>4.166666666666667</v>
      </c>
      <c r="E298" s="23">
        <f t="shared" si="57"/>
        <v>457.48777838232701</v>
      </c>
      <c r="F298" s="24">
        <f t="shared" si="58"/>
        <v>1221.323101524232</v>
      </c>
      <c r="G298" s="25">
        <f t="shared" si="59"/>
        <v>1733.810879906559</v>
      </c>
      <c r="H298" s="26">
        <f t="shared" si="60"/>
        <v>121.83799668563965</v>
      </c>
      <c r="I298" s="27">
        <f t="shared" si="61"/>
        <v>70569.924710243562</v>
      </c>
      <c r="K298" s="18">
        <f t="shared" si="54"/>
        <v>0.63414361830388755</v>
      </c>
      <c r="L298" s="22">
        <f t="shared" si="65"/>
        <v>1.6999999999999999E-3</v>
      </c>
      <c r="N298" s="15">
        <f t="shared" si="62"/>
        <v>1077.0370926079861</v>
      </c>
      <c r="W298" s="1">
        <f t="shared" si="55"/>
        <v>-1733.810879906559</v>
      </c>
    </row>
    <row r="299" spans="1:23" x14ac:dyDescent="0.2">
      <c r="A299" s="7">
        <f t="shared" si="53"/>
        <v>1.7726300920769603E-2</v>
      </c>
      <c r="B299" s="4">
        <f t="shared" si="63"/>
        <v>293</v>
      </c>
      <c r="C299" s="4">
        <f t="shared" si="56"/>
        <v>49</v>
      </c>
      <c r="D299" s="8">
        <f t="shared" si="64"/>
        <v>4.083333333333333</v>
      </c>
      <c r="E299" s="23">
        <f t="shared" si="57"/>
        <v>450.46942844370068</v>
      </c>
      <c r="F299" s="24">
        <f t="shared" si="58"/>
        <v>1231.2449079506621</v>
      </c>
      <c r="G299" s="25">
        <f t="shared" si="59"/>
        <v>1736.7143363943628</v>
      </c>
      <c r="H299" s="26">
        <f t="shared" si="60"/>
        <v>119.96887200741405</v>
      </c>
      <c r="I299" s="27">
        <f t="shared" si="61"/>
        <v>69458.648674300319</v>
      </c>
      <c r="K299" s="18">
        <f t="shared" si="54"/>
        <v>0.63987266797739262</v>
      </c>
      <c r="L299" s="22">
        <f t="shared" si="65"/>
        <v>1.6999999999999999E-3</v>
      </c>
      <c r="N299" s="15">
        <f t="shared" si="62"/>
        <v>1077.0370926079861</v>
      </c>
      <c r="W299" s="1">
        <f t="shared" si="55"/>
        <v>-1736.7143363943628</v>
      </c>
    </row>
    <row r="300" spans="1:23" x14ac:dyDescent="0.2">
      <c r="A300" s="7">
        <f t="shared" si="53"/>
        <v>1.8164037186559633E-2</v>
      </c>
      <c r="B300" s="4">
        <f t="shared" si="63"/>
        <v>294</v>
      </c>
      <c r="C300" s="4">
        <f t="shared" si="56"/>
        <v>48</v>
      </c>
      <c r="D300" s="8">
        <f t="shared" si="64"/>
        <v>4</v>
      </c>
      <c r="E300" s="23">
        <f t="shared" si="57"/>
        <v>443.37581338303636</v>
      </c>
      <c r="F300" s="24">
        <f t="shared" si="58"/>
        <v>1241.2482030420283</v>
      </c>
      <c r="G300" s="25">
        <f t="shared" si="59"/>
        <v>1739.6240164250646</v>
      </c>
      <c r="H300" s="26">
        <f t="shared" si="60"/>
        <v>118.07970274631053</v>
      </c>
      <c r="I300" s="27">
        <f t="shared" si="61"/>
        <v>68335.48017400461</v>
      </c>
      <c r="K300" s="18">
        <f t="shared" si="54"/>
        <v>0.6456386493236822</v>
      </c>
      <c r="L300" s="22">
        <f t="shared" si="65"/>
        <v>1.6999999999999999E-3</v>
      </c>
      <c r="N300" s="15">
        <f t="shared" si="62"/>
        <v>1077.0370926079861</v>
      </c>
      <c r="W300" s="1">
        <f t="shared" si="55"/>
        <v>-1739.6240164250646</v>
      </c>
    </row>
    <row r="301" spans="1:23" x14ac:dyDescent="0.2">
      <c r="A301" s="7">
        <f t="shared" si="53"/>
        <v>1.8620949443130769E-2</v>
      </c>
      <c r="B301" s="4">
        <f t="shared" si="63"/>
        <v>295</v>
      </c>
      <c r="C301" s="4">
        <f t="shared" si="56"/>
        <v>47</v>
      </c>
      <c r="D301" s="8">
        <f t="shared" si="64"/>
        <v>3.9166666666666665</v>
      </c>
      <c r="E301" s="23">
        <f t="shared" si="57"/>
        <v>436.20628508253731</v>
      </c>
      <c r="F301" s="24">
        <f t="shared" si="58"/>
        <v>1251.3337014868689</v>
      </c>
      <c r="G301" s="25">
        <f t="shared" si="59"/>
        <v>1742.5399865694062</v>
      </c>
      <c r="H301" s="26">
        <f t="shared" si="60"/>
        <v>116.17031629580784</v>
      </c>
      <c r="I301" s="27">
        <f t="shared" si="61"/>
        <v>67200.31678881355</v>
      </c>
      <c r="K301" s="18">
        <f t="shared" si="54"/>
        <v>0.65144179986703965</v>
      </c>
      <c r="L301" s="22">
        <f t="shared" si="65"/>
        <v>1.6999999999999999E-3</v>
      </c>
      <c r="N301" s="15">
        <f t="shared" si="62"/>
        <v>1077.0370926079861</v>
      </c>
      <c r="W301" s="1">
        <f t="shared" si="55"/>
        <v>-1742.5399865694062</v>
      </c>
    </row>
    <row r="302" spans="1:23" x14ac:dyDescent="0.2">
      <c r="A302" s="7">
        <f t="shared" si="53"/>
        <v>1.9098316097417436E-2</v>
      </c>
      <c r="B302" s="4">
        <f t="shared" si="63"/>
        <v>296</v>
      </c>
      <c r="C302" s="4">
        <f t="shared" si="56"/>
        <v>46</v>
      </c>
      <c r="D302" s="8">
        <f t="shared" si="64"/>
        <v>3.8333333333333335</v>
      </c>
      <c r="E302" s="23">
        <f t="shared" si="57"/>
        <v>428.96018976053102</v>
      </c>
      <c r="F302" s="24">
        <f t="shared" si="58"/>
        <v>1261.5021274087273</v>
      </c>
      <c r="G302" s="25">
        <f t="shared" si="59"/>
        <v>1745.4623171692583</v>
      </c>
      <c r="H302" s="26">
        <f t="shared" si="60"/>
        <v>114.24053854098302</v>
      </c>
      <c r="I302" s="27">
        <f t="shared" si="61"/>
        <v>66053.055199945797</v>
      </c>
      <c r="K302" s="18">
        <f t="shared" si="54"/>
        <v>0.65728235870960594</v>
      </c>
      <c r="L302" s="22">
        <f t="shared" si="65"/>
        <v>1.6999999999999999E-3</v>
      </c>
      <c r="N302" s="15">
        <f t="shared" si="62"/>
        <v>1077.0370926079861</v>
      </c>
      <c r="W302" s="1">
        <f t="shared" si="55"/>
        <v>-1745.4623171692583</v>
      </c>
    </row>
    <row r="303" spans="1:23" x14ac:dyDescent="0.2">
      <c r="A303" s="7">
        <f t="shared" si="53"/>
        <v>1.9597531769499642E-2</v>
      </c>
      <c r="B303" s="4">
        <f t="shared" si="63"/>
        <v>297</v>
      </c>
      <c r="C303" s="4">
        <f t="shared" si="56"/>
        <v>45</v>
      </c>
      <c r="D303" s="8">
        <f t="shared" si="64"/>
        <v>3.75</v>
      </c>
      <c r="E303" s="23">
        <f t="shared" si="57"/>
        <v>421.63686790161381</v>
      </c>
      <c r="F303" s="24">
        <f t="shared" si="58"/>
        <v>1271.7542147677266</v>
      </c>
      <c r="G303" s="25">
        <f t="shared" si="59"/>
        <v>1748.3910826693404</v>
      </c>
      <c r="H303" s="26">
        <f t="shared" si="60"/>
        <v>112.29019383990784</v>
      </c>
      <c r="I303" s="27">
        <f t="shared" si="61"/>
        <v>64893.591179017982</v>
      </c>
      <c r="K303" s="18">
        <f t="shared" si="54"/>
        <v>0.66316056654648303</v>
      </c>
      <c r="L303" s="22">
        <f t="shared" si="65"/>
        <v>1.6999999999999999E-3</v>
      </c>
      <c r="N303" s="15">
        <f t="shared" si="62"/>
        <v>1077.0370926079861</v>
      </c>
      <c r="W303" s="1">
        <f t="shared" si="55"/>
        <v>-1748.3910826693404</v>
      </c>
    </row>
    <row r="304" spans="1:23" x14ac:dyDescent="0.2">
      <c r="A304" s="7">
        <f t="shared" si="53"/>
        <v>2.0120120805226214E-2</v>
      </c>
      <c r="B304" s="4">
        <f t="shared" si="63"/>
        <v>298</v>
      </c>
      <c r="C304" s="4">
        <f t="shared" si="56"/>
        <v>44</v>
      </c>
      <c r="D304" s="8">
        <f t="shared" si="64"/>
        <v>3.6666666666666665</v>
      </c>
      <c r="E304" s="23">
        <f t="shared" si="57"/>
        <v>414.23565418411391</v>
      </c>
      <c r="F304" s="24">
        <f t="shared" si="58"/>
        <v>1282.0907078023738</v>
      </c>
      <c r="G304" s="25">
        <f t="shared" si="59"/>
        <v>1751.3263619864877</v>
      </c>
      <c r="H304" s="26">
        <f t="shared" si="60"/>
        <v>110.31910500433057</v>
      </c>
      <c r="I304" s="27">
        <f t="shared" si="61"/>
        <v>63721.819576219939</v>
      </c>
      <c r="K304" s="18">
        <f t="shared" si="54"/>
        <v>0.66907666568150703</v>
      </c>
      <c r="L304" s="22">
        <f t="shared" si="65"/>
        <v>1.6999999999999999E-3</v>
      </c>
      <c r="N304" s="15">
        <f t="shared" si="62"/>
        <v>1077.0370926079861</v>
      </c>
      <c r="W304" s="1">
        <f t="shared" si="55"/>
        <v>-1751.3263619864877</v>
      </c>
    </row>
    <row r="305" spans="1:23" x14ac:dyDescent="0.2">
      <c r="A305" s="7">
        <f t="shared" si="53"/>
        <v>2.066775271913503E-2</v>
      </c>
      <c r="B305" s="4">
        <f t="shared" si="63"/>
        <v>299</v>
      </c>
      <c r="C305" s="4">
        <f t="shared" si="56"/>
        <v>43</v>
      </c>
      <c r="D305" s="8">
        <f t="shared" si="64"/>
        <v>3.5833333333333335</v>
      </c>
      <c r="E305" s="23">
        <f t="shared" si="57"/>
        <v>406.75587740461037</v>
      </c>
      <c r="F305" s="24">
        <f t="shared" si="58"/>
        <v>1292.5123615170762</v>
      </c>
      <c r="G305" s="25">
        <f t="shared" si="59"/>
        <v>1754.2682389216866</v>
      </c>
      <c r="H305" s="26">
        <f t="shared" si="60"/>
        <v>108.32709327957389</v>
      </c>
      <c r="I305" s="27">
        <f t="shared" si="61"/>
        <v>62537.634307982436</v>
      </c>
      <c r="K305" s="18">
        <f t="shared" si="54"/>
        <v>0.67503090004376831</v>
      </c>
      <c r="L305" s="22">
        <f t="shared" si="65"/>
        <v>1.6999999999999999E-3</v>
      </c>
      <c r="N305" s="15">
        <f t="shared" si="62"/>
        <v>1077.0370926079861</v>
      </c>
      <c r="W305" s="1">
        <f t="shared" si="55"/>
        <v>-1754.2682389216866</v>
      </c>
    </row>
    <row r="306" spans="1:23" x14ac:dyDescent="0.2">
      <c r="A306" s="7">
        <f t="shared" si="53"/>
        <v>2.1242259897219527E-2</v>
      </c>
      <c r="B306" s="4">
        <f t="shared" si="63"/>
        <v>300</v>
      </c>
      <c r="C306" s="4">
        <f t="shared" si="56"/>
        <v>42</v>
      </c>
      <c r="D306" s="8">
        <f t="shared" si="64"/>
        <v>3.5</v>
      </c>
      <c r="E306" s="23">
        <f t="shared" si="57"/>
        <v>399.1968603992122</v>
      </c>
      <c r="F306" s="24">
        <f t="shared" si="58"/>
        <v>1303.0199422217574</v>
      </c>
      <c r="G306" s="25">
        <f t="shared" si="59"/>
        <v>1757.2168026209697</v>
      </c>
      <c r="H306" s="26">
        <f t="shared" si="60"/>
        <v>106.31397832357014</v>
      </c>
      <c r="I306" s="27">
        <f t="shared" si="61"/>
        <v>61340.928344084248</v>
      </c>
      <c r="K306" s="18">
        <f t="shared" si="54"/>
        <v>0.68102351520497939</v>
      </c>
      <c r="L306" s="22">
        <f t="shared" si="65"/>
        <v>1.6999999999999999E-3</v>
      </c>
      <c r="N306" s="15">
        <f t="shared" si="62"/>
        <v>1077.0370926079861</v>
      </c>
      <c r="W306" s="1">
        <f t="shared" si="55"/>
        <v>-1757.2168026209697</v>
      </c>
    </row>
    <row r="307" spans="1:23" x14ac:dyDescent="0.2">
      <c r="A307" s="7">
        <f t="shared" si="53"/>
        <v>2.1845657954998106E-2</v>
      </c>
      <c r="B307" s="4">
        <f t="shared" si="63"/>
        <v>301</v>
      </c>
      <c r="C307" s="4">
        <f t="shared" si="56"/>
        <v>41</v>
      </c>
      <c r="D307" s="8">
        <f t="shared" si="64"/>
        <v>3.4166666666666665</v>
      </c>
      <c r="E307" s="23">
        <f t="shared" si="57"/>
        <v>391.55791996125913</v>
      </c>
      <c r="F307" s="24">
        <f t="shared" si="58"/>
        <v>1313.6142281310626</v>
      </c>
      <c r="G307" s="25">
        <f t="shared" si="59"/>
        <v>1760.1721480923218</v>
      </c>
      <c r="H307" s="26">
        <f t="shared" si="60"/>
        <v>104.27957818494322</v>
      </c>
      <c r="I307" s="27">
        <f t="shared" si="61"/>
        <v>60131.59369413813</v>
      </c>
      <c r="K307" s="18">
        <f t="shared" si="54"/>
        <v>0.68705475839780727</v>
      </c>
      <c r="L307" s="22">
        <f t="shared" si="65"/>
        <v>1.6999999999999999E-3</v>
      </c>
      <c r="N307" s="15">
        <f t="shared" si="62"/>
        <v>1077.0370926079861</v>
      </c>
      <c r="W307" s="1">
        <f t="shared" si="55"/>
        <v>-1760.1721480923218</v>
      </c>
    </row>
    <row r="308" spans="1:23" x14ac:dyDescent="0.2">
      <c r="A308" s="7">
        <f t="shared" si="53"/>
        <v>2.248016922745822E-2</v>
      </c>
      <c r="B308" s="4">
        <f t="shared" si="63"/>
        <v>302</v>
      </c>
      <c r="C308" s="4">
        <f t="shared" si="56"/>
        <v>40</v>
      </c>
      <c r="D308" s="8">
        <f t="shared" si="64"/>
        <v>3.3333333333333335</v>
      </c>
      <c r="E308" s="23">
        <f t="shared" si="57"/>
        <v>383.83836675505717</v>
      </c>
      <c r="F308" s="24">
        <f t="shared" si="58"/>
        <v>1324.2960100318937</v>
      </c>
      <c r="G308" s="25">
        <f t="shared" si="59"/>
        <v>1763.134376786951</v>
      </c>
      <c r="H308" s="26">
        <f t="shared" si="60"/>
        <v>102.22370928003481</v>
      </c>
      <c r="I308" s="27">
        <f t="shared" si="61"/>
        <v>58909.521393386269</v>
      </c>
      <c r="K308" s="18">
        <f t="shared" si="54"/>
        <v>0.69312487853529525</v>
      </c>
      <c r="L308" s="22">
        <f t="shared" si="65"/>
        <v>1.6999999999999999E-3</v>
      </c>
      <c r="N308" s="15">
        <f t="shared" si="62"/>
        <v>1077.0370926079861</v>
      </c>
      <c r="W308" s="1">
        <f t="shared" si="55"/>
        <v>-1763.134376786951</v>
      </c>
    </row>
    <row r="309" spans="1:23" x14ac:dyDescent="0.2">
      <c r="A309" s="7">
        <f t="shared" si="53"/>
        <v>2.3148249967773961E-2</v>
      </c>
      <c r="B309" s="4">
        <f t="shared" si="63"/>
        <v>303</v>
      </c>
      <c r="C309" s="4">
        <f t="shared" si="56"/>
        <v>39</v>
      </c>
      <c r="D309" s="8">
        <f t="shared" si="64"/>
        <v>3.25</v>
      </c>
      <c r="E309" s="23">
        <f t="shared" si="57"/>
        <v>376.03750522520693</v>
      </c>
      <c r="F309" s="24">
        <f t="shared" si="58"/>
        <v>1335.0660920296159</v>
      </c>
      <c r="G309" s="25">
        <f t="shared" si="59"/>
        <v>1766.1035972548227</v>
      </c>
      <c r="H309" s="26">
        <f t="shared" si="60"/>
        <v>100.14618636875664</v>
      </c>
      <c r="I309" s="27">
        <f t="shared" si="61"/>
        <v>57674.601487725413</v>
      </c>
      <c r="K309" s="18">
        <f t="shared" si="54"/>
        <v>0.69923412623154213</v>
      </c>
      <c r="L309" s="22">
        <f t="shared" si="65"/>
        <v>1.6999999999999999E-3</v>
      </c>
      <c r="N309" s="15">
        <f t="shared" si="62"/>
        <v>1077.0370926079861</v>
      </c>
      <c r="W309" s="1">
        <f t="shared" si="55"/>
        <v>-1766.1035972548227</v>
      </c>
    </row>
    <row r="310" spans="1:23" x14ac:dyDescent="0.2">
      <c r="A310" s="7">
        <f t="shared" si="53"/>
        <v>2.3852621956425003E-2</v>
      </c>
      <c r="B310" s="4">
        <f t="shared" si="63"/>
        <v>304</v>
      </c>
      <c r="C310" s="4">
        <f t="shared" si="56"/>
        <v>38</v>
      </c>
      <c r="D310" s="8">
        <f t="shared" si="64"/>
        <v>3.1666666666666665</v>
      </c>
      <c r="E310" s="23">
        <f t="shared" si="57"/>
        <v>368.15463350101408</v>
      </c>
      <c r="F310" s="24">
        <f t="shared" si="58"/>
        <v>1345.9252923851438</v>
      </c>
      <c r="G310" s="25">
        <f t="shared" si="59"/>
        <v>1769.079925886158</v>
      </c>
      <c r="H310" s="26">
        <f t="shared" si="60"/>
        <v>98.046822529133195</v>
      </c>
      <c r="I310" s="27">
        <f t="shared" si="61"/>
        <v>56426.723017869401</v>
      </c>
      <c r="K310" s="18">
        <f t="shared" si="54"/>
        <v>0.70538275382381621</v>
      </c>
      <c r="L310" s="22">
        <f t="shared" si="65"/>
        <v>1.6999999999999999E-3</v>
      </c>
      <c r="N310" s="15">
        <f t="shared" si="62"/>
        <v>1077.0370926079861</v>
      </c>
      <c r="W310" s="1">
        <f t="shared" si="55"/>
        <v>-1769.079925886158</v>
      </c>
    </row>
    <row r="311" spans="1:23" x14ac:dyDescent="0.2">
      <c r="A311" s="7">
        <f t="shared" si="53"/>
        <v>2.4596309378254334E-2</v>
      </c>
      <c r="B311" s="4">
        <f t="shared" si="63"/>
        <v>305</v>
      </c>
      <c r="C311" s="4">
        <f t="shared" si="56"/>
        <v>37</v>
      </c>
      <c r="D311" s="8">
        <f t="shared" si="64"/>
        <v>3.0833333333333335</v>
      </c>
      <c r="E311" s="23">
        <f t="shared" si="57"/>
        <v>360.18904329539436</v>
      </c>
      <c r="F311" s="24">
        <f t="shared" si="58"/>
        <v>1356.8744444573927</v>
      </c>
      <c r="G311" s="25">
        <f t="shared" si="59"/>
        <v>1772.0634877527871</v>
      </c>
      <c r="H311" s="26">
        <f t="shared" si="60"/>
        <v>95.925429130377978</v>
      </c>
      <c r="I311" s="27">
        <f t="shared" si="61"/>
        <v>55165.774002542392</v>
      </c>
      <c r="K311" s="18">
        <f t="shared" si="54"/>
        <v>0.71157101539633116</v>
      </c>
      <c r="L311" s="22">
        <f t="shared" si="65"/>
        <v>1.6999999999999999E-3</v>
      </c>
      <c r="N311" s="15">
        <f t="shared" si="62"/>
        <v>1077.0370926079861</v>
      </c>
      <c r="W311" s="1">
        <f t="shared" si="55"/>
        <v>-1772.0634877527871</v>
      </c>
    </row>
    <row r="312" spans="1:23" x14ac:dyDescent="0.2">
      <c r="A312" s="7">
        <f t="shared" si="53"/>
        <v>2.5382682021001995E-2</v>
      </c>
      <c r="B312" s="4">
        <f t="shared" si="63"/>
        <v>306</v>
      </c>
      <c r="C312" s="4">
        <f t="shared" si="56"/>
        <v>36</v>
      </c>
      <c r="D312" s="8">
        <f t="shared" si="64"/>
        <v>3</v>
      </c>
      <c r="E312" s="23">
        <f t="shared" si="57"/>
        <v>352.14001979759041</v>
      </c>
      <c r="F312" s="24">
        <f t="shared" si="58"/>
        <v>1367.9143977683996</v>
      </c>
      <c r="G312" s="25">
        <f t="shared" si="59"/>
        <v>1775.05441756599</v>
      </c>
      <c r="H312" s="26">
        <f t="shared" si="60"/>
        <v>93.781815804322065</v>
      </c>
      <c r="I312" s="27">
        <f t="shared" si="61"/>
        <v>53891.641420578315</v>
      </c>
      <c r="K312" s="18">
        <f t="shared" si="54"/>
        <v>0.7177991668059438</v>
      </c>
      <c r="L312" s="22">
        <f t="shared" si="65"/>
        <v>1.6999999999999999E-3</v>
      </c>
      <c r="N312" s="15">
        <f t="shared" si="62"/>
        <v>1077.0370926079861</v>
      </c>
      <c r="W312" s="1">
        <f t="shared" si="55"/>
        <v>-1775.05441756599</v>
      </c>
    </row>
    <row r="313" spans="1:23" x14ac:dyDescent="0.2">
      <c r="A313" s="7">
        <f t="shared" si="53"/>
        <v>2.6215506096730092E-2</v>
      </c>
      <c r="B313" s="4">
        <f t="shared" si="63"/>
        <v>307</v>
      </c>
      <c r="C313" s="4">
        <f t="shared" si="56"/>
        <v>35</v>
      </c>
      <c r="D313" s="8">
        <f t="shared" si="64"/>
        <v>2.9166666666666665</v>
      </c>
      <c r="E313" s="23">
        <f t="shared" si="57"/>
        <v>344.00684155890735</v>
      </c>
      <c r="F313" s="24">
        <f t="shared" si="58"/>
        <v>1379.0460192118244</v>
      </c>
      <c r="G313" s="25">
        <f t="shared" si="59"/>
        <v>1778.0528607707317</v>
      </c>
      <c r="H313" s="26">
        <f t="shared" si="60"/>
        <v>91.615790414983124</v>
      </c>
      <c r="I313" s="27">
        <f t="shared" si="61"/>
        <v>52604.211191781469</v>
      </c>
      <c r="K313" s="18">
        <f t="shared" si="54"/>
        <v>0.72406746571009106</v>
      </c>
      <c r="L313" s="22">
        <f t="shared" si="65"/>
        <v>1.6999999999999999E-3</v>
      </c>
      <c r="N313" s="15">
        <f t="shared" si="62"/>
        <v>1077.0370926079861</v>
      </c>
      <c r="W313" s="1">
        <f t="shared" si="55"/>
        <v>-1778.0528607707317</v>
      </c>
    </row>
    <row r="314" spans="1:23" x14ac:dyDescent="0.2">
      <c r="A314" s="7">
        <f t="shared" si="53"/>
        <v>2.7099004303033331E-2</v>
      </c>
      <c r="B314" s="4">
        <f t="shared" si="63"/>
        <v>308</v>
      </c>
      <c r="C314" s="4">
        <f t="shared" si="56"/>
        <v>34</v>
      </c>
      <c r="D314" s="8">
        <f t="shared" si="64"/>
        <v>2.8333333333333335</v>
      </c>
      <c r="E314" s="23">
        <f t="shared" si="57"/>
        <v>335.78878037054005</v>
      </c>
      <c r="F314" s="24">
        <f t="shared" si="58"/>
        <v>1390.2701944297828</v>
      </c>
      <c r="G314" s="25">
        <f t="shared" si="59"/>
        <v>1781.0589748003229</v>
      </c>
      <c r="H314" s="26">
        <f t="shared" si="60"/>
        <v>89.427159026028491</v>
      </c>
      <c r="I314" s="27">
        <f t="shared" si="61"/>
        <v>51303.368156377714</v>
      </c>
      <c r="K314" s="18">
        <f t="shared" si="54"/>
        <v>0.73037617159734636</v>
      </c>
      <c r="L314" s="22">
        <f t="shared" si="65"/>
        <v>1.6999999999999999E-3</v>
      </c>
      <c r="N314" s="15">
        <f t="shared" si="62"/>
        <v>1077.0370926079861</v>
      </c>
      <c r="W314" s="1">
        <f t="shared" si="55"/>
        <v>-1781.0589748003229</v>
      </c>
    </row>
    <row r="315" spans="1:23" x14ac:dyDescent="0.2">
      <c r="A315" s="7">
        <f t="shared" si="53"/>
        <v>2.8037927145131293E-2</v>
      </c>
      <c r="B315" s="4">
        <f t="shared" si="63"/>
        <v>309</v>
      </c>
      <c r="C315" s="4">
        <f t="shared" si="56"/>
        <v>33</v>
      </c>
      <c r="D315" s="8">
        <f t="shared" si="64"/>
        <v>2.75</v>
      </c>
      <c r="E315" s="23">
        <f t="shared" si="57"/>
        <v>327.48510113240366</v>
      </c>
      <c r="F315" s="24">
        <f t="shared" si="58"/>
        <v>1401.5878293882138</v>
      </c>
      <c r="G315" s="25">
        <f t="shared" si="59"/>
        <v>1784.0729305206173</v>
      </c>
      <c r="H315" s="26">
        <f t="shared" si="60"/>
        <v>87.215725865842103</v>
      </c>
      <c r="I315" s="27">
        <f t="shared" si="61"/>
        <v>49988.996052855342</v>
      </c>
      <c r="K315" s="18">
        <f t="shared" si="54"/>
        <v>0.73672554582105543</v>
      </c>
      <c r="L315" s="22">
        <f t="shared" si="65"/>
        <v>1.6999999999999999E-3</v>
      </c>
      <c r="N315" s="15">
        <f t="shared" si="62"/>
        <v>1077.0370926079861</v>
      </c>
      <c r="W315" s="1">
        <f t="shared" si="55"/>
        <v>-1784.0729305206173</v>
      </c>
    </row>
    <row r="316" spans="1:23" x14ac:dyDescent="0.2">
      <c r="A316" s="7">
        <f t="shared" si="53"/>
        <v>2.9037638061483233E-2</v>
      </c>
      <c r="B316" s="4">
        <f t="shared" si="63"/>
        <v>310</v>
      </c>
      <c r="C316" s="4">
        <f t="shared" si="56"/>
        <v>32</v>
      </c>
      <c r="D316" s="8">
        <f t="shared" si="64"/>
        <v>2.6666666666666665</v>
      </c>
      <c r="E316" s="23">
        <f t="shared" si="57"/>
        <v>319.09506171168533</v>
      </c>
      <c r="F316" s="24">
        <f t="shared" si="58"/>
        <v>1412.9998521875243</v>
      </c>
      <c r="G316" s="25">
        <f t="shared" si="59"/>
        <v>1787.0949138992096</v>
      </c>
      <c r="H316" s="26">
        <f t="shared" si="60"/>
        <v>84.981293289854079</v>
      </c>
      <c r="I316" s="27">
        <f t="shared" si="61"/>
        <v>48660.977493957675</v>
      </c>
      <c r="K316" s="18">
        <f t="shared" si="54"/>
        <v>0.74311585163661265</v>
      </c>
      <c r="L316" s="22">
        <f t="shared" si="65"/>
        <v>1.6999999999999999E-3</v>
      </c>
      <c r="N316" s="15">
        <f t="shared" si="62"/>
        <v>1077.0370926079861</v>
      </c>
      <c r="W316" s="1">
        <f t="shared" si="55"/>
        <v>-1787.0949138992096</v>
      </c>
    </row>
    <row r="317" spans="1:23" x14ac:dyDescent="0.2">
      <c r="A317" s="7">
        <f t="shared" si="53"/>
        <v>3.0104215573566118E-2</v>
      </c>
      <c r="B317" s="4">
        <f t="shared" si="63"/>
        <v>311</v>
      </c>
      <c r="C317" s="4">
        <f t="shared" si="56"/>
        <v>31</v>
      </c>
      <c r="D317" s="8">
        <f t="shared" si="64"/>
        <v>2.5833333333333335</v>
      </c>
      <c r="E317" s="23">
        <f t="shared" si="57"/>
        <v>310.61791278959748</v>
      </c>
      <c r="F317" s="24">
        <f t="shared" si="58"/>
        <v>1424.5072151535169</v>
      </c>
      <c r="G317" s="25">
        <f t="shared" si="59"/>
        <v>1790.1251279431144</v>
      </c>
      <c r="H317" s="26">
        <f t="shared" si="60"/>
        <v>82.723661739728044</v>
      </c>
      <c r="I317" s="27">
        <f t="shared" si="61"/>
        <v>47319.19394054389</v>
      </c>
      <c r="K317" s="18">
        <f t="shared" si="54"/>
        <v>0.74954735424306462</v>
      </c>
      <c r="L317" s="22">
        <f t="shared" si="65"/>
        <v>1.6999999999999999E-3</v>
      </c>
      <c r="N317" s="15">
        <f t="shared" si="62"/>
        <v>1077.0370926079861</v>
      </c>
      <c r="W317" s="1">
        <f t="shared" si="55"/>
        <v>-1790.1251279431144</v>
      </c>
    </row>
    <row r="318" spans="1:23" x14ac:dyDescent="0.2">
      <c r="A318" s="7">
        <f t="shared" si="53"/>
        <v>3.1244576568856534E-2</v>
      </c>
      <c r="B318" s="4">
        <f t="shared" si="63"/>
        <v>312</v>
      </c>
      <c r="C318" s="4">
        <f t="shared" si="56"/>
        <v>30</v>
      </c>
      <c r="D318" s="8">
        <f t="shared" si="64"/>
        <v>2.5</v>
      </c>
      <c r="E318" s="23">
        <f t="shared" si="57"/>
        <v>302.05289769452361</v>
      </c>
      <c r="F318" s="24">
        <f t="shared" si="58"/>
        <v>1436.11089726399</v>
      </c>
      <c r="G318" s="25">
        <f t="shared" si="59"/>
        <v>1793.1637949585136</v>
      </c>
      <c r="H318" s="26">
        <f t="shared" si="60"/>
        <v>80.442629698924605</v>
      </c>
      <c r="I318" s="27">
        <f t="shared" si="61"/>
        <v>45963.525672978823</v>
      </c>
      <c r="K318" s="18">
        <f t="shared" si="54"/>
        <v>0.75602032082988269</v>
      </c>
      <c r="L318" s="22">
        <f t="shared" si="65"/>
        <v>1.6999999999999999E-3</v>
      </c>
      <c r="N318" s="15">
        <f t="shared" si="62"/>
        <v>1077.0370926079861</v>
      </c>
      <c r="W318" s="1">
        <f t="shared" si="55"/>
        <v>-1793.1637949585136</v>
      </c>
    </row>
    <row r="319" spans="1:23" x14ac:dyDescent="0.2">
      <c r="A319" s="7">
        <f t="shared" si="53"/>
        <v>3.2466625999998486E-2</v>
      </c>
      <c r="B319" s="4">
        <f t="shared" si="63"/>
        <v>313</v>
      </c>
      <c r="C319" s="4">
        <f t="shared" si="56"/>
        <v>29</v>
      </c>
      <c r="D319" s="8">
        <f t="shared" si="64"/>
        <v>2.4166666666666665</v>
      </c>
      <c r="E319" s="23">
        <f t="shared" si="57"/>
        <v>293.39925221939029</v>
      </c>
      <c r="F319" s="24">
        <f t="shared" si="58"/>
        <v>1447.8119069797094</v>
      </c>
      <c r="G319" s="25">
        <f t="shared" si="59"/>
        <v>1796.2111591990997</v>
      </c>
      <c r="H319" s="26">
        <f t="shared" si="60"/>
        <v>78.137993644063997</v>
      </c>
      <c r="I319" s="27">
        <f t="shared" si="61"/>
        <v>44593.851759643178</v>
      </c>
      <c r="K319" s="18">
        <f t="shared" si="54"/>
        <v>0.76253502062995759</v>
      </c>
      <c r="L319" s="22">
        <f t="shared" si="65"/>
        <v>1.6999999999999999E-3</v>
      </c>
      <c r="N319" s="15">
        <f t="shared" si="62"/>
        <v>1077.0370926079861</v>
      </c>
      <c r="W319" s="1">
        <f t="shared" si="55"/>
        <v>-1796.2111591990997</v>
      </c>
    </row>
    <row r="320" spans="1:23" x14ac:dyDescent="0.2">
      <c r="A320" s="7">
        <f t="shared" si="53"/>
        <v>3.3779439848368807E-2</v>
      </c>
      <c r="B320" s="4">
        <f t="shared" si="63"/>
        <v>314</v>
      </c>
      <c r="C320" s="4">
        <f t="shared" si="56"/>
        <v>28</v>
      </c>
      <c r="D320" s="8">
        <f t="shared" si="64"/>
        <v>2.3333333333333335</v>
      </c>
      <c r="E320" s="23">
        <f t="shared" si="57"/>
        <v>284.65620442065864</v>
      </c>
      <c r="F320" s="24">
        <f t="shared" si="58"/>
        <v>1459.6112855654897</v>
      </c>
      <c r="G320" s="25">
        <f t="shared" si="59"/>
        <v>1799.2674899861483</v>
      </c>
      <c r="H320" s="26">
        <f t="shared" si="60"/>
        <v>75.809547991393401</v>
      </c>
      <c r="I320" s="27">
        <f t="shared" si="61"/>
        <v>43210.050022069081</v>
      </c>
      <c r="K320" s="18">
        <f t="shared" si="54"/>
        <v>0.76909172498011924</v>
      </c>
      <c r="L320" s="22">
        <f t="shared" si="65"/>
        <v>1.6999999999999999E-3</v>
      </c>
      <c r="N320" s="15">
        <f t="shared" si="62"/>
        <v>1077.0370926079861</v>
      </c>
      <c r="W320" s="1">
        <f t="shared" si="55"/>
        <v>-1799.2674899861483</v>
      </c>
    </row>
    <row r="321" spans="1:23" x14ac:dyDescent="0.2">
      <c r="A321" s="7">
        <f t="shared" si="53"/>
        <v>3.5193490307256742E-2</v>
      </c>
      <c r="B321" s="4">
        <f t="shared" si="63"/>
        <v>315</v>
      </c>
      <c r="C321" s="4">
        <f t="shared" si="56"/>
        <v>27</v>
      </c>
      <c r="D321" s="8">
        <f t="shared" si="64"/>
        <v>2.25</v>
      </c>
      <c r="E321" s="23">
        <f t="shared" si="57"/>
        <v>275.82297439577354</v>
      </c>
      <c r="F321" s="24">
        <f t="shared" si="58"/>
        <v>1471.5101110092019</v>
      </c>
      <c r="G321" s="25">
        <f t="shared" si="59"/>
        <v>1802.3330854049755</v>
      </c>
      <c r="H321" s="26">
        <f t="shared" si="60"/>
        <v>73.45708503751743</v>
      </c>
      <c r="I321" s="27">
        <f t="shared" si="61"/>
        <v>41811.996996097398</v>
      </c>
      <c r="K321" s="18">
        <f t="shared" si="54"/>
        <v>0.77569070739083101</v>
      </c>
      <c r="L321" s="22">
        <f t="shared" si="65"/>
        <v>1.6999999999999999E-3</v>
      </c>
      <c r="N321" s="15">
        <f t="shared" si="62"/>
        <v>1077.0370926079861</v>
      </c>
      <c r="W321" s="1">
        <f t="shared" si="55"/>
        <v>-1802.3330854049755</v>
      </c>
    </row>
    <row r="322" spans="1:23" x14ac:dyDescent="0.2">
      <c r="A322" s="7">
        <f t="shared" si="53"/>
        <v>3.6720925005349854E-2</v>
      </c>
      <c r="B322" s="4">
        <f t="shared" si="63"/>
        <v>316</v>
      </c>
      <c r="C322" s="4">
        <f t="shared" si="56"/>
        <v>26</v>
      </c>
      <c r="D322" s="8">
        <f t="shared" si="64"/>
        <v>2.1666666666666665</v>
      </c>
      <c r="E322" s="23">
        <f t="shared" si="57"/>
        <v>266.89877403521916</v>
      </c>
      <c r="F322" s="24">
        <f t="shared" si="58"/>
        <v>1483.5095026753697</v>
      </c>
      <c r="G322" s="25">
        <f t="shared" si="59"/>
        <v>1805.4082767105888</v>
      </c>
      <c r="H322" s="26">
        <f t="shared" si="60"/>
        <v>71.080394893365579</v>
      </c>
      <c r="I322" s="27">
        <f t="shared" si="61"/>
        <v>40399.567888315396</v>
      </c>
      <c r="K322" s="18">
        <f t="shared" si="54"/>
        <v>0.78233224362714049</v>
      </c>
      <c r="L322" s="22">
        <f t="shared" si="65"/>
        <v>1.6999999999999999E-3</v>
      </c>
      <c r="N322" s="15">
        <f t="shared" si="62"/>
        <v>1077.0370926079861</v>
      </c>
      <c r="W322" s="1">
        <f t="shared" si="55"/>
        <v>-1805.4082767105888</v>
      </c>
    </row>
    <row r="323" spans="1:23" x14ac:dyDescent="0.2">
      <c r="A323" s="7">
        <f t="shared" si="53"/>
        <v>3.8375916031171062E-2</v>
      </c>
      <c r="B323" s="4">
        <f t="shared" si="63"/>
        <v>317</v>
      </c>
      <c r="C323" s="4">
        <f t="shared" si="56"/>
        <v>25</v>
      </c>
      <c r="D323" s="8">
        <f t="shared" si="64"/>
        <v>2.0833333333333335</v>
      </c>
      <c r="E323" s="23">
        <f t="shared" si="57"/>
        <v>257.88280674444707</v>
      </c>
      <c r="F323" s="24">
        <f t="shared" si="58"/>
        <v>1495.6106268680337</v>
      </c>
      <c r="G323" s="25">
        <f t="shared" si="59"/>
        <v>1808.4934336124809</v>
      </c>
      <c r="H323" s="26">
        <f t="shared" si="60"/>
        <v>68.679265410136168</v>
      </c>
      <c r="I323" s="27">
        <f t="shared" si="61"/>
        <v>38972.636526857503</v>
      </c>
      <c r="K323" s="18">
        <f t="shared" si="54"/>
        <v>0.7890166118035552</v>
      </c>
      <c r="L323" s="22">
        <f t="shared" si="65"/>
        <v>1.6999999999999999E-3</v>
      </c>
      <c r="N323" s="15">
        <f t="shared" si="62"/>
        <v>1077.0370926079861</v>
      </c>
      <c r="W323" s="1">
        <f t="shared" si="55"/>
        <v>-1808.4934336124809</v>
      </c>
    </row>
    <row r="324" spans="1:23" x14ac:dyDescent="0.2">
      <c r="A324" s="7">
        <f t="shared" si="53"/>
        <v>4.0175100000672752E-2</v>
      </c>
      <c r="B324" s="4">
        <f t="shared" si="63"/>
        <v>318</v>
      </c>
      <c r="C324" s="4">
        <f t="shared" si="56"/>
        <v>24</v>
      </c>
      <c r="D324" s="8">
        <f t="shared" si="64"/>
        <v>2</v>
      </c>
      <c r="E324" s="23">
        <f t="shared" si="57"/>
        <v>248.77426712982248</v>
      </c>
      <c r="F324" s="24">
        <f t="shared" si="58"/>
        <v>1507.8147035282263</v>
      </c>
      <c r="G324" s="25">
        <f t="shared" si="59"/>
        <v>1811.5889706580488</v>
      </c>
      <c r="H324" s="26">
        <f t="shared" si="60"/>
        <v>66.253482095657745</v>
      </c>
      <c r="I324" s="27">
        <f t="shared" si="61"/>
        <v>37531.075305424936</v>
      </c>
      <c r="K324" s="18">
        <f t="shared" si="54"/>
        <v>0.7957440924962853</v>
      </c>
      <c r="L324" s="22">
        <f t="shared" si="65"/>
        <v>1.6999999999999999E-3</v>
      </c>
      <c r="N324" s="15">
        <f t="shared" si="62"/>
        <v>1077.0370926079861</v>
      </c>
      <c r="W324" s="1">
        <f t="shared" si="55"/>
        <v>-1811.5889706580488</v>
      </c>
    </row>
    <row r="325" spans="1:23" x14ac:dyDescent="0.2">
      <c r="A325" s="7">
        <f t="shared" si="53"/>
        <v>4.2138138134036877E-2</v>
      </c>
      <c r="B325" s="4">
        <f t="shared" si="63"/>
        <v>319</v>
      </c>
      <c r="C325" s="4">
        <f t="shared" si="56"/>
        <v>23</v>
      </c>
      <c r="D325" s="8">
        <f t="shared" si="64"/>
        <v>1.9166666666666667</v>
      </c>
      <c r="E325" s="23">
        <f t="shared" si="57"/>
        <v>239.57234064128434</v>
      </c>
      <c r="F325" s="24">
        <f t="shared" si="58"/>
        <v>1520.1230143595417</v>
      </c>
      <c r="G325" s="25">
        <f t="shared" si="59"/>
        <v>1814.6953550008261</v>
      </c>
      <c r="H325" s="26">
        <f t="shared" si="60"/>
        <v>63.802828019222389</v>
      </c>
      <c r="I325" s="27">
        <f t="shared" si="61"/>
        <v>36074.755119084621</v>
      </c>
      <c r="K325" s="18">
        <f t="shared" si="54"/>
        <v>0.80251496887732776</v>
      </c>
      <c r="L325" s="22">
        <f t="shared" si="65"/>
        <v>1.6999999999999999E-3</v>
      </c>
      <c r="N325" s="15">
        <f t="shared" si="62"/>
        <v>1077.0370926079861</v>
      </c>
      <c r="W325" s="1">
        <f t="shared" si="55"/>
        <v>-1814.6953550008261</v>
      </c>
    </row>
    <row r="326" spans="1:23" x14ac:dyDescent="0.2">
      <c r="A326" s="7">
        <f t="shared" si="53"/>
        <v>4.4288436341528223E-2</v>
      </c>
      <c r="B326" s="4">
        <f t="shared" si="63"/>
        <v>320</v>
      </c>
      <c r="C326" s="4">
        <f t="shared" si="56"/>
        <v>22</v>
      </c>
      <c r="D326" s="8">
        <f t="shared" si="64"/>
        <v>1.8333333333333333</v>
      </c>
      <c r="E326" s="23">
        <f t="shared" si="57"/>
        <v>230.27620316253032</v>
      </c>
      <c r="F326" s="24">
        <f t="shared" si="58"/>
        <v>1532.5369127681897</v>
      </c>
      <c r="G326" s="25">
        <f t="shared" si="59"/>
        <v>1817.81311593072</v>
      </c>
      <c r="H326" s="26">
        <f t="shared" si="60"/>
        <v>61.327083702443851</v>
      </c>
      <c r="I326" s="27">
        <f t="shared" si="61"/>
        <v>34603.545290018876</v>
      </c>
      <c r="K326" s="18">
        <f t="shared" si="54"/>
        <v>0.809329526876302</v>
      </c>
      <c r="L326" s="22">
        <f t="shared" si="65"/>
        <v>1.6999999999999999E-3</v>
      </c>
      <c r="N326" s="15">
        <f t="shared" si="62"/>
        <v>1077.0370926079861</v>
      </c>
      <c r="W326" s="1">
        <f t="shared" si="55"/>
        <v>-1817.81311593072</v>
      </c>
    </row>
    <row r="327" spans="1:23" x14ac:dyDescent="0.2">
      <c r="A327" s="7">
        <f t="shared" ref="A327:A390" si="66">F327/I327</f>
        <v>4.6654081316832102E-2</v>
      </c>
      <c r="B327" s="4">
        <f t="shared" si="63"/>
        <v>321</v>
      </c>
      <c r="C327" s="4">
        <f t="shared" si="56"/>
        <v>21</v>
      </c>
      <c r="D327" s="8">
        <f t="shared" si="64"/>
        <v>1.75</v>
      </c>
      <c r="E327" s="23">
        <f t="shared" si="57"/>
        <v>220.88502053705415</v>
      </c>
      <c r="F327" s="24">
        <f t="shared" si="58"/>
        <v>1545.0578361319915</v>
      </c>
      <c r="G327" s="25">
        <f t="shared" si="59"/>
        <v>1820.9428566690456</v>
      </c>
      <c r="H327" s="26">
        <f t="shared" si="60"/>
        <v>58.826026993032087</v>
      </c>
      <c r="I327" s="27">
        <f t="shared" si="61"/>
        <v>33117.313480879915</v>
      </c>
      <c r="K327" s="18">
        <f t="shared" ref="K327:K390" si="67">IF(C327&lt;1,0,(F327-H327)/G327)</f>
        <v>0.81618805537788508</v>
      </c>
      <c r="L327" s="22">
        <f t="shared" si="65"/>
        <v>1.6999999999999999E-3</v>
      </c>
      <c r="N327" s="15">
        <f t="shared" si="62"/>
        <v>1077.0370926079861</v>
      </c>
      <c r="W327" s="1">
        <f t="shared" ref="W327:W390" si="68">-G327</f>
        <v>-1820.9428566690456</v>
      </c>
    </row>
    <row r="328" spans="1:23" x14ac:dyDescent="0.2">
      <c r="A328" s="7">
        <f t="shared" si="66"/>
        <v>4.9269072212496531E-2</v>
      </c>
      <c r="B328" s="4">
        <f t="shared" si="63"/>
        <v>322</v>
      </c>
      <c r="C328" s="4">
        <f t="shared" ref="C328:C367" si="69">IF(C327-1&lt;1,0,C327-1)</f>
        <v>20</v>
      </c>
      <c r="D328" s="8">
        <f t="shared" si="64"/>
        <v>1.6666666666666667</v>
      </c>
      <c r="E328" s="23">
        <f t="shared" ref="E328:E391" si="70">IF(C328&lt;1,0,I327*$J$4)</f>
        <v>211.39794801506102</v>
      </c>
      <c r="F328" s="24">
        <f t="shared" ref="F328:F391" si="71">IF(C328&lt;1,0,G328-E328-$L$3-$L$4)</f>
        <v>1557.6873210919239</v>
      </c>
      <c r="G328" s="25">
        <f t="shared" ref="G328:G391" si="72">IF(C328&lt;1,0,-PMT($J$4,C328,I327)+$L$3+$L$4)</f>
        <v>1824.0852691069849</v>
      </c>
      <c r="H328" s="26">
        <f t="shared" ref="H328:H391" si="73">IF(C328&lt;1,0,I327*L328)</f>
        <v>56.299432917495849</v>
      </c>
      <c r="I328" s="27">
        <f t="shared" ref="I328:I391" si="74">IF(C328&lt;1,0,I327-F328+H328)</f>
        <v>31615.925592705487</v>
      </c>
      <c r="K328" s="18">
        <f t="shared" si="67"/>
        <v>0.82309084646545094</v>
      </c>
      <c r="L328" s="22">
        <f t="shared" si="65"/>
        <v>1.6999999999999999E-3</v>
      </c>
      <c r="N328" s="15">
        <f t="shared" ref="N328:N391" si="75">IF(C328&lt;1,0,N327)</f>
        <v>1077.0370926079861</v>
      </c>
      <c r="W328" s="1">
        <f t="shared" si="68"/>
        <v>-1824.0852691069849</v>
      </c>
    </row>
    <row r="329" spans="1:23" x14ac:dyDescent="0.2">
      <c r="A329" s="7">
        <f t="shared" si="66"/>
        <v>5.2174962835272225E-2</v>
      </c>
      <c r="B329" s="4">
        <f t="shared" ref="B329:B392" si="76">B328+1</f>
        <v>323</v>
      </c>
      <c r="C329" s="4">
        <f t="shared" si="69"/>
        <v>19</v>
      </c>
      <c r="D329" s="8">
        <f t="shared" si="64"/>
        <v>1.5833333333333333</v>
      </c>
      <c r="E329" s="23">
        <f t="shared" si="70"/>
        <v>201.81412960183184</v>
      </c>
      <c r="F329" s="24">
        <f t="shared" si="71"/>
        <v>1570.4270228140729</v>
      </c>
      <c r="G329" s="25">
        <f t="shared" si="72"/>
        <v>1827.2411524159047</v>
      </c>
      <c r="H329" s="26">
        <f t="shared" si="73"/>
        <v>53.747073507599325</v>
      </c>
      <c r="I329" s="27">
        <f t="shared" si="74"/>
        <v>30099.245643399012</v>
      </c>
      <c r="K329" s="18">
        <f t="shared" si="67"/>
        <v>0.83003819572538662</v>
      </c>
      <c r="L329" s="22">
        <f t="shared" si="65"/>
        <v>1.6999999999999999E-3</v>
      </c>
      <c r="N329" s="15">
        <f t="shared" si="75"/>
        <v>1077.0370926079861</v>
      </c>
      <c r="W329" s="1">
        <f t="shared" si="68"/>
        <v>-1827.2411524159047</v>
      </c>
    </row>
    <row r="330" spans="1:23" x14ac:dyDescent="0.2">
      <c r="A330" s="7">
        <f t="shared" si="66"/>
        <v>5.5423083382135557E-2</v>
      </c>
      <c r="B330" s="4">
        <f t="shared" si="76"/>
        <v>324</v>
      </c>
      <c r="C330" s="4">
        <f t="shared" si="69"/>
        <v>18</v>
      </c>
      <c r="D330" s="8">
        <f t="shared" si="64"/>
        <v>1.5</v>
      </c>
      <c r="E330" s="23">
        <f t="shared" si="70"/>
        <v>192.13269728202471</v>
      </c>
      <c r="F330" s="24">
        <f t="shared" si="71"/>
        <v>1583.2787395367338</v>
      </c>
      <c r="G330" s="25">
        <f t="shared" si="72"/>
        <v>1830.4114368187586</v>
      </c>
      <c r="H330" s="26">
        <f t="shared" si="73"/>
        <v>51.168717593778318</v>
      </c>
      <c r="I330" s="27">
        <f t="shared" si="74"/>
        <v>28567.135621456055</v>
      </c>
      <c r="K330" s="18">
        <f t="shared" si="67"/>
        <v>0.83703040263218154</v>
      </c>
      <c r="L330" s="22">
        <f t="shared" si="65"/>
        <v>1.6999999999999999E-3</v>
      </c>
      <c r="N330" s="15">
        <f t="shared" si="75"/>
        <v>1077.0370926079861</v>
      </c>
      <c r="W330" s="1">
        <f t="shared" si="68"/>
        <v>-1830.4114368187586</v>
      </c>
    </row>
    <row r="331" spans="1:23" x14ac:dyDescent="0.2">
      <c r="A331" s="7">
        <f t="shared" si="66"/>
        <v>5.9077595239237772E-2</v>
      </c>
      <c r="B331" s="4">
        <f t="shared" si="76"/>
        <v>325</v>
      </c>
      <c r="C331" s="4">
        <f t="shared" si="69"/>
        <v>17</v>
      </c>
      <c r="D331" s="8">
        <f t="shared" ref="D331:D394" si="77">C331/12</f>
        <v>1.4166666666666667</v>
      </c>
      <c r="E331" s="23">
        <f t="shared" si="70"/>
        <v>182.35277008596623</v>
      </c>
      <c r="F331" s="24">
        <f t="shared" si="71"/>
        <v>1596.2444442562974</v>
      </c>
      <c r="G331" s="25">
        <f t="shared" si="72"/>
        <v>1833.5972143422637</v>
      </c>
      <c r="H331" s="26">
        <f t="shared" si="73"/>
        <v>48.564130556475291</v>
      </c>
      <c r="I331" s="27">
        <f t="shared" si="74"/>
        <v>27019.455307756234</v>
      </c>
      <c r="K331" s="18">
        <f t="shared" si="67"/>
        <v>0.84406777104261477</v>
      </c>
      <c r="L331" s="22">
        <f t="shared" si="65"/>
        <v>1.6999999999999999E-3</v>
      </c>
      <c r="N331" s="15">
        <f t="shared" si="75"/>
        <v>1077.0370926079861</v>
      </c>
      <c r="W331" s="1">
        <f t="shared" si="68"/>
        <v>-1833.5972143422637</v>
      </c>
    </row>
    <row r="332" spans="1:23" x14ac:dyDescent="0.2">
      <c r="A332" s="7">
        <f t="shared" si="66"/>
        <v>6.3219767562638376E-2</v>
      </c>
      <c r="B332" s="4">
        <f t="shared" si="76"/>
        <v>326</v>
      </c>
      <c r="C332" s="4">
        <f t="shared" si="69"/>
        <v>16</v>
      </c>
      <c r="D332" s="8">
        <f t="shared" si="77"/>
        <v>1.3333333333333333</v>
      </c>
      <c r="E332" s="23">
        <f t="shared" si="70"/>
        <v>172.47345295209482</v>
      </c>
      <c r="F332" s="24">
        <f t="shared" si="71"/>
        <v>1609.3263262130072</v>
      </c>
      <c r="G332" s="25">
        <f t="shared" si="72"/>
        <v>1836.7997791651021</v>
      </c>
      <c r="H332" s="26">
        <f t="shared" si="73"/>
        <v>45.933074023185597</v>
      </c>
      <c r="I332" s="27">
        <f t="shared" si="74"/>
        <v>25456.062055566414</v>
      </c>
      <c r="K332" s="18">
        <f t="shared" si="67"/>
        <v>0.85115060983971014</v>
      </c>
      <c r="L332" s="22">
        <f t="shared" si="65"/>
        <v>1.6999999999999999E-3</v>
      </c>
      <c r="N332" s="15">
        <f t="shared" si="75"/>
        <v>1077.0370926079861</v>
      </c>
      <c r="W332" s="1">
        <f t="shared" si="68"/>
        <v>-1836.7997791651021</v>
      </c>
    </row>
    <row r="333" spans="1:23" x14ac:dyDescent="0.2">
      <c r="A333" s="7">
        <f t="shared" si="66"/>
        <v>6.7954086457904836E-2</v>
      </c>
      <c r="B333" s="4">
        <f t="shared" si="76"/>
        <v>327</v>
      </c>
      <c r="C333" s="4">
        <f t="shared" si="69"/>
        <v>15</v>
      </c>
      <c r="D333" s="8">
        <f t="shared" si="77"/>
        <v>1.25</v>
      </c>
      <c r="E333" s="23">
        <f t="shared" si="70"/>
        <v>162.49383532265358</v>
      </c>
      <c r="F333" s="24">
        <f t="shared" si="71"/>
        <v>1622.5268460744023</v>
      </c>
      <c r="G333" s="25">
        <f t="shared" si="72"/>
        <v>1840.020681397056</v>
      </c>
      <c r="H333" s="26">
        <f t="shared" si="73"/>
        <v>43.275305494462899</v>
      </c>
      <c r="I333" s="27">
        <f t="shared" si="74"/>
        <v>23876.810514986475</v>
      </c>
      <c r="K333" s="18">
        <f t="shared" si="67"/>
        <v>0.85827923378604387</v>
      </c>
      <c r="L333" s="22">
        <f t="shared" si="65"/>
        <v>1.6999999999999999E-3</v>
      </c>
      <c r="N333" s="15">
        <f t="shared" si="75"/>
        <v>1077.0370926079861</v>
      </c>
      <c r="W333" s="1">
        <f t="shared" si="68"/>
        <v>-1840.020681397056</v>
      </c>
    </row>
    <row r="334" spans="1:23" x14ac:dyDescent="0.2">
      <c r="A334" s="7">
        <f t="shared" si="66"/>
        <v>7.3417183414186543E-2</v>
      </c>
      <c r="B334" s="4">
        <f t="shared" si="76"/>
        <v>328</v>
      </c>
      <c r="C334" s="4">
        <f t="shared" si="69"/>
        <v>14</v>
      </c>
      <c r="D334" s="8">
        <f t="shared" si="77"/>
        <v>1.1666666666666667</v>
      </c>
      <c r="E334" s="23">
        <f t="shared" si="70"/>
        <v>152.4129893847435</v>
      </c>
      <c r="F334" s="24">
        <f t="shared" si="71"/>
        <v>1635.8488106555355</v>
      </c>
      <c r="G334" s="25">
        <f t="shared" si="72"/>
        <v>1843.261800040279</v>
      </c>
      <c r="H334" s="26">
        <f t="shared" si="73"/>
        <v>40.590577875477003</v>
      </c>
      <c r="I334" s="27">
        <f t="shared" si="74"/>
        <v>22281.552282206419</v>
      </c>
      <c r="K334" s="18">
        <f t="shared" si="67"/>
        <v>0.86545396467566293</v>
      </c>
      <c r="L334" s="22">
        <f t="shared" ref="L334:L397" si="78">L333</f>
        <v>1.6999999999999999E-3</v>
      </c>
      <c r="N334" s="15">
        <f t="shared" si="75"/>
        <v>1077.0370926079861</v>
      </c>
      <c r="W334" s="1">
        <f t="shared" si="68"/>
        <v>-1843.261800040279</v>
      </c>
    </row>
    <row r="335" spans="1:23" x14ac:dyDescent="0.2">
      <c r="A335" s="7">
        <f t="shared" si="66"/>
        <v>7.9791227326058201E-2</v>
      </c>
      <c r="B335" s="4">
        <f t="shared" si="76"/>
        <v>329</v>
      </c>
      <c r="C335" s="4">
        <f t="shared" si="69"/>
        <v>13</v>
      </c>
      <c r="D335" s="8">
        <f t="shared" si="77"/>
        <v>1.0833333333333333</v>
      </c>
      <c r="E335" s="23">
        <f t="shared" si="70"/>
        <v>142.22996783142406</v>
      </c>
      <c r="F335" s="24">
        <f t="shared" si="71"/>
        <v>1649.2954761475137</v>
      </c>
      <c r="G335" s="25">
        <f t="shared" si="72"/>
        <v>1846.5254439789378</v>
      </c>
      <c r="H335" s="26">
        <f t="shared" si="73"/>
        <v>37.878638879750909</v>
      </c>
      <c r="I335" s="27">
        <f t="shared" si="74"/>
        <v>20670.13544493866</v>
      </c>
      <c r="K335" s="18">
        <f t="shared" si="67"/>
        <v>0.8726751329217769</v>
      </c>
      <c r="L335" s="22">
        <f t="shared" si="78"/>
        <v>1.6999999999999999E-3</v>
      </c>
      <c r="N335" s="15">
        <f t="shared" si="75"/>
        <v>1077.0370926079861</v>
      </c>
      <c r="W335" s="1">
        <f t="shared" si="68"/>
        <v>-1846.5254439789378</v>
      </c>
    </row>
    <row r="336" spans="1:23" x14ac:dyDescent="0.2">
      <c r="A336" s="7">
        <f t="shared" si="66"/>
        <v>8.732462013129702E-2</v>
      </c>
      <c r="B336" s="4">
        <f t="shared" si="76"/>
        <v>330</v>
      </c>
      <c r="C336" s="4">
        <f t="shared" si="69"/>
        <v>12</v>
      </c>
      <c r="D336" s="8">
        <f t="shared" si="77"/>
        <v>1</v>
      </c>
      <c r="E336" s="23">
        <f t="shared" si="70"/>
        <v>131.9438009600685</v>
      </c>
      <c r="F336" s="24">
        <f t="shared" si="71"/>
        <v>1662.8706940409777</v>
      </c>
      <c r="G336" s="25">
        <f t="shared" si="72"/>
        <v>1849.8144950010462</v>
      </c>
      <c r="H336" s="26">
        <f t="shared" si="73"/>
        <v>35.13923025639572</v>
      </c>
      <c r="I336" s="27">
        <f t="shared" si="74"/>
        <v>19042.403981154075</v>
      </c>
      <c r="K336" s="18">
        <f t="shared" si="67"/>
        <v>0.87994307979712394</v>
      </c>
      <c r="L336" s="22">
        <f t="shared" si="78"/>
        <v>1.6999999999999999E-3</v>
      </c>
      <c r="N336" s="15">
        <f t="shared" si="75"/>
        <v>1077.0370926079861</v>
      </c>
      <c r="W336" s="1">
        <f t="shared" si="68"/>
        <v>-1849.8144950010462</v>
      </c>
    </row>
    <row r="337" spans="1:23" x14ac:dyDescent="0.2">
      <c r="A337" s="7">
        <f t="shared" si="66"/>
        <v>9.636510773098815E-2</v>
      </c>
      <c r="B337" s="4">
        <f t="shared" si="76"/>
        <v>331</v>
      </c>
      <c r="C337" s="4">
        <f t="shared" si="69"/>
        <v>11</v>
      </c>
      <c r="D337" s="8">
        <f t="shared" si="77"/>
        <v>0.91666666666666663</v>
      </c>
      <c r="E337" s="23">
        <f t="shared" si="70"/>
        <v>121.55349283431198</v>
      </c>
      <c r="F337" s="24">
        <f t="shared" si="71"/>
        <v>1676.5791229291849</v>
      </c>
      <c r="G337" s="25">
        <f t="shared" si="72"/>
        <v>1853.1326157634969</v>
      </c>
      <c r="H337" s="26">
        <f t="shared" si="73"/>
        <v>32.372086767961925</v>
      </c>
      <c r="I337" s="27">
        <f t="shared" si="74"/>
        <v>17398.196944992851</v>
      </c>
      <c r="K337" s="18">
        <f t="shared" si="67"/>
        <v>0.88725816068150309</v>
      </c>
      <c r="L337" s="22">
        <f t="shared" si="78"/>
        <v>1.6999999999999999E-3</v>
      </c>
      <c r="N337" s="15">
        <f t="shared" si="75"/>
        <v>1077.0370926079861</v>
      </c>
      <c r="W337" s="1">
        <f t="shared" si="68"/>
        <v>-1853.1326157634969</v>
      </c>
    </row>
    <row r="338" spans="1:23" x14ac:dyDescent="0.2">
      <c r="A338" s="7">
        <f t="shared" si="66"/>
        <v>0.10741496070789278</v>
      </c>
      <c r="B338" s="4">
        <f t="shared" si="76"/>
        <v>332</v>
      </c>
      <c r="C338" s="4">
        <f t="shared" si="69"/>
        <v>10</v>
      </c>
      <c r="D338" s="8">
        <f t="shared" si="77"/>
        <v>0.83333333333333337</v>
      </c>
      <c r="E338" s="23">
        <f t="shared" si="70"/>
        <v>111.05801608747132</v>
      </c>
      <c r="F338" s="24">
        <f t="shared" si="71"/>
        <v>1690.426545554383</v>
      </c>
      <c r="G338" s="25">
        <f t="shared" si="72"/>
        <v>1856.4845616418543</v>
      </c>
      <c r="H338" s="26">
        <f t="shared" si="73"/>
        <v>29.576934806487845</v>
      </c>
      <c r="I338" s="27">
        <f t="shared" si="74"/>
        <v>15737.347334244956</v>
      </c>
      <c r="K338" s="18">
        <f t="shared" si="67"/>
        <v>0.89462074991836094</v>
      </c>
      <c r="L338" s="22">
        <f t="shared" si="78"/>
        <v>1.6999999999999999E-3</v>
      </c>
      <c r="N338" s="15">
        <f t="shared" si="75"/>
        <v>1077.0370926079861</v>
      </c>
      <c r="W338" s="1">
        <f t="shared" si="68"/>
        <v>-1856.4845616418543</v>
      </c>
    </row>
    <row r="339" spans="1:23" x14ac:dyDescent="0.2">
      <c r="A339" s="7">
        <f t="shared" si="66"/>
        <v>0.12122753183376617</v>
      </c>
      <c r="B339" s="4">
        <f t="shared" si="76"/>
        <v>333</v>
      </c>
      <c r="C339" s="4">
        <f t="shared" si="69"/>
        <v>9</v>
      </c>
      <c r="D339" s="8">
        <f t="shared" si="77"/>
        <v>0.75</v>
      </c>
      <c r="E339" s="23">
        <f t="shared" si="70"/>
        <v>100.45630469332627</v>
      </c>
      <c r="F339" s="24">
        <f t="shared" si="71"/>
        <v>1704.4203609887345</v>
      </c>
      <c r="G339" s="25">
        <f t="shared" si="72"/>
        <v>1859.8766656820608</v>
      </c>
      <c r="H339" s="26">
        <f t="shared" si="73"/>
        <v>26.753490468216423</v>
      </c>
      <c r="I339" s="27">
        <f t="shared" si="74"/>
        <v>14059.680463724437</v>
      </c>
      <c r="K339" s="18">
        <f t="shared" si="67"/>
        <v>0.90203124834908233</v>
      </c>
      <c r="L339" s="22">
        <f t="shared" si="78"/>
        <v>1.6999999999999999E-3</v>
      </c>
      <c r="N339" s="15">
        <f t="shared" si="75"/>
        <v>1077.0370926079861</v>
      </c>
      <c r="W339" s="1">
        <f t="shared" si="68"/>
        <v>-1859.8766656820608</v>
      </c>
    </row>
    <row r="340" spans="1:23" x14ac:dyDescent="0.2">
      <c r="A340" s="7">
        <f t="shared" si="66"/>
        <v>0.13898655715719235</v>
      </c>
      <c r="B340" s="4">
        <f t="shared" si="76"/>
        <v>334</v>
      </c>
      <c r="C340" s="4">
        <f t="shared" si="69"/>
        <v>8</v>
      </c>
      <c r="D340" s="8">
        <f t="shared" si="77"/>
        <v>0.66666666666666663</v>
      </c>
      <c r="E340" s="23">
        <f t="shared" si="70"/>
        <v>89.7472435828698</v>
      </c>
      <c r="F340" s="24">
        <f t="shared" si="71"/>
        <v>1718.5703828313071</v>
      </c>
      <c r="G340" s="25">
        <f t="shared" si="72"/>
        <v>1863.3176264141769</v>
      </c>
      <c r="H340" s="26">
        <f t="shared" si="73"/>
        <v>23.90145678833154</v>
      </c>
      <c r="I340" s="27">
        <f t="shared" si="74"/>
        <v>12365.011537681461</v>
      </c>
      <c r="K340" s="18">
        <f t="shared" si="67"/>
        <v>0.90949009552614291</v>
      </c>
      <c r="L340" s="22">
        <f t="shared" si="78"/>
        <v>1.6999999999999999E-3</v>
      </c>
      <c r="N340" s="15">
        <f t="shared" si="75"/>
        <v>1077.0370926079861</v>
      </c>
      <c r="W340" s="1">
        <f t="shared" si="68"/>
        <v>-1863.3176264141769</v>
      </c>
    </row>
    <row r="341" spans="1:23" x14ac:dyDescent="0.2">
      <c r="A341" s="7">
        <f t="shared" si="66"/>
        <v>0.16266470763848404</v>
      </c>
      <c r="B341" s="4">
        <f t="shared" si="76"/>
        <v>335</v>
      </c>
      <c r="C341" s="4">
        <f t="shared" si="69"/>
        <v>7</v>
      </c>
      <c r="D341" s="8">
        <f t="shared" si="77"/>
        <v>0.58333333333333337</v>
      </c>
      <c r="E341" s="23">
        <f t="shared" si="70"/>
        <v>78.929653148271129</v>
      </c>
      <c r="F341" s="24">
        <f t="shared" si="71"/>
        <v>1732.8902048580405</v>
      </c>
      <c r="G341" s="25">
        <f t="shared" si="72"/>
        <v>1866.8198580063117</v>
      </c>
      <c r="H341" s="26">
        <f t="shared" si="73"/>
        <v>21.020519614058482</v>
      </c>
      <c r="I341" s="27">
        <f t="shared" si="74"/>
        <v>10653.141852437479</v>
      </c>
      <c r="K341" s="18">
        <f t="shared" si="67"/>
        <v>0.91699779060213649</v>
      </c>
      <c r="L341" s="22">
        <f t="shared" si="78"/>
        <v>1.6999999999999999E-3</v>
      </c>
      <c r="N341" s="15">
        <f t="shared" si="75"/>
        <v>1077.0370926079861</v>
      </c>
      <c r="W341" s="1">
        <f t="shared" si="68"/>
        <v>-1866.8198580063117</v>
      </c>
    </row>
    <row r="342" spans="1:23" x14ac:dyDescent="0.2">
      <c r="A342" s="7">
        <f t="shared" si="66"/>
        <v>0.19581225721776757</v>
      </c>
      <c r="B342" s="4">
        <f t="shared" si="76"/>
        <v>336</v>
      </c>
      <c r="C342" s="4">
        <f t="shared" si="69"/>
        <v>6</v>
      </c>
      <c r="D342" s="8">
        <f t="shared" si="77"/>
        <v>0.5</v>
      </c>
      <c r="E342" s="23">
        <f t="shared" si="70"/>
        <v>68.002265003133729</v>
      </c>
      <c r="F342" s="24">
        <f t="shared" si="71"/>
        <v>1747.3996998725554</v>
      </c>
      <c r="G342" s="25">
        <f t="shared" si="72"/>
        <v>1870.4019648756891</v>
      </c>
      <c r="H342" s="26">
        <f t="shared" si="73"/>
        <v>18.110341149143711</v>
      </c>
      <c r="I342" s="27">
        <f t="shared" si="74"/>
        <v>8923.8524937140664</v>
      </c>
      <c r="K342" s="18">
        <f t="shared" si="67"/>
        <v>0.92455493054314875</v>
      </c>
      <c r="L342" s="22">
        <f t="shared" si="78"/>
        <v>1.6999999999999999E-3</v>
      </c>
      <c r="N342" s="15">
        <f t="shared" si="75"/>
        <v>1077.0370926079861</v>
      </c>
      <c r="W342" s="1">
        <f t="shared" si="68"/>
        <v>-1870.4019648756891</v>
      </c>
    </row>
    <row r="343" spans="1:23" x14ac:dyDescent="0.2">
      <c r="A343" s="7">
        <f t="shared" si="66"/>
        <v>0.24552825286488575</v>
      </c>
      <c r="B343" s="4">
        <f t="shared" si="76"/>
        <v>337</v>
      </c>
      <c r="C343" s="4">
        <f t="shared" si="69"/>
        <v>5</v>
      </c>
      <c r="D343" s="8">
        <f t="shared" si="77"/>
        <v>0.41666666666666669</v>
      </c>
      <c r="E343" s="23">
        <f t="shared" si="70"/>
        <v>56.963681750616317</v>
      </c>
      <c r="F343" s="24">
        <f t="shared" si="71"/>
        <v>1762.1300078958441</v>
      </c>
      <c r="G343" s="25">
        <f t="shared" si="72"/>
        <v>1874.0936896464605</v>
      </c>
      <c r="H343" s="26">
        <f t="shared" si="73"/>
        <v>15.170549239313912</v>
      </c>
      <c r="I343" s="27">
        <f t="shared" si="74"/>
        <v>7176.8930350575365</v>
      </c>
      <c r="K343" s="18">
        <f t="shared" si="67"/>
        <v>0.93216228639352949</v>
      </c>
      <c r="L343" s="22">
        <f t="shared" si="78"/>
        <v>1.6999999999999999E-3</v>
      </c>
      <c r="N343" s="15">
        <f t="shared" si="75"/>
        <v>1077.0370926079861</v>
      </c>
      <c r="W343" s="1">
        <f t="shared" si="68"/>
        <v>-1874.0936896464605</v>
      </c>
    </row>
    <row r="344" spans="1:23" x14ac:dyDescent="0.2">
      <c r="A344" s="7">
        <f t="shared" si="66"/>
        <v>0.32837180284908601</v>
      </c>
      <c r="B344" s="4">
        <f t="shared" si="76"/>
        <v>338</v>
      </c>
      <c r="C344" s="4">
        <f t="shared" si="69"/>
        <v>4</v>
      </c>
      <c r="D344" s="8">
        <f t="shared" si="77"/>
        <v>0.33333333333333331</v>
      </c>
      <c r="E344" s="23">
        <f t="shared" si="70"/>
        <v>45.812304842018115</v>
      </c>
      <c r="F344" s="24">
        <f t="shared" si="71"/>
        <v>1777.1347385813242</v>
      </c>
      <c r="G344" s="25">
        <f t="shared" si="72"/>
        <v>1877.9470434233424</v>
      </c>
      <c r="H344" s="26">
        <f t="shared" si="73"/>
        <v>12.200718159597811</v>
      </c>
      <c r="I344" s="27">
        <f t="shared" si="74"/>
        <v>5411.9590146358105</v>
      </c>
      <c r="K344" s="18">
        <f t="shared" si="67"/>
        <v>0.93982097450650015</v>
      </c>
      <c r="L344" s="22">
        <f t="shared" si="78"/>
        <v>1.6999999999999999E-3</v>
      </c>
      <c r="N344" s="15">
        <f t="shared" si="75"/>
        <v>1077.0370926079861</v>
      </c>
      <c r="W344" s="1">
        <f t="shared" si="68"/>
        <v>-1877.9470434233424</v>
      </c>
    </row>
    <row r="345" spans="1:23" x14ac:dyDescent="0.2">
      <c r="A345" s="7">
        <f t="shared" si="66"/>
        <v>0.49399224198624181</v>
      </c>
      <c r="B345" s="4">
        <f t="shared" si="76"/>
        <v>339</v>
      </c>
      <c r="C345" s="4">
        <f t="shared" si="69"/>
        <v>3</v>
      </c>
      <c r="D345" s="8">
        <f t="shared" si="77"/>
        <v>0.25</v>
      </c>
      <c r="E345" s="23">
        <f t="shared" si="70"/>
        <v>34.546190804279703</v>
      </c>
      <c r="F345" s="24">
        <f t="shared" si="71"/>
        <v>1792.5197894076211</v>
      </c>
      <c r="G345" s="25">
        <f t="shared" si="72"/>
        <v>1882.0659802119008</v>
      </c>
      <c r="H345" s="26">
        <f t="shared" si="73"/>
        <v>9.200330324880877</v>
      </c>
      <c r="I345" s="27">
        <f t="shared" si="74"/>
        <v>3628.6395555530703</v>
      </c>
      <c r="K345" s="18">
        <f t="shared" si="67"/>
        <v>0.94753291214687241</v>
      </c>
      <c r="L345" s="22">
        <f t="shared" si="78"/>
        <v>1.6999999999999999E-3</v>
      </c>
      <c r="N345" s="15">
        <f t="shared" si="75"/>
        <v>1077.0370926079861</v>
      </c>
      <c r="W345" s="1">
        <f t="shared" si="68"/>
        <v>-1882.0659802119008</v>
      </c>
    </row>
    <row r="346" spans="1:23" x14ac:dyDescent="0.2">
      <c r="A346" s="7">
        <f t="shared" si="66"/>
        <v>0.99030083744171971</v>
      </c>
      <c r="B346" s="4">
        <f t="shared" si="76"/>
        <v>340</v>
      </c>
      <c r="C346" s="4">
        <f t="shared" si="69"/>
        <v>2</v>
      </c>
      <c r="D346" s="8">
        <f t="shared" si="77"/>
        <v>0.16666666666666666</v>
      </c>
      <c r="E346" s="23">
        <f t="shared" si="70"/>
        <v>23.162716884419844</v>
      </c>
      <c r="F346" s="24">
        <f t="shared" si="71"/>
        <v>1808.5475215943795</v>
      </c>
      <c r="G346" s="25">
        <f t="shared" si="72"/>
        <v>1886.7102384787993</v>
      </c>
      <c r="H346" s="26">
        <f t="shared" si="73"/>
        <v>6.1686872444402194</v>
      </c>
      <c r="I346" s="27">
        <f t="shared" si="74"/>
        <v>1826.260721203131</v>
      </c>
      <c r="K346" s="18">
        <f t="shared" si="67"/>
        <v>0.95530240817643841</v>
      </c>
      <c r="L346" s="22">
        <f t="shared" si="78"/>
        <v>1.6999999999999999E-3</v>
      </c>
      <c r="N346" s="15">
        <f t="shared" si="75"/>
        <v>1077.0370926079861</v>
      </c>
      <c r="W346" s="1">
        <f t="shared" si="68"/>
        <v>-1886.7102384787993</v>
      </c>
    </row>
    <row r="347" spans="1:23" x14ac:dyDescent="0.2">
      <c r="A347" s="7">
        <f t="shared" si="66"/>
        <v>588.23529411756078</v>
      </c>
      <c r="B347" s="4">
        <f t="shared" si="76"/>
        <v>341</v>
      </c>
      <c r="C347" s="4">
        <f t="shared" si="69"/>
        <v>1</v>
      </c>
      <c r="D347" s="8">
        <f t="shared" si="77"/>
        <v>8.3333333333333329E-2</v>
      </c>
      <c r="E347" s="23">
        <f t="shared" si="70"/>
        <v>11.657581138812521</v>
      </c>
      <c r="F347" s="24">
        <f t="shared" si="71"/>
        <v>1826.2607212031305</v>
      </c>
      <c r="G347" s="25">
        <f t="shared" si="72"/>
        <v>1892.918302341943</v>
      </c>
      <c r="H347" s="26">
        <f t="shared" si="73"/>
        <v>3.1046432260453223</v>
      </c>
      <c r="I347" s="27">
        <f t="shared" si="74"/>
        <v>3.104643226045777</v>
      </c>
      <c r="K347" s="18">
        <f t="shared" si="67"/>
        <v>0.96314567602915191</v>
      </c>
      <c r="L347" s="22">
        <f t="shared" si="78"/>
        <v>1.6999999999999999E-3</v>
      </c>
      <c r="N347" s="15">
        <f t="shared" si="75"/>
        <v>1077.0370926079861</v>
      </c>
      <c r="W347" s="1">
        <f t="shared" si="68"/>
        <v>-1892.918302341943</v>
      </c>
    </row>
    <row r="348" spans="1:23" x14ac:dyDescent="0.2">
      <c r="A348" s="7" t="e">
        <f t="shared" si="66"/>
        <v>#DIV/0!</v>
      </c>
      <c r="B348" s="4">
        <f t="shared" si="76"/>
        <v>342</v>
      </c>
      <c r="C348" s="4">
        <f t="shared" si="69"/>
        <v>0</v>
      </c>
      <c r="D348" s="8">
        <f t="shared" si="77"/>
        <v>0</v>
      </c>
      <c r="E348" s="23">
        <f t="shared" si="70"/>
        <v>0</v>
      </c>
      <c r="F348" s="24">
        <f t="shared" si="71"/>
        <v>0</v>
      </c>
      <c r="G348" s="25">
        <f t="shared" si="72"/>
        <v>0</v>
      </c>
      <c r="H348" s="26">
        <f t="shared" si="73"/>
        <v>0</v>
      </c>
      <c r="I348" s="27">
        <f t="shared" si="74"/>
        <v>0</v>
      </c>
      <c r="K348" s="18">
        <f t="shared" si="67"/>
        <v>0</v>
      </c>
      <c r="L348" s="22">
        <f t="shared" si="78"/>
        <v>1.6999999999999999E-3</v>
      </c>
      <c r="N348" s="15">
        <f t="shared" si="75"/>
        <v>0</v>
      </c>
      <c r="W348" s="1">
        <f t="shared" si="68"/>
        <v>0</v>
      </c>
    </row>
    <row r="349" spans="1:23" x14ac:dyDescent="0.2">
      <c r="A349" s="7" t="e">
        <f t="shared" si="66"/>
        <v>#DIV/0!</v>
      </c>
      <c r="B349" s="4">
        <f t="shared" si="76"/>
        <v>343</v>
      </c>
      <c r="C349" s="4">
        <f t="shared" si="69"/>
        <v>0</v>
      </c>
      <c r="D349" s="8">
        <f t="shared" si="77"/>
        <v>0</v>
      </c>
      <c r="E349" s="23">
        <f t="shared" si="70"/>
        <v>0</v>
      </c>
      <c r="F349" s="24">
        <f t="shared" si="71"/>
        <v>0</v>
      </c>
      <c r="G349" s="25">
        <f t="shared" si="72"/>
        <v>0</v>
      </c>
      <c r="H349" s="26">
        <f t="shared" si="73"/>
        <v>0</v>
      </c>
      <c r="I349" s="27">
        <f t="shared" si="74"/>
        <v>0</v>
      </c>
      <c r="K349" s="18">
        <f t="shared" si="67"/>
        <v>0</v>
      </c>
      <c r="L349" s="22">
        <f t="shared" si="78"/>
        <v>1.6999999999999999E-3</v>
      </c>
      <c r="N349" s="15">
        <f t="shared" si="75"/>
        <v>0</v>
      </c>
      <c r="W349" s="1">
        <f t="shared" si="68"/>
        <v>0</v>
      </c>
    </row>
    <row r="350" spans="1:23" x14ac:dyDescent="0.2">
      <c r="A350" s="7" t="e">
        <f t="shared" si="66"/>
        <v>#DIV/0!</v>
      </c>
      <c r="B350" s="4">
        <f t="shared" si="76"/>
        <v>344</v>
      </c>
      <c r="C350" s="4">
        <f t="shared" si="69"/>
        <v>0</v>
      </c>
      <c r="D350" s="8">
        <f t="shared" si="77"/>
        <v>0</v>
      </c>
      <c r="E350" s="23">
        <f t="shared" si="70"/>
        <v>0</v>
      </c>
      <c r="F350" s="24">
        <f t="shared" si="71"/>
        <v>0</v>
      </c>
      <c r="G350" s="25">
        <f t="shared" si="72"/>
        <v>0</v>
      </c>
      <c r="H350" s="26">
        <f t="shared" si="73"/>
        <v>0</v>
      </c>
      <c r="I350" s="27">
        <f t="shared" si="74"/>
        <v>0</v>
      </c>
      <c r="K350" s="18">
        <f t="shared" si="67"/>
        <v>0</v>
      </c>
      <c r="L350" s="22">
        <f t="shared" si="78"/>
        <v>1.6999999999999999E-3</v>
      </c>
      <c r="N350" s="15">
        <f t="shared" si="75"/>
        <v>0</v>
      </c>
      <c r="W350" s="1">
        <f t="shared" si="68"/>
        <v>0</v>
      </c>
    </row>
    <row r="351" spans="1:23" x14ac:dyDescent="0.2">
      <c r="A351" s="7" t="e">
        <f t="shared" si="66"/>
        <v>#DIV/0!</v>
      </c>
      <c r="B351" s="4">
        <f t="shared" si="76"/>
        <v>345</v>
      </c>
      <c r="C351" s="4">
        <f t="shared" si="69"/>
        <v>0</v>
      </c>
      <c r="D351" s="8">
        <f t="shared" si="77"/>
        <v>0</v>
      </c>
      <c r="E351" s="23">
        <f t="shared" si="70"/>
        <v>0</v>
      </c>
      <c r="F351" s="24">
        <f t="shared" si="71"/>
        <v>0</v>
      </c>
      <c r="G351" s="25">
        <f t="shared" si="72"/>
        <v>0</v>
      </c>
      <c r="H351" s="26">
        <f t="shared" si="73"/>
        <v>0</v>
      </c>
      <c r="I351" s="27">
        <f t="shared" si="74"/>
        <v>0</v>
      </c>
      <c r="K351" s="18">
        <f t="shared" si="67"/>
        <v>0</v>
      </c>
      <c r="L351" s="22">
        <f t="shared" si="78"/>
        <v>1.6999999999999999E-3</v>
      </c>
      <c r="N351" s="15">
        <f t="shared" si="75"/>
        <v>0</v>
      </c>
      <c r="W351" s="1">
        <f t="shared" si="68"/>
        <v>0</v>
      </c>
    </row>
    <row r="352" spans="1:23" x14ac:dyDescent="0.2">
      <c r="A352" s="7" t="e">
        <f t="shared" si="66"/>
        <v>#DIV/0!</v>
      </c>
      <c r="B352" s="4">
        <f t="shared" si="76"/>
        <v>346</v>
      </c>
      <c r="C352" s="4">
        <f t="shared" si="69"/>
        <v>0</v>
      </c>
      <c r="D352" s="8">
        <f t="shared" si="77"/>
        <v>0</v>
      </c>
      <c r="E352" s="23">
        <f t="shared" si="70"/>
        <v>0</v>
      </c>
      <c r="F352" s="24">
        <f t="shared" si="71"/>
        <v>0</v>
      </c>
      <c r="G352" s="25">
        <f t="shared" si="72"/>
        <v>0</v>
      </c>
      <c r="H352" s="26">
        <f t="shared" si="73"/>
        <v>0</v>
      </c>
      <c r="I352" s="27">
        <f t="shared" si="74"/>
        <v>0</v>
      </c>
      <c r="K352" s="18">
        <f t="shared" si="67"/>
        <v>0</v>
      </c>
      <c r="L352" s="22">
        <f t="shared" si="78"/>
        <v>1.6999999999999999E-3</v>
      </c>
      <c r="N352" s="15">
        <f t="shared" si="75"/>
        <v>0</v>
      </c>
      <c r="W352" s="1">
        <f t="shared" si="68"/>
        <v>0</v>
      </c>
    </row>
    <row r="353" spans="1:23" x14ac:dyDescent="0.2">
      <c r="A353" s="7" t="e">
        <f t="shared" si="66"/>
        <v>#DIV/0!</v>
      </c>
      <c r="B353" s="4">
        <f t="shared" si="76"/>
        <v>347</v>
      </c>
      <c r="C353" s="4">
        <f t="shared" si="69"/>
        <v>0</v>
      </c>
      <c r="D353" s="8">
        <f t="shared" si="77"/>
        <v>0</v>
      </c>
      <c r="E353" s="23">
        <f t="shared" si="70"/>
        <v>0</v>
      </c>
      <c r="F353" s="24">
        <f t="shared" si="71"/>
        <v>0</v>
      </c>
      <c r="G353" s="25">
        <f t="shared" si="72"/>
        <v>0</v>
      </c>
      <c r="H353" s="26">
        <f t="shared" si="73"/>
        <v>0</v>
      </c>
      <c r="I353" s="27">
        <f t="shared" si="74"/>
        <v>0</v>
      </c>
      <c r="K353" s="18">
        <f t="shared" si="67"/>
        <v>0</v>
      </c>
      <c r="L353" s="22">
        <f t="shared" si="78"/>
        <v>1.6999999999999999E-3</v>
      </c>
      <c r="N353" s="15">
        <f t="shared" si="75"/>
        <v>0</v>
      </c>
      <c r="W353" s="1">
        <f t="shared" si="68"/>
        <v>0</v>
      </c>
    </row>
    <row r="354" spans="1:23" x14ac:dyDescent="0.2">
      <c r="A354" s="7" t="e">
        <f t="shared" si="66"/>
        <v>#DIV/0!</v>
      </c>
      <c r="B354" s="4">
        <f t="shared" si="76"/>
        <v>348</v>
      </c>
      <c r="C354" s="4">
        <f t="shared" si="69"/>
        <v>0</v>
      </c>
      <c r="D354" s="8">
        <f t="shared" si="77"/>
        <v>0</v>
      </c>
      <c r="E354" s="23">
        <f t="shared" si="70"/>
        <v>0</v>
      </c>
      <c r="F354" s="24">
        <f t="shared" si="71"/>
        <v>0</v>
      </c>
      <c r="G354" s="25">
        <f t="shared" si="72"/>
        <v>0</v>
      </c>
      <c r="H354" s="26">
        <f t="shared" si="73"/>
        <v>0</v>
      </c>
      <c r="I354" s="27">
        <f t="shared" si="74"/>
        <v>0</v>
      </c>
      <c r="K354" s="18">
        <f t="shared" si="67"/>
        <v>0</v>
      </c>
      <c r="L354" s="22">
        <f t="shared" si="78"/>
        <v>1.6999999999999999E-3</v>
      </c>
      <c r="N354" s="15">
        <f t="shared" si="75"/>
        <v>0</v>
      </c>
      <c r="W354" s="1">
        <f t="shared" si="68"/>
        <v>0</v>
      </c>
    </row>
    <row r="355" spans="1:23" x14ac:dyDescent="0.2">
      <c r="A355" s="7" t="e">
        <f t="shared" si="66"/>
        <v>#DIV/0!</v>
      </c>
      <c r="B355" s="4">
        <f t="shared" si="76"/>
        <v>349</v>
      </c>
      <c r="C355" s="4">
        <f t="shared" si="69"/>
        <v>0</v>
      </c>
      <c r="D355" s="8">
        <f t="shared" si="77"/>
        <v>0</v>
      </c>
      <c r="E355" s="23">
        <f t="shared" si="70"/>
        <v>0</v>
      </c>
      <c r="F355" s="24">
        <f t="shared" si="71"/>
        <v>0</v>
      </c>
      <c r="G355" s="25">
        <f t="shared" si="72"/>
        <v>0</v>
      </c>
      <c r="H355" s="26">
        <f t="shared" si="73"/>
        <v>0</v>
      </c>
      <c r="I355" s="27">
        <f t="shared" si="74"/>
        <v>0</v>
      </c>
      <c r="K355" s="18">
        <f t="shared" si="67"/>
        <v>0</v>
      </c>
      <c r="L355" s="22">
        <f t="shared" si="78"/>
        <v>1.6999999999999999E-3</v>
      </c>
      <c r="N355" s="15">
        <f t="shared" si="75"/>
        <v>0</v>
      </c>
      <c r="W355" s="1">
        <f t="shared" si="68"/>
        <v>0</v>
      </c>
    </row>
    <row r="356" spans="1:23" x14ac:dyDescent="0.2">
      <c r="A356" s="7" t="e">
        <f t="shared" si="66"/>
        <v>#DIV/0!</v>
      </c>
      <c r="B356" s="4">
        <f t="shared" si="76"/>
        <v>350</v>
      </c>
      <c r="C356" s="4">
        <f t="shared" si="69"/>
        <v>0</v>
      </c>
      <c r="D356" s="8">
        <f t="shared" si="77"/>
        <v>0</v>
      </c>
      <c r="E356" s="23">
        <f t="shared" si="70"/>
        <v>0</v>
      </c>
      <c r="F356" s="24">
        <f t="shared" si="71"/>
        <v>0</v>
      </c>
      <c r="G356" s="25">
        <f t="shared" si="72"/>
        <v>0</v>
      </c>
      <c r="H356" s="26">
        <f t="shared" si="73"/>
        <v>0</v>
      </c>
      <c r="I356" s="27">
        <f t="shared" si="74"/>
        <v>0</v>
      </c>
      <c r="K356" s="18">
        <f t="shared" si="67"/>
        <v>0</v>
      </c>
      <c r="L356" s="22">
        <f t="shared" si="78"/>
        <v>1.6999999999999999E-3</v>
      </c>
      <c r="N356" s="15">
        <f t="shared" si="75"/>
        <v>0</v>
      </c>
      <c r="W356" s="1">
        <f t="shared" si="68"/>
        <v>0</v>
      </c>
    </row>
    <row r="357" spans="1:23" x14ac:dyDescent="0.2">
      <c r="A357" s="7" t="e">
        <f t="shared" si="66"/>
        <v>#DIV/0!</v>
      </c>
      <c r="B357" s="4">
        <f t="shared" si="76"/>
        <v>351</v>
      </c>
      <c r="C357" s="4">
        <f t="shared" si="69"/>
        <v>0</v>
      </c>
      <c r="D357" s="8">
        <f t="shared" si="77"/>
        <v>0</v>
      </c>
      <c r="E357" s="23">
        <f t="shared" si="70"/>
        <v>0</v>
      </c>
      <c r="F357" s="24">
        <f t="shared" si="71"/>
        <v>0</v>
      </c>
      <c r="G357" s="25">
        <f t="shared" si="72"/>
        <v>0</v>
      </c>
      <c r="H357" s="26">
        <f t="shared" si="73"/>
        <v>0</v>
      </c>
      <c r="I357" s="27">
        <f t="shared" si="74"/>
        <v>0</v>
      </c>
      <c r="K357" s="18">
        <f t="shared" si="67"/>
        <v>0</v>
      </c>
      <c r="L357" s="22">
        <f t="shared" si="78"/>
        <v>1.6999999999999999E-3</v>
      </c>
      <c r="N357" s="15">
        <f t="shared" si="75"/>
        <v>0</v>
      </c>
      <c r="W357" s="1">
        <f t="shared" si="68"/>
        <v>0</v>
      </c>
    </row>
    <row r="358" spans="1:23" x14ac:dyDescent="0.2">
      <c r="A358" s="7" t="e">
        <f t="shared" si="66"/>
        <v>#DIV/0!</v>
      </c>
      <c r="B358" s="4">
        <f t="shared" si="76"/>
        <v>352</v>
      </c>
      <c r="C358" s="4">
        <f t="shared" si="69"/>
        <v>0</v>
      </c>
      <c r="D358" s="8">
        <f t="shared" si="77"/>
        <v>0</v>
      </c>
      <c r="E358" s="23">
        <f t="shared" si="70"/>
        <v>0</v>
      </c>
      <c r="F358" s="24">
        <f t="shared" si="71"/>
        <v>0</v>
      </c>
      <c r="G358" s="25">
        <f t="shared" si="72"/>
        <v>0</v>
      </c>
      <c r="H358" s="26">
        <f t="shared" si="73"/>
        <v>0</v>
      </c>
      <c r="I358" s="27">
        <f t="shared" si="74"/>
        <v>0</v>
      </c>
      <c r="K358" s="18">
        <f t="shared" si="67"/>
        <v>0</v>
      </c>
      <c r="L358" s="22">
        <f t="shared" si="78"/>
        <v>1.6999999999999999E-3</v>
      </c>
      <c r="N358" s="15">
        <f t="shared" si="75"/>
        <v>0</v>
      </c>
      <c r="W358" s="1">
        <f t="shared" si="68"/>
        <v>0</v>
      </c>
    </row>
    <row r="359" spans="1:23" x14ac:dyDescent="0.2">
      <c r="A359" s="7" t="e">
        <f t="shared" si="66"/>
        <v>#DIV/0!</v>
      </c>
      <c r="B359" s="4">
        <f t="shared" si="76"/>
        <v>353</v>
      </c>
      <c r="C359" s="4">
        <f t="shared" si="69"/>
        <v>0</v>
      </c>
      <c r="D359" s="8">
        <f t="shared" si="77"/>
        <v>0</v>
      </c>
      <c r="E359" s="23">
        <f t="shared" si="70"/>
        <v>0</v>
      </c>
      <c r="F359" s="24">
        <f t="shared" si="71"/>
        <v>0</v>
      </c>
      <c r="G359" s="25">
        <f t="shared" si="72"/>
        <v>0</v>
      </c>
      <c r="H359" s="26">
        <f t="shared" si="73"/>
        <v>0</v>
      </c>
      <c r="I359" s="27">
        <f t="shared" si="74"/>
        <v>0</v>
      </c>
      <c r="K359" s="18">
        <f t="shared" si="67"/>
        <v>0</v>
      </c>
      <c r="L359" s="22">
        <f t="shared" si="78"/>
        <v>1.6999999999999999E-3</v>
      </c>
      <c r="N359" s="15">
        <f t="shared" si="75"/>
        <v>0</v>
      </c>
      <c r="W359" s="1">
        <f t="shared" si="68"/>
        <v>0</v>
      </c>
    </row>
    <row r="360" spans="1:23" x14ac:dyDescent="0.2">
      <c r="A360" s="7" t="e">
        <f t="shared" si="66"/>
        <v>#DIV/0!</v>
      </c>
      <c r="B360" s="4">
        <f t="shared" si="76"/>
        <v>354</v>
      </c>
      <c r="C360" s="4">
        <f t="shared" si="69"/>
        <v>0</v>
      </c>
      <c r="D360" s="8">
        <f t="shared" si="77"/>
        <v>0</v>
      </c>
      <c r="E360" s="23">
        <f t="shared" si="70"/>
        <v>0</v>
      </c>
      <c r="F360" s="24">
        <f t="shared" si="71"/>
        <v>0</v>
      </c>
      <c r="G360" s="25">
        <f t="shared" si="72"/>
        <v>0</v>
      </c>
      <c r="H360" s="26">
        <f t="shared" si="73"/>
        <v>0</v>
      </c>
      <c r="I360" s="27">
        <f t="shared" si="74"/>
        <v>0</v>
      </c>
      <c r="K360" s="18">
        <f t="shared" si="67"/>
        <v>0</v>
      </c>
      <c r="L360" s="22">
        <f t="shared" si="78"/>
        <v>1.6999999999999999E-3</v>
      </c>
      <c r="N360" s="15">
        <f t="shared" si="75"/>
        <v>0</v>
      </c>
      <c r="W360" s="1">
        <f t="shared" si="68"/>
        <v>0</v>
      </c>
    </row>
    <row r="361" spans="1:23" x14ac:dyDescent="0.2">
      <c r="A361" s="7" t="e">
        <f t="shared" si="66"/>
        <v>#DIV/0!</v>
      </c>
      <c r="B361" s="4">
        <f t="shared" si="76"/>
        <v>355</v>
      </c>
      <c r="C361" s="4">
        <f t="shared" si="69"/>
        <v>0</v>
      </c>
      <c r="D361" s="8">
        <f t="shared" si="77"/>
        <v>0</v>
      </c>
      <c r="E361" s="23">
        <f t="shared" si="70"/>
        <v>0</v>
      </c>
      <c r="F361" s="24">
        <f t="shared" si="71"/>
        <v>0</v>
      </c>
      <c r="G361" s="25">
        <f t="shared" si="72"/>
        <v>0</v>
      </c>
      <c r="H361" s="26">
        <f t="shared" si="73"/>
        <v>0</v>
      </c>
      <c r="I361" s="27">
        <f t="shared" si="74"/>
        <v>0</v>
      </c>
      <c r="K361" s="18">
        <f t="shared" si="67"/>
        <v>0</v>
      </c>
      <c r="L361" s="22">
        <f t="shared" si="78"/>
        <v>1.6999999999999999E-3</v>
      </c>
      <c r="N361" s="15">
        <f t="shared" si="75"/>
        <v>0</v>
      </c>
      <c r="W361" s="1">
        <f t="shared" si="68"/>
        <v>0</v>
      </c>
    </row>
    <row r="362" spans="1:23" x14ac:dyDescent="0.2">
      <c r="A362" s="7" t="e">
        <f t="shared" si="66"/>
        <v>#DIV/0!</v>
      </c>
      <c r="B362" s="4">
        <f t="shared" si="76"/>
        <v>356</v>
      </c>
      <c r="C362" s="4">
        <f t="shared" si="69"/>
        <v>0</v>
      </c>
      <c r="D362" s="8">
        <f t="shared" si="77"/>
        <v>0</v>
      </c>
      <c r="E362" s="23">
        <f t="shared" si="70"/>
        <v>0</v>
      </c>
      <c r="F362" s="24">
        <f t="shared" si="71"/>
        <v>0</v>
      </c>
      <c r="G362" s="25">
        <f t="shared" si="72"/>
        <v>0</v>
      </c>
      <c r="H362" s="26">
        <f t="shared" si="73"/>
        <v>0</v>
      </c>
      <c r="I362" s="27">
        <f t="shared" si="74"/>
        <v>0</v>
      </c>
      <c r="K362" s="18">
        <f t="shared" si="67"/>
        <v>0</v>
      </c>
      <c r="L362" s="22">
        <f t="shared" si="78"/>
        <v>1.6999999999999999E-3</v>
      </c>
      <c r="N362" s="15">
        <f t="shared" si="75"/>
        <v>0</v>
      </c>
      <c r="W362" s="1">
        <f t="shared" si="68"/>
        <v>0</v>
      </c>
    </row>
    <row r="363" spans="1:23" x14ac:dyDescent="0.2">
      <c r="A363" s="7" t="e">
        <f t="shared" si="66"/>
        <v>#DIV/0!</v>
      </c>
      <c r="B363" s="4">
        <f t="shared" si="76"/>
        <v>357</v>
      </c>
      <c r="C363" s="4">
        <f t="shared" si="69"/>
        <v>0</v>
      </c>
      <c r="D363" s="8">
        <f t="shared" si="77"/>
        <v>0</v>
      </c>
      <c r="E363" s="23">
        <f t="shared" si="70"/>
        <v>0</v>
      </c>
      <c r="F363" s="24">
        <f t="shared" si="71"/>
        <v>0</v>
      </c>
      <c r="G363" s="25">
        <f t="shared" si="72"/>
        <v>0</v>
      </c>
      <c r="H363" s="26">
        <f t="shared" si="73"/>
        <v>0</v>
      </c>
      <c r="I363" s="27">
        <f t="shared" si="74"/>
        <v>0</v>
      </c>
      <c r="K363" s="18">
        <f t="shared" si="67"/>
        <v>0</v>
      </c>
      <c r="L363" s="22">
        <f t="shared" si="78"/>
        <v>1.6999999999999999E-3</v>
      </c>
      <c r="N363" s="15">
        <f t="shared" si="75"/>
        <v>0</v>
      </c>
      <c r="W363" s="1">
        <f t="shared" si="68"/>
        <v>0</v>
      </c>
    </row>
    <row r="364" spans="1:23" x14ac:dyDescent="0.2">
      <c r="A364" s="7" t="e">
        <f t="shared" si="66"/>
        <v>#DIV/0!</v>
      </c>
      <c r="B364" s="4">
        <f t="shared" si="76"/>
        <v>358</v>
      </c>
      <c r="C364" s="4">
        <f t="shared" si="69"/>
        <v>0</v>
      </c>
      <c r="D364" s="8">
        <f t="shared" si="77"/>
        <v>0</v>
      </c>
      <c r="E364" s="23">
        <f t="shared" si="70"/>
        <v>0</v>
      </c>
      <c r="F364" s="24">
        <f t="shared" si="71"/>
        <v>0</v>
      </c>
      <c r="G364" s="25">
        <f t="shared" si="72"/>
        <v>0</v>
      </c>
      <c r="H364" s="26">
        <f t="shared" si="73"/>
        <v>0</v>
      </c>
      <c r="I364" s="27">
        <f t="shared" si="74"/>
        <v>0</v>
      </c>
      <c r="K364" s="18">
        <f t="shared" si="67"/>
        <v>0</v>
      </c>
      <c r="L364" s="22">
        <f t="shared" si="78"/>
        <v>1.6999999999999999E-3</v>
      </c>
      <c r="N364" s="15">
        <f t="shared" si="75"/>
        <v>0</v>
      </c>
      <c r="W364" s="1">
        <f t="shared" si="68"/>
        <v>0</v>
      </c>
    </row>
    <row r="365" spans="1:23" x14ac:dyDescent="0.2">
      <c r="A365" s="7" t="e">
        <f t="shared" si="66"/>
        <v>#DIV/0!</v>
      </c>
      <c r="B365" s="4">
        <f t="shared" si="76"/>
        <v>359</v>
      </c>
      <c r="C365" s="4">
        <f t="shared" si="69"/>
        <v>0</v>
      </c>
      <c r="D365" s="8">
        <f t="shared" si="77"/>
        <v>0</v>
      </c>
      <c r="E365" s="23">
        <f t="shared" si="70"/>
        <v>0</v>
      </c>
      <c r="F365" s="24">
        <f t="shared" si="71"/>
        <v>0</v>
      </c>
      <c r="G365" s="25">
        <f t="shared" si="72"/>
        <v>0</v>
      </c>
      <c r="H365" s="26">
        <f t="shared" si="73"/>
        <v>0</v>
      </c>
      <c r="I365" s="27">
        <f t="shared" si="74"/>
        <v>0</v>
      </c>
      <c r="K365" s="18">
        <f t="shared" si="67"/>
        <v>0</v>
      </c>
      <c r="L365" s="22">
        <f t="shared" si="78"/>
        <v>1.6999999999999999E-3</v>
      </c>
      <c r="N365" s="15">
        <f t="shared" si="75"/>
        <v>0</v>
      </c>
      <c r="W365" s="1">
        <f t="shared" si="68"/>
        <v>0</v>
      </c>
    </row>
    <row r="366" spans="1:23" x14ac:dyDescent="0.2">
      <c r="A366" s="7" t="e">
        <f t="shared" si="66"/>
        <v>#DIV/0!</v>
      </c>
      <c r="B366" s="4">
        <f t="shared" si="76"/>
        <v>360</v>
      </c>
      <c r="C366" s="4">
        <f t="shared" si="69"/>
        <v>0</v>
      </c>
      <c r="D366" s="8">
        <f t="shared" si="77"/>
        <v>0</v>
      </c>
      <c r="E366" s="23">
        <f t="shared" si="70"/>
        <v>0</v>
      </c>
      <c r="F366" s="24">
        <f t="shared" si="71"/>
        <v>0</v>
      </c>
      <c r="G366" s="25">
        <f t="shared" si="72"/>
        <v>0</v>
      </c>
      <c r="H366" s="26">
        <f t="shared" si="73"/>
        <v>0</v>
      </c>
      <c r="I366" s="27">
        <f t="shared" si="74"/>
        <v>0</v>
      </c>
      <c r="K366" s="18">
        <f t="shared" si="67"/>
        <v>0</v>
      </c>
      <c r="L366" s="22">
        <f t="shared" si="78"/>
        <v>1.6999999999999999E-3</v>
      </c>
      <c r="N366" s="15">
        <f t="shared" si="75"/>
        <v>0</v>
      </c>
      <c r="W366" s="1">
        <f t="shared" si="68"/>
        <v>0</v>
      </c>
    </row>
    <row r="367" spans="1:23" x14ac:dyDescent="0.2">
      <c r="A367" s="7" t="e">
        <f t="shared" si="66"/>
        <v>#DIV/0!</v>
      </c>
      <c r="B367" s="4">
        <f t="shared" si="76"/>
        <v>361</v>
      </c>
      <c r="C367" s="4">
        <f t="shared" si="69"/>
        <v>0</v>
      </c>
      <c r="D367" s="8">
        <f t="shared" si="77"/>
        <v>0</v>
      </c>
      <c r="E367" s="23">
        <f t="shared" si="70"/>
        <v>0</v>
      </c>
      <c r="F367" s="24">
        <f t="shared" si="71"/>
        <v>0</v>
      </c>
      <c r="G367" s="25">
        <f t="shared" si="72"/>
        <v>0</v>
      </c>
      <c r="H367" s="26">
        <f t="shared" si="73"/>
        <v>0</v>
      </c>
      <c r="I367" s="27">
        <f t="shared" si="74"/>
        <v>0</v>
      </c>
      <c r="K367" s="18">
        <f t="shared" si="67"/>
        <v>0</v>
      </c>
      <c r="L367" s="22">
        <f t="shared" si="78"/>
        <v>1.6999999999999999E-3</v>
      </c>
      <c r="N367" s="15">
        <f t="shared" si="75"/>
        <v>0</v>
      </c>
      <c r="W367" s="1">
        <f t="shared" si="68"/>
        <v>0</v>
      </c>
    </row>
    <row r="368" spans="1:23" x14ac:dyDescent="0.2">
      <c r="A368" s="7" t="e">
        <f t="shared" si="66"/>
        <v>#DIV/0!</v>
      </c>
      <c r="B368" s="4">
        <f t="shared" si="76"/>
        <v>362</v>
      </c>
      <c r="C368" s="4">
        <f>IF(C367-1&lt;1,0,C367-1)</f>
        <v>0</v>
      </c>
      <c r="D368" s="8">
        <f t="shared" si="77"/>
        <v>0</v>
      </c>
      <c r="E368" s="23">
        <f t="shared" si="70"/>
        <v>0</v>
      </c>
      <c r="F368" s="24">
        <f t="shared" si="71"/>
        <v>0</v>
      </c>
      <c r="G368" s="25">
        <f t="shared" si="72"/>
        <v>0</v>
      </c>
      <c r="H368" s="26">
        <f t="shared" si="73"/>
        <v>0</v>
      </c>
      <c r="I368" s="27">
        <f t="shared" si="74"/>
        <v>0</v>
      </c>
      <c r="K368" s="18">
        <f t="shared" si="67"/>
        <v>0</v>
      </c>
      <c r="L368" s="22">
        <f t="shared" si="78"/>
        <v>1.6999999999999999E-3</v>
      </c>
      <c r="N368" s="15">
        <f t="shared" si="75"/>
        <v>0</v>
      </c>
      <c r="W368" s="1">
        <f t="shared" si="68"/>
        <v>0</v>
      </c>
    </row>
    <row r="369" spans="1:23" x14ac:dyDescent="0.2">
      <c r="A369" s="7" t="e">
        <f t="shared" si="66"/>
        <v>#DIV/0!</v>
      </c>
      <c r="B369" s="4">
        <f t="shared" si="76"/>
        <v>363</v>
      </c>
      <c r="C369" s="4">
        <f t="shared" ref="C369:C426" si="79">IF(C368-1&lt;1,0,C368-1)</f>
        <v>0</v>
      </c>
      <c r="D369" s="8">
        <f t="shared" si="77"/>
        <v>0</v>
      </c>
      <c r="E369" s="23">
        <f t="shared" si="70"/>
        <v>0</v>
      </c>
      <c r="F369" s="24">
        <f t="shared" si="71"/>
        <v>0</v>
      </c>
      <c r="G369" s="25">
        <f t="shared" si="72"/>
        <v>0</v>
      </c>
      <c r="H369" s="26">
        <f t="shared" si="73"/>
        <v>0</v>
      </c>
      <c r="I369" s="27">
        <f t="shared" si="74"/>
        <v>0</v>
      </c>
      <c r="K369" s="18">
        <f t="shared" si="67"/>
        <v>0</v>
      </c>
      <c r="L369" s="22">
        <f t="shared" si="78"/>
        <v>1.6999999999999999E-3</v>
      </c>
      <c r="N369" s="15">
        <f t="shared" si="75"/>
        <v>0</v>
      </c>
      <c r="W369" s="1">
        <f t="shared" si="68"/>
        <v>0</v>
      </c>
    </row>
    <row r="370" spans="1:23" x14ac:dyDescent="0.2">
      <c r="A370" s="7" t="e">
        <f t="shared" si="66"/>
        <v>#DIV/0!</v>
      </c>
      <c r="B370" s="4">
        <f t="shared" si="76"/>
        <v>364</v>
      </c>
      <c r="C370" s="4">
        <f t="shared" si="79"/>
        <v>0</v>
      </c>
      <c r="D370" s="8">
        <f t="shared" si="77"/>
        <v>0</v>
      </c>
      <c r="E370" s="23">
        <f t="shared" si="70"/>
        <v>0</v>
      </c>
      <c r="F370" s="24">
        <f t="shared" si="71"/>
        <v>0</v>
      </c>
      <c r="G370" s="25">
        <f t="shared" si="72"/>
        <v>0</v>
      </c>
      <c r="H370" s="26">
        <f t="shared" si="73"/>
        <v>0</v>
      </c>
      <c r="I370" s="27">
        <f t="shared" si="74"/>
        <v>0</v>
      </c>
      <c r="K370" s="18">
        <f t="shared" si="67"/>
        <v>0</v>
      </c>
      <c r="L370" s="22">
        <f t="shared" si="78"/>
        <v>1.6999999999999999E-3</v>
      </c>
      <c r="N370" s="15">
        <f t="shared" si="75"/>
        <v>0</v>
      </c>
      <c r="W370" s="1">
        <f t="shared" si="68"/>
        <v>0</v>
      </c>
    </row>
    <row r="371" spans="1:23" x14ac:dyDescent="0.2">
      <c r="A371" s="7" t="e">
        <f t="shared" si="66"/>
        <v>#DIV/0!</v>
      </c>
      <c r="B371" s="4">
        <f t="shared" si="76"/>
        <v>365</v>
      </c>
      <c r="C371" s="4">
        <f t="shared" si="79"/>
        <v>0</v>
      </c>
      <c r="D371" s="8">
        <f t="shared" si="77"/>
        <v>0</v>
      </c>
      <c r="E371" s="23">
        <f t="shared" si="70"/>
        <v>0</v>
      </c>
      <c r="F371" s="24">
        <f t="shared" si="71"/>
        <v>0</v>
      </c>
      <c r="G371" s="25">
        <f t="shared" si="72"/>
        <v>0</v>
      </c>
      <c r="H371" s="26">
        <f t="shared" si="73"/>
        <v>0</v>
      </c>
      <c r="I371" s="27">
        <f t="shared" si="74"/>
        <v>0</v>
      </c>
      <c r="K371" s="18">
        <f t="shared" si="67"/>
        <v>0</v>
      </c>
      <c r="L371" s="22">
        <f t="shared" si="78"/>
        <v>1.6999999999999999E-3</v>
      </c>
      <c r="N371" s="15">
        <f t="shared" si="75"/>
        <v>0</v>
      </c>
      <c r="W371" s="1">
        <f t="shared" si="68"/>
        <v>0</v>
      </c>
    </row>
    <row r="372" spans="1:23" x14ac:dyDescent="0.2">
      <c r="A372" s="7" t="e">
        <f t="shared" si="66"/>
        <v>#DIV/0!</v>
      </c>
      <c r="B372" s="4">
        <f t="shared" si="76"/>
        <v>366</v>
      </c>
      <c r="C372" s="4">
        <f t="shared" si="79"/>
        <v>0</v>
      </c>
      <c r="D372" s="8">
        <f t="shared" si="77"/>
        <v>0</v>
      </c>
      <c r="E372" s="23">
        <f t="shared" si="70"/>
        <v>0</v>
      </c>
      <c r="F372" s="24">
        <f t="shared" si="71"/>
        <v>0</v>
      </c>
      <c r="G372" s="25">
        <f t="shared" si="72"/>
        <v>0</v>
      </c>
      <c r="H372" s="26">
        <f t="shared" si="73"/>
        <v>0</v>
      </c>
      <c r="I372" s="27">
        <f t="shared" si="74"/>
        <v>0</v>
      </c>
      <c r="K372" s="18">
        <f t="shared" si="67"/>
        <v>0</v>
      </c>
      <c r="L372" s="22">
        <f t="shared" si="78"/>
        <v>1.6999999999999999E-3</v>
      </c>
      <c r="N372" s="15">
        <f t="shared" si="75"/>
        <v>0</v>
      </c>
      <c r="W372" s="1">
        <f t="shared" si="68"/>
        <v>0</v>
      </c>
    </row>
    <row r="373" spans="1:23" x14ac:dyDescent="0.2">
      <c r="A373" s="7" t="e">
        <f t="shared" si="66"/>
        <v>#DIV/0!</v>
      </c>
      <c r="B373" s="4">
        <f t="shared" si="76"/>
        <v>367</v>
      </c>
      <c r="C373" s="4">
        <f t="shared" si="79"/>
        <v>0</v>
      </c>
      <c r="D373" s="8">
        <f t="shared" si="77"/>
        <v>0</v>
      </c>
      <c r="E373" s="23">
        <f t="shared" si="70"/>
        <v>0</v>
      </c>
      <c r="F373" s="24">
        <f t="shared" si="71"/>
        <v>0</v>
      </c>
      <c r="G373" s="25">
        <f t="shared" si="72"/>
        <v>0</v>
      </c>
      <c r="H373" s="26">
        <f t="shared" si="73"/>
        <v>0</v>
      </c>
      <c r="I373" s="27">
        <f t="shared" si="74"/>
        <v>0</v>
      </c>
      <c r="K373" s="18">
        <f t="shared" si="67"/>
        <v>0</v>
      </c>
      <c r="L373" s="22">
        <f t="shared" si="78"/>
        <v>1.6999999999999999E-3</v>
      </c>
      <c r="N373" s="15">
        <f t="shared" si="75"/>
        <v>0</v>
      </c>
      <c r="W373" s="1">
        <f t="shared" si="68"/>
        <v>0</v>
      </c>
    </row>
    <row r="374" spans="1:23" x14ac:dyDescent="0.2">
      <c r="A374" s="7" t="e">
        <f t="shared" si="66"/>
        <v>#DIV/0!</v>
      </c>
      <c r="B374" s="4">
        <f t="shared" si="76"/>
        <v>368</v>
      </c>
      <c r="C374" s="4">
        <f t="shared" si="79"/>
        <v>0</v>
      </c>
      <c r="D374" s="8">
        <f t="shared" si="77"/>
        <v>0</v>
      </c>
      <c r="E374" s="23">
        <f t="shared" si="70"/>
        <v>0</v>
      </c>
      <c r="F374" s="24">
        <f t="shared" si="71"/>
        <v>0</v>
      </c>
      <c r="G374" s="25">
        <f t="shared" si="72"/>
        <v>0</v>
      </c>
      <c r="H374" s="26">
        <f t="shared" si="73"/>
        <v>0</v>
      </c>
      <c r="I374" s="27">
        <f t="shared" si="74"/>
        <v>0</v>
      </c>
      <c r="K374" s="18">
        <f t="shared" si="67"/>
        <v>0</v>
      </c>
      <c r="L374" s="22">
        <f t="shared" si="78"/>
        <v>1.6999999999999999E-3</v>
      </c>
      <c r="N374" s="15">
        <f t="shared" si="75"/>
        <v>0</v>
      </c>
      <c r="W374" s="1">
        <f t="shared" si="68"/>
        <v>0</v>
      </c>
    </row>
    <row r="375" spans="1:23" x14ac:dyDescent="0.2">
      <c r="A375" s="7" t="e">
        <f t="shared" si="66"/>
        <v>#DIV/0!</v>
      </c>
      <c r="B375" s="4">
        <f t="shared" si="76"/>
        <v>369</v>
      </c>
      <c r="C375" s="4">
        <f t="shared" si="79"/>
        <v>0</v>
      </c>
      <c r="D375" s="8">
        <f t="shared" si="77"/>
        <v>0</v>
      </c>
      <c r="E375" s="23">
        <f t="shared" si="70"/>
        <v>0</v>
      </c>
      <c r="F375" s="24">
        <f t="shared" si="71"/>
        <v>0</v>
      </c>
      <c r="G375" s="25">
        <f t="shared" si="72"/>
        <v>0</v>
      </c>
      <c r="H375" s="26">
        <f t="shared" si="73"/>
        <v>0</v>
      </c>
      <c r="I375" s="27">
        <f t="shared" si="74"/>
        <v>0</v>
      </c>
      <c r="K375" s="18">
        <f t="shared" si="67"/>
        <v>0</v>
      </c>
      <c r="L375" s="22">
        <f t="shared" si="78"/>
        <v>1.6999999999999999E-3</v>
      </c>
      <c r="N375" s="15">
        <f t="shared" si="75"/>
        <v>0</v>
      </c>
      <c r="W375" s="1">
        <f t="shared" si="68"/>
        <v>0</v>
      </c>
    </row>
    <row r="376" spans="1:23" x14ac:dyDescent="0.2">
      <c r="A376" s="7" t="e">
        <f t="shared" si="66"/>
        <v>#DIV/0!</v>
      </c>
      <c r="B376" s="4">
        <f t="shared" si="76"/>
        <v>370</v>
      </c>
      <c r="C376" s="4">
        <f t="shared" si="79"/>
        <v>0</v>
      </c>
      <c r="D376" s="8">
        <f t="shared" si="77"/>
        <v>0</v>
      </c>
      <c r="E376" s="23">
        <f t="shared" si="70"/>
        <v>0</v>
      </c>
      <c r="F376" s="24">
        <f t="shared" si="71"/>
        <v>0</v>
      </c>
      <c r="G376" s="25">
        <f t="shared" si="72"/>
        <v>0</v>
      </c>
      <c r="H376" s="26">
        <f t="shared" si="73"/>
        <v>0</v>
      </c>
      <c r="I376" s="27">
        <f t="shared" si="74"/>
        <v>0</v>
      </c>
      <c r="K376" s="18">
        <f t="shared" si="67"/>
        <v>0</v>
      </c>
      <c r="L376" s="22">
        <f t="shared" si="78"/>
        <v>1.6999999999999999E-3</v>
      </c>
      <c r="N376" s="15">
        <f t="shared" si="75"/>
        <v>0</v>
      </c>
      <c r="W376" s="1">
        <f t="shared" si="68"/>
        <v>0</v>
      </c>
    </row>
    <row r="377" spans="1:23" x14ac:dyDescent="0.2">
      <c r="A377" s="7" t="e">
        <f t="shared" si="66"/>
        <v>#DIV/0!</v>
      </c>
      <c r="B377" s="4">
        <f t="shared" si="76"/>
        <v>371</v>
      </c>
      <c r="C377" s="4">
        <f t="shared" si="79"/>
        <v>0</v>
      </c>
      <c r="D377" s="8">
        <f t="shared" si="77"/>
        <v>0</v>
      </c>
      <c r="E377" s="23">
        <f t="shared" si="70"/>
        <v>0</v>
      </c>
      <c r="F377" s="24">
        <f t="shared" si="71"/>
        <v>0</v>
      </c>
      <c r="G377" s="25">
        <f t="shared" si="72"/>
        <v>0</v>
      </c>
      <c r="H377" s="26">
        <f t="shared" si="73"/>
        <v>0</v>
      </c>
      <c r="I377" s="27">
        <f t="shared" si="74"/>
        <v>0</v>
      </c>
      <c r="K377" s="18">
        <f t="shared" si="67"/>
        <v>0</v>
      </c>
      <c r="L377" s="22">
        <f t="shared" si="78"/>
        <v>1.6999999999999999E-3</v>
      </c>
      <c r="N377" s="15">
        <f t="shared" si="75"/>
        <v>0</v>
      </c>
      <c r="W377" s="1">
        <f t="shared" si="68"/>
        <v>0</v>
      </c>
    </row>
    <row r="378" spans="1:23" x14ac:dyDescent="0.2">
      <c r="A378" s="7" t="e">
        <f t="shared" si="66"/>
        <v>#DIV/0!</v>
      </c>
      <c r="B378" s="4">
        <f t="shared" si="76"/>
        <v>372</v>
      </c>
      <c r="C378" s="4">
        <f t="shared" si="79"/>
        <v>0</v>
      </c>
      <c r="D378" s="8">
        <f t="shared" si="77"/>
        <v>0</v>
      </c>
      <c r="E378" s="23">
        <f t="shared" si="70"/>
        <v>0</v>
      </c>
      <c r="F378" s="24">
        <f t="shared" si="71"/>
        <v>0</v>
      </c>
      <c r="G378" s="25">
        <f t="shared" si="72"/>
        <v>0</v>
      </c>
      <c r="H378" s="26">
        <f t="shared" si="73"/>
        <v>0</v>
      </c>
      <c r="I378" s="27">
        <f t="shared" si="74"/>
        <v>0</v>
      </c>
      <c r="K378" s="18">
        <f t="shared" si="67"/>
        <v>0</v>
      </c>
      <c r="L378" s="22">
        <f t="shared" si="78"/>
        <v>1.6999999999999999E-3</v>
      </c>
      <c r="N378" s="15">
        <f t="shared" si="75"/>
        <v>0</v>
      </c>
      <c r="W378" s="1">
        <f t="shared" si="68"/>
        <v>0</v>
      </c>
    </row>
    <row r="379" spans="1:23" x14ac:dyDescent="0.2">
      <c r="A379" s="7" t="e">
        <f t="shared" si="66"/>
        <v>#DIV/0!</v>
      </c>
      <c r="B379" s="4">
        <f t="shared" si="76"/>
        <v>373</v>
      </c>
      <c r="C379" s="4">
        <f t="shared" si="79"/>
        <v>0</v>
      </c>
      <c r="D379" s="8">
        <f t="shared" si="77"/>
        <v>0</v>
      </c>
      <c r="E379" s="23">
        <f t="shared" si="70"/>
        <v>0</v>
      </c>
      <c r="F379" s="24">
        <f t="shared" si="71"/>
        <v>0</v>
      </c>
      <c r="G379" s="25">
        <f t="shared" si="72"/>
        <v>0</v>
      </c>
      <c r="H379" s="26">
        <f t="shared" si="73"/>
        <v>0</v>
      </c>
      <c r="I379" s="27">
        <f t="shared" si="74"/>
        <v>0</v>
      </c>
      <c r="K379" s="18">
        <f t="shared" si="67"/>
        <v>0</v>
      </c>
      <c r="L379" s="22">
        <f t="shared" si="78"/>
        <v>1.6999999999999999E-3</v>
      </c>
      <c r="N379" s="15">
        <f t="shared" si="75"/>
        <v>0</v>
      </c>
      <c r="W379" s="1">
        <f t="shared" si="68"/>
        <v>0</v>
      </c>
    </row>
    <row r="380" spans="1:23" x14ac:dyDescent="0.2">
      <c r="A380" s="7" t="e">
        <f t="shared" si="66"/>
        <v>#DIV/0!</v>
      </c>
      <c r="B380" s="4">
        <f t="shared" si="76"/>
        <v>374</v>
      </c>
      <c r="C380" s="4">
        <f t="shared" si="79"/>
        <v>0</v>
      </c>
      <c r="D380" s="8">
        <f t="shared" si="77"/>
        <v>0</v>
      </c>
      <c r="E380" s="23">
        <f t="shared" si="70"/>
        <v>0</v>
      </c>
      <c r="F380" s="24">
        <f t="shared" si="71"/>
        <v>0</v>
      </c>
      <c r="G380" s="25">
        <f t="shared" si="72"/>
        <v>0</v>
      </c>
      <c r="H380" s="26">
        <f t="shared" si="73"/>
        <v>0</v>
      </c>
      <c r="I380" s="27">
        <f t="shared" si="74"/>
        <v>0</v>
      </c>
      <c r="K380" s="18">
        <f t="shared" si="67"/>
        <v>0</v>
      </c>
      <c r="L380" s="22">
        <f t="shared" si="78"/>
        <v>1.6999999999999999E-3</v>
      </c>
      <c r="N380" s="15">
        <f t="shared" si="75"/>
        <v>0</v>
      </c>
      <c r="W380" s="1">
        <f t="shared" si="68"/>
        <v>0</v>
      </c>
    </row>
    <row r="381" spans="1:23" x14ac:dyDescent="0.2">
      <c r="A381" s="7" t="e">
        <f t="shared" si="66"/>
        <v>#DIV/0!</v>
      </c>
      <c r="B381" s="4">
        <f t="shared" si="76"/>
        <v>375</v>
      </c>
      <c r="C381" s="4">
        <f t="shared" si="79"/>
        <v>0</v>
      </c>
      <c r="D381" s="8">
        <f t="shared" si="77"/>
        <v>0</v>
      </c>
      <c r="E381" s="23">
        <f t="shared" si="70"/>
        <v>0</v>
      </c>
      <c r="F381" s="24">
        <f t="shared" si="71"/>
        <v>0</v>
      </c>
      <c r="G381" s="25">
        <f t="shared" si="72"/>
        <v>0</v>
      </c>
      <c r="H381" s="26">
        <f t="shared" si="73"/>
        <v>0</v>
      </c>
      <c r="I381" s="27">
        <f t="shared" si="74"/>
        <v>0</v>
      </c>
      <c r="K381" s="18">
        <f t="shared" si="67"/>
        <v>0</v>
      </c>
      <c r="L381" s="22">
        <f t="shared" si="78"/>
        <v>1.6999999999999999E-3</v>
      </c>
      <c r="N381" s="15">
        <f t="shared" si="75"/>
        <v>0</v>
      </c>
      <c r="W381" s="1">
        <f t="shared" si="68"/>
        <v>0</v>
      </c>
    </row>
    <row r="382" spans="1:23" x14ac:dyDescent="0.2">
      <c r="A382" s="7" t="e">
        <f t="shared" si="66"/>
        <v>#DIV/0!</v>
      </c>
      <c r="B382" s="4">
        <f t="shared" si="76"/>
        <v>376</v>
      </c>
      <c r="C382" s="4">
        <f t="shared" si="79"/>
        <v>0</v>
      </c>
      <c r="D382" s="8">
        <f t="shared" si="77"/>
        <v>0</v>
      </c>
      <c r="E382" s="23">
        <f t="shared" si="70"/>
        <v>0</v>
      </c>
      <c r="F382" s="24">
        <f t="shared" si="71"/>
        <v>0</v>
      </c>
      <c r="G382" s="25">
        <f t="shared" si="72"/>
        <v>0</v>
      </c>
      <c r="H382" s="26">
        <f t="shared" si="73"/>
        <v>0</v>
      </c>
      <c r="I382" s="27">
        <f t="shared" si="74"/>
        <v>0</v>
      </c>
      <c r="K382" s="18">
        <f t="shared" si="67"/>
        <v>0</v>
      </c>
      <c r="L382" s="22">
        <f t="shared" si="78"/>
        <v>1.6999999999999999E-3</v>
      </c>
      <c r="N382" s="15">
        <f t="shared" si="75"/>
        <v>0</v>
      </c>
      <c r="W382" s="1">
        <f t="shared" si="68"/>
        <v>0</v>
      </c>
    </row>
    <row r="383" spans="1:23" x14ac:dyDescent="0.2">
      <c r="A383" s="7" t="e">
        <f t="shared" si="66"/>
        <v>#DIV/0!</v>
      </c>
      <c r="B383" s="4">
        <f t="shared" si="76"/>
        <v>377</v>
      </c>
      <c r="C383" s="4">
        <f t="shared" si="79"/>
        <v>0</v>
      </c>
      <c r="D383" s="8">
        <f t="shared" si="77"/>
        <v>0</v>
      </c>
      <c r="E383" s="23">
        <f t="shared" si="70"/>
        <v>0</v>
      </c>
      <c r="F383" s="24">
        <f t="shared" si="71"/>
        <v>0</v>
      </c>
      <c r="G383" s="25">
        <f t="shared" si="72"/>
        <v>0</v>
      </c>
      <c r="H383" s="26">
        <f t="shared" si="73"/>
        <v>0</v>
      </c>
      <c r="I383" s="27">
        <f t="shared" si="74"/>
        <v>0</v>
      </c>
      <c r="K383" s="18">
        <f t="shared" si="67"/>
        <v>0</v>
      </c>
      <c r="L383" s="22">
        <f t="shared" si="78"/>
        <v>1.6999999999999999E-3</v>
      </c>
      <c r="N383" s="15">
        <f t="shared" si="75"/>
        <v>0</v>
      </c>
      <c r="W383" s="1">
        <f t="shared" si="68"/>
        <v>0</v>
      </c>
    </row>
    <row r="384" spans="1:23" x14ac:dyDescent="0.2">
      <c r="A384" s="7" t="e">
        <f t="shared" si="66"/>
        <v>#DIV/0!</v>
      </c>
      <c r="B384" s="4">
        <f t="shared" si="76"/>
        <v>378</v>
      </c>
      <c r="C384" s="4">
        <f t="shared" si="79"/>
        <v>0</v>
      </c>
      <c r="D384" s="8">
        <f t="shared" si="77"/>
        <v>0</v>
      </c>
      <c r="E384" s="23">
        <f t="shared" si="70"/>
        <v>0</v>
      </c>
      <c r="F384" s="24">
        <f t="shared" si="71"/>
        <v>0</v>
      </c>
      <c r="G384" s="25">
        <f t="shared" si="72"/>
        <v>0</v>
      </c>
      <c r="H384" s="26">
        <f t="shared" si="73"/>
        <v>0</v>
      </c>
      <c r="I384" s="27">
        <f t="shared" si="74"/>
        <v>0</v>
      </c>
      <c r="K384" s="18">
        <f t="shared" si="67"/>
        <v>0</v>
      </c>
      <c r="L384" s="22">
        <f t="shared" si="78"/>
        <v>1.6999999999999999E-3</v>
      </c>
      <c r="N384" s="15">
        <f t="shared" si="75"/>
        <v>0</v>
      </c>
      <c r="W384" s="1">
        <f t="shared" si="68"/>
        <v>0</v>
      </c>
    </row>
    <row r="385" spans="1:23" x14ac:dyDescent="0.2">
      <c r="A385" s="7" t="e">
        <f t="shared" si="66"/>
        <v>#DIV/0!</v>
      </c>
      <c r="B385" s="4">
        <f t="shared" si="76"/>
        <v>379</v>
      </c>
      <c r="C385" s="4">
        <f t="shared" si="79"/>
        <v>0</v>
      </c>
      <c r="D385" s="8">
        <f t="shared" si="77"/>
        <v>0</v>
      </c>
      <c r="E385" s="23">
        <f t="shared" si="70"/>
        <v>0</v>
      </c>
      <c r="F385" s="24">
        <f t="shared" si="71"/>
        <v>0</v>
      </c>
      <c r="G385" s="25">
        <f t="shared" si="72"/>
        <v>0</v>
      </c>
      <c r="H385" s="26">
        <f t="shared" si="73"/>
        <v>0</v>
      </c>
      <c r="I385" s="27">
        <f t="shared" si="74"/>
        <v>0</v>
      </c>
      <c r="K385" s="18">
        <f t="shared" si="67"/>
        <v>0</v>
      </c>
      <c r="L385" s="22">
        <f t="shared" si="78"/>
        <v>1.6999999999999999E-3</v>
      </c>
      <c r="N385" s="15">
        <f t="shared" si="75"/>
        <v>0</v>
      </c>
      <c r="W385" s="1">
        <f t="shared" si="68"/>
        <v>0</v>
      </c>
    </row>
    <row r="386" spans="1:23" x14ac:dyDescent="0.2">
      <c r="A386" s="7" t="e">
        <f t="shared" si="66"/>
        <v>#DIV/0!</v>
      </c>
      <c r="B386" s="4">
        <f t="shared" si="76"/>
        <v>380</v>
      </c>
      <c r="C386" s="4">
        <f t="shared" si="79"/>
        <v>0</v>
      </c>
      <c r="D386" s="8">
        <f t="shared" si="77"/>
        <v>0</v>
      </c>
      <c r="E386" s="23">
        <f t="shared" si="70"/>
        <v>0</v>
      </c>
      <c r="F386" s="24">
        <f t="shared" si="71"/>
        <v>0</v>
      </c>
      <c r="G386" s="25">
        <f t="shared" si="72"/>
        <v>0</v>
      </c>
      <c r="H386" s="26">
        <f t="shared" si="73"/>
        <v>0</v>
      </c>
      <c r="I386" s="27">
        <f t="shared" si="74"/>
        <v>0</v>
      </c>
      <c r="K386" s="18">
        <f t="shared" si="67"/>
        <v>0</v>
      </c>
      <c r="L386" s="22">
        <f t="shared" si="78"/>
        <v>1.6999999999999999E-3</v>
      </c>
      <c r="N386" s="15">
        <f t="shared" si="75"/>
        <v>0</v>
      </c>
      <c r="W386" s="1">
        <f t="shared" si="68"/>
        <v>0</v>
      </c>
    </row>
    <row r="387" spans="1:23" x14ac:dyDescent="0.2">
      <c r="A387" s="7" t="e">
        <f t="shared" si="66"/>
        <v>#DIV/0!</v>
      </c>
      <c r="B387" s="4">
        <f t="shared" si="76"/>
        <v>381</v>
      </c>
      <c r="C387" s="4">
        <f t="shared" si="79"/>
        <v>0</v>
      </c>
      <c r="D387" s="8">
        <f t="shared" si="77"/>
        <v>0</v>
      </c>
      <c r="E387" s="23">
        <f t="shared" si="70"/>
        <v>0</v>
      </c>
      <c r="F387" s="24">
        <f t="shared" si="71"/>
        <v>0</v>
      </c>
      <c r="G387" s="25">
        <f t="shared" si="72"/>
        <v>0</v>
      </c>
      <c r="H387" s="26">
        <f t="shared" si="73"/>
        <v>0</v>
      </c>
      <c r="I387" s="27">
        <f t="shared" si="74"/>
        <v>0</v>
      </c>
      <c r="K387" s="18">
        <f t="shared" si="67"/>
        <v>0</v>
      </c>
      <c r="L387" s="22">
        <f t="shared" si="78"/>
        <v>1.6999999999999999E-3</v>
      </c>
      <c r="N387" s="15">
        <f t="shared" si="75"/>
        <v>0</v>
      </c>
      <c r="W387" s="1">
        <f t="shared" si="68"/>
        <v>0</v>
      </c>
    </row>
    <row r="388" spans="1:23" x14ac:dyDescent="0.2">
      <c r="A388" s="7" t="e">
        <f t="shared" si="66"/>
        <v>#DIV/0!</v>
      </c>
      <c r="B388" s="4">
        <f t="shared" si="76"/>
        <v>382</v>
      </c>
      <c r="C388" s="4">
        <f t="shared" si="79"/>
        <v>0</v>
      </c>
      <c r="D388" s="8">
        <f t="shared" si="77"/>
        <v>0</v>
      </c>
      <c r="E388" s="23">
        <f t="shared" si="70"/>
        <v>0</v>
      </c>
      <c r="F388" s="24">
        <f t="shared" si="71"/>
        <v>0</v>
      </c>
      <c r="G388" s="25">
        <f t="shared" si="72"/>
        <v>0</v>
      </c>
      <c r="H388" s="26">
        <f t="shared" si="73"/>
        <v>0</v>
      </c>
      <c r="I388" s="27">
        <f t="shared" si="74"/>
        <v>0</v>
      </c>
      <c r="K388" s="18">
        <f t="shared" si="67"/>
        <v>0</v>
      </c>
      <c r="L388" s="22">
        <f t="shared" si="78"/>
        <v>1.6999999999999999E-3</v>
      </c>
      <c r="N388" s="15">
        <f t="shared" si="75"/>
        <v>0</v>
      </c>
      <c r="W388" s="1">
        <f t="shared" si="68"/>
        <v>0</v>
      </c>
    </row>
    <row r="389" spans="1:23" x14ac:dyDescent="0.2">
      <c r="A389" s="7" t="e">
        <f t="shared" si="66"/>
        <v>#DIV/0!</v>
      </c>
      <c r="B389" s="4">
        <f t="shared" si="76"/>
        <v>383</v>
      </c>
      <c r="C389" s="4">
        <f t="shared" si="79"/>
        <v>0</v>
      </c>
      <c r="D389" s="8">
        <f t="shared" si="77"/>
        <v>0</v>
      </c>
      <c r="E389" s="23">
        <f t="shared" si="70"/>
        <v>0</v>
      </c>
      <c r="F389" s="24">
        <f t="shared" si="71"/>
        <v>0</v>
      </c>
      <c r="G389" s="25">
        <f t="shared" si="72"/>
        <v>0</v>
      </c>
      <c r="H389" s="26">
        <f t="shared" si="73"/>
        <v>0</v>
      </c>
      <c r="I389" s="27">
        <f t="shared" si="74"/>
        <v>0</v>
      </c>
      <c r="K389" s="18">
        <f t="shared" si="67"/>
        <v>0</v>
      </c>
      <c r="L389" s="22">
        <f t="shared" si="78"/>
        <v>1.6999999999999999E-3</v>
      </c>
      <c r="N389" s="15">
        <f t="shared" si="75"/>
        <v>0</v>
      </c>
      <c r="W389" s="1">
        <f t="shared" si="68"/>
        <v>0</v>
      </c>
    </row>
    <row r="390" spans="1:23" x14ac:dyDescent="0.2">
      <c r="A390" s="7" t="e">
        <f t="shared" si="66"/>
        <v>#DIV/0!</v>
      </c>
      <c r="B390" s="4">
        <f t="shared" si="76"/>
        <v>384</v>
      </c>
      <c r="C390" s="4">
        <f t="shared" si="79"/>
        <v>0</v>
      </c>
      <c r="D390" s="8">
        <f t="shared" si="77"/>
        <v>0</v>
      </c>
      <c r="E390" s="23">
        <f t="shared" si="70"/>
        <v>0</v>
      </c>
      <c r="F390" s="24">
        <f t="shared" si="71"/>
        <v>0</v>
      </c>
      <c r="G390" s="25">
        <f t="shared" si="72"/>
        <v>0</v>
      </c>
      <c r="H390" s="26">
        <f t="shared" si="73"/>
        <v>0</v>
      </c>
      <c r="I390" s="27">
        <f t="shared" si="74"/>
        <v>0</v>
      </c>
      <c r="K390" s="18">
        <f t="shared" si="67"/>
        <v>0</v>
      </c>
      <c r="L390" s="22">
        <f t="shared" si="78"/>
        <v>1.6999999999999999E-3</v>
      </c>
      <c r="N390" s="15">
        <f t="shared" si="75"/>
        <v>0</v>
      </c>
      <c r="W390" s="1">
        <f t="shared" si="68"/>
        <v>0</v>
      </c>
    </row>
    <row r="391" spans="1:23" x14ac:dyDescent="0.2">
      <c r="A391" s="7" t="e">
        <f t="shared" ref="A391:A426" si="80">F391/I391</f>
        <v>#DIV/0!</v>
      </c>
      <c r="B391" s="4">
        <f t="shared" si="76"/>
        <v>385</v>
      </c>
      <c r="C391" s="4">
        <f t="shared" si="79"/>
        <v>0</v>
      </c>
      <c r="D391" s="8">
        <f t="shared" si="77"/>
        <v>0</v>
      </c>
      <c r="E391" s="23">
        <f t="shared" si="70"/>
        <v>0</v>
      </c>
      <c r="F391" s="24">
        <f t="shared" si="71"/>
        <v>0</v>
      </c>
      <c r="G391" s="25">
        <f t="shared" si="72"/>
        <v>0</v>
      </c>
      <c r="H391" s="26">
        <f t="shared" si="73"/>
        <v>0</v>
      </c>
      <c r="I391" s="27">
        <f t="shared" si="74"/>
        <v>0</v>
      </c>
      <c r="K391" s="18">
        <f t="shared" ref="K391:K426" si="81">IF(C391&lt;1,0,(F391-H391)/G391)</f>
        <v>0</v>
      </c>
      <c r="L391" s="22">
        <f t="shared" si="78"/>
        <v>1.6999999999999999E-3</v>
      </c>
      <c r="N391" s="15">
        <f t="shared" si="75"/>
        <v>0</v>
      </c>
      <c r="W391" s="1">
        <f t="shared" ref="W391:W426" si="82">-G391</f>
        <v>0</v>
      </c>
    </row>
    <row r="392" spans="1:23" x14ac:dyDescent="0.2">
      <c r="A392" s="7" t="e">
        <f t="shared" si="80"/>
        <v>#DIV/0!</v>
      </c>
      <c r="B392" s="4">
        <f t="shared" si="76"/>
        <v>386</v>
      </c>
      <c r="C392" s="4">
        <f t="shared" si="79"/>
        <v>0</v>
      </c>
      <c r="D392" s="8">
        <f t="shared" si="77"/>
        <v>0</v>
      </c>
      <c r="E392" s="23">
        <f t="shared" ref="E392:E426" si="83">IF(C392&lt;1,0,I391*$J$4)</f>
        <v>0</v>
      </c>
      <c r="F392" s="24">
        <f t="shared" ref="F392:F426" si="84">IF(C392&lt;1,0,G392-E392-$L$3-$L$4)</f>
        <v>0</v>
      </c>
      <c r="G392" s="25">
        <f t="shared" ref="G392:G426" si="85">IF(C392&lt;1,0,-PMT($J$4,C392,I391)+$L$3+$L$4)</f>
        <v>0</v>
      </c>
      <c r="H392" s="26">
        <f t="shared" ref="H392:H426" si="86">IF(C392&lt;1,0,I391*L392)</f>
        <v>0</v>
      </c>
      <c r="I392" s="27">
        <f t="shared" ref="I392:I426" si="87">IF(C392&lt;1,0,I391-F392+H392)</f>
        <v>0</v>
      </c>
      <c r="K392" s="18">
        <f t="shared" si="81"/>
        <v>0</v>
      </c>
      <c r="L392" s="22">
        <f t="shared" si="78"/>
        <v>1.6999999999999999E-3</v>
      </c>
      <c r="N392" s="15">
        <f t="shared" ref="N392:N426" si="88">IF(C392&lt;1,0,N391)</f>
        <v>0</v>
      </c>
      <c r="W392" s="1">
        <f t="shared" si="82"/>
        <v>0</v>
      </c>
    </row>
    <row r="393" spans="1:23" x14ac:dyDescent="0.2">
      <c r="A393" s="7" t="e">
        <f t="shared" si="80"/>
        <v>#DIV/0!</v>
      </c>
      <c r="B393" s="4">
        <f t="shared" ref="B393:B426" si="89">B392+1</f>
        <v>387</v>
      </c>
      <c r="C393" s="4">
        <f t="shared" si="79"/>
        <v>0</v>
      </c>
      <c r="D393" s="8">
        <f t="shared" si="77"/>
        <v>0</v>
      </c>
      <c r="E393" s="23">
        <f t="shared" si="83"/>
        <v>0</v>
      </c>
      <c r="F393" s="24">
        <f t="shared" si="84"/>
        <v>0</v>
      </c>
      <c r="G393" s="25">
        <f t="shared" si="85"/>
        <v>0</v>
      </c>
      <c r="H393" s="26">
        <f t="shared" si="86"/>
        <v>0</v>
      </c>
      <c r="I393" s="27">
        <f t="shared" si="87"/>
        <v>0</v>
      </c>
      <c r="K393" s="18">
        <f t="shared" si="81"/>
        <v>0</v>
      </c>
      <c r="L393" s="22">
        <f t="shared" si="78"/>
        <v>1.6999999999999999E-3</v>
      </c>
      <c r="N393" s="15">
        <f t="shared" si="88"/>
        <v>0</v>
      </c>
      <c r="W393" s="1">
        <f t="shared" si="82"/>
        <v>0</v>
      </c>
    </row>
    <row r="394" spans="1:23" x14ac:dyDescent="0.2">
      <c r="A394" s="7" t="e">
        <f t="shared" si="80"/>
        <v>#DIV/0!</v>
      </c>
      <c r="B394" s="4">
        <f t="shared" si="89"/>
        <v>388</v>
      </c>
      <c r="C394" s="4">
        <f t="shared" si="79"/>
        <v>0</v>
      </c>
      <c r="D394" s="8">
        <f t="shared" si="77"/>
        <v>0</v>
      </c>
      <c r="E394" s="23">
        <f t="shared" si="83"/>
        <v>0</v>
      </c>
      <c r="F394" s="24">
        <f t="shared" si="84"/>
        <v>0</v>
      </c>
      <c r="G394" s="25">
        <f t="shared" si="85"/>
        <v>0</v>
      </c>
      <c r="H394" s="26">
        <f t="shared" si="86"/>
        <v>0</v>
      </c>
      <c r="I394" s="27">
        <f t="shared" si="87"/>
        <v>0</v>
      </c>
      <c r="K394" s="18">
        <f t="shared" si="81"/>
        <v>0</v>
      </c>
      <c r="L394" s="22">
        <f t="shared" si="78"/>
        <v>1.6999999999999999E-3</v>
      </c>
      <c r="N394" s="15">
        <f t="shared" si="88"/>
        <v>0</v>
      </c>
      <c r="W394" s="1">
        <f t="shared" si="82"/>
        <v>0</v>
      </c>
    </row>
    <row r="395" spans="1:23" x14ac:dyDescent="0.2">
      <c r="A395" s="7" t="e">
        <f t="shared" si="80"/>
        <v>#DIV/0!</v>
      </c>
      <c r="B395" s="4">
        <f t="shared" si="89"/>
        <v>389</v>
      </c>
      <c r="C395" s="4">
        <f t="shared" si="79"/>
        <v>0</v>
      </c>
      <c r="D395" s="8">
        <f t="shared" ref="D395:D426" si="90">C395/12</f>
        <v>0</v>
      </c>
      <c r="E395" s="23">
        <f t="shared" si="83"/>
        <v>0</v>
      </c>
      <c r="F395" s="24">
        <f t="shared" si="84"/>
        <v>0</v>
      </c>
      <c r="G395" s="25">
        <f t="shared" si="85"/>
        <v>0</v>
      </c>
      <c r="H395" s="26">
        <f t="shared" si="86"/>
        <v>0</v>
      </c>
      <c r="I395" s="27">
        <f t="shared" si="87"/>
        <v>0</v>
      </c>
      <c r="K395" s="18">
        <f t="shared" si="81"/>
        <v>0</v>
      </c>
      <c r="L395" s="22">
        <f t="shared" si="78"/>
        <v>1.6999999999999999E-3</v>
      </c>
      <c r="N395" s="15">
        <f t="shared" si="88"/>
        <v>0</v>
      </c>
      <c r="W395" s="1">
        <f t="shared" si="82"/>
        <v>0</v>
      </c>
    </row>
    <row r="396" spans="1:23" x14ac:dyDescent="0.2">
      <c r="A396" s="7" t="e">
        <f t="shared" si="80"/>
        <v>#DIV/0!</v>
      </c>
      <c r="B396" s="4">
        <f t="shared" si="89"/>
        <v>390</v>
      </c>
      <c r="C396" s="4">
        <f t="shared" si="79"/>
        <v>0</v>
      </c>
      <c r="D396" s="8">
        <f t="shared" si="90"/>
        <v>0</v>
      </c>
      <c r="E396" s="23">
        <f t="shared" si="83"/>
        <v>0</v>
      </c>
      <c r="F396" s="24">
        <f t="shared" si="84"/>
        <v>0</v>
      </c>
      <c r="G396" s="25">
        <f t="shared" si="85"/>
        <v>0</v>
      </c>
      <c r="H396" s="26">
        <f t="shared" si="86"/>
        <v>0</v>
      </c>
      <c r="I396" s="27">
        <f t="shared" si="87"/>
        <v>0</v>
      </c>
      <c r="K396" s="18">
        <f t="shared" si="81"/>
        <v>0</v>
      </c>
      <c r="L396" s="22">
        <f t="shared" si="78"/>
        <v>1.6999999999999999E-3</v>
      </c>
      <c r="N396" s="15">
        <f t="shared" si="88"/>
        <v>0</v>
      </c>
      <c r="W396" s="1">
        <f t="shared" si="82"/>
        <v>0</v>
      </c>
    </row>
    <row r="397" spans="1:23" x14ac:dyDescent="0.2">
      <c r="A397" s="7" t="e">
        <f t="shared" si="80"/>
        <v>#DIV/0!</v>
      </c>
      <c r="B397" s="4">
        <f t="shared" si="89"/>
        <v>391</v>
      </c>
      <c r="C397" s="4">
        <f t="shared" si="79"/>
        <v>0</v>
      </c>
      <c r="D397" s="8">
        <f t="shared" si="90"/>
        <v>0</v>
      </c>
      <c r="E397" s="23">
        <f t="shared" si="83"/>
        <v>0</v>
      </c>
      <c r="F397" s="24">
        <f t="shared" si="84"/>
        <v>0</v>
      </c>
      <c r="G397" s="25">
        <f t="shared" si="85"/>
        <v>0</v>
      </c>
      <c r="H397" s="26">
        <f t="shared" si="86"/>
        <v>0</v>
      </c>
      <c r="I397" s="27">
        <f t="shared" si="87"/>
        <v>0</v>
      </c>
      <c r="K397" s="18">
        <f t="shared" si="81"/>
        <v>0</v>
      </c>
      <c r="L397" s="22">
        <f t="shared" si="78"/>
        <v>1.6999999999999999E-3</v>
      </c>
      <c r="N397" s="15">
        <f t="shared" si="88"/>
        <v>0</v>
      </c>
      <c r="W397" s="1">
        <f t="shared" si="82"/>
        <v>0</v>
      </c>
    </row>
    <row r="398" spans="1:23" x14ac:dyDescent="0.2">
      <c r="A398" s="7" t="e">
        <f t="shared" si="80"/>
        <v>#DIV/0!</v>
      </c>
      <c r="B398" s="4">
        <f t="shared" si="89"/>
        <v>392</v>
      </c>
      <c r="C398" s="4">
        <f t="shared" si="79"/>
        <v>0</v>
      </c>
      <c r="D398" s="8">
        <f t="shared" si="90"/>
        <v>0</v>
      </c>
      <c r="E398" s="23">
        <f t="shared" si="83"/>
        <v>0</v>
      </c>
      <c r="F398" s="24">
        <f t="shared" si="84"/>
        <v>0</v>
      </c>
      <c r="G398" s="25">
        <f t="shared" si="85"/>
        <v>0</v>
      </c>
      <c r="H398" s="26">
        <f t="shared" si="86"/>
        <v>0</v>
      </c>
      <c r="I398" s="27">
        <f t="shared" si="87"/>
        <v>0</v>
      </c>
      <c r="K398" s="18">
        <f t="shared" si="81"/>
        <v>0</v>
      </c>
      <c r="L398" s="22">
        <f t="shared" ref="L398:L426" si="91">L397</f>
        <v>1.6999999999999999E-3</v>
      </c>
      <c r="N398" s="15">
        <f t="shared" si="88"/>
        <v>0</v>
      </c>
      <c r="W398" s="1">
        <f t="shared" si="82"/>
        <v>0</v>
      </c>
    </row>
    <row r="399" spans="1:23" x14ac:dyDescent="0.2">
      <c r="A399" s="7" t="e">
        <f t="shared" si="80"/>
        <v>#DIV/0!</v>
      </c>
      <c r="B399" s="4">
        <f t="shared" si="89"/>
        <v>393</v>
      </c>
      <c r="C399" s="4">
        <f t="shared" si="79"/>
        <v>0</v>
      </c>
      <c r="D399" s="8">
        <f t="shared" si="90"/>
        <v>0</v>
      </c>
      <c r="E399" s="23">
        <f t="shared" si="83"/>
        <v>0</v>
      </c>
      <c r="F399" s="24">
        <f t="shared" si="84"/>
        <v>0</v>
      </c>
      <c r="G399" s="25">
        <f t="shared" si="85"/>
        <v>0</v>
      </c>
      <c r="H399" s="26">
        <f t="shared" si="86"/>
        <v>0</v>
      </c>
      <c r="I399" s="27">
        <f t="shared" si="87"/>
        <v>0</v>
      </c>
      <c r="K399" s="18">
        <f t="shared" si="81"/>
        <v>0</v>
      </c>
      <c r="L399" s="22">
        <f t="shared" si="91"/>
        <v>1.6999999999999999E-3</v>
      </c>
      <c r="N399" s="15">
        <f t="shared" si="88"/>
        <v>0</v>
      </c>
      <c r="W399" s="1">
        <f t="shared" si="82"/>
        <v>0</v>
      </c>
    </row>
    <row r="400" spans="1:23" x14ac:dyDescent="0.2">
      <c r="A400" s="7" t="e">
        <f t="shared" si="80"/>
        <v>#DIV/0!</v>
      </c>
      <c r="B400" s="4">
        <f t="shared" si="89"/>
        <v>394</v>
      </c>
      <c r="C400" s="4">
        <f t="shared" si="79"/>
        <v>0</v>
      </c>
      <c r="D400" s="8">
        <f t="shared" si="90"/>
        <v>0</v>
      </c>
      <c r="E400" s="23">
        <f t="shared" si="83"/>
        <v>0</v>
      </c>
      <c r="F400" s="24">
        <f t="shared" si="84"/>
        <v>0</v>
      </c>
      <c r="G400" s="25">
        <f t="shared" si="85"/>
        <v>0</v>
      </c>
      <c r="H400" s="26">
        <f t="shared" si="86"/>
        <v>0</v>
      </c>
      <c r="I400" s="27">
        <f t="shared" si="87"/>
        <v>0</v>
      </c>
      <c r="K400" s="18">
        <f t="shared" si="81"/>
        <v>0</v>
      </c>
      <c r="L400" s="22">
        <f t="shared" si="91"/>
        <v>1.6999999999999999E-3</v>
      </c>
      <c r="N400" s="15">
        <f t="shared" si="88"/>
        <v>0</v>
      </c>
      <c r="W400" s="1">
        <f t="shared" si="82"/>
        <v>0</v>
      </c>
    </row>
    <row r="401" spans="1:23" x14ac:dyDescent="0.2">
      <c r="A401" s="7" t="e">
        <f t="shared" si="80"/>
        <v>#DIV/0!</v>
      </c>
      <c r="B401" s="4">
        <f t="shared" si="89"/>
        <v>395</v>
      </c>
      <c r="C401" s="4">
        <f t="shared" si="79"/>
        <v>0</v>
      </c>
      <c r="D401" s="8">
        <f t="shared" si="90"/>
        <v>0</v>
      </c>
      <c r="E401" s="23">
        <f t="shared" si="83"/>
        <v>0</v>
      </c>
      <c r="F401" s="24">
        <f t="shared" si="84"/>
        <v>0</v>
      </c>
      <c r="G401" s="25">
        <f t="shared" si="85"/>
        <v>0</v>
      </c>
      <c r="H401" s="26">
        <f t="shared" si="86"/>
        <v>0</v>
      </c>
      <c r="I401" s="27">
        <f t="shared" si="87"/>
        <v>0</v>
      </c>
      <c r="K401" s="18">
        <f t="shared" si="81"/>
        <v>0</v>
      </c>
      <c r="L401" s="22">
        <f t="shared" si="91"/>
        <v>1.6999999999999999E-3</v>
      </c>
      <c r="N401" s="15">
        <f t="shared" si="88"/>
        <v>0</v>
      </c>
      <c r="W401" s="1">
        <f t="shared" si="82"/>
        <v>0</v>
      </c>
    </row>
    <row r="402" spans="1:23" x14ac:dyDescent="0.2">
      <c r="A402" s="7" t="e">
        <f t="shared" si="80"/>
        <v>#DIV/0!</v>
      </c>
      <c r="B402" s="4">
        <f t="shared" si="89"/>
        <v>396</v>
      </c>
      <c r="C402" s="4">
        <f t="shared" si="79"/>
        <v>0</v>
      </c>
      <c r="D402" s="8">
        <f t="shared" si="90"/>
        <v>0</v>
      </c>
      <c r="E402" s="23">
        <f t="shared" si="83"/>
        <v>0</v>
      </c>
      <c r="F402" s="24">
        <f t="shared" si="84"/>
        <v>0</v>
      </c>
      <c r="G402" s="25">
        <f t="shared" si="85"/>
        <v>0</v>
      </c>
      <c r="H402" s="26">
        <f t="shared" si="86"/>
        <v>0</v>
      </c>
      <c r="I402" s="27">
        <f t="shared" si="87"/>
        <v>0</v>
      </c>
      <c r="K402" s="18">
        <f t="shared" si="81"/>
        <v>0</v>
      </c>
      <c r="L402" s="22">
        <f t="shared" si="91"/>
        <v>1.6999999999999999E-3</v>
      </c>
      <c r="N402" s="15">
        <f t="shared" si="88"/>
        <v>0</v>
      </c>
      <c r="W402" s="1">
        <f t="shared" si="82"/>
        <v>0</v>
      </c>
    </row>
    <row r="403" spans="1:23" x14ac:dyDescent="0.2">
      <c r="A403" s="7" t="e">
        <f t="shared" si="80"/>
        <v>#DIV/0!</v>
      </c>
      <c r="B403" s="4">
        <f t="shared" si="89"/>
        <v>397</v>
      </c>
      <c r="C403" s="4">
        <f t="shared" si="79"/>
        <v>0</v>
      </c>
      <c r="D403" s="8">
        <f t="shared" si="90"/>
        <v>0</v>
      </c>
      <c r="E403" s="23">
        <f t="shared" si="83"/>
        <v>0</v>
      </c>
      <c r="F403" s="24">
        <f t="shared" si="84"/>
        <v>0</v>
      </c>
      <c r="G403" s="25">
        <f t="shared" si="85"/>
        <v>0</v>
      </c>
      <c r="H403" s="26">
        <f t="shared" si="86"/>
        <v>0</v>
      </c>
      <c r="I403" s="27">
        <f t="shared" si="87"/>
        <v>0</v>
      </c>
      <c r="K403" s="18">
        <f t="shared" si="81"/>
        <v>0</v>
      </c>
      <c r="L403" s="22">
        <f t="shared" si="91"/>
        <v>1.6999999999999999E-3</v>
      </c>
      <c r="N403" s="15">
        <f t="shared" si="88"/>
        <v>0</v>
      </c>
      <c r="W403" s="1">
        <f t="shared" si="82"/>
        <v>0</v>
      </c>
    </row>
    <row r="404" spans="1:23" x14ac:dyDescent="0.2">
      <c r="A404" s="7" t="e">
        <f t="shared" si="80"/>
        <v>#DIV/0!</v>
      </c>
      <c r="B404" s="4">
        <f t="shared" si="89"/>
        <v>398</v>
      </c>
      <c r="C404" s="4">
        <f t="shared" si="79"/>
        <v>0</v>
      </c>
      <c r="D404" s="8">
        <f t="shared" si="90"/>
        <v>0</v>
      </c>
      <c r="E404" s="23">
        <f t="shared" si="83"/>
        <v>0</v>
      </c>
      <c r="F404" s="24">
        <f t="shared" si="84"/>
        <v>0</v>
      </c>
      <c r="G404" s="25">
        <f t="shared" si="85"/>
        <v>0</v>
      </c>
      <c r="H404" s="26">
        <f t="shared" si="86"/>
        <v>0</v>
      </c>
      <c r="I404" s="27">
        <f t="shared" si="87"/>
        <v>0</v>
      </c>
      <c r="K404" s="18">
        <f t="shared" si="81"/>
        <v>0</v>
      </c>
      <c r="L404" s="22">
        <f t="shared" si="91"/>
        <v>1.6999999999999999E-3</v>
      </c>
      <c r="N404" s="15">
        <f t="shared" si="88"/>
        <v>0</v>
      </c>
      <c r="W404" s="1">
        <f t="shared" si="82"/>
        <v>0</v>
      </c>
    </row>
    <row r="405" spans="1:23" x14ac:dyDescent="0.2">
      <c r="A405" s="7" t="e">
        <f t="shared" si="80"/>
        <v>#DIV/0!</v>
      </c>
      <c r="B405" s="4">
        <f t="shared" si="89"/>
        <v>399</v>
      </c>
      <c r="C405" s="4">
        <f t="shared" si="79"/>
        <v>0</v>
      </c>
      <c r="D405" s="8">
        <f t="shared" si="90"/>
        <v>0</v>
      </c>
      <c r="E405" s="23">
        <f t="shared" si="83"/>
        <v>0</v>
      </c>
      <c r="F405" s="24">
        <f t="shared" si="84"/>
        <v>0</v>
      </c>
      <c r="G405" s="25">
        <f t="shared" si="85"/>
        <v>0</v>
      </c>
      <c r="H405" s="26">
        <f t="shared" si="86"/>
        <v>0</v>
      </c>
      <c r="I405" s="27">
        <f t="shared" si="87"/>
        <v>0</v>
      </c>
      <c r="K405" s="18">
        <f t="shared" si="81"/>
        <v>0</v>
      </c>
      <c r="L405" s="22">
        <f t="shared" si="91"/>
        <v>1.6999999999999999E-3</v>
      </c>
      <c r="N405" s="15">
        <f t="shared" si="88"/>
        <v>0</v>
      </c>
      <c r="W405" s="1">
        <f t="shared" si="82"/>
        <v>0</v>
      </c>
    </row>
    <row r="406" spans="1:23" x14ac:dyDescent="0.2">
      <c r="A406" s="7" t="e">
        <f t="shared" si="80"/>
        <v>#DIV/0!</v>
      </c>
      <c r="B406" s="4">
        <f t="shared" si="89"/>
        <v>400</v>
      </c>
      <c r="C406" s="4">
        <f t="shared" si="79"/>
        <v>0</v>
      </c>
      <c r="D406" s="8">
        <f t="shared" si="90"/>
        <v>0</v>
      </c>
      <c r="E406" s="23">
        <f t="shared" si="83"/>
        <v>0</v>
      </c>
      <c r="F406" s="24">
        <f t="shared" si="84"/>
        <v>0</v>
      </c>
      <c r="G406" s="25">
        <f t="shared" si="85"/>
        <v>0</v>
      </c>
      <c r="H406" s="26">
        <f t="shared" si="86"/>
        <v>0</v>
      </c>
      <c r="I406" s="27">
        <f t="shared" si="87"/>
        <v>0</v>
      </c>
      <c r="K406" s="18">
        <f t="shared" si="81"/>
        <v>0</v>
      </c>
      <c r="L406" s="22">
        <f t="shared" si="91"/>
        <v>1.6999999999999999E-3</v>
      </c>
      <c r="N406" s="15">
        <f t="shared" si="88"/>
        <v>0</v>
      </c>
      <c r="W406" s="1">
        <f t="shared" si="82"/>
        <v>0</v>
      </c>
    </row>
    <row r="407" spans="1:23" x14ac:dyDescent="0.2">
      <c r="A407" s="7" t="e">
        <f t="shared" si="80"/>
        <v>#DIV/0!</v>
      </c>
      <c r="B407" s="4">
        <f t="shared" si="89"/>
        <v>401</v>
      </c>
      <c r="C407" s="4">
        <f t="shared" si="79"/>
        <v>0</v>
      </c>
      <c r="D407" s="8">
        <f t="shared" si="90"/>
        <v>0</v>
      </c>
      <c r="E407" s="23">
        <f t="shared" si="83"/>
        <v>0</v>
      </c>
      <c r="F407" s="24">
        <f t="shared" si="84"/>
        <v>0</v>
      </c>
      <c r="G407" s="25">
        <f t="shared" si="85"/>
        <v>0</v>
      </c>
      <c r="H407" s="26">
        <f t="shared" si="86"/>
        <v>0</v>
      </c>
      <c r="I407" s="27">
        <f t="shared" si="87"/>
        <v>0</v>
      </c>
      <c r="K407" s="18">
        <f t="shared" si="81"/>
        <v>0</v>
      </c>
      <c r="L407" s="22">
        <f t="shared" si="91"/>
        <v>1.6999999999999999E-3</v>
      </c>
      <c r="N407" s="15">
        <f t="shared" si="88"/>
        <v>0</v>
      </c>
      <c r="W407" s="1">
        <f t="shared" si="82"/>
        <v>0</v>
      </c>
    </row>
    <row r="408" spans="1:23" x14ac:dyDescent="0.2">
      <c r="A408" s="7" t="e">
        <f t="shared" si="80"/>
        <v>#DIV/0!</v>
      </c>
      <c r="B408" s="4">
        <f t="shared" si="89"/>
        <v>402</v>
      </c>
      <c r="C408" s="4">
        <f t="shared" si="79"/>
        <v>0</v>
      </c>
      <c r="D408" s="8">
        <f t="shared" si="90"/>
        <v>0</v>
      </c>
      <c r="E408" s="23">
        <f t="shared" si="83"/>
        <v>0</v>
      </c>
      <c r="F408" s="24">
        <f t="shared" si="84"/>
        <v>0</v>
      </c>
      <c r="G408" s="25">
        <f t="shared" si="85"/>
        <v>0</v>
      </c>
      <c r="H408" s="26">
        <f t="shared" si="86"/>
        <v>0</v>
      </c>
      <c r="I408" s="27">
        <f t="shared" si="87"/>
        <v>0</v>
      </c>
      <c r="K408" s="18">
        <f t="shared" si="81"/>
        <v>0</v>
      </c>
      <c r="L408" s="22">
        <f t="shared" si="91"/>
        <v>1.6999999999999999E-3</v>
      </c>
      <c r="N408" s="15">
        <f t="shared" si="88"/>
        <v>0</v>
      </c>
      <c r="W408" s="1">
        <f t="shared" si="82"/>
        <v>0</v>
      </c>
    </row>
    <row r="409" spans="1:23" x14ac:dyDescent="0.2">
      <c r="A409" s="7" t="e">
        <f t="shared" si="80"/>
        <v>#DIV/0!</v>
      </c>
      <c r="B409" s="4">
        <f t="shared" si="89"/>
        <v>403</v>
      </c>
      <c r="C409" s="4">
        <f t="shared" si="79"/>
        <v>0</v>
      </c>
      <c r="D409" s="8">
        <f t="shared" si="90"/>
        <v>0</v>
      </c>
      <c r="E409" s="23">
        <f t="shared" si="83"/>
        <v>0</v>
      </c>
      <c r="F409" s="24">
        <f t="shared" si="84"/>
        <v>0</v>
      </c>
      <c r="G409" s="25">
        <f t="shared" si="85"/>
        <v>0</v>
      </c>
      <c r="H409" s="26">
        <f t="shared" si="86"/>
        <v>0</v>
      </c>
      <c r="I409" s="27">
        <f t="shared" si="87"/>
        <v>0</v>
      </c>
      <c r="K409" s="18">
        <f t="shared" si="81"/>
        <v>0</v>
      </c>
      <c r="L409" s="22">
        <f t="shared" si="91"/>
        <v>1.6999999999999999E-3</v>
      </c>
      <c r="N409" s="15">
        <f t="shared" si="88"/>
        <v>0</v>
      </c>
      <c r="W409" s="1">
        <f t="shared" si="82"/>
        <v>0</v>
      </c>
    </row>
    <row r="410" spans="1:23" x14ac:dyDescent="0.2">
      <c r="A410" s="7" t="e">
        <f t="shared" si="80"/>
        <v>#DIV/0!</v>
      </c>
      <c r="B410" s="4">
        <f t="shared" si="89"/>
        <v>404</v>
      </c>
      <c r="C410" s="4">
        <f t="shared" si="79"/>
        <v>0</v>
      </c>
      <c r="D410" s="8">
        <f t="shared" si="90"/>
        <v>0</v>
      </c>
      <c r="E410" s="23">
        <f t="shared" si="83"/>
        <v>0</v>
      </c>
      <c r="F410" s="24">
        <f t="shared" si="84"/>
        <v>0</v>
      </c>
      <c r="G410" s="25">
        <f t="shared" si="85"/>
        <v>0</v>
      </c>
      <c r="H410" s="26">
        <f t="shared" si="86"/>
        <v>0</v>
      </c>
      <c r="I410" s="27">
        <f t="shared" si="87"/>
        <v>0</v>
      </c>
      <c r="K410" s="18">
        <f t="shared" si="81"/>
        <v>0</v>
      </c>
      <c r="L410" s="22">
        <f t="shared" si="91"/>
        <v>1.6999999999999999E-3</v>
      </c>
      <c r="N410" s="15">
        <f t="shared" si="88"/>
        <v>0</v>
      </c>
      <c r="W410" s="1">
        <f t="shared" si="82"/>
        <v>0</v>
      </c>
    </row>
    <row r="411" spans="1:23" x14ac:dyDescent="0.2">
      <c r="A411" s="7" t="e">
        <f t="shared" si="80"/>
        <v>#DIV/0!</v>
      </c>
      <c r="B411" s="4">
        <f t="shared" si="89"/>
        <v>405</v>
      </c>
      <c r="C411" s="4">
        <f t="shared" si="79"/>
        <v>0</v>
      </c>
      <c r="D411" s="8">
        <f t="shared" si="90"/>
        <v>0</v>
      </c>
      <c r="E411" s="23">
        <f t="shared" si="83"/>
        <v>0</v>
      </c>
      <c r="F411" s="24">
        <f t="shared" si="84"/>
        <v>0</v>
      </c>
      <c r="G411" s="25">
        <f t="shared" si="85"/>
        <v>0</v>
      </c>
      <c r="H411" s="26">
        <f t="shared" si="86"/>
        <v>0</v>
      </c>
      <c r="I411" s="27">
        <f t="shared" si="87"/>
        <v>0</v>
      </c>
      <c r="K411" s="18">
        <f t="shared" si="81"/>
        <v>0</v>
      </c>
      <c r="L411" s="22">
        <f t="shared" si="91"/>
        <v>1.6999999999999999E-3</v>
      </c>
      <c r="N411" s="15">
        <f t="shared" si="88"/>
        <v>0</v>
      </c>
      <c r="W411" s="1">
        <f t="shared" si="82"/>
        <v>0</v>
      </c>
    </row>
    <row r="412" spans="1:23" x14ac:dyDescent="0.2">
      <c r="A412" s="7" t="e">
        <f t="shared" si="80"/>
        <v>#DIV/0!</v>
      </c>
      <c r="B412" s="4">
        <f t="shared" si="89"/>
        <v>406</v>
      </c>
      <c r="C412" s="4">
        <f t="shared" si="79"/>
        <v>0</v>
      </c>
      <c r="D412" s="8">
        <f t="shared" si="90"/>
        <v>0</v>
      </c>
      <c r="E412" s="23">
        <f t="shared" si="83"/>
        <v>0</v>
      </c>
      <c r="F412" s="24">
        <f t="shared" si="84"/>
        <v>0</v>
      </c>
      <c r="G412" s="25">
        <f t="shared" si="85"/>
        <v>0</v>
      </c>
      <c r="H412" s="26">
        <f t="shared" si="86"/>
        <v>0</v>
      </c>
      <c r="I412" s="27">
        <f t="shared" si="87"/>
        <v>0</v>
      </c>
      <c r="K412" s="18">
        <f t="shared" si="81"/>
        <v>0</v>
      </c>
      <c r="L412" s="22">
        <f t="shared" si="91"/>
        <v>1.6999999999999999E-3</v>
      </c>
      <c r="N412" s="15">
        <f t="shared" si="88"/>
        <v>0</v>
      </c>
      <c r="W412" s="1">
        <f t="shared" si="82"/>
        <v>0</v>
      </c>
    </row>
    <row r="413" spans="1:23" x14ac:dyDescent="0.2">
      <c r="A413" s="7" t="e">
        <f t="shared" si="80"/>
        <v>#DIV/0!</v>
      </c>
      <c r="B413" s="4">
        <f t="shared" si="89"/>
        <v>407</v>
      </c>
      <c r="C413" s="4">
        <f t="shared" si="79"/>
        <v>0</v>
      </c>
      <c r="D413" s="8">
        <f t="shared" si="90"/>
        <v>0</v>
      </c>
      <c r="E413" s="23">
        <f t="shared" si="83"/>
        <v>0</v>
      </c>
      <c r="F413" s="24">
        <f t="shared" si="84"/>
        <v>0</v>
      </c>
      <c r="G413" s="25">
        <f t="shared" si="85"/>
        <v>0</v>
      </c>
      <c r="H413" s="26">
        <f t="shared" si="86"/>
        <v>0</v>
      </c>
      <c r="I413" s="27">
        <f t="shared" si="87"/>
        <v>0</v>
      </c>
      <c r="K413" s="18">
        <f t="shared" si="81"/>
        <v>0</v>
      </c>
      <c r="L413" s="22">
        <f t="shared" si="91"/>
        <v>1.6999999999999999E-3</v>
      </c>
      <c r="N413" s="15">
        <f t="shared" si="88"/>
        <v>0</v>
      </c>
      <c r="W413" s="1">
        <f t="shared" si="82"/>
        <v>0</v>
      </c>
    </row>
    <row r="414" spans="1:23" x14ac:dyDescent="0.2">
      <c r="A414" s="7" t="e">
        <f t="shared" si="80"/>
        <v>#DIV/0!</v>
      </c>
      <c r="B414" s="4">
        <f t="shared" si="89"/>
        <v>408</v>
      </c>
      <c r="C414" s="4">
        <f t="shared" si="79"/>
        <v>0</v>
      </c>
      <c r="D414" s="8">
        <f t="shared" si="90"/>
        <v>0</v>
      </c>
      <c r="E414" s="23">
        <f t="shared" si="83"/>
        <v>0</v>
      </c>
      <c r="F414" s="24">
        <f t="shared" si="84"/>
        <v>0</v>
      </c>
      <c r="G414" s="25">
        <f t="shared" si="85"/>
        <v>0</v>
      </c>
      <c r="H414" s="26">
        <f t="shared" si="86"/>
        <v>0</v>
      </c>
      <c r="I414" s="27">
        <f t="shared" si="87"/>
        <v>0</v>
      </c>
      <c r="K414" s="18">
        <f t="shared" si="81"/>
        <v>0</v>
      </c>
      <c r="L414" s="22">
        <f t="shared" si="91"/>
        <v>1.6999999999999999E-3</v>
      </c>
      <c r="N414" s="15">
        <f t="shared" si="88"/>
        <v>0</v>
      </c>
      <c r="W414" s="1">
        <f t="shared" si="82"/>
        <v>0</v>
      </c>
    </row>
    <row r="415" spans="1:23" x14ac:dyDescent="0.2">
      <c r="A415" s="7" t="e">
        <f t="shared" si="80"/>
        <v>#DIV/0!</v>
      </c>
      <c r="B415" s="4">
        <f t="shared" si="89"/>
        <v>409</v>
      </c>
      <c r="C415" s="4">
        <f t="shared" si="79"/>
        <v>0</v>
      </c>
      <c r="D415" s="8">
        <f t="shared" si="90"/>
        <v>0</v>
      </c>
      <c r="E415" s="23">
        <f t="shared" si="83"/>
        <v>0</v>
      </c>
      <c r="F415" s="24">
        <f t="shared" si="84"/>
        <v>0</v>
      </c>
      <c r="G415" s="25">
        <f t="shared" si="85"/>
        <v>0</v>
      </c>
      <c r="H415" s="26">
        <f t="shared" si="86"/>
        <v>0</v>
      </c>
      <c r="I415" s="27">
        <f t="shared" si="87"/>
        <v>0</v>
      </c>
      <c r="K415" s="18">
        <f t="shared" si="81"/>
        <v>0</v>
      </c>
      <c r="L415" s="22">
        <f t="shared" si="91"/>
        <v>1.6999999999999999E-3</v>
      </c>
      <c r="N415" s="15">
        <f t="shared" si="88"/>
        <v>0</v>
      </c>
      <c r="W415" s="1">
        <f t="shared" si="82"/>
        <v>0</v>
      </c>
    </row>
    <row r="416" spans="1:23" x14ac:dyDescent="0.2">
      <c r="A416" s="7" t="e">
        <f t="shared" si="80"/>
        <v>#DIV/0!</v>
      </c>
      <c r="B416" s="4">
        <f t="shared" si="89"/>
        <v>410</v>
      </c>
      <c r="C416" s="4">
        <f t="shared" si="79"/>
        <v>0</v>
      </c>
      <c r="D416" s="8">
        <f t="shared" si="90"/>
        <v>0</v>
      </c>
      <c r="E416" s="23">
        <f t="shared" si="83"/>
        <v>0</v>
      </c>
      <c r="F416" s="24">
        <f t="shared" si="84"/>
        <v>0</v>
      </c>
      <c r="G416" s="25">
        <f t="shared" si="85"/>
        <v>0</v>
      </c>
      <c r="H416" s="26">
        <f t="shared" si="86"/>
        <v>0</v>
      </c>
      <c r="I416" s="27">
        <f t="shared" si="87"/>
        <v>0</v>
      </c>
      <c r="K416" s="18">
        <f t="shared" si="81"/>
        <v>0</v>
      </c>
      <c r="L416" s="22">
        <f t="shared" si="91"/>
        <v>1.6999999999999999E-3</v>
      </c>
      <c r="N416" s="15">
        <f t="shared" si="88"/>
        <v>0</v>
      </c>
      <c r="W416" s="1">
        <f t="shared" si="82"/>
        <v>0</v>
      </c>
    </row>
    <row r="417" spans="1:23" x14ac:dyDescent="0.2">
      <c r="A417" s="7" t="e">
        <f t="shared" si="80"/>
        <v>#DIV/0!</v>
      </c>
      <c r="B417" s="4">
        <f t="shared" si="89"/>
        <v>411</v>
      </c>
      <c r="C417" s="4">
        <f t="shared" si="79"/>
        <v>0</v>
      </c>
      <c r="D417" s="8">
        <f t="shared" si="90"/>
        <v>0</v>
      </c>
      <c r="E417" s="23">
        <f t="shared" si="83"/>
        <v>0</v>
      </c>
      <c r="F417" s="24">
        <f t="shared" si="84"/>
        <v>0</v>
      </c>
      <c r="G417" s="25">
        <f t="shared" si="85"/>
        <v>0</v>
      </c>
      <c r="H417" s="26">
        <f t="shared" si="86"/>
        <v>0</v>
      </c>
      <c r="I417" s="27">
        <f t="shared" si="87"/>
        <v>0</v>
      </c>
      <c r="K417" s="18">
        <f t="shared" si="81"/>
        <v>0</v>
      </c>
      <c r="L417" s="22">
        <f t="shared" si="91"/>
        <v>1.6999999999999999E-3</v>
      </c>
      <c r="N417" s="15">
        <f t="shared" si="88"/>
        <v>0</v>
      </c>
      <c r="W417" s="1">
        <f t="shared" si="82"/>
        <v>0</v>
      </c>
    </row>
    <row r="418" spans="1:23" x14ac:dyDescent="0.2">
      <c r="A418" s="7" t="e">
        <f t="shared" si="80"/>
        <v>#DIV/0!</v>
      </c>
      <c r="B418" s="4">
        <f t="shared" si="89"/>
        <v>412</v>
      </c>
      <c r="C418" s="4">
        <f t="shared" si="79"/>
        <v>0</v>
      </c>
      <c r="D418" s="8">
        <f t="shared" si="90"/>
        <v>0</v>
      </c>
      <c r="E418" s="23">
        <f t="shared" si="83"/>
        <v>0</v>
      </c>
      <c r="F418" s="24">
        <f t="shared" si="84"/>
        <v>0</v>
      </c>
      <c r="G418" s="25">
        <f t="shared" si="85"/>
        <v>0</v>
      </c>
      <c r="H418" s="26">
        <f t="shared" si="86"/>
        <v>0</v>
      </c>
      <c r="I418" s="27">
        <f t="shared" si="87"/>
        <v>0</v>
      </c>
      <c r="K418" s="18">
        <f t="shared" si="81"/>
        <v>0</v>
      </c>
      <c r="L418" s="22">
        <f t="shared" si="91"/>
        <v>1.6999999999999999E-3</v>
      </c>
      <c r="N418" s="15">
        <f t="shared" si="88"/>
        <v>0</v>
      </c>
      <c r="W418" s="1">
        <f t="shared" si="82"/>
        <v>0</v>
      </c>
    </row>
    <row r="419" spans="1:23" x14ac:dyDescent="0.2">
      <c r="A419" s="7" t="e">
        <f t="shared" si="80"/>
        <v>#DIV/0!</v>
      </c>
      <c r="B419" s="4">
        <f t="shared" si="89"/>
        <v>413</v>
      </c>
      <c r="C419" s="4">
        <f t="shared" si="79"/>
        <v>0</v>
      </c>
      <c r="D419" s="8">
        <f t="shared" si="90"/>
        <v>0</v>
      </c>
      <c r="E419" s="23">
        <f t="shared" si="83"/>
        <v>0</v>
      </c>
      <c r="F419" s="24">
        <f t="shared" si="84"/>
        <v>0</v>
      </c>
      <c r="G419" s="25">
        <f t="shared" si="85"/>
        <v>0</v>
      </c>
      <c r="H419" s="26">
        <f t="shared" si="86"/>
        <v>0</v>
      </c>
      <c r="I419" s="27">
        <f t="shared" si="87"/>
        <v>0</v>
      </c>
      <c r="K419" s="18">
        <f t="shared" si="81"/>
        <v>0</v>
      </c>
      <c r="L419" s="22">
        <f t="shared" si="91"/>
        <v>1.6999999999999999E-3</v>
      </c>
      <c r="N419" s="15">
        <f t="shared" si="88"/>
        <v>0</v>
      </c>
      <c r="W419" s="1">
        <f t="shared" si="82"/>
        <v>0</v>
      </c>
    </row>
    <row r="420" spans="1:23" x14ac:dyDescent="0.2">
      <c r="A420" s="7" t="e">
        <f t="shared" si="80"/>
        <v>#DIV/0!</v>
      </c>
      <c r="B420" s="4">
        <f t="shared" si="89"/>
        <v>414</v>
      </c>
      <c r="C420" s="4">
        <f t="shared" si="79"/>
        <v>0</v>
      </c>
      <c r="D420" s="8">
        <f t="shared" si="90"/>
        <v>0</v>
      </c>
      <c r="E420" s="23">
        <f t="shared" si="83"/>
        <v>0</v>
      </c>
      <c r="F420" s="24">
        <f t="shared" si="84"/>
        <v>0</v>
      </c>
      <c r="G420" s="25">
        <f t="shared" si="85"/>
        <v>0</v>
      </c>
      <c r="H420" s="26">
        <f t="shared" si="86"/>
        <v>0</v>
      </c>
      <c r="I420" s="27">
        <f t="shared" si="87"/>
        <v>0</v>
      </c>
      <c r="K420" s="18">
        <f t="shared" si="81"/>
        <v>0</v>
      </c>
      <c r="L420" s="22">
        <f t="shared" si="91"/>
        <v>1.6999999999999999E-3</v>
      </c>
      <c r="N420" s="15">
        <f t="shared" si="88"/>
        <v>0</v>
      </c>
      <c r="W420" s="1">
        <f t="shared" si="82"/>
        <v>0</v>
      </c>
    </row>
    <row r="421" spans="1:23" x14ac:dyDescent="0.2">
      <c r="A421" s="7" t="e">
        <f t="shared" si="80"/>
        <v>#DIV/0!</v>
      </c>
      <c r="B421" s="4">
        <f t="shared" si="89"/>
        <v>415</v>
      </c>
      <c r="C421" s="4">
        <f t="shared" si="79"/>
        <v>0</v>
      </c>
      <c r="D421" s="8">
        <f t="shared" si="90"/>
        <v>0</v>
      </c>
      <c r="E421" s="23">
        <f t="shared" si="83"/>
        <v>0</v>
      </c>
      <c r="F421" s="24">
        <f t="shared" si="84"/>
        <v>0</v>
      </c>
      <c r="G421" s="25">
        <f t="shared" si="85"/>
        <v>0</v>
      </c>
      <c r="H421" s="26">
        <f t="shared" si="86"/>
        <v>0</v>
      </c>
      <c r="I421" s="27">
        <f t="shared" si="87"/>
        <v>0</v>
      </c>
      <c r="K421" s="18">
        <f t="shared" si="81"/>
        <v>0</v>
      </c>
      <c r="L421" s="22">
        <f t="shared" si="91"/>
        <v>1.6999999999999999E-3</v>
      </c>
      <c r="N421" s="15">
        <f t="shared" si="88"/>
        <v>0</v>
      </c>
      <c r="W421" s="1">
        <f t="shared" si="82"/>
        <v>0</v>
      </c>
    </row>
    <row r="422" spans="1:23" x14ac:dyDescent="0.2">
      <c r="A422" s="7" t="e">
        <f t="shared" si="80"/>
        <v>#DIV/0!</v>
      </c>
      <c r="B422" s="4">
        <f t="shared" si="89"/>
        <v>416</v>
      </c>
      <c r="C422" s="4">
        <f t="shared" si="79"/>
        <v>0</v>
      </c>
      <c r="D422" s="8">
        <f t="shared" si="90"/>
        <v>0</v>
      </c>
      <c r="E422" s="23">
        <f t="shared" si="83"/>
        <v>0</v>
      </c>
      <c r="F422" s="24">
        <f t="shared" si="84"/>
        <v>0</v>
      </c>
      <c r="G422" s="25">
        <f t="shared" si="85"/>
        <v>0</v>
      </c>
      <c r="H422" s="26">
        <f t="shared" si="86"/>
        <v>0</v>
      </c>
      <c r="I422" s="27">
        <f t="shared" si="87"/>
        <v>0</v>
      </c>
      <c r="K422" s="18">
        <f t="shared" si="81"/>
        <v>0</v>
      </c>
      <c r="L422" s="22">
        <f t="shared" si="91"/>
        <v>1.6999999999999999E-3</v>
      </c>
      <c r="N422" s="15">
        <f t="shared" si="88"/>
        <v>0</v>
      </c>
      <c r="W422" s="1">
        <f t="shared" si="82"/>
        <v>0</v>
      </c>
    </row>
    <row r="423" spans="1:23" x14ac:dyDescent="0.2">
      <c r="A423" s="7" t="e">
        <f t="shared" si="80"/>
        <v>#DIV/0!</v>
      </c>
      <c r="B423" s="4">
        <f t="shared" si="89"/>
        <v>417</v>
      </c>
      <c r="C423" s="4">
        <f t="shared" si="79"/>
        <v>0</v>
      </c>
      <c r="D423" s="8">
        <f t="shared" si="90"/>
        <v>0</v>
      </c>
      <c r="E423" s="23">
        <f t="shared" si="83"/>
        <v>0</v>
      </c>
      <c r="F423" s="24">
        <f t="shared" si="84"/>
        <v>0</v>
      </c>
      <c r="G423" s="25">
        <f t="shared" si="85"/>
        <v>0</v>
      </c>
      <c r="H423" s="26">
        <f t="shared" si="86"/>
        <v>0</v>
      </c>
      <c r="I423" s="27">
        <f t="shared" si="87"/>
        <v>0</v>
      </c>
      <c r="K423" s="18">
        <f t="shared" si="81"/>
        <v>0</v>
      </c>
      <c r="L423" s="22">
        <f t="shared" si="91"/>
        <v>1.6999999999999999E-3</v>
      </c>
      <c r="N423" s="15">
        <f t="shared" si="88"/>
        <v>0</v>
      </c>
      <c r="W423" s="1">
        <f t="shared" si="82"/>
        <v>0</v>
      </c>
    </row>
    <row r="424" spans="1:23" x14ac:dyDescent="0.2">
      <c r="A424" s="7" t="e">
        <f t="shared" si="80"/>
        <v>#DIV/0!</v>
      </c>
      <c r="B424" s="4">
        <f t="shared" si="89"/>
        <v>418</v>
      </c>
      <c r="C424" s="4">
        <f t="shared" si="79"/>
        <v>0</v>
      </c>
      <c r="D424" s="8">
        <f t="shared" si="90"/>
        <v>0</v>
      </c>
      <c r="E424" s="23">
        <f t="shared" si="83"/>
        <v>0</v>
      </c>
      <c r="F424" s="24">
        <f t="shared" si="84"/>
        <v>0</v>
      </c>
      <c r="G424" s="25">
        <f t="shared" si="85"/>
        <v>0</v>
      </c>
      <c r="H424" s="26">
        <f t="shared" si="86"/>
        <v>0</v>
      </c>
      <c r="I424" s="27">
        <f t="shared" si="87"/>
        <v>0</v>
      </c>
      <c r="K424" s="18">
        <f t="shared" si="81"/>
        <v>0</v>
      </c>
      <c r="L424" s="22">
        <f t="shared" si="91"/>
        <v>1.6999999999999999E-3</v>
      </c>
      <c r="N424" s="15">
        <f t="shared" si="88"/>
        <v>0</v>
      </c>
      <c r="W424" s="1">
        <f t="shared" si="82"/>
        <v>0</v>
      </c>
    </row>
    <row r="425" spans="1:23" x14ac:dyDescent="0.2">
      <c r="A425" s="7" t="e">
        <f t="shared" si="80"/>
        <v>#DIV/0!</v>
      </c>
      <c r="B425" s="4">
        <f t="shared" si="89"/>
        <v>419</v>
      </c>
      <c r="C425" s="4">
        <f t="shared" si="79"/>
        <v>0</v>
      </c>
      <c r="D425" s="8">
        <f t="shared" si="90"/>
        <v>0</v>
      </c>
      <c r="E425" s="23">
        <f t="shared" si="83"/>
        <v>0</v>
      </c>
      <c r="F425" s="24">
        <f t="shared" si="84"/>
        <v>0</v>
      </c>
      <c r="G425" s="25">
        <f t="shared" si="85"/>
        <v>0</v>
      </c>
      <c r="H425" s="26">
        <f t="shared" si="86"/>
        <v>0</v>
      </c>
      <c r="I425" s="27">
        <f t="shared" si="87"/>
        <v>0</v>
      </c>
      <c r="K425" s="18">
        <f t="shared" si="81"/>
        <v>0</v>
      </c>
      <c r="L425" s="22">
        <f t="shared" si="91"/>
        <v>1.6999999999999999E-3</v>
      </c>
      <c r="N425" s="15">
        <f t="shared" si="88"/>
        <v>0</v>
      </c>
      <c r="W425" s="1">
        <f t="shared" si="82"/>
        <v>0</v>
      </c>
    </row>
    <row r="426" spans="1:23" x14ac:dyDescent="0.2">
      <c r="A426" s="7" t="e">
        <f t="shared" si="80"/>
        <v>#DIV/0!</v>
      </c>
      <c r="B426" s="4">
        <f t="shared" si="89"/>
        <v>420</v>
      </c>
      <c r="C426" s="4">
        <f t="shared" si="79"/>
        <v>0</v>
      </c>
      <c r="D426" s="8">
        <f t="shared" si="90"/>
        <v>0</v>
      </c>
      <c r="E426" s="23">
        <f t="shared" si="83"/>
        <v>0</v>
      </c>
      <c r="F426" s="24">
        <f t="shared" si="84"/>
        <v>0</v>
      </c>
      <c r="G426" s="25">
        <f t="shared" si="85"/>
        <v>0</v>
      </c>
      <c r="H426" s="26">
        <f t="shared" si="86"/>
        <v>0</v>
      </c>
      <c r="I426" s="27">
        <f t="shared" si="87"/>
        <v>0</v>
      </c>
      <c r="K426" s="18">
        <f t="shared" si="81"/>
        <v>0</v>
      </c>
      <c r="L426" s="22">
        <f t="shared" si="91"/>
        <v>1.6999999999999999E-3</v>
      </c>
      <c r="N426" s="15">
        <f t="shared" si="88"/>
        <v>0</v>
      </c>
      <c r="W426" s="1">
        <f t="shared" si="82"/>
        <v>0</v>
      </c>
    </row>
  </sheetData>
  <conditionalFormatting sqref="K7:K426">
    <cfRule type="iconSet" priority="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hyperlinks>
    <hyperlink ref="I1" r:id="rId1" xr:uid="{B2244F39-201C-FD4E-8147-2EAEDF283B41}"/>
    <hyperlink ref="N3" r:id="rId2" display="https://www.instagram.com/amigodopairico/" xr:uid="{96EBFD68-4BD3-4940-8FA3-3834C2A3BB59}"/>
    <hyperlink ref="N4" r:id="rId3" display="https://youtube.com/amigodopairico" xr:uid="{E3F0DFAA-94D6-5044-ACA5-E66800022D64}"/>
    <hyperlink ref="A1" r:id="rId4" xr:uid="{EFB20EBF-7B31-004F-B00A-E1C525E47FE1}"/>
    <hyperlink ref="L1" r:id="rId5" xr:uid="{83C15F54-5AA8-544D-BE04-F5C20FF541A3}"/>
  </hyperlinks>
  <pageMargins left="0.511811024" right="0.511811024" top="0.78740157499999996" bottom="0.78740157499999996" header="0.31496062000000002" footer="0.31496062000000002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1504D-F2E6-8D42-8505-CFC9D62B167C}">
  <sheetPr codeName="Planilha3"/>
  <dimension ref="A1:Z430"/>
  <sheetViews>
    <sheetView showGridLines="0" zoomScale="180" zoomScaleNormal="180" workbookViewId="0">
      <pane ySplit="6" topLeftCell="A7" activePane="bottomLeft" state="frozen"/>
      <selection pane="bottomLeft" activeCell="G13" sqref="G13"/>
    </sheetView>
  </sheetViews>
  <sheetFormatPr baseColWidth="10" defaultColWidth="10.83203125" defaultRowHeight="16" x14ac:dyDescent="0.2"/>
  <cols>
    <col min="1" max="1" width="10.83203125" customWidth="1"/>
    <col min="2" max="2" width="4.5" customWidth="1"/>
    <col min="3" max="3" width="10.6640625" customWidth="1"/>
    <col min="4" max="4" width="2.83203125" bestFit="1" customWidth="1"/>
    <col min="5" max="9" width="12.5" customWidth="1"/>
    <col min="10" max="10" width="10.5" customWidth="1"/>
    <col min="12" max="12" width="10.33203125" customWidth="1"/>
    <col min="16" max="16" width="10" customWidth="1"/>
    <col min="23" max="23" width="12" customWidth="1"/>
  </cols>
  <sheetData>
    <row r="1" spans="1:26" x14ac:dyDescent="0.2">
      <c r="A1" s="88" t="s">
        <v>51</v>
      </c>
      <c r="B1" s="16"/>
      <c r="C1" s="16"/>
      <c r="D1" s="16"/>
      <c r="E1" s="16"/>
      <c r="F1" s="16"/>
      <c r="G1" s="16"/>
      <c r="H1" s="16"/>
      <c r="I1" s="88" t="s">
        <v>55</v>
      </c>
      <c r="J1" s="16"/>
      <c r="K1" s="16"/>
      <c r="L1" s="88" t="s">
        <v>20</v>
      </c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2">
      <c r="E2" s="9">
        <f>SUM(Juros_SAC)</f>
        <v>189661.57351781006</v>
      </c>
      <c r="F2" s="9">
        <f>SUM(F7:F426)</f>
        <v>192335.33310199704</v>
      </c>
      <c r="G2" s="9">
        <f>SUM(G7:G426)</f>
        <v>400751.8984909993</v>
      </c>
      <c r="H2" s="9">
        <f>SUM(H7:H426)</f>
        <v>50510.608714763381</v>
      </c>
      <c r="I2" s="9"/>
      <c r="J2" s="3"/>
      <c r="O2" s="9">
        <f>SUM(O7:O426)</f>
        <v>315390.50899342971</v>
      </c>
    </row>
    <row r="3" spans="1:26" ht="19" x14ac:dyDescent="0.25">
      <c r="A3" s="6" t="s">
        <v>17</v>
      </c>
      <c r="B3" s="6"/>
      <c r="E3" s="2" t="s">
        <v>0</v>
      </c>
      <c r="F3" s="19">
        <f>'RAIO X DO SEU FINANCIAMENTO'!C20</f>
        <v>141826</v>
      </c>
      <c r="G3" s="2" t="s">
        <v>1</v>
      </c>
      <c r="H3" s="20">
        <f>'RAIO X DO SEU FINANCIAMENTO'!E17</f>
        <v>341</v>
      </c>
      <c r="I3" s="2" t="s">
        <v>2</v>
      </c>
      <c r="J3" s="21">
        <f>'RAIO X DO SEU FINANCIAMENTO'!E20</f>
        <v>7.9347000000000001E-2</v>
      </c>
      <c r="K3" s="2" t="s">
        <v>7</v>
      </c>
      <c r="L3" s="19">
        <f>IF('RAIO X DO SEU FINANCIAMENTO'!G20&gt;25,25,0)</f>
        <v>25</v>
      </c>
      <c r="P3" s="17" t="s">
        <v>21</v>
      </c>
      <c r="W3" s="28" t="s">
        <v>61</v>
      </c>
      <c r="X3" s="47">
        <f>(1+X4)^12-1</f>
        <v>0.1077214114896452</v>
      </c>
    </row>
    <row r="4" spans="1:26" x14ac:dyDescent="0.2">
      <c r="E4" s="2" t="s">
        <v>16</v>
      </c>
      <c r="F4" s="11">
        <f>G2</f>
        <v>400751.8984909993</v>
      </c>
      <c r="I4" s="2" t="s">
        <v>3</v>
      </c>
      <c r="J4" s="3">
        <f>(1+J3)^(1/12)-1</f>
        <v>6.3833060654847618E-3</v>
      </c>
      <c r="K4" s="2" t="s">
        <v>6</v>
      </c>
      <c r="L4" s="19">
        <f>'RAIO X DO SEU FINANCIAMENTO'!G20-L3</f>
        <v>30</v>
      </c>
      <c r="P4" s="17" t="s">
        <v>22</v>
      </c>
      <c r="W4" s="28" t="s">
        <v>62</v>
      </c>
      <c r="X4" s="3">
        <f>IRR(X6:X430)</f>
        <v>8.5618718677675787E-3</v>
      </c>
      <c r="Y4" t="s">
        <v>57</v>
      </c>
    </row>
    <row r="5" spans="1:26" x14ac:dyDescent="0.2">
      <c r="F5" s="1"/>
      <c r="G5" s="1"/>
    </row>
    <row r="6" spans="1:26" x14ac:dyDescent="0.2">
      <c r="A6" s="5" t="s">
        <v>14</v>
      </c>
      <c r="B6" s="5"/>
      <c r="C6" s="5" t="s">
        <v>10</v>
      </c>
      <c r="D6" s="10" t="s">
        <v>15</v>
      </c>
      <c r="E6" s="5" t="s">
        <v>8</v>
      </c>
      <c r="F6" s="5" t="s">
        <v>9</v>
      </c>
      <c r="G6" s="5" t="s">
        <v>5</v>
      </c>
      <c r="H6" s="5" t="s">
        <v>12</v>
      </c>
      <c r="I6" s="5" t="s">
        <v>11</v>
      </c>
      <c r="J6" s="5"/>
      <c r="K6" s="5" t="s">
        <v>23</v>
      </c>
      <c r="L6" s="5" t="s">
        <v>4</v>
      </c>
      <c r="N6" s="12" t="s">
        <v>19</v>
      </c>
      <c r="O6" s="12" t="s">
        <v>18</v>
      </c>
      <c r="X6" s="46">
        <f>F3</f>
        <v>141826</v>
      </c>
      <c r="Y6" s="28" t="s">
        <v>56</v>
      </c>
    </row>
    <row r="7" spans="1:26" x14ac:dyDescent="0.2">
      <c r="A7" s="7">
        <f t="shared" ref="A7:A70" si="0">F7/I7</f>
        <v>2.9361703002263495E-3</v>
      </c>
      <c r="B7" s="4">
        <v>1</v>
      </c>
      <c r="C7" s="4">
        <f>H3</f>
        <v>341</v>
      </c>
      <c r="D7" s="8">
        <f>C7/12</f>
        <v>28.416666666666668</v>
      </c>
      <c r="E7" s="23">
        <f>F3*$J$4</f>
        <v>905.31876604344177</v>
      </c>
      <c r="F7" s="24">
        <f>F3/C7</f>
        <v>415.91202346041058</v>
      </c>
      <c r="G7" s="25">
        <f>E7+F7+L3+L4</f>
        <v>1376.2307895038523</v>
      </c>
      <c r="H7" s="26">
        <f>F3*L7</f>
        <v>241.10419999999999</v>
      </c>
      <c r="I7" s="27">
        <f>F3-F7+H7</f>
        <v>141651.1921765396</v>
      </c>
      <c r="K7" s="18">
        <f t="shared" ref="K7:K70" si="1">IF(C7&lt;1,0,(F7-H7)/G7)</f>
        <v>0.12701926507793865</v>
      </c>
      <c r="L7" s="21">
        <f>'RAIO X DO SEU FINANCIAMENTO'!G17</f>
        <v>1.6999999999999999E-3</v>
      </c>
      <c r="N7" s="13">
        <f>F3-(F3/C7)</f>
        <v>141410.08797653959</v>
      </c>
      <c r="O7" s="13">
        <f>F3/H3+F3*J4+L3+L4</f>
        <v>1376.2307895038523</v>
      </c>
      <c r="X7" s="1">
        <f t="shared" ref="X7:X70" si="2">-G7</f>
        <v>-1376.2307895038523</v>
      </c>
    </row>
    <row r="8" spans="1:26" x14ac:dyDescent="0.2">
      <c r="A8" s="7">
        <f t="shared" si="0"/>
        <v>2.9448315261883869E-3</v>
      </c>
      <c r="B8" s="4">
        <f>B7+1</f>
        <v>2</v>
      </c>
      <c r="C8" s="4">
        <f t="shared" ref="C8:C71" si="3">IF(C7-1&lt;1,0,C7-1)</f>
        <v>340</v>
      </c>
      <c r="D8" s="8">
        <f>C8/12</f>
        <v>28.333333333333332</v>
      </c>
      <c r="E8" s="23">
        <f t="shared" ref="E8:E71" si="4">I7*$J$4</f>
        <v>904.20291420365288</v>
      </c>
      <c r="F8" s="24">
        <f t="shared" ref="F8:F71" si="5">IF(C8&lt;1,0,I7/C8)</f>
        <v>416.6211534604106</v>
      </c>
      <c r="G8" s="25">
        <f t="shared" ref="G8:G71" si="6">IF(C8&lt;1,0,F8+E8+$L$3+$L$4)</f>
        <v>1375.8240676640635</v>
      </c>
      <c r="H8" s="26">
        <f t="shared" ref="H8:H71" si="7">I7*L8</f>
        <v>240.80702670011729</v>
      </c>
      <c r="I8" s="27">
        <f t="shared" ref="I8:I71" si="8">IF(C8&lt;1,0,I7-F8+H8)</f>
        <v>141475.37804977931</v>
      </c>
      <c r="K8" s="18">
        <f t="shared" si="1"/>
        <v>0.12778823317053795</v>
      </c>
      <c r="L8" s="22">
        <f t="shared" ref="L8:L71" si="9">L7</f>
        <v>1.6999999999999999E-3</v>
      </c>
      <c r="N8" s="13">
        <f t="shared" ref="N8:N71" si="10">IF(C8&lt;1,0,N7-(N7/C8))</f>
        <v>140994.17595307919</v>
      </c>
      <c r="O8" s="13">
        <f t="shared" ref="O8:O71" si="11">IF(C8&lt;1,0,N7/C8+N7*$J$4+$L$3+$L$4)</f>
        <v>1373.5758957617895</v>
      </c>
      <c r="X8" s="1">
        <f t="shared" si="2"/>
        <v>-1375.8240676640635</v>
      </c>
    </row>
    <row r="9" spans="1:26" x14ac:dyDescent="0.2">
      <c r="A9" s="7">
        <f t="shared" si="0"/>
        <v>2.953544001750861E-3</v>
      </c>
      <c r="B9" s="4">
        <f t="shared" ref="B9:B72" si="12">B8+1</f>
        <v>3</v>
      </c>
      <c r="C9" s="4">
        <f t="shared" si="3"/>
        <v>339</v>
      </c>
      <c r="D9" s="8">
        <f>C9/12</f>
        <v>28.25</v>
      </c>
      <c r="E9" s="23">
        <f t="shared" si="4"/>
        <v>903.08063882190595</v>
      </c>
      <c r="F9" s="24">
        <f t="shared" si="5"/>
        <v>417.33149867191537</v>
      </c>
      <c r="G9" s="25">
        <f t="shared" si="6"/>
        <v>1375.4121374938213</v>
      </c>
      <c r="H9" s="26">
        <f t="shared" si="7"/>
        <v>240.5081426846248</v>
      </c>
      <c r="I9" s="27">
        <f t="shared" si="8"/>
        <v>141298.55469379202</v>
      </c>
      <c r="K9" s="18">
        <f t="shared" si="1"/>
        <v>0.12856027016708285</v>
      </c>
      <c r="L9" s="22">
        <f t="shared" si="9"/>
        <v>1.6999999999999999E-3</v>
      </c>
      <c r="N9" s="13">
        <f t="shared" si="10"/>
        <v>140578.26392961878</v>
      </c>
      <c r="O9" s="13">
        <f t="shared" si="11"/>
        <v>1370.9210020197268</v>
      </c>
      <c r="X9" s="1">
        <f t="shared" si="2"/>
        <v>-1375.4121374938213</v>
      </c>
    </row>
    <row r="10" spans="1:26" x14ac:dyDescent="0.2">
      <c r="A10" s="7">
        <f t="shared" si="0"/>
        <v>2.9623081831393716E-3</v>
      </c>
      <c r="B10" s="4">
        <f t="shared" si="12"/>
        <v>4</v>
      </c>
      <c r="C10" s="4">
        <f t="shared" si="3"/>
        <v>338</v>
      </c>
      <c r="D10" s="8">
        <f>C10/12</f>
        <v>28.166666666666668</v>
      </c>
      <c r="E10" s="23">
        <f t="shared" si="4"/>
        <v>901.95192122111291</v>
      </c>
      <c r="F10" s="24">
        <f t="shared" si="5"/>
        <v>418.04306122423674</v>
      </c>
      <c r="G10" s="25">
        <f t="shared" si="6"/>
        <v>1374.9949824453497</v>
      </c>
      <c r="H10" s="26">
        <f t="shared" si="7"/>
        <v>240.2075429794464</v>
      </c>
      <c r="I10" s="27">
        <f t="shared" si="8"/>
        <v>141120.71917554722</v>
      </c>
      <c r="K10" s="18">
        <f t="shared" si="1"/>
        <v>0.12933539432159968</v>
      </c>
      <c r="L10" s="22">
        <f t="shared" si="9"/>
        <v>1.6999999999999999E-3</v>
      </c>
      <c r="M10" s="1"/>
      <c r="N10" s="13">
        <f t="shared" si="10"/>
        <v>140162.35190615838</v>
      </c>
      <c r="O10" s="13">
        <f t="shared" si="11"/>
        <v>1368.2661082776638</v>
      </c>
      <c r="X10" s="1">
        <f t="shared" si="2"/>
        <v>-1374.9949824453497</v>
      </c>
    </row>
    <row r="11" spans="1:26" x14ac:dyDescent="0.2">
      <c r="A11" s="7">
        <f t="shared" si="0"/>
        <v>2.971124532010747E-3</v>
      </c>
      <c r="B11" s="4">
        <f t="shared" si="12"/>
        <v>5</v>
      </c>
      <c r="C11" s="4">
        <f t="shared" si="3"/>
        <v>337</v>
      </c>
      <c r="D11" s="8">
        <f t="shared" ref="D11:D74" si="13">C11/12</f>
        <v>28.083333333333332</v>
      </c>
      <c r="E11" s="23">
        <f t="shared" si="4"/>
        <v>900.81674267884227</v>
      </c>
      <c r="F11" s="24">
        <f t="shared" si="5"/>
        <v>418.75584325088192</v>
      </c>
      <c r="G11" s="25">
        <f t="shared" si="6"/>
        <v>1374.5725859297243</v>
      </c>
      <c r="H11" s="26">
        <f t="shared" si="7"/>
        <v>239.90522259843024</v>
      </c>
      <c r="I11" s="27">
        <f t="shared" si="8"/>
        <v>140941.86855489475</v>
      </c>
      <c r="K11" s="18">
        <f t="shared" si="1"/>
        <v>0.13011362403352594</v>
      </c>
      <c r="L11" s="22">
        <f t="shared" si="9"/>
        <v>1.6999999999999999E-3</v>
      </c>
      <c r="N11" s="13">
        <f t="shared" si="10"/>
        <v>139746.43988269797</v>
      </c>
      <c r="O11" s="13">
        <f t="shared" si="11"/>
        <v>1365.611214535601</v>
      </c>
      <c r="X11" s="1">
        <f t="shared" si="2"/>
        <v>-1374.5725859297243</v>
      </c>
    </row>
    <row r="12" spans="1:26" x14ac:dyDescent="0.2">
      <c r="A12" s="7">
        <f t="shared" si="0"/>
        <v>2.9799935155341109E-3</v>
      </c>
      <c r="B12" s="4">
        <f t="shared" si="12"/>
        <v>6</v>
      </c>
      <c r="C12" s="4">
        <f t="shared" si="3"/>
        <v>336</v>
      </c>
      <c r="D12" s="8">
        <f t="shared" si="13"/>
        <v>28</v>
      </c>
      <c r="E12" s="23">
        <f t="shared" si="4"/>
        <v>899.67508442721567</v>
      </c>
      <c r="F12" s="24">
        <f t="shared" si="5"/>
        <v>419.46984688956775</v>
      </c>
      <c r="G12" s="25">
        <f t="shared" si="6"/>
        <v>1374.1449313167834</v>
      </c>
      <c r="H12" s="26">
        <f t="shared" si="7"/>
        <v>239.60117654332106</v>
      </c>
      <c r="I12" s="27">
        <f t="shared" si="8"/>
        <v>140761.99988454848</v>
      </c>
      <c r="K12" s="18">
        <f t="shared" si="1"/>
        <v>0.1308949778491606</v>
      </c>
      <c r="L12" s="22">
        <f t="shared" si="9"/>
        <v>1.6999999999999999E-3</v>
      </c>
      <c r="N12" s="13">
        <f t="shared" si="10"/>
        <v>139330.52785923757</v>
      </c>
      <c r="O12" s="13">
        <f t="shared" si="11"/>
        <v>1362.9563207935382</v>
      </c>
      <c r="X12" s="1">
        <f t="shared" si="2"/>
        <v>-1374.1449313167834</v>
      </c>
    </row>
    <row r="13" spans="1:26" x14ac:dyDescent="0.2">
      <c r="A13" s="7">
        <f t="shared" si="0"/>
        <v>2.9889156064733932E-3</v>
      </c>
      <c r="B13" s="4">
        <f t="shared" si="12"/>
        <v>7</v>
      </c>
      <c r="C13" s="4">
        <f t="shared" si="3"/>
        <v>335</v>
      </c>
      <c r="D13" s="8">
        <f t="shared" si="13"/>
        <v>27.916666666666668</v>
      </c>
      <c r="E13" s="23">
        <f t="shared" si="4"/>
        <v>898.52692765280369</v>
      </c>
      <c r="F13" s="24">
        <f t="shared" si="5"/>
        <v>420.18507428223427</v>
      </c>
      <c r="G13" s="25">
        <f t="shared" si="6"/>
        <v>1373.712001935038</v>
      </c>
      <c r="H13" s="26">
        <f t="shared" si="7"/>
        <v>239.29539980373241</v>
      </c>
      <c r="I13" s="27">
        <f t="shared" si="8"/>
        <v>140581.11021006998</v>
      </c>
      <c r="K13" s="18">
        <f t="shared" si="1"/>
        <v>0.13167947446313133</v>
      </c>
      <c r="L13" s="22">
        <f t="shared" si="9"/>
        <v>1.6999999999999999E-3</v>
      </c>
      <c r="N13" s="13">
        <f t="shared" si="10"/>
        <v>138914.61583577716</v>
      </c>
      <c r="O13" s="13">
        <f t="shared" si="11"/>
        <v>1360.3014270514755</v>
      </c>
      <c r="X13" s="1">
        <f t="shared" si="2"/>
        <v>-1373.712001935038</v>
      </c>
    </row>
    <row r="14" spans="1:26" x14ac:dyDescent="0.2">
      <c r="A14" s="7">
        <f t="shared" si="0"/>
        <v>2.9978912832713473E-3</v>
      </c>
      <c r="B14" s="4">
        <f t="shared" si="12"/>
        <v>8</v>
      </c>
      <c r="C14" s="4">
        <f t="shared" si="3"/>
        <v>334</v>
      </c>
      <c r="D14" s="8">
        <f t="shared" si="13"/>
        <v>27.833333333333332</v>
      </c>
      <c r="E14" s="23">
        <f t="shared" si="4"/>
        <v>897.37225349652147</v>
      </c>
      <c r="F14" s="24">
        <f t="shared" si="5"/>
        <v>420.90152757505984</v>
      </c>
      <c r="G14" s="25">
        <f t="shared" si="6"/>
        <v>1373.2737810715812</v>
      </c>
      <c r="H14" s="26">
        <f t="shared" si="7"/>
        <v>238.98788735711895</v>
      </c>
      <c r="I14" s="27">
        <f t="shared" si="8"/>
        <v>140399.19656985204</v>
      </c>
      <c r="K14" s="18">
        <f t="shared" si="1"/>
        <v>0.13246713271988023</v>
      </c>
      <c r="L14" s="22">
        <f t="shared" si="9"/>
        <v>1.6999999999999999E-3</v>
      </c>
      <c r="N14" s="13">
        <f t="shared" si="10"/>
        <v>138498.70381231676</v>
      </c>
      <c r="O14" s="13">
        <f t="shared" si="11"/>
        <v>1357.6465333094127</v>
      </c>
      <c r="X14" s="1">
        <f t="shared" si="2"/>
        <v>-1373.2737810715812</v>
      </c>
    </row>
    <row r="15" spans="1:26" x14ac:dyDescent="0.2">
      <c r="A15" s="7">
        <f t="shared" si="0"/>
        <v>3.0069210301350616E-3</v>
      </c>
      <c r="B15" s="4">
        <f t="shared" si="12"/>
        <v>9</v>
      </c>
      <c r="C15" s="4">
        <f t="shared" si="3"/>
        <v>333</v>
      </c>
      <c r="D15" s="8">
        <f t="shared" si="13"/>
        <v>27.75</v>
      </c>
      <c r="E15" s="23">
        <f t="shared" si="4"/>
        <v>896.21104305352389</v>
      </c>
      <c r="F15" s="24">
        <f t="shared" si="5"/>
        <v>421.61920891847456</v>
      </c>
      <c r="G15" s="25">
        <f t="shared" si="6"/>
        <v>1372.8302519719985</v>
      </c>
      <c r="H15" s="26">
        <f t="shared" si="7"/>
        <v>238.67863416874846</v>
      </c>
      <c r="I15" s="27">
        <f t="shared" si="8"/>
        <v>140216.25599510231</v>
      </c>
      <c r="K15" s="18">
        <f t="shared" si="1"/>
        <v>0.13325797161516625</v>
      </c>
      <c r="L15" s="22">
        <f t="shared" si="9"/>
        <v>1.6999999999999999E-3</v>
      </c>
      <c r="N15" s="13">
        <f t="shared" si="10"/>
        <v>138082.79178885635</v>
      </c>
      <c r="O15" s="13">
        <f t="shared" si="11"/>
        <v>1354.9916395673497</v>
      </c>
      <c r="X15" s="1">
        <f t="shared" si="2"/>
        <v>-1372.8302519719985</v>
      </c>
    </row>
    <row r="16" spans="1:26" x14ac:dyDescent="0.2">
      <c r="A16" s="7">
        <f t="shared" si="0"/>
        <v>3.0160053371230443E-3</v>
      </c>
      <c r="B16" s="4">
        <f t="shared" si="12"/>
        <v>10</v>
      </c>
      <c r="C16" s="4">
        <f t="shared" si="3"/>
        <v>332</v>
      </c>
      <c r="D16" s="8">
        <f t="shared" si="13"/>
        <v>27.666666666666668</v>
      </c>
      <c r="E16" s="23">
        <f t="shared" si="4"/>
        <v>895.04327737310064</v>
      </c>
      <c r="F16" s="24">
        <f t="shared" si="5"/>
        <v>422.33812046717566</v>
      </c>
      <c r="G16" s="25">
        <f t="shared" si="6"/>
        <v>1372.3813978402763</v>
      </c>
      <c r="H16" s="26">
        <f t="shared" si="7"/>
        <v>238.36763519167391</v>
      </c>
      <c r="I16" s="27">
        <f t="shared" si="8"/>
        <v>140032.28550982682</v>
      </c>
      <c r="K16" s="18">
        <f t="shared" si="1"/>
        <v>0.13405201029758712</v>
      </c>
      <c r="L16" s="22">
        <f t="shared" si="9"/>
        <v>1.6999999999999999E-3</v>
      </c>
      <c r="N16" s="13">
        <f t="shared" si="10"/>
        <v>137666.87976539595</v>
      </c>
      <c r="O16" s="13">
        <f t="shared" si="11"/>
        <v>1352.3367458252869</v>
      </c>
      <c r="X16" s="1">
        <f t="shared" si="2"/>
        <v>-1372.3813978402763</v>
      </c>
    </row>
    <row r="17" spans="1:24" x14ac:dyDescent="0.2">
      <c r="A17" s="7">
        <f t="shared" si="0"/>
        <v>3.0251447002338744E-3</v>
      </c>
      <c r="B17" s="4">
        <f t="shared" si="12"/>
        <v>11</v>
      </c>
      <c r="C17" s="4">
        <f t="shared" si="3"/>
        <v>331</v>
      </c>
      <c r="D17" s="8">
        <f t="shared" si="13"/>
        <v>27.583333333333332</v>
      </c>
      <c r="E17" s="23">
        <f t="shared" si="4"/>
        <v>893.86893745857139</v>
      </c>
      <c r="F17" s="24">
        <f t="shared" si="5"/>
        <v>423.05826438014145</v>
      </c>
      <c r="G17" s="25">
        <f t="shared" si="6"/>
        <v>1371.9272018387128</v>
      </c>
      <c r="H17" s="26">
        <f t="shared" si="7"/>
        <v>238.05488536670558</v>
      </c>
      <c r="I17" s="27">
        <f t="shared" si="8"/>
        <v>139847.28213081337</v>
      </c>
      <c r="K17" s="18">
        <f t="shared" si="1"/>
        <v>0.13484926807011829</v>
      </c>
      <c r="L17" s="22">
        <f t="shared" si="9"/>
        <v>1.6999999999999999E-3</v>
      </c>
      <c r="N17" s="13">
        <f t="shared" si="10"/>
        <v>137250.96774193554</v>
      </c>
      <c r="O17" s="13">
        <f t="shared" si="11"/>
        <v>1349.6818520832242</v>
      </c>
      <c r="X17" s="1">
        <f t="shared" si="2"/>
        <v>-1371.9272018387128</v>
      </c>
    </row>
    <row r="18" spans="1:24" x14ac:dyDescent="0.2">
      <c r="A18" s="7">
        <f t="shared" si="0"/>
        <v>3.0343396214964759E-3</v>
      </c>
      <c r="B18" s="4">
        <f t="shared" si="12"/>
        <v>12</v>
      </c>
      <c r="C18" s="4">
        <f t="shared" si="3"/>
        <v>330</v>
      </c>
      <c r="D18" s="8">
        <f t="shared" si="13"/>
        <v>27.5</v>
      </c>
      <c r="E18" s="23">
        <f t="shared" si="4"/>
        <v>892.68800426717974</v>
      </c>
      <c r="F18" s="24">
        <f t="shared" si="5"/>
        <v>423.77964282064659</v>
      </c>
      <c r="G18" s="25">
        <f t="shared" si="6"/>
        <v>1371.4676470878262</v>
      </c>
      <c r="H18" s="26">
        <f t="shared" si="7"/>
        <v>237.7403796223827</v>
      </c>
      <c r="I18" s="27">
        <f t="shared" si="8"/>
        <v>139661.2428676151</v>
      </c>
      <c r="K18" s="18">
        <f t="shared" si="1"/>
        <v>0.13564976439167162</v>
      </c>
      <c r="L18" s="22">
        <f t="shared" si="9"/>
        <v>1.6999999999999999E-3</v>
      </c>
      <c r="N18" s="13">
        <f t="shared" si="10"/>
        <v>136835.05571847514</v>
      </c>
      <c r="O18" s="13">
        <f t="shared" si="11"/>
        <v>1347.0269583411614</v>
      </c>
      <c r="X18" s="1">
        <f t="shared" si="2"/>
        <v>-1371.4676470878262</v>
      </c>
    </row>
    <row r="19" spans="1:24" x14ac:dyDescent="0.2">
      <c r="A19" s="7">
        <f t="shared" si="0"/>
        <v>3.0435906090620474E-3</v>
      </c>
      <c r="B19" s="4">
        <f t="shared" si="12"/>
        <v>13</v>
      </c>
      <c r="C19" s="4">
        <f t="shared" si="3"/>
        <v>329</v>
      </c>
      <c r="D19" s="8">
        <f t="shared" si="13"/>
        <v>27.416666666666668</v>
      </c>
      <c r="E19" s="23">
        <f t="shared" si="4"/>
        <v>891.50045870998792</v>
      </c>
      <c r="F19" s="24">
        <f t="shared" si="5"/>
        <v>424.50225795627694</v>
      </c>
      <c r="G19" s="25">
        <f t="shared" si="6"/>
        <v>1371.0027166662649</v>
      </c>
      <c r="H19" s="26">
        <f t="shared" si="7"/>
        <v>237.42411287494565</v>
      </c>
      <c r="I19" s="27">
        <f t="shared" si="8"/>
        <v>139474.16472253378</v>
      </c>
      <c r="K19" s="18">
        <f t="shared" si="1"/>
        <v>0.13645351887867238</v>
      </c>
      <c r="L19" s="22">
        <f t="shared" si="9"/>
        <v>1.6999999999999999E-3</v>
      </c>
      <c r="N19" s="13">
        <f t="shared" si="10"/>
        <v>136419.14369501473</v>
      </c>
      <c r="O19" s="13">
        <f t="shared" si="11"/>
        <v>1344.3720645990984</v>
      </c>
      <c r="X19" s="1">
        <f t="shared" si="2"/>
        <v>-1371.0027166662649</v>
      </c>
    </row>
    <row r="20" spans="1:24" x14ac:dyDescent="0.2">
      <c r="A20" s="7">
        <f t="shared" si="0"/>
        <v>3.0528981772976718E-3</v>
      </c>
      <c r="B20" s="4">
        <f t="shared" si="12"/>
        <v>14</v>
      </c>
      <c r="C20" s="4">
        <f t="shared" si="3"/>
        <v>328</v>
      </c>
      <c r="D20" s="8">
        <f t="shared" si="13"/>
        <v>27.333333333333332</v>
      </c>
      <c r="E20" s="23">
        <f t="shared" si="4"/>
        <v>890.30628165177063</v>
      </c>
      <c r="F20" s="24">
        <f t="shared" si="5"/>
        <v>425.22611195894444</v>
      </c>
      <c r="G20" s="25">
        <f t="shared" si="6"/>
        <v>1370.5323936107152</v>
      </c>
      <c r="H20" s="26">
        <f t="shared" si="7"/>
        <v>237.10608002830742</v>
      </c>
      <c r="I20" s="27">
        <f t="shared" si="8"/>
        <v>139286.04469060316</v>
      </c>
      <c r="K20" s="18">
        <f t="shared" si="1"/>
        <v>0.13726055130665557</v>
      </c>
      <c r="L20" s="22">
        <f t="shared" si="9"/>
        <v>1.6999999999999999E-3</v>
      </c>
      <c r="N20" s="13">
        <f t="shared" si="10"/>
        <v>136003.23167155433</v>
      </c>
      <c r="O20" s="13">
        <f t="shared" si="11"/>
        <v>1341.7171708570356</v>
      </c>
      <c r="X20" s="1">
        <f t="shared" si="2"/>
        <v>-1370.5323936107152</v>
      </c>
    </row>
    <row r="21" spans="1:24" x14ac:dyDescent="0.2">
      <c r="A21" s="7">
        <f t="shared" si="0"/>
        <v>3.0622628468816517E-3</v>
      </c>
      <c r="B21" s="4">
        <f t="shared" si="12"/>
        <v>15</v>
      </c>
      <c r="C21" s="4">
        <f t="shared" si="3"/>
        <v>327</v>
      </c>
      <c r="D21" s="8">
        <f t="shared" si="13"/>
        <v>27.25</v>
      </c>
      <c r="E21" s="23">
        <f t="shared" si="4"/>
        <v>889.10545391090875</v>
      </c>
      <c r="F21" s="24">
        <f t="shared" si="5"/>
        <v>425.95120700490264</v>
      </c>
      <c r="G21" s="25">
        <f t="shared" si="6"/>
        <v>1370.0566609158113</v>
      </c>
      <c r="H21" s="26">
        <f t="shared" si="7"/>
        <v>236.78627597402536</v>
      </c>
      <c r="I21" s="27">
        <f t="shared" si="8"/>
        <v>139096.8797595723</v>
      </c>
      <c r="K21" s="18">
        <f t="shared" si="1"/>
        <v>0.13807088161188194</v>
      </c>
      <c r="L21" s="22">
        <f t="shared" si="9"/>
        <v>1.6999999999999999E-3</v>
      </c>
      <c r="N21" s="13">
        <f t="shared" si="10"/>
        <v>135587.31964809392</v>
      </c>
      <c r="O21" s="13">
        <f t="shared" si="11"/>
        <v>1339.0622771149729</v>
      </c>
      <c r="X21" s="1">
        <f t="shared" si="2"/>
        <v>-1370.0566609158113</v>
      </c>
    </row>
    <row r="22" spans="1:24" x14ac:dyDescent="0.2">
      <c r="A22" s="7">
        <f t="shared" si="0"/>
        <v>3.071685144900603E-3</v>
      </c>
      <c r="B22" s="4">
        <f t="shared" si="12"/>
        <v>16</v>
      </c>
      <c r="C22" s="4">
        <f t="shared" si="3"/>
        <v>326</v>
      </c>
      <c r="D22" s="8">
        <f t="shared" si="13"/>
        <v>27.166666666666668</v>
      </c>
      <c r="E22" s="23">
        <f t="shared" si="4"/>
        <v>887.89795625928241</v>
      </c>
      <c r="F22" s="24">
        <f t="shared" si="5"/>
        <v>426.67754527476166</v>
      </c>
      <c r="G22" s="25">
        <f t="shared" si="6"/>
        <v>1369.5755015340442</v>
      </c>
      <c r="H22" s="26">
        <f t="shared" si="7"/>
        <v>236.46469559127289</v>
      </c>
      <c r="I22" s="27">
        <f t="shared" si="8"/>
        <v>138906.66690988882</v>
      </c>
      <c r="K22" s="18">
        <f t="shared" si="1"/>
        <v>0.13888452989297323</v>
      </c>
      <c r="L22" s="22">
        <f t="shared" si="9"/>
        <v>1.6999999999999999E-3</v>
      </c>
      <c r="N22" s="13">
        <f t="shared" si="10"/>
        <v>135171.40762463352</v>
      </c>
      <c r="O22" s="13">
        <f t="shared" si="11"/>
        <v>1336.4073833729099</v>
      </c>
      <c r="X22" s="1">
        <f t="shared" si="2"/>
        <v>-1369.5755015340442</v>
      </c>
    </row>
    <row r="23" spans="1:24" x14ac:dyDescent="0.2">
      <c r="A23" s="7">
        <f t="shared" si="0"/>
        <v>3.0811656049483521E-3</v>
      </c>
      <c r="B23" s="4">
        <f t="shared" si="12"/>
        <v>17</v>
      </c>
      <c r="C23" s="4">
        <f t="shared" si="3"/>
        <v>325</v>
      </c>
      <c r="D23" s="8">
        <f t="shared" si="13"/>
        <v>27.083333333333332</v>
      </c>
      <c r="E23" s="23">
        <f t="shared" si="4"/>
        <v>886.6837694221648</v>
      </c>
      <c r="F23" s="24">
        <f t="shared" si="5"/>
        <v>427.40512895350406</v>
      </c>
      <c r="G23" s="25">
        <f t="shared" si="6"/>
        <v>1369.0888983756688</v>
      </c>
      <c r="H23" s="26">
        <f t="shared" si="7"/>
        <v>236.141333746811</v>
      </c>
      <c r="I23" s="27">
        <f t="shared" si="8"/>
        <v>138715.40311468212</v>
      </c>
      <c r="K23" s="18">
        <f t="shared" si="1"/>
        <v>0.13970151641256795</v>
      </c>
      <c r="L23" s="22">
        <f t="shared" si="9"/>
        <v>1.6999999999999999E-3</v>
      </c>
      <c r="N23" s="13">
        <f t="shared" si="10"/>
        <v>134755.49560117311</v>
      </c>
      <c r="O23" s="13">
        <f t="shared" si="11"/>
        <v>1333.7524896308471</v>
      </c>
      <c r="X23" s="1">
        <f t="shared" si="2"/>
        <v>-1369.0888983756688</v>
      </c>
    </row>
    <row r="24" spans="1:24" x14ac:dyDescent="0.2">
      <c r="A24" s="7">
        <f t="shared" si="0"/>
        <v>3.0907047672266608E-3</v>
      </c>
      <c r="B24" s="4">
        <f t="shared" si="12"/>
        <v>18</v>
      </c>
      <c r="C24" s="4">
        <f t="shared" si="3"/>
        <v>324</v>
      </c>
      <c r="D24" s="8">
        <f t="shared" si="13"/>
        <v>27</v>
      </c>
      <c r="E24" s="23">
        <f t="shared" si="4"/>
        <v>885.46287407811417</v>
      </c>
      <c r="F24" s="24">
        <f t="shared" si="5"/>
        <v>428.13396023050035</v>
      </c>
      <c r="G24" s="25">
        <f t="shared" si="6"/>
        <v>1368.5968343086145</v>
      </c>
      <c r="H24" s="26">
        <f t="shared" si="7"/>
        <v>235.81618529495958</v>
      </c>
      <c r="I24" s="27">
        <f t="shared" si="8"/>
        <v>138523.08533974658</v>
      </c>
      <c r="K24" s="18">
        <f t="shared" si="1"/>
        <v>0.14052186159899716</v>
      </c>
      <c r="L24" s="22">
        <f t="shared" si="9"/>
        <v>1.6999999999999999E-3</v>
      </c>
      <c r="N24" s="13">
        <f t="shared" si="10"/>
        <v>134339.58357771271</v>
      </c>
      <c r="O24" s="13">
        <f t="shared" si="11"/>
        <v>1331.0975958887843</v>
      </c>
      <c r="X24" s="1">
        <f t="shared" si="2"/>
        <v>-1368.5968343086145</v>
      </c>
    </row>
    <row r="25" spans="1:24" x14ac:dyDescent="0.2">
      <c r="A25" s="7">
        <f t="shared" si="0"/>
        <v>3.10030317864784E-3</v>
      </c>
      <c r="B25" s="4">
        <f t="shared" si="12"/>
        <v>19</v>
      </c>
      <c r="C25" s="4">
        <f t="shared" si="3"/>
        <v>323</v>
      </c>
      <c r="D25" s="8">
        <f t="shared" si="13"/>
        <v>26.916666666666668</v>
      </c>
      <c r="E25" s="23">
        <f t="shared" si="4"/>
        <v>884.23525085886763</v>
      </c>
      <c r="F25" s="24">
        <f t="shared" si="5"/>
        <v>428.86404129952501</v>
      </c>
      <c r="G25" s="25">
        <f t="shared" si="6"/>
        <v>1368.0992921583927</v>
      </c>
      <c r="H25" s="26">
        <f t="shared" si="7"/>
        <v>235.48924507756917</v>
      </c>
      <c r="I25" s="27">
        <f t="shared" si="8"/>
        <v>138329.71054352462</v>
      </c>
      <c r="K25" s="18">
        <f t="shared" si="1"/>
        <v>0.14134558604798089</v>
      </c>
      <c r="L25" s="22">
        <f t="shared" si="9"/>
        <v>1.6999999999999999E-3</v>
      </c>
      <c r="N25" s="13">
        <f t="shared" si="10"/>
        <v>133923.6715542523</v>
      </c>
      <c r="O25" s="13">
        <f t="shared" si="11"/>
        <v>1328.4427021467213</v>
      </c>
      <c r="X25" s="1">
        <f t="shared" si="2"/>
        <v>-1368.0992921583927</v>
      </c>
    </row>
    <row r="26" spans="1:24" x14ac:dyDescent="0.2">
      <c r="A26" s="7">
        <f t="shared" si="0"/>
        <v>3.109961392939268E-3</v>
      </c>
      <c r="B26" s="4">
        <f t="shared" si="12"/>
        <v>20</v>
      </c>
      <c r="C26" s="4">
        <f t="shared" si="3"/>
        <v>322</v>
      </c>
      <c r="D26" s="8">
        <f t="shared" si="13"/>
        <v>26.833333333333332</v>
      </c>
      <c r="E26" s="23">
        <f t="shared" si="4"/>
        <v>883.00088034923215</v>
      </c>
      <c r="F26" s="24">
        <f t="shared" si="5"/>
        <v>429.59537435877212</v>
      </c>
      <c r="G26" s="25">
        <f t="shared" si="6"/>
        <v>1367.5962547080044</v>
      </c>
      <c r="H26" s="26">
        <f t="shared" si="7"/>
        <v>235.16050792399184</v>
      </c>
      <c r="I26" s="27">
        <f t="shared" si="8"/>
        <v>138135.27567708984</v>
      </c>
      <c r="K26" s="18">
        <f t="shared" si="1"/>
        <v>0.14217271052434557</v>
      </c>
      <c r="L26" s="22">
        <f t="shared" si="9"/>
        <v>1.6999999999999999E-3</v>
      </c>
      <c r="N26" s="13">
        <f t="shared" si="10"/>
        <v>133507.7595307919</v>
      </c>
      <c r="O26" s="13">
        <f t="shared" si="11"/>
        <v>1325.7878084046588</v>
      </c>
      <c r="X26" s="1">
        <f t="shared" si="2"/>
        <v>-1367.5962547080044</v>
      </c>
    </row>
    <row r="27" spans="1:24" x14ac:dyDescent="0.2">
      <c r="A27" s="7">
        <f t="shared" si="0"/>
        <v>3.1196799707498804E-3</v>
      </c>
      <c r="B27" s="4">
        <f t="shared" si="12"/>
        <v>21</v>
      </c>
      <c r="C27" s="4">
        <f t="shared" si="3"/>
        <v>321</v>
      </c>
      <c r="D27" s="8">
        <f t="shared" si="13"/>
        <v>26.75</v>
      </c>
      <c r="E27" s="23">
        <f t="shared" si="4"/>
        <v>881.75974308697721</v>
      </c>
      <c r="F27" s="24">
        <f t="shared" si="5"/>
        <v>430.3279616108718</v>
      </c>
      <c r="G27" s="25">
        <f t="shared" si="6"/>
        <v>1367.0877046978489</v>
      </c>
      <c r="H27" s="26">
        <f t="shared" si="7"/>
        <v>234.82996865105272</v>
      </c>
      <c r="I27" s="27">
        <f t="shared" si="8"/>
        <v>137939.77768413004</v>
      </c>
      <c r="K27" s="18">
        <f t="shared" si="1"/>
        <v>0.14300325596376251</v>
      </c>
      <c r="L27" s="22">
        <f t="shared" si="9"/>
        <v>1.6999999999999999E-3</v>
      </c>
      <c r="N27" s="13">
        <f t="shared" si="10"/>
        <v>133091.84750733149</v>
      </c>
      <c r="O27" s="13">
        <f t="shared" si="11"/>
        <v>1323.1329146625958</v>
      </c>
      <c r="X27" s="1">
        <f t="shared" si="2"/>
        <v>-1367.0877046978489</v>
      </c>
    </row>
    <row r="28" spans="1:24" x14ac:dyDescent="0.2">
      <c r="A28" s="7">
        <f t="shared" si="0"/>
        <v>3.1294594797586558E-3</v>
      </c>
      <c r="B28" s="4">
        <f t="shared" si="12"/>
        <v>22</v>
      </c>
      <c r="C28" s="4">
        <f t="shared" si="3"/>
        <v>320</v>
      </c>
      <c r="D28" s="8">
        <f t="shared" si="13"/>
        <v>26.666666666666668</v>
      </c>
      <c r="E28" s="23">
        <f t="shared" si="4"/>
        <v>880.51181956272683</v>
      </c>
      <c r="F28" s="24">
        <f t="shared" si="5"/>
        <v>431.06180526290638</v>
      </c>
      <c r="G28" s="25">
        <f t="shared" si="6"/>
        <v>1366.5736248256333</v>
      </c>
      <c r="H28" s="26">
        <f t="shared" si="7"/>
        <v>234.49762206302105</v>
      </c>
      <c r="I28" s="27">
        <f t="shared" si="8"/>
        <v>137743.21350093017</v>
      </c>
      <c r="K28" s="18">
        <f t="shared" si="1"/>
        <v>0.14383724347450783</v>
      </c>
      <c r="L28" s="22">
        <f t="shared" si="9"/>
        <v>1.6999999999999999E-3</v>
      </c>
      <c r="N28" s="13">
        <f t="shared" si="10"/>
        <v>132675.93548387109</v>
      </c>
      <c r="O28" s="13">
        <f t="shared" si="11"/>
        <v>1320.478020920533</v>
      </c>
      <c r="X28" s="1">
        <f t="shared" si="2"/>
        <v>-1366.5736248256333</v>
      </c>
    </row>
    <row r="29" spans="1:24" x14ac:dyDescent="0.2">
      <c r="A29" s="7">
        <f t="shared" si="0"/>
        <v>3.1393004947851515E-3</v>
      </c>
      <c r="B29" s="4">
        <f t="shared" si="12"/>
        <v>23</v>
      </c>
      <c r="C29" s="4">
        <f t="shared" si="3"/>
        <v>319</v>
      </c>
      <c r="D29" s="8">
        <f t="shared" si="13"/>
        <v>26.583333333333332</v>
      </c>
      <c r="E29" s="23">
        <f t="shared" si="4"/>
        <v>879.25709021985006</v>
      </c>
      <c r="F29" s="24">
        <f t="shared" si="5"/>
        <v>431.79690752642688</v>
      </c>
      <c r="G29" s="25">
        <f t="shared" si="6"/>
        <v>1366.053997746277</v>
      </c>
      <c r="H29" s="26">
        <f t="shared" si="7"/>
        <v>234.16346295158127</v>
      </c>
      <c r="I29" s="27">
        <f t="shared" si="8"/>
        <v>137545.58005635531</v>
      </c>
      <c r="K29" s="18">
        <f t="shared" si="1"/>
        <v>0.14467469433924449</v>
      </c>
      <c r="L29" s="22">
        <f t="shared" si="9"/>
        <v>1.6999999999999999E-3</v>
      </c>
      <c r="N29" s="13">
        <f t="shared" si="10"/>
        <v>132260.02346041068</v>
      </c>
      <c r="O29" s="13">
        <f t="shared" si="11"/>
        <v>1317.8231271784703</v>
      </c>
      <c r="X29" s="1">
        <f t="shared" si="2"/>
        <v>-1366.053997746277</v>
      </c>
    </row>
    <row r="30" spans="1:24" x14ac:dyDescent="0.2">
      <c r="A30" s="7">
        <f t="shared" si="0"/>
        <v>3.1492035979021268E-3</v>
      </c>
      <c r="B30" s="4">
        <f t="shared" si="12"/>
        <v>24</v>
      </c>
      <c r="C30" s="4">
        <f t="shared" si="3"/>
        <v>318</v>
      </c>
      <c r="D30" s="8">
        <f t="shared" si="13"/>
        <v>26.5</v>
      </c>
      <c r="E30" s="23">
        <f t="shared" si="4"/>
        <v>877.99553545435265</v>
      </c>
      <c r="F30" s="24">
        <f t="shared" si="5"/>
        <v>432.5332706174695</v>
      </c>
      <c r="G30" s="25">
        <f t="shared" si="6"/>
        <v>1365.5288060718221</v>
      </c>
      <c r="H30" s="26">
        <f t="shared" si="7"/>
        <v>233.82748609580401</v>
      </c>
      <c r="I30" s="27">
        <f t="shared" si="8"/>
        <v>137346.87427183363</v>
      </c>
      <c r="K30" s="18">
        <f t="shared" si="1"/>
        <v>0.14551563001682605</v>
      </c>
      <c r="L30" s="22">
        <f t="shared" si="9"/>
        <v>1.6999999999999999E-3</v>
      </c>
      <c r="N30" s="13">
        <f t="shared" si="10"/>
        <v>131844.11143695028</v>
      </c>
      <c r="O30" s="13">
        <f t="shared" si="11"/>
        <v>1315.1682334364073</v>
      </c>
      <c r="X30" s="1">
        <f t="shared" si="2"/>
        <v>-1365.5288060718221</v>
      </c>
    </row>
    <row r="31" spans="1:24" x14ac:dyDescent="0.2">
      <c r="A31" s="7">
        <f t="shared" si="0"/>
        <v>3.1591693785503138E-3</v>
      </c>
      <c r="B31" s="4">
        <f t="shared" si="12"/>
        <v>25</v>
      </c>
      <c r="C31" s="4">
        <f t="shared" si="3"/>
        <v>317</v>
      </c>
      <c r="D31" s="8">
        <f t="shared" si="13"/>
        <v>26.416666666666668</v>
      </c>
      <c r="E31" s="23">
        <f t="shared" si="4"/>
        <v>876.7271356147686</v>
      </c>
      <c r="F31" s="24">
        <f t="shared" si="5"/>
        <v>433.27089675657294</v>
      </c>
      <c r="G31" s="25">
        <f t="shared" si="6"/>
        <v>1364.9980323713417</v>
      </c>
      <c r="H31" s="26">
        <f t="shared" si="7"/>
        <v>233.48968626211715</v>
      </c>
      <c r="I31" s="27">
        <f t="shared" si="8"/>
        <v>137147.09306133917</v>
      </c>
      <c r="K31" s="18">
        <f t="shared" si="1"/>
        <v>0.14636007214412322</v>
      </c>
      <c r="L31" s="22">
        <f t="shared" si="9"/>
        <v>1.6999999999999999E-3</v>
      </c>
      <c r="N31" s="13">
        <f t="shared" si="10"/>
        <v>131428.19941348987</v>
      </c>
      <c r="O31" s="13">
        <f t="shared" si="11"/>
        <v>1312.5133396943445</v>
      </c>
      <c r="X31" s="1">
        <f t="shared" si="2"/>
        <v>-1364.9980323713417</v>
      </c>
    </row>
    <row r="32" spans="1:24" x14ac:dyDescent="0.2">
      <c r="A32" s="7">
        <f t="shared" si="0"/>
        <v>3.1691984336553662E-3</v>
      </c>
      <c r="B32" s="4">
        <f t="shared" si="12"/>
        <v>26</v>
      </c>
      <c r="C32" s="4">
        <f t="shared" si="3"/>
        <v>316</v>
      </c>
      <c r="D32" s="8">
        <f t="shared" si="13"/>
        <v>26.333333333333332</v>
      </c>
      <c r="E32" s="23">
        <f t="shared" si="4"/>
        <v>875.45187100204942</v>
      </c>
      <c r="F32" s="24">
        <f t="shared" si="5"/>
        <v>434.00978816879484</v>
      </c>
      <c r="G32" s="25">
        <f t="shared" si="6"/>
        <v>1364.4616591708443</v>
      </c>
      <c r="H32" s="26">
        <f t="shared" si="7"/>
        <v>233.15005820427658</v>
      </c>
      <c r="I32" s="27">
        <f t="shared" si="8"/>
        <v>136946.23333137465</v>
      </c>
      <c r="K32" s="18">
        <f t="shared" si="1"/>
        <v>0.1472080425378729</v>
      </c>
      <c r="L32" s="22">
        <f t="shared" si="9"/>
        <v>1.6999999999999999E-3</v>
      </c>
      <c r="N32" s="13">
        <f t="shared" si="10"/>
        <v>131012.28739002947</v>
      </c>
      <c r="O32" s="13">
        <f t="shared" si="11"/>
        <v>1309.8584459522817</v>
      </c>
      <c r="X32" s="1">
        <f t="shared" si="2"/>
        <v>-1364.4616591708443</v>
      </c>
    </row>
    <row r="33" spans="1:24" x14ac:dyDescent="0.2">
      <c r="A33" s="7">
        <f t="shared" si="0"/>
        <v>3.1792913677470436E-3</v>
      </c>
      <c r="B33" s="4">
        <f t="shared" si="12"/>
        <v>27</v>
      </c>
      <c r="C33" s="4">
        <f t="shared" si="3"/>
        <v>315</v>
      </c>
      <c r="D33" s="8">
        <f t="shared" si="13"/>
        <v>26.25</v>
      </c>
      <c r="E33" s="23">
        <f t="shared" si="4"/>
        <v>874.1697218694552</v>
      </c>
      <c r="F33" s="24">
        <f t="shared" si="5"/>
        <v>434.74994708372907</v>
      </c>
      <c r="G33" s="25">
        <f t="shared" si="6"/>
        <v>1363.9196689531843</v>
      </c>
      <c r="H33" s="26">
        <f t="shared" si="7"/>
        <v>232.80859666333689</v>
      </c>
      <c r="I33" s="27">
        <f t="shared" si="8"/>
        <v>136744.29198095424</v>
      </c>
      <c r="K33" s="18">
        <f t="shared" si="1"/>
        <v>0.14805956319655048</v>
      </c>
      <c r="L33" s="22">
        <f t="shared" si="9"/>
        <v>1.6999999999999999E-3</v>
      </c>
      <c r="N33" s="13">
        <f t="shared" si="10"/>
        <v>130596.37536656906</v>
      </c>
      <c r="O33" s="13">
        <f t="shared" si="11"/>
        <v>1307.2035522102187</v>
      </c>
      <c r="X33" s="1">
        <f t="shared" si="2"/>
        <v>-1363.9196689531843</v>
      </c>
    </row>
    <row r="34" spans="1:24" x14ac:dyDescent="0.2">
      <c r="A34" s="7">
        <f t="shared" si="0"/>
        <v>3.1894487930806824E-3</v>
      </c>
      <c r="B34" s="4">
        <f t="shared" si="12"/>
        <v>28</v>
      </c>
      <c r="C34" s="4">
        <f t="shared" si="3"/>
        <v>314</v>
      </c>
      <c r="D34" s="8">
        <f t="shared" si="13"/>
        <v>26.166666666666668</v>
      </c>
      <c r="E34" s="23">
        <f t="shared" si="4"/>
        <v>872.8806684224445</v>
      </c>
      <c r="F34" s="24">
        <f t="shared" si="5"/>
        <v>435.49137573552304</v>
      </c>
      <c r="G34" s="25">
        <f t="shared" si="6"/>
        <v>1363.3720441579676</v>
      </c>
      <c r="H34" s="26">
        <f t="shared" si="7"/>
        <v>232.46529636762219</v>
      </c>
      <c r="I34" s="27">
        <f t="shared" si="8"/>
        <v>136541.26590158633</v>
      </c>
      <c r="K34" s="18">
        <f t="shared" si="1"/>
        <v>0.14891465630226547</v>
      </c>
      <c r="L34" s="22">
        <f t="shared" si="9"/>
        <v>1.6999999999999999E-3</v>
      </c>
      <c r="N34" s="13">
        <f t="shared" si="10"/>
        <v>130180.46334310865</v>
      </c>
      <c r="O34" s="13">
        <f t="shared" si="11"/>
        <v>1304.548658468156</v>
      </c>
      <c r="X34" s="1">
        <f t="shared" si="2"/>
        <v>-1363.3720441579676</v>
      </c>
    </row>
    <row r="35" spans="1:24" x14ac:dyDescent="0.2">
      <c r="A35" s="7">
        <f t="shared" si="0"/>
        <v>3.1996713297610065E-3</v>
      </c>
      <c r="B35" s="4">
        <f t="shared" si="12"/>
        <v>29</v>
      </c>
      <c r="C35" s="4">
        <f t="shared" si="3"/>
        <v>313</v>
      </c>
      <c r="D35" s="8">
        <f t="shared" si="13"/>
        <v>26.083333333333332</v>
      </c>
      <c r="E35" s="23">
        <f t="shared" si="4"/>
        <v>871.58469081856367</v>
      </c>
      <c r="F35" s="24">
        <f t="shared" si="5"/>
        <v>436.23407636289562</v>
      </c>
      <c r="G35" s="25">
        <f t="shared" si="6"/>
        <v>1362.8187671814594</v>
      </c>
      <c r="H35" s="26">
        <f t="shared" si="7"/>
        <v>232.12015203269675</v>
      </c>
      <c r="I35" s="27">
        <f t="shared" si="8"/>
        <v>136337.15197725614</v>
      </c>
      <c r="K35" s="18">
        <f t="shared" si="1"/>
        <v>0.14977334422268129</v>
      </c>
      <c r="L35" s="22">
        <f t="shared" si="9"/>
        <v>1.6999999999999999E-3</v>
      </c>
      <c r="N35" s="13">
        <f t="shared" si="10"/>
        <v>129764.55131964825</v>
      </c>
      <c r="O35" s="13">
        <f t="shared" si="11"/>
        <v>1301.8937647260932</v>
      </c>
      <c r="X35" s="1">
        <f t="shared" si="2"/>
        <v>-1362.8187671814594</v>
      </c>
    </row>
    <row r="36" spans="1:24" x14ac:dyDescent="0.2">
      <c r="A36" s="7">
        <f t="shared" si="0"/>
        <v>3.2099596058683196E-3</v>
      </c>
      <c r="B36" s="4">
        <f t="shared" si="12"/>
        <v>30</v>
      </c>
      <c r="C36" s="4">
        <f t="shared" si="3"/>
        <v>312</v>
      </c>
      <c r="D36" s="8">
        <f t="shared" si="13"/>
        <v>26</v>
      </c>
      <c r="E36" s="23">
        <f t="shared" si="4"/>
        <v>870.28176916733696</v>
      </c>
      <c r="F36" s="24">
        <f t="shared" si="5"/>
        <v>436.97805120915433</v>
      </c>
      <c r="G36" s="25">
        <f t="shared" si="6"/>
        <v>1362.2598203764912</v>
      </c>
      <c r="H36" s="26">
        <f t="shared" si="7"/>
        <v>231.77315836133542</v>
      </c>
      <c r="I36" s="27">
        <f t="shared" si="8"/>
        <v>136131.94708440834</v>
      </c>
      <c r="K36" s="18">
        <f t="shared" si="1"/>
        <v>0.15063564951295849</v>
      </c>
      <c r="L36" s="22">
        <f t="shared" si="9"/>
        <v>1.6999999999999999E-3</v>
      </c>
      <c r="N36" s="13">
        <f t="shared" si="10"/>
        <v>129348.63929618784</v>
      </c>
      <c r="O36" s="13">
        <f t="shared" si="11"/>
        <v>1299.2388709840304</v>
      </c>
      <c r="X36" s="1">
        <f t="shared" si="2"/>
        <v>-1362.2598203764912</v>
      </c>
    </row>
    <row r="37" spans="1:24" x14ac:dyDescent="0.2">
      <c r="A37" s="7">
        <f t="shared" si="0"/>
        <v>3.220314257587141E-3</v>
      </c>
      <c r="B37" s="4">
        <f t="shared" si="12"/>
        <v>31</v>
      </c>
      <c r="C37" s="4">
        <f t="shared" si="3"/>
        <v>311</v>
      </c>
      <c r="D37" s="8">
        <f t="shared" si="13"/>
        <v>25.916666666666668</v>
      </c>
      <c r="E37" s="23">
        <f t="shared" si="4"/>
        <v>868.9718835301544</v>
      </c>
      <c r="F37" s="24">
        <f t="shared" si="5"/>
        <v>437.72330252221332</v>
      </c>
      <c r="G37" s="25">
        <f t="shared" si="6"/>
        <v>1361.6951860523677</v>
      </c>
      <c r="H37" s="26">
        <f t="shared" si="7"/>
        <v>231.42431004349416</v>
      </c>
      <c r="I37" s="27">
        <f t="shared" si="8"/>
        <v>135925.64809192962</v>
      </c>
      <c r="K37" s="18">
        <f t="shared" si="1"/>
        <v>0.15150159491772291</v>
      </c>
      <c r="L37" s="22">
        <f t="shared" si="9"/>
        <v>1.6999999999999999E-3</v>
      </c>
      <c r="N37" s="13">
        <f t="shared" si="10"/>
        <v>128932.72727272744</v>
      </c>
      <c r="O37" s="13">
        <f t="shared" si="11"/>
        <v>1296.5839772419677</v>
      </c>
      <c r="X37" s="1">
        <f t="shared" si="2"/>
        <v>-1361.6951860523677</v>
      </c>
    </row>
    <row r="38" spans="1:24" x14ac:dyDescent="0.2">
      <c r="A38" s="7">
        <f t="shared" si="0"/>
        <v>3.2307359293373438E-3</v>
      </c>
      <c r="B38" s="4">
        <f t="shared" si="12"/>
        <v>32</v>
      </c>
      <c r="C38" s="4">
        <f t="shared" si="3"/>
        <v>310</v>
      </c>
      <c r="D38" s="8">
        <f t="shared" si="13"/>
        <v>25.833333333333332</v>
      </c>
      <c r="E38" s="23">
        <f t="shared" si="4"/>
        <v>867.65501392016154</v>
      </c>
      <c r="F38" s="24">
        <f t="shared" si="5"/>
        <v>438.46983255461168</v>
      </c>
      <c r="G38" s="25">
        <f t="shared" si="6"/>
        <v>1361.1248464747732</v>
      </c>
      <c r="H38" s="26">
        <f t="shared" si="7"/>
        <v>231.07360175628034</v>
      </c>
      <c r="I38" s="27">
        <f t="shared" si="8"/>
        <v>135718.25186113128</v>
      </c>
      <c r="K38" s="18">
        <f t="shared" si="1"/>
        <v>0.15237120337305898</v>
      </c>
      <c r="L38" s="22">
        <f t="shared" si="9"/>
        <v>1.6999999999999999E-3</v>
      </c>
      <c r="N38" s="13">
        <f t="shared" si="10"/>
        <v>128516.81524926703</v>
      </c>
      <c r="O38" s="13">
        <f t="shared" si="11"/>
        <v>1293.9290834999047</v>
      </c>
      <c r="X38" s="1">
        <f t="shared" si="2"/>
        <v>-1361.1248464747732</v>
      </c>
    </row>
    <row r="39" spans="1:24" x14ac:dyDescent="0.2">
      <c r="A39" s="7">
        <f t="shared" si="0"/>
        <v>3.2412252739078451E-3</v>
      </c>
      <c r="B39" s="4">
        <f t="shared" si="12"/>
        <v>33</v>
      </c>
      <c r="C39" s="4">
        <f t="shared" si="3"/>
        <v>309</v>
      </c>
      <c r="D39" s="8">
        <f t="shared" si="13"/>
        <v>25.75</v>
      </c>
      <c r="E39" s="23">
        <f t="shared" si="4"/>
        <v>866.3311403021479</v>
      </c>
      <c r="F39" s="24">
        <f t="shared" si="5"/>
        <v>439.21764356353168</v>
      </c>
      <c r="G39" s="25">
        <f t="shared" si="6"/>
        <v>1360.5487838656795</v>
      </c>
      <c r="H39" s="26">
        <f t="shared" si="7"/>
        <v>230.72102816392317</v>
      </c>
      <c r="I39" s="27">
        <f t="shared" si="8"/>
        <v>135509.75524573168</v>
      </c>
      <c r="K39" s="18">
        <f t="shared" si="1"/>
        <v>0.15324449800852741</v>
      </c>
      <c r="L39" s="22">
        <f t="shared" si="9"/>
        <v>1.6999999999999999E-3</v>
      </c>
      <c r="N39" s="13">
        <f t="shared" si="10"/>
        <v>128100.90322580663</v>
      </c>
      <c r="O39" s="13">
        <f t="shared" si="11"/>
        <v>1291.2741897578419</v>
      </c>
      <c r="X39" s="1">
        <f t="shared" si="2"/>
        <v>-1360.5487838656795</v>
      </c>
    </row>
    <row r="40" spans="1:24" x14ac:dyDescent="0.2">
      <c r="A40" s="7">
        <f t="shared" si="0"/>
        <v>3.251782952592906E-3</v>
      </c>
      <c r="B40" s="4">
        <f t="shared" si="12"/>
        <v>34</v>
      </c>
      <c r="C40" s="4">
        <f t="shared" si="3"/>
        <v>308</v>
      </c>
      <c r="D40" s="8">
        <f t="shared" si="13"/>
        <v>25.666666666666668</v>
      </c>
      <c r="E40" s="23">
        <f t="shared" si="4"/>
        <v>865.00024259243457</v>
      </c>
      <c r="F40" s="24">
        <f t="shared" si="5"/>
        <v>439.96673781081711</v>
      </c>
      <c r="G40" s="25">
        <f t="shared" si="6"/>
        <v>1359.9669804032517</v>
      </c>
      <c r="H40" s="26">
        <f t="shared" si="7"/>
        <v>230.36658391774384</v>
      </c>
      <c r="I40" s="27">
        <f t="shared" si="8"/>
        <v>135300.15509183862</v>
      </c>
      <c r="K40" s="18">
        <f t="shared" si="1"/>
        <v>0.15412150214920917</v>
      </c>
      <c r="L40" s="22">
        <f t="shared" si="9"/>
        <v>1.6999999999999999E-3</v>
      </c>
      <c r="N40" s="13">
        <f t="shared" si="10"/>
        <v>127684.99120234622</v>
      </c>
      <c r="O40" s="13">
        <f t="shared" si="11"/>
        <v>1288.6192960157791</v>
      </c>
      <c r="X40" s="1">
        <f t="shared" si="2"/>
        <v>-1359.9669804032517</v>
      </c>
    </row>
    <row r="41" spans="1:24" x14ac:dyDescent="0.2">
      <c r="A41" s="7">
        <f t="shared" si="0"/>
        <v>3.2624096353311141E-3</v>
      </c>
      <c r="B41" s="4">
        <f t="shared" si="12"/>
        <v>35</v>
      </c>
      <c r="C41" s="4">
        <f t="shared" si="3"/>
        <v>307</v>
      </c>
      <c r="D41" s="8">
        <f t="shared" si="13"/>
        <v>25.583333333333332</v>
      </c>
      <c r="E41" s="23">
        <f t="shared" si="4"/>
        <v>863.66230065876243</v>
      </c>
      <c r="F41" s="24">
        <f t="shared" si="5"/>
        <v>440.71711756299226</v>
      </c>
      <c r="G41" s="25">
        <f t="shared" si="6"/>
        <v>1359.3794182217548</v>
      </c>
      <c r="H41" s="26">
        <f t="shared" si="7"/>
        <v>230.01026365612563</v>
      </c>
      <c r="I41" s="27">
        <f t="shared" si="8"/>
        <v>135089.44823793173</v>
      </c>
      <c r="K41" s="18">
        <f t="shared" si="1"/>
        <v>0.15500223931777532</v>
      </c>
      <c r="L41" s="22">
        <f t="shared" si="9"/>
        <v>1.6999999999999999E-3</v>
      </c>
      <c r="N41" s="13">
        <f t="shared" si="10"/>
        <v>127269.07917888582</v>
      </c>
      <c r="O41" s="13">
        <f t="shared" si="11"/>
        <v>1285.9644022737161</v>
      </c>
      <c r="X41" s="1">
        <f t="shared" si="2"/>
        <v>-1359.3794182217548</v>
      </c>
    </row>
    <row r="42" spans="1:24" x14ac:dyDescent="0.2">
      <c r="A42" s="7">
        <f t="shared" si="0"/>
        <v>3.2731060008470794E-3</v>
      </c>
      <c r="B42" s="4">
        <f t="shared" si="12"/>
        <v>36</v>
      </c>
      <c r="C42" s="4">
        <f t="shared" si="3"/>
        <v>306</v>
      </c>
      <c r="D42" s="8">
        <f t="shared" si="13"/>
        <v>25.5</v>
      </c>
      <c r="E42" s="23">
        <f t="shared" si="4"/>
        <v>862.31729432017937</v>
      </c>
      <c r="F42" s="24">
        <f t="shared" si="5"/>
        <v>441.46878509128015</v>
      </c>
      <c r="G42" s="25">
        <f t="shared" si="6"/>
        <v>1358.7860794114595</v>
      </c>
      <c r="H42" s="26">
        <f t="shared" si="7"/>
        <v>229.65206200448392</v>
      </c>
      <c r="I42" s="27">
        <f t="shared" si="8"/>
        <v>134877.63151484495</v>
      </c>
      <c r="K42" s="18">
        <f t="shared" si="1"/>
        <v>0.15588673323658267</v>
      </c>
      <c r="L42" s="22">
        <f t="shared" si="9"/>
        <v>1.6999999999999999E-3</v>
      </c>
      <c r="N42" s="13">
        <f t="shared" si="10"/>
        <v>126853.16715542541</v>
      </c>
      <c r="O42" s="13">
        <f t="shared" si="11"/>
        <v>1283.3095085316534</v>
      </c>
      <c r="X42" s="1">
        <f t="shared" si="2"/>
        <v>-1358.7860794114595</v>
      </c>
    </row>
    <row r="43" spans="1:24" x14ac:dyDescent="0.2">
      <c r="A43" s="7">
        <f t="shared" si="0"/>
        <v>3.2838727367959586E-3</v>
      </c>
      <c r="B43" s="4">
        <f t="shared" si="12"/>
        <v>37</v>
      </c>
      <c r="C43" s="4">
        <f t="shared" si="3"/>
        <v>305</v>
      </c>
      <c r="D43" s="8">
        <f t="shared" si="13"/>
        <v>25.416666666666668</v>
      </c>
      <c r="E43" s="23">
        <f t="shared" si="4"/>
        <v>860.96520334692843</v>
      </c>
      <c r="F43" s="24">
        <f t="shared" si="5"/>
        <v>442.22174267162279</v>
      </c>
      <c r="G43" s="25">
        <f t="shared" si="6"/>
        <v>1358.1869460185512</v>
      </c>
      <c r="H43" s="26">
        <f t="shared" si="7"/>
        <v>229.2919735752364</v>
      </c>
      <c r="I43" s="27">
        <f t="shared" si="8"/>
        <v>134664.70174574855</v>
      </c>
      <c r="K43" s="18">
        <f t="shared" si="1"/>
        <v>0.15677500782979698</v>
      </c>
      <c r="L43" s="22">
        <f t="shared" si="9"/>
        <v>1.6999999999999999E-3</v>
      </c>
      <c r="N43" s="13">
        <f t="shared" si="10"/>
        <v>126437.25513196501</v>
      </c>
      <c r="O43" s="13">
        <f t="shared" si="11"/>
        <v>1280.6546147895906</v>
      </c>
      <c r="X43" s="1">
        <f t="shared" si="2"/>
        <v>-1358.1869460185512</v>
      </c>
    </row>
    <row r="44" spans="1:24" x14ac:dyDescent="0.2">
      <c r="A44" s="7">
        <f t="shared" si="0"/>
        <v>3.294710539910805E-3</v>
      </c>
      <c r="B44" s="4">
        <f t="shared" si="12"/>
        <v>38</v>
      </c>
      <c r="C44" s="4">
        <f t="shared" si="3"/>
        <v>304</v>
      </c>
      <c r="D44" s="8">
        <f t="shared" si="13"/>
        <v>25.333333333333332</v>
      </c>
      <c r="E44" s="23">
        <f t="shared" si="4"/>
        <v>859.6060074603331</v>
      </c>
      <c r="F44" s="24">
        <f t="shared" si="5"/>
        <v>442.97599258469916</v>
      </c>
      <c r="G44" s="25">
        <f t="shared" si="6"/>
        <v>1357.5820000450321</v>
      </c>
      <c r="H44" s="26">
        <f t="shared" si="7"/>
        <v>228.92999296777253</v>
      </c>
      <c r="I44" s="27">
        <f t="shared" si="8"/>
        <v>134450.65574613164</v>
      </c>
      <c r="K44" s="18">
        <f t="shared" si="1"/>
        <v>0.15766708722554257</v>
      </c>
      <c r="L44" s="22">
        <f t="shared" si="9"/>
        <v>1.6999999999999999E-3</v>
      </c>
      <c r="N44" s="13">
        <f t="shared" si="10"/>
        <v>126021.3431085046</v>
      </c>
      <c r="O44" s="13">
        <f t="shared" si="11"/>
        <v>1277.9997210475276</v>
      </c>
      <c r="X44" s="1">
        <f t="shared" si="2"/>
        <v>-1357.5820000450321</v>
      </c>
    </row>
    <row r="45" spans="1:24" x14ac:dyDescent="0.2">
      <c r="A45" s="7">
        <f t="shared" si="0"/>
        <v>3.3056201161528798E-3</v>
      </c>
      <c r="B45" s="4">
        <f t="shared" si="12"/>
        <v>39</v>
      </c>
      <c r="C45" s="4">
        <f t="shared" si="3"/>
        <v>303</v>
      </c>
      <c r="D45" s="8">
        <f t="shared" si="13"/>
        <v>25.25</v>
      </c>
      <c r="E45" s="23">
        <f t="shared" si="4"/>
        <v>858.23968633268578</v>
      </c>
      <c r="F45" s="24">
        <f t="shared" si="5"/>
        <v>443.73153711594603</v>
      </c>
      <c r="G45" s="25">
        <f t="shared" si="6"/>
        <v>1356.9712234486319</v>
      </c>
      <c r="H45" s="26">
        <f t="shared" si="7"/>
        <v>228.56611476842377</v>
      </c>
      <c r="I45" s="27">
        <f t="shared" si="8"/>
        <v>134235.49032378412</v>
      </c>
      <c r="K45" s="18">
        <f t="shared" si="1"/>
        <v>0.15856299575808014</v>
      </c>
      <c r="L45" s="22">
        <f t="shared" si="9"/>
        <v>1.6999999999999999E-3</v>
      </c>
      <c r="N45" s="13">
        <f t="shared" si="10"/>
        <v>125605.4310850442</v>
      </c>
      <c r="O45" s="13">
        <f t="shared" si="11"/>
        <v>1275.3448273054651</v>
      </c>
      <c r="X45" s="1">
        <f t="shared" si="2"/>
        <v>-1356.9712234486319</v>
      </c>
    </row>
    <row r="46" spans="1:24" x14ac:dyDescent="0.2">
      <c r="A46" s="7">
        <f t="shared" si="0"/>
        <v>3.3166021808649299E-3</v>
      </c>
      <c r="B46" s="4">
        <f t="shared" si="12"/>
        <v>40</v>
      </c>
      <c r="C46" s="4">
        <f t="shared" si="3"/>
        <v>302</v>
      </c>
      <c r="D46" s="8">
        <f t="shared" si="13"/>
        <v>25.166666666666668</v>
      </c>
      <c r="E46" s="23">
        <f t="shared" si="4"/>
        <v>856.86621958713226</v>
      </c>
      <c r="F46" s="24">
        <f t="shared" si="5"/>
        <v>444.48837855557656</v>
      </c>
      <c r="G46" s="25">
        <f t="shared" si="6"/>
        <v>1356.3545981427087</v>
      </c>
      <c r="H46" s="26">
        <f t="shared" si="7"/>
        <v>228.20033355043299</v>
      </c>
      <c r="I46" s="27">
        <f t="shared" si="8"/>
        <v>134019.20227877898</v>
      </c>
      <c r="K46" s="18">
        <f t="shared" si="1"/>
        <v>0.15946275797001194</v>
      </c>
      <c r="L46" s="22">
        <f t="shared" si="9"/>
        <v>1.6999999999999999E-3</v>
      </c>
      <c r="N46" s="13">
        <f t="shared" si="10"/>
        <v>125189.51906158379</v>
      </c>
      <c r="O46" s="13">
        <f t="shared" si="11"/>
        <v>1272.6899335634021</v>
      </c>
      <c r="X46" s="1">
        <f t="shared" si="2"/>
        <v>-1356.3545981427087</v>
      </c>
    </row>
    <row r="47" spans="1:24" x14ac:dyDescent="0.2">
      <c r="A47" s="7">
        <f t="shared" si="0"/>
        <v>3.3276574589275556E-3</v>
      </c>
      <c r="B47" s="4">
        <f t="shared" si="12"/>
        <v>41</v>
      </c>
      <c r="C47" s="4">
        <f t="shared" si="3"/>
        <v>301</v>
      </c>
      <c r="D47" s="8">
        <f t="shared" si="13"/>
        <v>25.083333333333332</v>
      </c>
      <c r="E47" s="23">
        <f t="shared" si="4"/>
        <v>855.48558679755899</v>
      </c>
      <c r="F47" s="24">
        <f t="shared" si="5"/>
        <v>445.24651919860122</v>
      </c>
      <c r="G47" s="25">
        <f t="shared" si="6"/>
        <v>1355.7321059961603</v>
      </c>
      <c r="H47" s="26">
        <f t="shared" si="7"/>
        <v>227.83264387392424</v>
      </c>
      <c r="I47" s="27">
        <f t="shared" si="8"/>
        <v>133801.78840345429</v>
      </c>
      <c r="K47" s="18">
        <f t="shared" si="1"/>
        <v>0.16036639861451563</v>
      </c>
      <c r="L47" s="22">
        <f t="shared" si="9"/>
        <v>1.6999999999999999E-3</v>
      </c>
      <c r="N47" s="13">
        <f t="shared" si="10"/>
        <v>124773.60703812339</v>
      </c>
      <c r="O47" s="13">
        <f t="shared" si="11"/>
        <v>1270.0350398213393</v>
      </c>
      <c r="X47" s="1">
        <f t="shared" si="2"/>
        <v>-1355.7321059961603</v>
      </c>
    </row>
    <row r="48" spans="1:24" x14ac:dyDescent="0.2">
      <c r="A48" s="7">
        <f t="shared" si="0"/>
        <v>3.3387866849187006E-3</v>
      </c>
      <c r="B48" s="4">
        <f t="shared" si="12"/>
        <v>42</v>
      </c>
      <c r="C48" s="4">
        <f t="shared" si="3"/>
        <v>300</v>
      </c>
      <c r="D48" s="8">
        <f t="shared" si="13"/>
        <v>25</v>
      </c>
      <c r="E48" s="23">
        <f t="shared" si="4"/>
        <v>854.09776748847844</v>
      </c>
      <c r="F48" s="24">
        <f t="shared" si="5"/>
        <v>446.00596134484766</v>
      </c>
      <c r="G48" s="25">
        <f t="shared" si="6"/>
        <v>1355.1037288333262</v>
      </c>
      <c r="H48" s="26">
        <f t="shared" si="7"/>
        <v>227.4630402858723</v>
      </c>
      <c r="I48" s="27">
        <f t="shared" si="8"/>
        <v>133583.24548239532</v>
      </c>
      <c r="K48" s="18">
        <f t="shared" si="1"/>
        <v>0.16127394265760708</v>
      </c>
      <c r="L48" s="22">
        <f t="shared" si="9"/>
        <v>1.6999999999999999E-3</v>
      </c>
      <c r="N48" s="13">
        <f t="shared" si="10"/>
        <v>124357.69501466298</v>
      </c>
      <c r="O48" s="13">
        <f t="shared" si="11"/>
        <v>1267.3801460792765</v>
      </c>
      <c r="X48" s="1">
        <f t="shared" si="2"/>
        <v>-1355.1037288333262</v>
      </c>
    </row>
    <row r="49" spans="1:24" x14ac:dyDescent="0.2">
      <c r="A49" s="7">
        <f t="shared" si="0"/>
        <v>3.3499906032763579E-3</v>
      </c>
      <c r="B49" s="4">
        <f t="shared" si="12"/>
        <v>43</v>
      </c>
      <c r="C49" s="4">
        <f t="shared" si="3"/>
        <v>299</v>
      </c>
      <c r="D49" s="8">
        <f t="shared" si="13"/>
        <v>24.916666666666668</v>
      </c>
      <c r="E49" s="23">
        <f t="shared" si="4"/>
        <v>852.70274113491394</v>
      </c>
      <c r="F49" s="24">
        <f t="shared" si="5"/>
        <v>446.76670729898098</v>
      </c>
      <c r="G49" s="25">
        <f t="shared" si="6"/>
        <v>1354.469448433895</v>
      </c>
      <c r="H49" s="26">
        <f t="shared" si="7"/>
        <v>227.09151732007203</v>
      </c>
      <c r="I49" s="27">
        <f t="shared" si="8"/>
        <v>133363.57029241641</v>
      </c>
      <c r="K49" s="18">
        <f t="shared" si="1"/>
        <v>0.16218541528043201</v>
      </c>
      <c r="L49" s="22">
        <f t="shared" si="9"/>
        <v>1.6999999999999999E-3</v>
      </c>
      <c r="N49" s="13">
        <f t="shared" si="10"/>
        <v>123941.78299120258</v>
      </c>
      <c r="O49" s="13">
        <f t="shared" si="11"/>
        <v>1264.7252523372135</v>
      </c>
      <c r="X49" s="1">
        <f t="shared" si="2"/>
        <v>-1354.469448433895</v>
      </c>
    </row>
    <row r="50" spans="1:24" x14ac:dyDescent="0.2">
      <c r="A50" s="7">
        <f t="shared" si="0"/>
        <v>3.3612699684645651E-3</v>
      </c>
      <c r="B50" s="4">
        <f t="shared" si="12"/>
        <v>44</v>
      </c>
      <c r="C50" s="4">
        <f t="shared" si="3"/>
        <v>298</v>
      </c>
      <c r="D50" s="8">
        <f t="shared" si="13"/>
        <v>24.833333333333332</v>
      </c>
      <c r="E50" s="23">
        <f t="shared" si="4"/>
        <v>851.30048716228498</v>
      </c>
      <c r="F50" s="24">
        <f t="shared" si="5"/>
        <v>447.52875937052488</v>
      </c>
      <c r="G50" s="25">
        <f t="shared" si="6"/>
        <v>1353.82924653281</v>
      </c>
      <c r="H50" s="26">
        <f t="shared" si="7"/>
        <v>226.71806949710788</v>
      </c>
      <c r="I50" s="27">
        <f t="shared" si="8"/>
        <v>133142.759602543</v>
      </c>
      <c r="K50" s="18">
        <f t="shared" si="1"/>
        <v>0.1631008418815878</v>
      </c>
      <c r="L50" s="22">
        <f t="shared" si="9"/>
        <v>1.6999999999999999E-3</v>
      </c>
      <c r="N50" s="13">
        <f t="shared" si="10"/>
        <v>123525.87096774217</v>
      </c>
      <c r="O50" s="13">
        <f t="shared" si="11"/>
        <v>1262.0703585951508</v>
      </c>
      <c r="X50" s="1">
        <f t="shared" si="2"/>
        <v>-1353.82924653281</v>
      </c>
    </row>
    <row r="51" spans="1:24" x14ac:dyDescent="0.2">
      <c r="A51" s="7">
        <f t="shared" si="0"/>
        <v>3.3726255451427614E-3</v>
      </c>
      <c r="B51" s="4">
        <f t="shared" si="12"/>
        <v>45</v>
      </c>
      <c r="C51" s="4">
        <f t="shared" si="3"/>
        <v>297</v>
      </c>
      <c r="D51" s="8">
        <f t="shared" si="13"/>
        <v>24.75</v>
      </c>
      <c r="E51" s="23">
        <f t="shared" si="4"/>
        <v>849.89098494629218</v>
      </c>
      <c r="F51" s="24">
        <f t="shared" si="5"/>
        <v>448.29211987388214</v>
      </c>
      <c r="G51" s="25">
        <f t="shared" si="6"/>
        <v>1353.1831048201743</v>
      </c>
      <c r="H51" s="26">
        <f t="shared" si="7"/>
        <v>226.34269132432308</v>
      </c>
      <c r="I51" s="27">
        <f t="shared" si="8"/>
        <v>132920.81017399344</v>
      </c>
      <c r="K51" s="18">
        <f t="shared" si="1"/>
        <v>0.16402024807947488</v>
      </c>
      <c r="L51" s="22">
        <f t="shared" si="9"/>
        <v>1.6999999999999999E-3</v>
      </c>
      <c r="N51" s="13">
        <f t="shared" si="10"/>
        <v>123109.95894428177</v>
      </c>
      <c r="O51" s="13">
        <f t="shared" si="11"/>
        <v>1259.415464853088</v>
      </c>
      <c r="X51" s="1">
        <f t="shared" si="2"/>
        <v>-1353.1831048201743</v>
      </c>
    </row>
    <row r="52" spans="1:24" x14ac:dyDescent="0.2">
      <c r="A52" s="7">
        <f t="shared" si="0"/>
        <v>3.38405810833859E-3</v>
      </c>
      <c r="B52" s="4">
        <f t="shared" si="12"/>
        <v>46</v>
      </c>
      <c r="C52" s="4">
        <f t="shared" si="3"/>
        <v>296</v>
      </c>
      <c r="D52" s="8">
        <f t="shared" si="13"/>
        <v>24.666666666666668</v>
      </c>
      <c r="E52" s="23">
        <f t="shared" si="4"/>
        <v>848.47421381280094</v>
      </c>
      <c r="F52" s="24">
        <f t="shared" si="5"/>
        <v>449.05679112835622</v>
      </c>
      <c r="G52" s="25">
        <f t="shared" si="6"/>
        <v>1352.5310049411571</v>
      </c>
      <c r="H52" s="26">
        <f t="shared" si="7"/>
        <v>225.96537729578884</v>
      </c>
      <c r="I52" s="27">
        <f t="shared" si="8"/>
        <v>132697.71876016087</v>
      </c>
      <c r="K52" s="18">
        <f t="shared" si="1"/>
        <v>0.16494365971467925</v>
      </c>
      <c r="L52" s="22">
        <f t="shared" si="9"/>
        <v>1.6999999999999999E-3</v>
      </c>
      <c r="N52" s="13">
        <f t="shared" si="10"/>
        <v>122694.04692082136</v>
      </c>
      <c r="O52" s="13">
        <f t="shared" si="11"/>
        <v>1256.7605711110252</v>
      </c>
      <c r="X52" s="1">
        <f t="shared" si="2"/>
        <v>-1352.5310049411571</v>
      </c>
    </row>
    <row r="53" spans="1:24" x14ac:dyDescent="0.2">
      <c r="A53" s="7">
        <f t="shared" si="0"/>
        <v>3.3955684436242257E-3</v>
      </c>
      <c r="B53" s="4">
        <f t="shared" si="12"/>
        <v>47</v>
      </c>
      <c r="C53" s="4">
        <f t="shared" si="3"/>
        <v>295</v>
      </c>
      <c r="D53" s="8">
        <f t="shared" si="13"/>
        <v>24.583333333333332</v>
      </c>
      <c r="E53" s="23">
        <f t="shared" si="4"/>
        <v>847.05015303772598</v>
      </c>
      <c r="F53" s="24">
        <f t="shared" si="5"/>
        <v>449.82277545817243</v>
      </c>
      <c r="G53" s="25">
        <f t="shared" si="6"/>
        <v>1351.8729284958983</v>
      </c>
      <c r="H53" s="26">
        <f t="shared" si="7"/>
        <v>225.58612189227347</v>
      </c>
      <c r="I53" s="27">
        <f t="shared" si="8"/>
        <v>132473.48210659498</v>
      </c>
      <c r="K53" s="18">
        <f t="shared" si="1"/>
        <v>0.16587110285238565</v>
      </c>
      <c r="L53" s="22">
        <f t="shared" si="9"/>
        <v>1.6999999999999999E-3</v>
      </c>
      <c r="N53" s="13">
        <f t="shared" si="10"/>
        <v>122278.13489736096</v>
      </c>
      <c r="O53" s="13">
        <f t="shared" si="11"/>
        <v>1254.1056773689622</v>
      </c>
      <c r="X53" s="1">
        <f t="shared" si="2"/>
        <v>-1351.8729284958983</v>
      </c>
    </row>
    <row r="54" spans="1:24" x14ac:dyDescent="0.2">
      <c r="A54" s="7">
        <f t="shared" si="0"/>
        <v>3.4071573472963185E-3</v>
      </c>
      <c r="B54" s="4">
        <f t="shared" si="12"/>
        <v>48</v>
      </c>
      <c r="C54" s="4">
        <f t="shared" si="3"/>
        <v>294</v>
      </c>
      <c r="D54" s="8">
        <f t="shared" si="13"/>
        <v>24.5</v>
      </c>
      <c r="E54" s="23">
        <f t="shared" si="4"/>
        <v>845.61878184691477</v>
      </c>
      <c r="F54" s="24">
        <f t="shared" si="5"/>
        <v>450.59007519249991</v>
      </c>
      <c r="G54" s="25">
        <f t="shared" si="6"/>
        <v>1351.2088570394146</v>
      </c>
      <c r="H54" s="26">
        <f t="shared" si="7"/>
        <v>225.20491958121144</v>
      </c>
      <c r="I54" s="27">
        <f t="shared" si="8"/>
        <v>132248.09695098369</v>
      </c>
      <c r="K54" s="18">
        <f t="shared" si="1"/>
        <v>0.16680260378482259</v>
      </c>
      <c r="L54" s="22">
        <f t="shared" si="9"/>
        <v>1.6999999999999999E-3</v>
      </c>
      <c r="N54" s="13">
        <f t="shared" si="10"/>
        <v>121862.22287390055</v>
      </c>
      <c r="O54" s="13">
        <f t="shared" si="11"/>
        <v>1251.4507836268995</v>
      </c>
      <c r="X54" s="1">
        <f t="shared" si="2"/>
        <v>-1351.2088570394146</v>
      </c>
    </row>
    <row r="55" spans="1:24" x14ac:dyDescent="0.2">
      <c r="A55" s="7">
        <f t="shared" si="0"/>
        <v>3.4188256265596253E-3</v>
      </c>
      <c r="B55" s="4">
        <f t="shared" si="12"/>
        <v>49</v>
      </c>
      <c r="C55" s="4">
        <f t="shared" si="3"/>
        <v>293</v>
      </c>
      <c r="D55" s="8">
        <f t="shared" si="13"/>
        <v>24.416666666666668</v>
      </c>
      <c r="E55" s="23">
        <f t="shared" si="4"/>
        <v>844.18007941603105</v>
      </c>
      <c r="F55" s="24">
        <f t="shared" si="5"/>
        <v>451.35869266547331</v>
      </c>
      <c r="G55" s="25">
        <f t="shared" si="6"/>
        <v>1350.5387720815042</v>
      </c>
      <c r="H55" s="26">
        <f t="shared" si="7"/>
        <v>224.82176481667224</v>
      </c>
      <c r="I55" s="27">
        <f t="shared" si="8"/>
        <v>132021.56002313489</v>
      </c>
      <c r="K55" s="18">
        <f t="shared" si="1"/>
        <v>0.16773818903373897</v>
      </c>
      <c r="L55" s="22">
        <f t="shared" si="9"/>
        <v>1.6999999999999999E-3</v>
      </c>
      <c r="N55" s="13">
        <f t="shared" si="10"/>
        <v>121446.31085044015</v>
      </c>
      <c r="O55" s="13">
        <f t="shared" si="11"/>
        <v>1248.7958898848367</v>
      </c>
      <c r="X55" s="1">
        <f t="shared" si="2"/>
        <v>-1350.5387720815042</v>
      </c>
    </row>
    <row r="56" spans="1:24" x14ac:dyDescent="0.2">
      <c r="A56" s="7">
        <f t="shared" si="0"/>
        <v>3.430574099714439E-3</v>
      </c>
      <c r="B56" s="4">
        <f t="shared" si="12"/>
        <v>50</v>
      </c>
      <c r="C56" s="4">
        <f t="shared" si="3"/>
        <v>292</v>
      </c>
      <c r="D56" s="8">
        <f t="shared" si="13"/>
        <v>24.333333333333332</v>
      </c>
      <c r="E56" s="23">
        <f t="shared" si="4"/>
        <v>842.73402487043757</v>
      </c>
      <c r="F56" s="24">
        <f t="shared" si="5"/>
        <v>452.12863021621541</v>
      </c>
      <c r="G56" s="25">
        <f t="shared" si="6"/>
        <v>1349.8626550866529</v>
      </c>
      <c r="H56" s="26">
        <f t="shared" si="7"/>
        <v>224.43665203932932</v>
      </c>
      <c r="I56" s="27">
        <f t="shared" si="8"/>
        <v>131793.86804495801</v>
      </c>
      <c r="K56" s="18">
        <f t="shared" si="1"/>
        <v>0.16867788535291367</v>
      </c>
      <c r="L56" s="22">
        <f t="shared" si="9"/>
        <v>1.6999999999999999E-3</v>
      </c>
      <c r="N56" s="13">
        <f t="shared" si="10"/>
        <v>121030.39882697974</v>
      </c>
      <c r="O56" s="13">
        <f t="shared" si="11"/>
        <v>1246.1409961427739</v>
      </c>
      <c r="X56" s="1">
        <f t="shared" si="2"/>
        <v>-1349.8626550866529</v>
      </c>
    </row>
    <row r="57" spans="1:24" x14ac:dyDescent="0.2">
      <c r="A57" s="7">
        <f t="shared" si="0"/>
        <v>3.4424035963478848E-3</v>
      </c>
      <c r="B57" s="4">
        <f t="shared" si="12"/>
        <v>51</v>
      </c>
      <c r="C57" s="4">
        <f t="shared" si="3"/>
        <v>291</v>
      </c>
      <c r="D57" s="8">
        <f t="shared" si="13"/>
        <v>24.25</v>
      </c>
      <c r="E57" s="23">
        <f t="shared" si="4"/>
        <v>841.28059728507878</v>
      </c>
      <c r="F57" s="24">
        <f t="shared" si="5"/>
        <v>452.89989018885916</v>
      </c>
      <c r="G57" s="25">
        <f t="shared" si="6"/>
        <v>1349.180487473938</v>
      </c>
      <c r="H57" s="26">
        <f t="shared" si="7"/>
        <v>224.04957567642862</v>
      </c>
      <c r="I57" s="27">
        <f t="shared" si="8"/>
        <v>131565.0177304456</v>
      </c>
      <c r="K57" s="18">
        <f t="shared" si="1"/>
        <v>0.16962171973069781</v>
      </c>
      <c r="L57" s="22">
        <f t="shared" si="9"/>
        <v>1.6999999999999999E-3</v>
      </c>
      <c r="N57" s="13">
        <f t="shared" si="10"/>
        <v>120614.48680351934</v>
      </c>
      <c r="O57" s="13">
        <f t="shared" si="11"/>
        <v>1243.4861024007112</v>
      </c>
      <c r="X57" s="1">
        <f t="shared" si="2"/>
        <v>-1349.180487473938</v>
      </c>
    </row>
    <row r="58" spans="1:24" x14ac:dyDescent="0.2">
      <c r="A58" s="7">
        <f t="shared" si="0"/>
        <v>3.4543149575291974E-3</v>
      </c>
      <c r="B58" s="4">
        <f t="shared" si="12"/>
        <v>52</v>
      </c>
      <c r="C58" s="4">
        <f t="shared" si="3"/>
        <v>290</v>
      </c>
      <c r="D58" s="8">
        <f t="shared" si="13"/>
        <v>24.166666666666668</v>
      </c>
      <c r="E58" s="23">
        <f t="shared" si="4"/>
        <v>839.81977568436366</v>
      </c>
      <c r="F58" s="24">
        <f t="shared" si="5"/>
        <v>453.67247493257105</v>
      </c>
      <c r="G58" s="25">
        <f t="shared" si="6"/>
        <v>1348.4922506169346</v>
      </c>
      <c r="H58" s="26">
        <f t="shared" si="7"/>
        <v>223.6605301417575</v>
      </c>
      <c r="I58" s="27">
        <f t="shared" si="8"/>
        <v>131335.00578565479</v>
      </c>
      <c r="K58" s="18">
        <f t="shared" si="1"/>
        <v>0.17056971939259064</v>
      </c>
      <c r="L58" s="22">
        <f t="shared" si="9"/>
        <v>1.6999999999999999E-3</v>
      </c>
      <c r="N58" s="13">
        <f t="shared" si="10"/>
        <v>120198.57478005893</v>
      </c>
      <c r="O58" s="13">
        <f t="shared" si="11"/>
        <v>1240.8312086586482</v>
      </c>
      <c r="X58" s="1">
        <f t="shared" si="2"/>
        <v>-1348.4922506169346</v>
      </c>
    </row>
    <row r="59" spans="1:24" x14ac:dyDescent="0.2">
      <c r="A59" s="7">
        <f t="shared" si="0"/>
        <v>3.4663090360090585E-3</v>
      </c>
      <c r="B59" s="4">
        <f t="shared" si="12"/>
        <v>53</v>
      </c>
      <c r="C59" s="4">
        <f t="shared" si="3"/>
        <v>289</v>
      </c>
      <c r="D59" s="8">
        <f t="shared" si="13"/>
        <v>24.083333333333332</v>
      </c>
      <c r="E59" s="23">
        <f t="shared" si="4"/>
        <v>838.35153904204651</v>
      </c>
      <c r="F59" s="24">
        <f t="shared" si="5"/>
        <v>454.44638680157368</v>
      </c>
      <c r="G59" s="25">
        <f t="shared" si="6"/>
        <v>1347.7979258436203</v>
      </c>
      <c r="H59" s="26">
        <f t="shared" si="7"/>
        <v>223.26950983561315</v>
      </c>
      <c r="I59" s="27">
        <f t="shared" si="8"/>
        <v>131103.82890868883</v>
      </c>
      <c r="K59" s="18">
        <f t="shared" si="1"/>
        <v>0.17152191180384935</v>
      </c>
      <c r="L59" s="22">
        <f t="shared" si="9"/>
        <v>1.6999999999999999E-3</v>
      </c>
      <c r="N59" s="13">
        <f t="shared" si="10"/>
        <v>119782.66275659853</v>
      </c>
      <c r="O59" s="13">
        <f t="shared" si="11"/>
        <v>1238.1763149165854</v>
      </c>
      <c r="X59" s="1">
        <f t="shared" si="2"/>
        <v>-1347.7979258436203</v>
      </c>
    </row>
    <row r="60" spans="1:24" x14ac:dyDescent="0.2">
      <c r="A60" s="7">
        <f t="shared" si="0"/>
        <v>3.4783866964231054E-3</v>
      </c>
      <c r="B60" s="4">
        <f t="shared" si="12"/>
        <v>54</v>
      </c>
      <c r="C60" s="4">
        <f t="shared" si="3"/>
        <v>288</v>
      </c>
      <c r="D60" s="8">
        <f t="shared" si="13"/>
        <v>24</v>
      </c>
      <c r="E60" s="23">
        <f t="shared" si="4"/>
        <v>836.87586628110978</v>
      </c>
      <c r="F60" s="24">
        <f t="shared" si="5"/>
        <v>455.22162815516953</v>
      </c>
      <c r="G60" s="25">
        <f t="shared" si="6"/>
        <v>1347.0974944362792</v>
      </c>
      <c r="H60" s="26">
        <f t="shared" si="7"/>
        <v>222.87650914477098</v>
      </c>
      <c r="I60" s="27">
        <f t="shared" si="8"/>
        <v>130871.48378967843</v>
      </c>
      <c r="K60" s="18">
        <f t="shared" si="1"/>
        <v>0.17247832467213381</v>
      </c>
      <c r="L60" s="22">
        <f t="shared" si="9"/>
        <v>1.6999999999999999E-3</v>
      </c>
      <c r="N60" s="13">
        <f t="shared" si="10"/>
        <v>119366.75073313812</v>
      </c>
      <c r="O60" s="13">
        <f t="shared" si="11"/>
        <v>1235.5214211745226</v>
      </c>
      <c r="X60" s="1">
        <f t="shared" si="2"/>
        <v>-1347.0974944362792</v>
      </c>
    </row>
    <row r="61" spans="1:24" x14ac:dyDescent="0.2">
      <c r="A61" s="7">
        <f t="shared" si="0"/>
        <v>3.4905488154997125E-3</v>
      </c>
      <c r="B61" s="4">
        <f t="shared" si="12"/>
        <v>55</v>
      </c>
      <c r="C61" s="4">
        <f t="shared" si="3"/>
        <v>287</v>
      </c>
      <c r="D61" s="8">
        <f t="shared" si="13"/>
        <v>23.916666666666668</v>
      </c>
      <c r="E61" s="23">
        <f t="shared" si="4"/>
        <v>835.39273627364503</v>
      </c>
      <c r="F61" s="24">
        <f t="shared" si="5"/>
        <v>455.99820135776457</v>
      </c>
      <c r="G61" s="25">
        <f t="shared" si="6"/>
        <v>1346.3909376314095</v>
      </c>
      <c r="H61" s="26">
        <f t="shared" si="7"/>
        <v>222.48152244245333</v>
      </c>
      <c r="I61" s="27">
        <f t="shared" si="8"/>
        <v>130637.96711076311</v>
      </c>
      <c r="K61" s="18">
        <f t="shared" si="1"/>
        <v>0.17343898595018559</v>
      </c>
      <c r="L61" s="22">
        <f t="shared" si="9"/>
        <v>1.6999999999999999E-3</v>
      </c>
      <c r="N61" s="13">
        <f t="shared" si="10"/>
        <v>118950.83870967772</v>
      </c>
      <c r="O61" s="13">
        <f t="shared" si="11"/>
        <v>1232.8665274324599</v>
      </c>
      <c r="X61" s="1">
        <f t="shared" si="2"/>
        <v>-1346.3909376314095</v>
      </c>
    </row>
    <row r="62" spans="1:24" x14ac:dyDescent="0.2">
      <c r="A62" s="7">
        <f t="shared" si="0"/>
        <v>3.5027962822721383E-3</v>
      </c>
      <c r="B62" s="4">
        <f t="shared" si="12"/>
        <v>56</v>
      </c>
      <c r="C62" s="4">
        <f t="shared" si="3"/>
        <v>286</v>
      </c>
      <c r="D62" s="8">
        <f t="shared" si="13"/>
        <v>23.833333333333332</v>
      </c>
      <c r="E62" s="23">
        <f t="shared" si="4"/>
        <v>833.90212784073299</v>
      </c>
      <c r="F62" s="24">
        <f t="shared" si="5"/>
        <v>456.77610877889202</v>
      </c>
      <c r="G62" s="25">
        <f t="shared" si="6"/>
        <v>1345.6782366196251</v>
      </c>
      <c r="H62" s="26">
        <f t="shared" si="7"/>
        <v>222.08454408829729</v>
      </c>
      <c r="I62" s="27">
        <f t="shared" si="8"/>
        <v>130403.27554607252</v>
      </c>
      <c r="K62" s="18">
        <f t="shared" si="1"/>
        <v>0.17440392383854358</v>
      </c>
      <c r="L62" s="22">
        <f t="shared" si="9"/>
        <v>1.6999999999999999E-3</v>
      </c>
      <c r="N62" s="13">
        <f t="shared" si="10"/>
        <v>118534.92668621731</v>
      </c>
      <c r="O62" s="13">
        <f t="shared" si="11"/>
        <v>1230.2116336903969</v>
      </c>
      <c r="X62" s="1">
        <f t="shared" si="2"/>
        <v>-1345.6782366196251</v>
      </c>
    </row>
    <row r="63" spans="1:24" x14ac:dyDescent="0.2">
      <c r="A63" s="7">
        <f t="shared" si="0"/>
        <v>3.5151299982951619E-3</v>
      </c>
      <c r="B63" s="4">
        <f t="shared" si="12"/>
        <v>57</v>
      </c>
      <c r="C63" s="4">
        <f t="shared" si="3"/>
        <v>285</v>
      </c>
      <c r="D63" s="8">
        <f t="shared" si="13"/>
        <v>23.75</v>
      </c>
      <c r="E63" s="23">
        <f t="shared" si="4"/>
        <v>832.40401975232544</v>
      </c>
      <c r="F63" s="24">
        <f t="shared" si="5"/>
        <v>457.55535279323692</v>
      </c>
      <c r="G63" s="25">
        <f t="shared" si="6"/>
        <v>1344.9593725455625</v>
      </c>
      <c r="H63" s="26">
        <f t="shared" si="7"/>
        <v>221.68556842832328</v>
      </c>
      <c r="I63" s="27">
        <f t="shared" si="8"/>
        <v>130167.4057617076</v>
      </c>
      <c r="K63" s="18">
        <f t="shared" si="1"/>
        <v>0.17537316678829509</v>
      </c>
      <c r="L63" s="22">
        <f t="shared" si="9"/>
        <v>1.6999999999999999E-3</v>
      </c>
      <c r="N63" s="13">
        <f t="shared" si="10"/>
        <v>118119.0146627569</v>
      </c>
      <c r="O63" s="13">
        <f t="shared" si="11"/>
        <v>1227.5567399483341</v>
      </c>
      <c r="X63" s="1">
        <f t="shared" si="2"/>
        <v>-1344.9593725455625</v>
      </c>
    </row>
    <row r="64" spans="1:24" x14ac:dyDescent="0.2">
      <c r="A64" s="7">
        <f t="shared" si="0"/>
        <v>3.5275508778663117E-3</v>
      </c>
      <c r="B64" s="4">
        <f t="shared" si="12"/>
        <v>58</v>
      </c>
      <c r="C64" s="4">
        <f t="shared" si="3"/>
        <v>284</v>
      </c>
      <c r="D64" s="8">
        <f t="shared" si="13"/>
        <v>23.666666666666668</v>
      </c>
      <c r="E64" s="23">
        <f t="shared" si="4"/>
        <v>830.89839072712425</v>
      </c>
      <c r="F64" s="24">
        <f t="shared" si="5"/>
        <v>458.33593578066058</v>
      </c>
      <c r="G64" s="25">
        <f t="shared" si="6"/>
        <v>1344.2343265077848</v>
      </c>
      <c r="H64" s="26">
        <f t="shared" si="7"/>
        <v>221.2845897949029</v>
      </c>
      <c r="I64" s="27">
        <f t="shared" si="8"/>
        <v>129930.35441572184</v>
      </c>
      <c r="K64" s="18">
        <f t="shared" si="1"/>
        <v>0.17634674350386398</v>
      </c>
      <c r="L64" s="22">
        <f t="shared" si="9"/>
        <v>1.6999999999999999E-3</v>
      </c>
      <c r="N64" s="13">
        <f t="shared" si="10"/>
        <v>117703.1026392965</v>
      </c>
      <c r="O64" s="13">
        <f t="shared" si="11"/>
        <v>1224.9018462062713</v>
      </c>
      <c r="X64" s="1">
        <f t="shared" si="2"/>
        <v>-1344.2343265077848</v>
      </c>
    </row>
    <row r="65" spans="1:24" x14ac:dyDescent="0.2">
      <c r="A65" s="7">
        <f t="shared" si="0"/>
        <v>3.5400598482517947E-3</v>
      </c>
      <c r="B65" s="4">
        <f t="shared" si="12"/>
        <v>59</v>
      </c>
      <c r="C65" s="4">
        <f t="shared" si="3"/>
        <v>283</v>
      </c>
      <c r="D65" s="8">
        <f t="shared" si="13"/>
        <v>23.583333333333332</v>
      </c>
      <c r="E65" s="23">
        <f t="shared" si="4"/>
        <v>829.38521943246201</v>
      </c>
      <c r="F65" s="24">
        <f t="shared" si="5"/>
        <v>459.11786012622559</v>
      </c>
      <c r="G65" s="25">
        <f t="shared" si="6"/>
        <v>1343.5030795586877</v>
      </c>
      <c r="H65" s="26">
        <f t="shared" si="7"/>
        <v>220.88160250672712</v>
      </c>
      <c r="I65" s="27">
        <f t="shared" si="8"/>
        <v>129692.11815810234</v>
      </c>
      <c r="K65" s="18">
        <f t="shared" si="1"/>
        <v>0.17732468294583592</v>
      </c>
      <c r="L65" s="22">
        <f t="shared" si="9"/>
        <v>1.6999999999999999E-3</v>
      </c>
      <c r="N65" s="13">
        <f t="shared" si="10"/>
        <v>117287.19061583609</v>
      </c>
      <c r="O65" s="13">
        <f t="shared" si="11"/>
        <v>1222.2469524642083</v>
      </c>
      <c r="X65" s="1">
        <f t="shared" si="2"/>
        <v>-1343.5030795586877</v>
      </c>
    </row>
    <row r="66" spans="1:24" x14ac:dyDescent="0.2">
      <c r="A66" s="7">
        <f t="shared" si="0"/>
        <v>3.5526578499172584E-3</v>
      </c>
      <c r="B66" s="4">
        <f t="shared" si="12"/>
        <v>60</v>
      </c>
      <c r="C66" s="4">
        <f t="shared" si="3"/>
        <v>282</v>
      </c>
      <c r="D66" s="8">
        <f t="shared" si="13"/>
        <v>23.5</v>
      </c>
      <c r="E66" s="23">
        <f t="shared" si="4"/>
        <v>827.86448448418105</v>
      </c>
      <c r="F66" s="24">
        <f t="shared" si="5"/>
        <v>459.90112822022104</v>
      </c>
      <c r="G66" s="25">
        <f t="shared" si="6"/>
        <v>1342.765612704402</v>
      </c>
      <c r="H66" s="26">
        <f t="shared" si="7"/>
        <v>220.47660086877397</v>
      </c>
      <c r="I66" s="27">
        <f t="shared" si="8"/>
        <v>129452.69363075089</v>
      </c>
      <c r="K66" s="18">
        <f t="shared" si="1"/>
        <v>0.17830701433382198</v>
      </c>
      <c r="L66" s="22">
        <f t="shared" si="9"/>
        <v>1.6999999999999999E-3</v>
      </c>
      <c r="N66" s="13">
        <f t="shared" si="10"/>
        <v>116871.27859237569</v>
      </c>
      <c r="O66" s="13">
        <f t="shared" si="11"/>
        <v>1219.5920587221458</v>
      </c>
      <c r="X66" s="1">
        <f t="shared" si="2"/>
        <v>-1342.765612704402</v>
      </c>
    </row>
    <row r="67" spans="1:24" x14ac:dyDescent="0.2">
      <c r="A67" s="7">
        <f t="shared" si="0"/>
        <v>3.5653458367634928E-3</v>
      </c>
      <c r="B67" s="4">
        <f t="shared" si="12"/>
        <v>61</v>
      </c>
      <c r="C67" s="4">
        <f t="shared" si="3"/>
        <v>281</v>
      </c>
      <c r="D67" s="8">
        <f t="shared" si="13"/>
        <v>23.416666666666668</v>
      </c>
      <c r="E67" s="23">
        <f t="shared" si="4"/>
        <v>826.33616444651273</v>
      </c>
      <c r="F67" s="24">
        <f t="shared" si="5"/>
        <v>460.6857424581882</v>
      </c>
      <c r="G67" s="25">
        <f t="shared" si="6"/>
        <v>1342.0219069047009</v>
      </c>
      <c r="H67" s="26">
        <f t="shared" si="7"/>
        <v>220.06957917227649</v>
      </c>
      <c r="I67" s="27">
        <f t="shared" si="8"/>
        <v>129212.07746746499</v>
      </c>
      <c r="K67" s="18">
        <f t="shared" si="1"/>
        <v>0.17929376714936013</v>
      </c>
      <c r="L67" s="22">
        <f t="shared" si="9"/>
        <v>1.6999999999999999E-3</v>
      </c>
      <c r="N67" s="13">
        <f t="shared" si="10"/>
        <v>116455.36656891528</v>
      </c>
      <c r="O67" s="13">
        <f t="shared" si="11"/>
        <v>1216.9371649800828</v>
      </c>
      <c r="X67" s="1">
        <f t="shared" si="2"/>
        <v>-1342.0219069047009</v>
      </c>
    </row>
    <row r="68" spans="1:24" x14ac:dyDescent="0.2">
      <c r="A68" s="7">
        <f t="shared" si="0"/>
        <v>3.5781247763672012E-3</v>
      </c>
      <c r="B68" s="4">
        <f t="shared" si="12"/>
        <v>62</v>
      </c>
      <c r="C68" s="4">
        <f t="shared" si="3"/>
        <v>280</v>
      </c>
      <c r="D68" s="8">
        <f t="shared" si="13"/>
        <v>23.333333333333332</v>
      </c>
      <c r="E68" s="23">
        <f t="shared" si="4"/>
        <v>824.80023783195622</v>
      </c>
      <c r="F68" s="24">
        <f t="shared" si="5"/>
        <v>461.47170524094639</v>
      </c>
      <c r="G68" s="25">
        <f t="shared" si="6"/>
        <v>1341.2719430729026</v>
      </c>
      <c r="H68" s="26">
        <f t="shared" si="7"/>
        <v>219.66053169469046</v>
      </c>
      <c r="I68" s="27">
        <f t="shared" si="8"/>
        <v>128970.26629391874</v>
      </c>
      <c r="K68" s="18">
        <f t="shared" si="1"/>
        <v>0.18028497113885628</v>
      </c>
      <c r="L68" s="22">
        <f t="shared" si="9"/>
        <v>1.6999999999999999E-3</v>
      </c>
      <c r="N68" s="13">
        <f t="shared" si="10"/>
        <v>116039.45454545488</v>
      </c>
      <c r="O68" s="13">
        <f t="shared" si="11"/>
        <v>1214.28227123802</v>
      </c>
      <c r="X68" s="1">
        <f t="shared" si="2"/>
        <v>-1341.2719430729026</v>
      </c>
    </row>
    <row r="69" spans="1:24" x14ac:dyDescent="0.2">
      <c r="A69" s="7">
        <f t="shared" si="0"/>
        <v>3.5909956502269691E-3</v>
      </c>
      <c r="B69" s="4">
        <f t="shared" si="12"/>
        <v>63</v>
      </c>
      <c r="C69" s="4">
        <f t="shared" si="3"/>
        <v>279</v>
      </c>
      <c r="D69" s="8">
        <f t="shared" si="13"/>
        <v>23.25</v>
      </c>
      <c r="E69" s="23">
        <f t="shared" si="4"/>
        <v>823.25668310115645</v>
      </c>
      <c r="F69" s="24">
        <f t="shared" si="5"/>
        <v>462.25901897461915</v>
      </c>
      <c r="G69" s="25">
        <f t="shared" si="6"/>
        <v>1340.5157020757756</v>
      </c>
      <c r="H69" s="26">
        <f t="shared" si="7"/>
        <v>219.24945269966184</v>
      </c>
      <c r="I69" s="27">
        <f t="shared" si="8"/>
        <v>128727.25672764378</v>
      </c>
      <c r="K69" s="18">
        <f t="shared" si="1"/>
        <v>0.18128065631656484</v>
      </c>
      <c r="L69" s="22">
        <f t="shared" si="9"/>
        <v>1.6999999999999999E-3</v>
      </c>
      <c r="N69" s="13">
        <f t="shared" si="10"/>
        <v>115623.54252199447</v>
      </c>
      <c r="O69" s="13">
        <f t="shared" si="11"/>
        <v>1211.6273774959573</v>
      </c>
      <c r="X69" s="1">
        <f t="shared" si="2"/>
        <v>-1340.5157020757756</v>
      </c>
    </row>
    <row r="70" spans="1:24" x14ac:dyDescent="0.2">
      <c r="A70" s="7">
        <f t="shared" si="0"/>
        <v>3.6039594540145585E-3</v>
      </c>
      <c r="B70" s="4">
        <f t="shared" si="12"/>
        <v>64</v>
      </c>
      <c r="C70" s="4">
        <f t="shared" si="3"/>
        <v>278</v>
      </c>
      <c r="D70" s="8">
        <f t="shared" si="13"/>
        <v>23.166666666666668</v>
      </c>
      <c r="E70" s="23">
        <f t="shared" si="4"/>
        <v>821.70547866278264</v>
      </c>
      <c r="F70" s="24">
        <f t="shared" si="5"/>
        <v>463.04768607066109</v>
      </c>
      <c r="G70" s="25">
        <f t="shared" si="6"/>
        <v>1339.7531647334438</v>
      </c>
      <c r="H70" s="26">
        <f t="shared" si="7"/>
        <v>218.8363364369944</v>
      </c>
      <c r="I70" s="27">
        <f t="shared" si="8"/>
        <v>128483.04537801012</v>
      </c>
      <c r="K70" s="18">
        <f t="shared" si="1"/>
        <v>0.18228085296760974</v>
      </c>
      <c r="L70" s="22">
        <f t="shared" si="9"/>
        <v>1.6999999999999999E-3</v>
      </c>
      <c r="N70" s="13">
        <f t="shared" si="10"/>
        <v>115207.63049853407</v>
      </c>
      <c r="O70" s="13">
        <f t="shared" si="11"/>
        <v>1208.9724837538943</v>
      </c>
      <c r="X70" s="1">
        <f t="shared" si="2"/>
        <v>-1339.7531647334438</v>
      </c>
    </row>
    <row r="71" spans="1:24" x14ac:dyDescent="0.2">
      <c r="A71" s="7">
        <f t="shared" ref="A71:A134" si="14">F71/I71</f>
        <v>3.6170171978316705E-3</v>
      </c>
      <c r="B71" s="4">
        <f t="shared" si="12"/>
        <v>65</v>
      </c>
      <c r="C71" s="4">
        <f t="shared" si="3"/>
        <v>277</v>
      </c>
      <c r="D71" s="8">
        <f t="shared" si="13"/>
        <v>23.083333333333332</v>
      </c>
      <c r="E71" s="23">
        <f t="shared" si="4"/>
        <v>820.14660287340587</v>
      </c>
      <c r="F71" s="24">
        <f t="shared" si="5"/>
        <v>463.83770894588491</v>
      </c>
      <c r="G71" s="25">
        <f t="shared" si="6"/>
        <v>1338.9843118192907</v>
      </c>
      <c r="H71" s="26">
        <f t="shared" si="7"/>
        <v>218.42117714261721</v>
      </c>
      <c r="I71" s="27">
        <f t="shared" si="8"/>
        <v>128237.62884620686</v>
      </c>
      <c r="K71" s="18">
        <f t="shared" ref="K71:K134" si="15">IF(C71&lt;1,0,(F71-H71)/G71)</f>
        <v>0.18328559165104624</v>
      </c>
      <c r="L71" s="22">
        <f t="shared" si="9"/>
        <v>1.6999999999999999E-3</v>
      </c>
      <c r="N71" s="13">
        <f t="shared" si="10"/>
        <v>114791.71847507366</v>
      </c>
      <c r="O71" s="13">
        <f t="shared" si="11"/>
        <v>1206.3175900118315</v>
      </c>
      <c r="X71" s="1">
        <f t="shared" ref="X71:X134" si="16">-G71</f>
        <v>-1338.9843118192907</v>
      </c>
    </row>
    <row r="72" spans="1:24" x14ac:dyDescent="0.2">
      <c r="A72" s="7">
        <f t="shared" si="14"/>
        <v>3.6301699064723025E-3</v>
      </c>
      <c r="B72" s="4">
        <f t="shared" si="12"/>
        <v>66</v>
      </c>
      <c r="C72" s="4">
        <f t="shared" ref="C72:C135" si="17">IF(C71-1&lt;1,0,C71-1)</f>
        <v>276</v>
      </c>
      <c r="D72" s="8">
        <f t="shared" si="13"/>
        <v>23</v>
      </c>
      <c r="E72" s="23">
        <f t="shared" ref="E72:E135" si="18">I71*$J$4</f>
        <v>818.58003403737587</v>
      </c>
      <c r="F72" s="24">
        <f t="shared" ref="F72:F135" si="19">IF(C72&lt;1,0,I71/C72)</f>
        <v>464.62909002248864</v>
      </c>
      <c r="G72" s="25">
        <f t="shared" ref="G72:G135" si="20">IF(C72&lt;1,0,F72+E72+$L$3+$L$4)</f>
        <v>1338.2091240598645</v>
      </c>
      <c r="H72" s="26">
        <f t="shared" ref="H72:H135" si="21">I71*L72</f>
        <v>218.00396903855165</v>
      </c>
      <c r="I72" s="27">
        <f t="shared" ref="I72:I135" si="22">IF(C72&lt;1,0,I71-F72+H72)</f>
        <v>127991.00372522292</v>
      </c>
      <c r="K72" s="18">
        <f t="shared" si="15"/>
        <v>0.18429490320296477</v>
      </c>
      <c r="L72" s="22">
        <f t="shared" ref="L72:L135" si="23">L71</f>
        <v>1.6999999999999999E-3</v>
      </c>
      <c r="N72" s="13">
        <f t="shared" ref="N72:N135" si="24">IF(C72&lt;1,0,N71-(N71/C72))</f>
        <v>114375.80645161326</v>
      </c>
      <c r="O72" s="13">
        <f t="shared" ref="O72:O135" si="25">IF(C72&lt;1,0,N71/C72+N71*$J$4+$L$3+$L$4)</f>
        <v>1203.6626962697687</v>
      </c>
      <c r="X72" s="1">
        <f t="shared" si="16"/>
        <v>-1338.2091240598645</v>
      </c>
    </row>
    <row r="73" spans="1:24" x14ac:dyDescent="0.2">
      <c r="A73" s="7">
        <f t="shared" si="14"/>
        <v>3.6434186196908562E-3</v>
      </c>
      <c r="B73" s="4">
        <f t="shared" ref="B73:B136" si="26">B72+1</f>
        <v>67</v>
      </c>
      <c r="C73" s="4">
        <f t="shared" si="17"/>
        <v>275</v>
      </c>
      <c r="D73" s="8">
        <f t="shared" si="13"/>
        <v>22.916666666666668</v>
      </c>
      <c r="E73" s="23">
        <f t="shared" si="18"/>
        <v>817.00575040669821</v>
      </c>
      <c r="F73" s="24">
        <f t="shared" si="19"/>
        <v>465.42183172808336</v>
      </c>
      <c r="G73" s="25">
        <f t="shared" si="20"/>
        <v>1337.4275821347815</v>
      </c>
      <c r="H73" s="26">
        <f t="shared" si="21"/>
        <v>217.58470633287897</v>
      </c>
      <c r="I73" s="27">
        <f t="shared" si="22"/>
        <v>127743.16659982772</v>
      </c>
      <c r="K73" s="18">
        <f t="shared" si="15"/>
        <v>0.18530881873963639</v>
      </c>
      <c r="L73" s="22">
        <f t="shared" si="23"/>
        <v>1.6999999999999999E-3</v>
      </c>
      <c r="N73" s="13">
        <f t="shared" si="24"/>
        <v>113959.89442815285</v>
      </c>
      <c r="O73" s="13">
        <f t="shared" si="25"/>
        <v>1201.007802527706</v>
      </c>
      <c r="X73" s="1">
        <f t="shared" si="16"/>
        <v>-1337.4275821347815</v>
      </c>
    </row>
    <row r="74" spans="1:24" x14ac:dyDescent="0.2">
      <c r="A74" s="7">
        <f t="shared" si="14"/>
        <v>3.6567643924761343E-3</v>
      </c>
      <c r="B74" s="4">
        <f t="shared" si="26"/>
        <v>68</v>
      </c>
      <c r="C74" s="4">
        <f t="shared" si="17"/>
        <v>274</v>
      </c>
      <c r="D74" s="8">
        <f t="shared" si="13"/>
        <v>22.833333333333332</v>
      </c>
      <c r="E74" s="23">
        <f t="shared" si="18"/>
        <v>815.42373018091064</v>
      </c>
      <c r="F74" s="24">
        <f t="shared" si="19"/>
        <v>466.21593649572162</v>
      </c>
      <c r="G74" s="25">
        <f t="shared" si="20"/>
        <v>1336.6396666766323</v>
      </c>
      <c r="H74" s="26">
        <f t="shared" si="21"/>
        <v>217.1633832197071</v>
      </c>
      <c r="I74" s="27">
        <f t="shared" si="22"/>
        <v>127494.11404655171</v>
      </c>
      <c r="K74" s="18">
        <f t="shared" si="15"/>
        <v>0.18632736966070212</v>
      </c>
      <c r="L74" s="22">
        <f t="shared" si="23"/>
        <v>1.6999999999999999E-3</v>
      </c>
      <c r="N74" s="13">
        <f t="shared" si="24"/>
        <v>113543.98240469245</v>
      </c>
      <c r="O74" s="13">
        <f t="shared" si="25"/>
        <v>1198.3529087856432</v>
      </c>
      <c r="X74" s="1">
        <f t="shared" si="16"/>
        <v>-1336.6396666766323</v>
      </c>
    </row>
    <row r="75" spans="1:24" x14ac:dyDescent="0.2">
      <c r="A75" s="7">
        <f t="shared" si="14"/>
        <v>3.6702082953313847E-3</v>
      </c>
      <c r="B75" s="4">
        <f t="shared" si="26"/>
        <v>69</v>
      </c>
      <c r="C75" s="4">
        <f t="shared" si="17"/>
        <v>273</v>
      </c>
      <c r="D75" s="8">
        <f t="shared" ref="D75:D138" si="27">C75/12</f>
        <v>22.75</v>
      </c>
      <c r="E75" s="23">
        <f t="shared" si="18"/>
        <v>813.83395150695947</v>
      </c>
      <c r="F75" s="24">
        <f t="shared" si="19"/>
        <v>467.01140676392566</v>
      </c>
      <c r="G75" s="25">
        <f t="shared" si="20"/>
        <v>1335.8453582708851</v>
      </c>
      <c r="H75" s="26">
        <f t="shared" si="21"/>
        <v>216.7399938791379</v>
      </c>
      <c r="I75" s="27">
        <f t="shared" si="22"/>
        <v>127243.84263366692</v>
      </c>
      <c r="K75" s="18">
        <f t="shared" si="15"/>
        <v>0.18735058765240498</v>
      </c>
      <c r="L75" s="22">
        <f t="shared" si="23"/>
        <v>1.6999999999999999E-3</v>
      </c>
      <c r="N75" s="13">
        <f t="shared" si="24"/>
        <v>113128.07038123204</v>
      </c>
      <c r="O75" s="13">
        <f t="shared" si="25"/>
        <v>1195.6980150435802</v>
      </c>
      <c r="X75" s="1">
        <f t="shared" si="16"/>
        <v>-1335.8453582708851</v>
      </c>
    </row>
    <row r="76" spans="1:24" x14ac:dyDescent="0.2">
      <c r="A76" s="7">
        <f t="shared" si="14"/>
        <v>3.6837514145605433E-3</v>
      </c>
      <c r="B76" s="4">
        <f t="shared" si="26"/>
        <v>70</v>
      </c>
      <c r="C76" s="4">
        <f t="shared" si="17"/>
        <v>272</v>
      </c>
      <c r="D76" s="8">
        <f t="shared" si="27"/>
        <v>22.666666666666668</v>
      </c>
      <c r="E76" s="23">
        <f t="shared" si="18"/>
        <v>812.23639247907454</v>
      </c>
      <c r="F76" s="24">
        <f t="shared" si="19"/>
        <v>467.80824497671665</v>
      </c>
      <c r="G76" s="25">
        <f t="shared" si="20"/>
        <v>1335.0446374557912</v>
      </c>
      <c r="H76" s="26">
        <f t="shared" si="21"/>
        <v>216.31453247723377</v>
      </c>
      <c r="I76" s="27">
        <f t="shared" si="22"/>
        <v>126992.34892116745</v>
      </c>
      <c r="K76" s="18">
        <f t="shared" si="15"/>
        <v>0.18837850469086723</v>
      </c>
      <c r="L76" s="22">
        <f t="shared" si="23"/>
        <v>1.6999999999999999E-3</v>
      </c>
      <c r="N76" s="13">
        <f t="shared" si="24"/>
        <v>112712.15835777164</v>
      </c>
      <c r="O76" s="13">
        <f t="shared" si="25"/>
        <v>1193.0431213015174</v>
      </c>
      <c r="X76" s="1">
        <f t="shared" si="16"/>
        <v>-1335.0446374557912</v>
      </c>
    </row>
    <row r="77" spans="1:24" x14ac:dyDescent="0.2">
      <c r="A77" s="7">
        <f t="shared" si="14"/>
        <v>3.6973948525608341E-3</v>
      </c>
      <c r="B77" s="4">
        <f t="shared" si="26"/>
        <v>71</v>
      </c>
      <c r="C77" s="4">
        <f t="shared" si="17"/>
        <v>271</v>
      </c>
      <c r="D77" s="8">
        <f t="shared" si="27"/>
        <v>22.583333333333332</v>
      </c>
      <c r="E77" s="23">
        <f t="shared" si="18"/>
        <v>810.63103113864543</v>
      </c>
      <c r="F77" s="24">
        <f t="shared" si="19"/>
        <v>468.60645358364371</v>
      </c>
      <c r="G77" s="25">
        <f t="shared" si="20"/>
        <v>1334.2374847222891</v>
      </c>
      <c r="H77" s="26">
        <f t="shared" si="21"/>
        <v>215.88699316598465</v>
      </c>
      <c r="I77" s="27">
        <f t="shared" si="22"/>
        <v>126739.62946074978</v>
      </c>
      <c r="K77" s="18">
        <f t="shared" si="15"/>
        <v>0.18941115304541201</v>
      </c>
      <c r="L77" s="22">
        <f t="shared" si="23"/>
        <v>1.6999999999999999E-3</v>
      </c>
      <c r="N77" s="13">
        <f t="shared" si="24"/>
        <v>112296.24633431123</v>
      </c>
      <c r="O77" s="13">
        <f t="shared" si="25"/>
        <v>1190.3882275594547</v>
      </c>
      <c r="X77" s="1">
        <f t="shared" si="16"/>
        <v>-1334.2374847222891</v>
      </c>
    </row>
    <row r="78" spans="1:24" x14ac:dyDescent="0.2">
      <c r="A78" s="7">
        <f t="shared" si="14"/>
        <v>3.7111397281219039E-3</v>
      </c>
      <c r="B78" s="4">
        <f t="shared" si="26"/>
        <v>72</v>
      </c>
      <c r="C78" s="4">
        <f t="shared" si="17"/>
        <v>270</v>
      </c>
      <c r="D78" s="8">
        <f t="shared" si="27"/>
        <v>22.5</v>
      </c>
      <c r="E78" s="23">
        <f t="shared" si="18"/>
        <v>809.01784547409534</v>
      </c>
      <c r="F78" s="24">
        <f t="shared" si="19"/>
        <v>469.40603503981401</v>
      </c>
      <c r="G78" s="25">
        <f t="shared" si="20"/>
        <v>1333.4238805139094</v>
      </c>
      <c r="H78" s="26">
        <f t="shared" si="21"/>
        <v>215.45737008327461</v>
      </c>
      <c r="I78" s="27">
        <f t="shared" si="22"/>
        <v>126485.68079579323</v>
      </c>
      <c r="K78" s="18">
        <f t="shared" si="15"/>
        <v>0.19044856528193127</v>
      </c>
      <c r="L78" s="22">
        <f t="shared" si="23"/>
        <v>1.6999999999999999E-3</v>
      </c>
      <c r="N78" s="13">
        <f t="shared" si="24"/>
        <v>111880.33431085083</v>
      </c>
      <c r="O78" s="13">
        <f t="shared" si="25"/>
        <v>1187.7333338173917</v>
      </c>
      <c r="X78" s="1">
        <f t="shared" si="16"/>
        <v>-1333.4238805139094</v>
      </c>
    </row>
    <row r="79" spans="1:24" x14ac:dyDescent="0.2">
      <c r="A79" s="7">
        <f t="shared" si="14"/>
        <v>3.724987176731644E-3</v>
      </c>
      <c r="B79" s="4">
        <f t="shared" si="26"/>
        <v>73</v>
      </c>
      <c r="C79" s="4">
        <f t="shared" si="17"/>
        <v>269</v>
      </c>
      <c r="D79" s="8">
        <f t="shared" si="27"/>
        <v>22.416666666666668</v>
      </c>
      <c r="E79" s="23">
        <f t="shared" si="18"/>
        <v>807.39681342075642</v>
      </c>
      <c r="F79" s="24">
        <f t="shared" si="19"/>
        <v>470.20699180592277</v>
      </c>
      <c r="G79" s="25">
        <f t="shared" si="20"/>
        <v>1332.6038052266792</v>
      </c>
      <c r="H79" s="26">
        <f t="shared" si="21"/>
        <v>215.02565735284847</v>
      </c>
      <c r="I79" s="27">
        <f t="shared" si="22"/>
        <v>126230.49946134015</v>
      </c>
      <c r="K79" s="18">
        <f t="shared" si="15"/>
        <v>0.1914907742662999</v>
      </c>
      <c r="L79" s="22">
        <f t="shared" si="23"/>
        <v>1.6999999999999999E-3</v>
      </c>
      <c r="N79" s="13">
        <f t="shared" si="24"/>
        <v>111464.42228739042</v>
      </c>
      <c r="O79" s="13">
        <f t="shared" si="25"/>
        <v>1185.0784400753291</v>
      </c>
      <c r="X79" s="1">
        <f t="shared" si="16"/>
        <v>-1332.6038052266792</v>
      </c>
    </row>
    <row r="80" spans="1:24" x14ac:dyDescent="0.2">
      <c r="A80" s="7">
        <f t="shared" si="14"/>
        <v>3.7389383508888954E-3</v>
      </c>
      <c r="B80" s="4">
        <f t="shared" si="26"/>
        <v>74</v>
      </c>
      <c r="C80" s="4">
        <f t="shared" si="17"/>
        <v>268</v>
      </c>
      <c r="D80" s="8">
        <f t="shared" si="27"/>
        <v>22.333333333333332</v>
      </c>
      <c r="E80" s="23">
        <f t="shared" si="18"/>
        <v>805.76791286074354</v>
      </c>
      <c r="F80" s="24">
        <f t="shared" si="19"/>
        <v>471.00932634828416</v>
      </c>
      <c r="G80" s="25">
        <f t="shared" si="20"/>
        <v>1331.7772392090278</v>
      </c>
      <c r="H80" s="26">
        <f t="shared" si="21"/>
        <v>214.59184908427824</v>
      </c>
      <c r="I80" s="27">
        <f t="shared" si="22"/>
        <v>125974.08198407614</v>
      </c>
      <c r="K80" s="18">
        <f t="shared" si="15"/>
        <v>0.19253781316783727</v>
      </c>
      <c r="L80" s="22">
        <f t="shared" si="23"/>
        <v>1.6999999999999999E-3</v>
      </c>
      <c r="N80" s="13">
        <f t="shared" si="24"/>
        <v>111048.51026393002</v>
      </c>
      <c r="O80" s="13">
        <f t="shared" si="25"/>
        <v>1182.4235463332661</v>
      </c>
      <c r="X80" s="1">
        <f t="shared" si="16"/>
        <v>-1331.7772392090278</v>
      </c>
    </row>
    <row r="81" spans="1:24" x14ac:dyDescent="0.2">
      <c r="A81" s="7">
        <f t="shared" si="14"/>
        <v>3.7529944204231949E-3</v>
      </c>
      <c r="B81" s="4">
        <f t="shared" si="26"/>
        <v>75</v>
      </c>
      <c r="C81" s="4">
        <f t="shared" si="17"/>
        <v>267</v>
      </c>
      <c r="D81" s="8">
        <f t="shared" si="27"/>
        <v>22.25</v>
      </c>
      <c r="E81" s="23">
        <f t="shared" si="18"/>
        <v>804.13112162282789</v>
      </c>
      <c r="F81" s="24">
        <f t="shared" si="19"/>
        <v>471.81304113886193</v>
      </c>
      <c r="G81" s="25">
        <f t="shared" si="20"/>
        <v>1330.9441627616898</v>
      </c>
      <c r="H81" s="26">
        <f t="shared" si="21"/>
        <v>214.15593937292942</v>
      </c>
      <c r="I81" s="27">
        <f t="shared" si="22"/>
        <v>125716.42488231021</v>
      </c>
      <c r="K81" s="18">
        <f t="shared" si="15"/>
        <v>0.19358971546281684</v>
      </c>
      <c r="L81" s="22">
        <f t="shared" si="23"/>
        <v>1.6999999999999999E-3</v>
      </c>
      <c r="N81" s="13">
        <f t="shared" si="24"/>
        <v>110632.59824046961</v>
      </c>
      <c r="O81" s="13">
        <f t="shared" si="25"/>
        <v>1179.7686525912034</v>
      </c>
      <c r="X81" s="1">
        <f t="shared" si="16"/>
        <v>-1330.9441627616898</v>
      </c>
    </row>
    <row r="82" spans="1:24" x14ac:dyDescent="0.2">
      <c r="A82" s="7">
        <f t="shared" si="14"/>
        <v>3.7671565728217738E-3</v>
      </c>
      <c r="B82" s="4">
        <f t="shared" si="26"/>
        <v>76</v>
      </c>
      <c r="C82" s="4">
        <f t="shared" si="17"/>
        <v>266</v>
      </c>
      <c r="D82" s="8">
        <f t="shared" si="27"/>
        <v>22.166666666666668</v>
      </c>
      <c r="E82" s="23">
        <f t="shared" si="18"/>
        <v>802.48641748231023</v>
      </c>
      <c r="F82" s="24">
        <f t="shared" si="19"/>
        <v>472.61813865530155</v>
      </c>
      <c r="G82" s="25">
        <f t="shared" si="20"/>
        <v>1330.1045561376118</v>
      </c>
      <c r="H82" s="26">
        <f t="shared" si="21"/>
        <v>213.71792229992735</v>
      </c>
      <c r="I82" s="27">
        <f t="shared" si="22"/>
        <v>125457.52466595483</v>
      </c>
      <c r="K82" s="18">
        <f t="shared" si="15"/>
        <v>0.19464651493802457</v>
      </c>
      <c r="L82" s="22">
        <f t="shared" si="23"/>
        <v>1.6999999999999999E-3</v>
      </c>
      <c r="N82" s="13">
        <f t="shared" si="24"/>
        <v>110216.68621700921</v>
      </c>
      <c r="O82" s="13">
        <f t="shared" si="25"/>
        <v>1177.1137588491406</v>
      </c>
      <c r="X82" s="1">
        <f t="shared" si="16"/>
        <v>-1330.1045561376118</v>
      </c>
    </row>
    <row r="83" spans="1:24" x14ac:dyDescent="0.2">
      <c r="A83" s="7">
        <f t="shared" si="14"/>
        <v>3.7814260135639755E-3</v>
      </c>
      <c r="B83" s="4">
        <f t="shared" si="26"/>
        <v>77</v>
      </c>
      <c r="C83" s="4">
        <f t="shared" si="17"/>
        <v>265</v>
      </c>
      <c r="D83" s="8">
        <f t="shared" si="27"/>
        <v>22.083333333333332</v>
      </c>
      <c r="E83" s="23">
        <f t="shared" si="18"/>
        <v>800.83377816089353</v>
      </c>
      <c r="F83" s="24">
        <f t="shared" si="19"/>
        <v>473.42462138096164</v>
      </c>
      <c r="G83" s="25">
        <f t="shared" si="20"/>
        <v>1329.2583995418552</v>
      </c>
      <c r="H83" s="26">
        <f t="shared" si="21"/>
        <v>213.27779193212319</v>
      </c>
      <c r="I83" s="27">
        <f t="shared" si="22"/>
        <v>125197.37783650598</v>
      </c>
      <c r="K83" s="18">
        <f t="shared" si="15"/>
        <v>0.19570824569436701</v>
      </c>
      <c r="L83" s="22">
        <f t="shared" si="23"/>
        <v>1.6999999999999999E-3</v>
      </c>
      <c r="N83" s="13">
        <f t="shared" si="24"/>
        <v>109800.7741935488</v>
      </c>
      <c r="O83" s="13">
        <f t="shared" si="25"/>
        <v>1174.4588651070776</v>
      </c>
      <c r="X83" s="1">
        <f t="shared" si="16"/>
        <v>-1329.2583995418552</v>
      </c>
    </row>
    <row r="84" spans="1:24" x14ac:dyDescent="0.2">
      <c r="A84" s="7">
        <f t="shared" si="14"/>
        <v>3.7958039664633125E-3</v>
      </c>
      <c r="B84" s="4">
        <f t="shared" si="26"/>
        <v>78</v>
      </c>
      <c r="C84" s="4">
        <f t="shared" si="17"/>
        <v>264</v>
      </c>
      <c r="D84" s="8">
        <f t="shared" si="27"/>
        <v>22</v>
      </c>
      <c r="E84" s="23">
        <f t="shared" si="18"/>
        <v>799.17318132655612</v>
      </c>
      <c r="F84" s="24">
        <f t="shared" si="19"/>
        <v>474.2324918049469</v>
      </c>
      <c r="G84" s="25">
        <f t="shared" si="20"/>
        <v>1328.4056731315031</v>
      </c>
      <c r="H84" s="26">
        <f t="shared" si="21"/>
        <v>212.83554232206015</v>
      </c>
      <c r="I84" s="27">
        <f t="shared" si="22"/>
        <v>124935.98088702311</v>
      </c>
      <c r="K84" s="18">
        <f t="shared" si="15"/>
        <v>0.19677494215052949</v>
      </c>
      <c r="L84" s="22">
        <f t="shared" si="23"/>
        <v>1.6999999999999999E-3</v>
      </c>
      <c r="N84" s="13">
        <f t="shared" si="24"/>
        <v>109384.8621700884</v>
      </c>
      <c r="O84" s="13">
        <f t="shared" si="25"/>
        <v>1171.8039713650148</v>
      </c>
      <c r="X84" s="1">
        <f t="shared" si="16"/>
        <v>-1328.4056731315031</v>
      </c>
    </row>
    <row r="85" spans="1:24" x14ac:dyDescent="0.2">
      <c r="A85" s="7">
        <f t="shared" si="14"/>
        <v>3.810291674017354E-3</v>
      </c>
      <c r="B85" s="4">
        <f t="shared" si="26"/>
        <v>79</v>
      </c>
      <c r="C85" s="4">
        <f t="shared" si="17"/>
        <v>263</v>
      </c>
      <c r="D85" s="8">
        <f t="shared" si="27"/>
        <v>21.916666666666668</v>
      </c>
      <c r="E85" s="23">
        <f t="shared" si="18"/>
        <v>797.50460459342287</v>
      </c>
      <c r="F85" s="24">
        <f t="shared" si="19"/>
        <v>475.04175242214109</v>
      </c>
      <c r="G85" s="25">
        <f t="shared" si="20"/>
        <v>1327.5463570155639</v>
      </c>
      <c r="H85" s="26">
        <f t="shared" si="21"/>
        <v>212.39116750793926</v>
      </c>
      <c r="I85" s="27">
        <f t="shared" si="22"/>
        <v>124673.33030210891</v>
      </c>
      <c r="K85" s="18">
        <f t="shared" si="15"/>
        <v>0.19784663904668645</v>
      </c>
      <c r="L85" s="22">
        <f t="shared" si="23"/>
        <v>1.6999999999999999E-3</v>
      </c>
      <c r="N85" s="13">
        <f t="shared" si="24"/>
        <v>108968.95014662799</v>
      </c>
      <c r="O85" s="13">
        <f t="shared" si="25"/>
        <v>1169.1490776229521</v>
      </c>
      <c r="X85" s="1">
        <f t="shared" si="16"/>
        <v>-1327.5463570155639</v>
      </c>
    </row>
    <row r="86" spans="1:24" x14ac:dyDescent="0.2">
      <c r="A86" s="7">
        <f t="shared" si="14"/>
        <v>3.8248903977656521E-3</v>
      </c>
      <c r="B86" s="4">
        <f t="shared" si="26"/>
        <v>80</v>
      </c>
      <c r="C86" s="4">
        <f t="shared" si="17"/>
        <v>262</v>
      </c>
      <c r="D86" s="8">
        <f t="shared" si="27"/>
        <v>21.833333333333332</v>
      </c>
      <c r="E86" s="23">
        <f t="shared" si="18"/>
        <v>795.82802552163696</v>
      </c>
      <c r="F86" s="24">
        <f t="shared" si="19"/>
        <v>475.85240573324012</v>
      </c>
      <c r="G86" s="25">
        <f t="shared" si="20"/>
        <v>1326.680431254877</v>
      </c>
      <c r="H86" s="26">
        <f t="shared" si="21"/>
        <v>211.94466151358515</v>
      </c>
      <c r="I86" s="27">
        <f t="shared" si="22"/>
        <v>124409.42255788925</v>
      </c>
      <c r="K86" s="18">
        <f t="shared" si="15"/>
        <v>0.19892337144826253</v>
      </c>
      <c r="L86" s="22">
        <f t="shared" si="23"/>
        <v>1.6999999999999999E-3</v>
      </c>
      <c r="N86" s="13">
        <f t="shared" si="24"/>
        <v>108553.03812316759</v>
      </c>
      <c r="O86" s="13">
        <f t="shared" si="25"/>
        <v>1166.4941838808893</v>
      </c>
      <c r="X86" s="1">
        <f t="shared" si="16"/>
        <v>-1326.680431254877</v>
      </c>
    </row>
    <row r="87" spans="1:24" x14ac:dyDescent="0.2">
      <c r="A87" s="7">
        <f t="shared" si="14"/>
        <v>3.8396014186559322E-3</v>
      </c>
      <c r="B87" s="4">
        <f t="shared" si="26"/>
        <v>81</v>
      </c>
      <c r="C87" s="4">
        <f t="shared" si="17"/>
        <v>261</v>
      </c>
      <c r="D87" s="8">
        <f t="shared" si="27"/>
        <v>21.75</v>
      </c>
      <c r="E87" s="23">
        <f t="shared" si="18"/>
        <v>794.14342161723118</v>
      </c>
      <c r="F87" s="24">
        <f t="shared" si="19"/>
        <v>476.66445424478638</v>
      </c>
      <c r="G87" s="25">
        <f t="shared" si="20"/>
        <v>1325.8078758620177</v>
      </c>
      <c r="H87" s="26">
        <f t="shared" si="21"/>
        <v>211.49601834841172</v>
      </c>
      <c r="I87" s="27">
        <f t="shared" si="22"/>
        <v>124144.25412199287</v>
      </c>
      <c r="K87" s="18">
        <f t="shared" si="15"/>
        <v>0.20000517474974772</v>
      </c>
      <c r="L87" s="22">
        <f t="shared" si="23"/>
        <v>1.6999999999999999E-3</v>
      </c>
      <c r="N87" s="13">
        <f t="shared" si="24"/>
        <v>108137.12609970718</v>
      </c>
      <c r="O87" s="13">
        <f t="shared" si="25"/>
        <v>1163.8392901388265</v>
      </c>
      <c r="X87" s="1">
        <f t="shared" si="16"/>
        <v>-1325.8078758620177</v>
      </c>
    </row>
    <row r="88" spans="1:24" x14ac:dyDescent="0.2">
      <c r="A88" s="7">
        <f t="shared" si="14"/>
        <v>3.8544260374187684E-3</v>
      </c>
      <c r="B88" s="4">
        <f t="shared" si="26"/>
        <v>82</v>
      </c>
      <c r="C88" s="4">
        <f t="shared" si="17"/>
        <v>260</v>
      </c>
      <c r="D88" s="8">
        <f t="shared" si="27"/>
        <v>21.666666666666668</v>
      </c>
      <c r="E88" s="23">
        <f t="shared" si="18"/>
        <v>792.45077033199868</v>
      </c>
      <c r="F88" s="24">
        <f t="shared" si="19"/>
        <v>477.47790046920335</v>
      </c>
      <c r="G88" s="25">
        <f t="shared" si="20"/>
        <v>1324.9286708012021</v>
      </c>
      <c r="H88" s="26">
        <f t="shared" si="21"/>
        <v>211.04523200738785</v>
      </c>
      <c r="I88" s="27">
        <f t="shared" si="22"/>
        <v>123877.82145353104</v>
      </c>
      <c r="K88" s="18">
        <f t="shared" si="15"/>
        <v>0.20109208467856624</v>
      </c>
      <c r="L88" s="22">
        <f t="shared" si="23"/>
        <v>1.6999999999999999E-3</v>
      </c>
      <c r="N88" s="13">
        <f t="shared" si="24"/>
        <v>107721.21407624678</v>
      </c>
      <c r="O88" s="13">
        <f t="shared" si="25"/>
        <v>1161.1843963967635</v>
      </c>
      <c r="X88" s="1">
        <f t="shared" si="16"/>
        <v>-1324.9286708012021</v>
      </c>
    </row>
    <row r="89" spans="1:24" x14ac:dyDescent="0.2">
      <c r="A89" s="7">
        <f t="shared" si="14"/>
        <v>3.8693655749509654E-3</v>
      </c>
      <c r="B89" s="4">
        <f t="shared" si="26"/>
        <v>83</v>
      </c>
      <c r="C89" s="4">
        <f t="shared" si="17"/>
        <v>259</v>
      </c>
      <c r="D89" s="8">
        <f t="shared" si="27"/>
        <v>21.583333333333332</v>
      </c>
      <c r="E89" s="23">
        <f t="shared" si="18"/>
        <v>790.75004906336301</v>
      </c>
      <c r="F89" s="24">
        <f t="shared" si="19"/>
        <v>478.29274692483028</v>
      </c>
      <c r="G89" s="25">
        <f t="shared" si="20"/>
        <v>1324.0427959881933</v>
      </c>
      <c r="H89" s="26">
        <f t="shared" si="21"/>
        <v>210.59229647100275</v>
      </c>
      <c r="I89" s="27">
        <f t="shared" si="22"/>
        <v>123610.12100307722</v>
      </c>
      <c r="K89" s="18">
        <f t="shared" si="15"/>
        <v>0.20218413729899912</v>
      </c>
      <c r="L89" s="22">
        <f t="shared" si="23"/>
        <v>1.6999999999999999E-3</v>
      </c>
      <c r="N89" s="13">
        <f t="shared" si="24"/>
        <v>107305.30205278637</v>
      </c>
      <c r="O89" s="13">
        <f t="shared" si="25"/>
        <v>1158.5295026547008</v>
      </c>
      <c r="X89" s="1">
        <f t="shared" si="16"/>
        <v>-1324.0427959881933</v>
      </c>
    </row>
    <row r="90" spans="1:24" x14ac:dyDescent="0.2">
      <c r="A90" s="7">
        <f t="shared" si="14"/>
        <v>3.8844213727078996E-3</v>
      </c>
      <c r="B90" s="4">
        <f t="shared" si="26"/>
        <v>84</v>
      </c>
      <c r="C90" s="4">
        <f t="shared" si="17"/>
        <v>258</v>
      </c>
      <c r="D90" s="8">
        <f t="shared" si="27"/>
        <v>21.5</v>
      </c>
      <c r="E90" s="23">
        <f t="shared" si="18"/>
        <v>789.04123515424817</v>
      </c>
      <c r="F90" s="24">
        <f t="shared" si="19"/>
        <v>479.10899613595819</v>
      </c>
      <c r="G90" s="25">
        <f t="shared" si="20"/>
        <v>1323.1502312902064</v>
      </c>
      <c r="H90" s="26">
        <f t="shared" si="21"/>
        <v>210.13720570523125</v>
      </c>
      <c r="I90" s="27">
        <f t="shared" si="22"/>
        <v>123341.1492126465</v>
      </c>
      <c r="K90" s="18">
        <f t="shared" si="15"/>
        <v>0.20328136901616384</v>
      </c>
      <c r="L90" s="22">
        <f t="shared" si="23"/>
        <v>1.6999999999999999E-3</v>
      </c>
      <c r="N90" s="13">
        <f t="shared" si="24"/>
        <v>106889.39002932596</v>
      </c>
      <c r="O90" s="13">
        <f t="shared" si="25"/>
        <v>1155.874608912638</v>
      </c>
      <c r="X90" s="1">
        <f t="shared" si="16"/>
        <v>-1323.1502312902064</v>
      </c>
    </row>
    <row r="91" spans="1:24" x14ac:dyDescent="0.2">
      <c r="A91" s="7">
        <f t="shared" si="14"/>
        <v>3.8995947931050484E-3</v>
      </c>
      <c r="B91" s="4">
        <f t="shared" si="26"/>
        <v>85</v>
      </c>
      <c r="C91" s="4">
        <f t="shared" si="17"/>
        <v>257</v>
      </c>
      <c r="D91" s="8">
        <f t="shared" si="27"/>
        <v>21.416666666666668</v>
      </c>
      <c r="E91" s="23">
        <f t="shared" si="18"/>
        <v>787.32430589294745</v>
      </c>
      <c r="F91" s="24">
        <f t="shared" si="19"/>
        <v>479.92665063286574</v>
      </c>
      <c r="G91" s="25">
        <f t="shared" si="20"/>
        <v>1322.2509565258133</v>
      </c>
      <c r="H91" s="26">
        <f t="shared" si="21"/>
        <v>209.67995366149904</v>
      </c>
      <c r="I91" s="27">
        <f t="shared" si="22"/>
        <v>123070.90251567513</v>
      </c>
      <c r="K91" s="18">
        <f t="shared" si="15"/>
        <v>0.20438381658004939</v>
      </c>
      <c r="L91" s="22">
        <f t="shared" si="23"/>
        <v>1.6999999999999999E-3</v>
      </c>
      <c r="N91" s="13">
        <f t="shared" si="24"/>
        <v>106473.47800586556</v>
      </c>
      <c r="O91" s="13">
        <f t="shared" si="25"/>
        <v>1153.2197151705752</v>
      </c>
      <c r="X91" s="1">
        <f t="shared" si="16"/>
        <v>-1322.2509565258133</v>
      </c>
    </row>
    <row r="92" spans="1:24" x14ac:dyDescent="0.2">
      <c r="A92" s="7">
        <f t="shared" si="14"/>
        <v>3.914887219928968E-3</v>
      </c>
      <c r="B92" s="4">
        <f t="shared" si="26"/>
        <v>86</v>
      </c>
      <c r="C92" s="4">
        <f t="shared" si="17"/>
        <v>256</v>
      </c>
      <c r="D92" s="8">
        <f t="shared" si="27"/>
        <v>21.333333333333332</v>
      </c>
      <c r="E92" s="23">
        <f t="shared" si="18"/>
        <v>785.59923851299288</v>
      </c>
      <c r="F92" s="24">
        <f t="shared" si="19"/>
        <v>480.74571295185598</v>
      </c>
      <c r="G92" s="25">
        <f t="shared" si="20"/>
        <v>1321.3449514648489</v>
      </c>
      <c r="H92" s="26">
        <f t="shared" si="21"/>
        <v>209.2205342766477</v>
      </c>
      <c r="I92" s="27">
        <f t="shared" si="22"/>
        <v>122799.37733699993</v>
      </c>
      <c r="K92" s="18">
        <f t="shared" si="15"/>
        <v>0.20549151708960953</v>
      </c>
      <c r="L92" s="22">
        <f t="shared" si="23"/>
        <v>1.6999999999999999E-3</v>
      </c>
      <c r="N92" s="13">
        <f t="shared" si="24"/>
        <v>106057.56598240515</v>
      </c>
      <c r="O92" s="13">
        <f t="shared" si="25"/>
        <v>1150.5648214285125</v>
      </c>
      <c r="X92" s="1">
        <f t="shared" si="16"/>
        <v>-1321.3449514648489</v>
      </c>
    </row>
    <row r="93" spans="1:24" x14ac:dyDescent="0.2">
      <c r="A93" s="7">
        <f t="shared" si="14"/>
        <v>3.9303000587579857E-3</v>
      </c>
      <c r="B93" s="4">
        <f t="shared" si="26"/>
        <v>87</v>
      </c>
      <c r="C93" s="4">
        <f t="shared" si="17"/>
        <v>255</v>
      </c>
      <c r="D93" s="8">
        <f t="shared" si="27"/>
        <v>21.25</v>
      </c>
      <c r="E93" s="23">
        <f t="shared" si="18"/>
        <v>783.86601019302361</v>
      </c>
      <c r="F93" s="24">
        <f t="shared" si="19"/>
        <v>481.56618563529383</v>
      </c>
      <c r="G93" s="25">
        <f t="shared" si="20"/>
        <v>1320.4321958283174</v>
      </c>
      <c r="H93" s="26">
        <f t="shared" si="21"/>
        <v>208.75894147289986</v>
      </c>
      <c r="I93" s="27">
        <f t="shared" si="22"/>
        <v>122526.57009283753</v>
      </c>
      <c r="K93" s="18">
        <f t="shared" si="15"/>
        <v>0.20660450799691377</v>
      </c>
      <c r="L93" s="22">
        <f t="shared" si="23"/>
        <v>1.6999999999999999E-3</v>
      </c>
      <c r="N93" s="13">
        <f t="shared" si="24"/>
        <v>105641.65395894475</v>
      </c>
      <c r="O93" s="13">
        <f t="shared" si="25"/>
        <v>1147.9099276864495</v>
      </c>
      <c r="X93" s="1">
        <f t="shared" si="16"/>
        <v>-1320.4321958283174</v>
      </c>
    </row>
    <row r="94" spans="1:24" x14ac:dyDescent="0.2">
      <c r="A94" s="7">
        <f t="shared" si="14"/>
        <v>3.9458347373928608E-3</v>
      </c>
      <c r="B94" s="4">
        <f t="shared" si="26"/>
        <v>88</v>
      </c>
      <c r="C94" s="4">
        <f t="shared" si="17"/>
        <v>254</v>
      </c>
      <c r="D94" s="8">
        <f t="shared" si="27"/>
        <v>21.166666666666668</v>
      </c>
      <c r="E94" s="23">
        <f t="shared" si="18"/>
        <v>782.12459805665367</v>
      </c>
      <c r="F94" s="24">
        <f t="shared" si="19"/>
        <v>482.38807123164383</v>
      </c>
      <c r="G94" s="25">
        <f t="shared" si="20"/>
        <v>1319.5126692882975</v>
      </c>
      <c r="H94" s="26">
        <f t="shared" si="21"/>
        <v>208.29516915782378</v>
      </c>
      <c r="I94" s="27">
        <f t="shared" si="22"/>
        <v>122252.4771907637</v>
      </c>
      <c r="K94" s="18">
        <f t="shared" si="15"/>
        <v>0.20772282711135839</v>
      </c>
      <c r="L94" s="22">
        <f t="shared" si="23"/>
        <v>1.6999999999999999E-3</v>
      </c>
      <c r="N94" s="13">
        <f t="shared" si="24"/>
        <v>105225.74193548434</v>
      </c>
      <c r="O94" s="13">
        <f t="shared" si="25"/>
        <v>1145.2550339443867</v>
      </c>
      <c r="X94" s="1">
        <f t="shared" si="16"/>
        <v>-1319.5126692882975</v>
      </c>
    </row>
    <row r="95" spans="1:24" x14ac:dyDescent="0.2">
      <c r="A95" s="7">
        <f t="shared" si="14"/>
        <v>3.961492706297704E-3</v>
      </c>
      <c r="B95" s="4">
        <f t="shared" si="26"/>
        <v>89</v>
      </c>
      <c r="C95" s="4">
        <f t="shared" si="17"/>
        <v>253</v>
      </c>
      <c r="D95" s="8">
        <f t="shared" si="27"/>
        <v>21.083333333333332</v>
      </c>
      <c r="E95" s="23">
        <f t="shared" si="18"/>
        <v>780.37497917233941</v>
      </c>
      <c r="F95" s="24">
        <f t="shared" si="19"/>
        <v>483.21137229550874</v>
      </c>
      <c r="G95" s="25">
        <f t="shared" si="20"/>
        <v>1318.5863514678481</v>
      </c>
      <c r="H95" s="26">
        <f t="shared" si="21"/>
        <v>207.82921122429829</v>
      </c>
      <c r="I95" s="27">
        <f t="shared" si="22"/>
        <v>121977.09502969249</v>
      </c>
      <c r="K95" s="18">
        <f t="shared" si="15"/>
        <v>0.20884651260393794</v>
      </c>
      <c r="L95" s="22">
        <f t="shared" si="23"/>
        <v>1.6999999999999999E-3</v>
      </c>
      <c r="N95" s="13">
        <f t="shared" si="24"/>
        <v>104809.82991202394</v>
      </c>
      <c r="O95" s="13">
        <f t="shared" si="25"/>
        <v>1142.6001402023239</v>
      </c>
      <c r="X95" s="1">
        <f t="shared" si="16"/>
        <v>-1318.5863514678481</v>
      </c>
    </row>
    <row r="96" spans="1:24" x14ac:dyDescent="0.2">
      <c r="A96" s="7">
        <f t="shared" si="14"/>
        <v>3.9772754390514356E-3</v>
      </c>
      <c r="B96" s="4">
        <f t="shared" si="26"/>
        <v>90</v>
      </c>
      <c r="C96" s="4">
        <f t="shared" si="17"/>
        <v>252</v>
      </c>
      <c r="D96" s="8">
        <f t="shared" si="27"/>
        <v>21</v>
      </c>
      <c r="E96" s="23">
        <f t="shared" si="18"/>
        <v>778.61713055324719</v>
      </c>
      <c r="F96" s="24">
        <f t="shared" si="19"/>
        <v>484.03609138766859</v>
      </c>
      <c r="G96" s="25">
        <f t="shared" si="20"/>
        <v>1317.6532219409157</v>
      </c>
      <c r="H96" s="26">
        <f t="shared" si="21"/>
        <v>207.36106155047722</v>
      </c>
      <c r="I96" s="27">
        <f t="shared" si="22"/>
        <v>121700.41999985529</v>
      </c>
      <c r="K96" s="18">
        <f t="shared" si="15"/>
        <v>0.20997560301157719</v>
      </c>
      <c r="L96" s="22">
        <f t="shared" si="23"/>
        <v>1.6999999999999999E-3</v>
      </c>
      <c r="N96" s="13">
        <f t="shared" si="24"/>
        <v>104393.91788856353</v>
      </c>
      <c r="O96" s="13">
        <f t="shared" si="25"/>
        <v>1139.9452464602609</v>
      </c>
      <c r="X96" s="1">
        <f t="shared" si="16"/>
        <v>-1317.6532219409157</v>
      </c>
    </row>
    <row r="97" spans="1:24" x14ac:dyDescent="0.2">
      <c r="A97" s="7">
        <f t="shared" si="14"/>
        <v>3.9931844328100798E-3</v>
      </c>
      <c r="B97" s="4">
        <f t="shared" si="26"/>
        <v>91</v>
      </c>
      <c r="C97" s="4">
        <f t="shared" si="17"/>
        <v>251</v>
      </c>
      <c r="D97" s="8">
        <f t="shared" si="27"/>
        <v>20.916666666666668</v>
      </c>
      <c r="E97" s="23">
        <f t="shared" si="18"/>
        <v>776.85102915711934</v>
      </c>
      <c r="F97" s="24">
        <f t="shared" si="19"/>
        <v>484.86223107512069</v>
      </c>
      <c r="G97" s="25">
        <f t="shared" si="20"/>
        <v>1316.7132602322399</v>
      </c>
      <c r="H97" s="26">
        <f t="shared" si="21"/>
        <v>206.89071399975398</v>
      </c>
      <c r="I97" s="27">
        <f t="shared" si="22"/>
        <v>121422.44848277993</v>
      </c>
      <c r="K97" s="18">
        <f t="shared" si="15"/>
        <v>0.21111013724152705</v>
      </c>
      <c r="L97" s="22">
        <f t="shared" si="23"/>
        <v>1.6999999999999999E-3</v>
      </c>
      <c r="N97" s="13">
        <f t="shared" si="24"/>
        <v>103978.00586510311</v>
      </c>
      <c r="O97" s="13">
        <f t="shared" si="25"/>
        <v>1137.2903527181984</v>
      </c>
      <c r="X97" s="1">
        <f t="shared" si="16"/>
        <v>-1316.7132602322399</v>
      </c>
    </row>
    <row r="98" spans="1:24" x14ac:dyDescent="0.2">
      <c r="A98" s="7">
        <f t="shared" si="14"/>
        <v>4.009221208780194E-3</v>
      </c>
      <c r="B98" s="4">
        <f t="shared" si="26"/>
        <v>92</v>
      </c>
      <c r="C98" s="4">
        <f t="shared" si="17"/>
        <v>250</v>
      </c>
      <c r="D98" s="8">
        <f t="shared" si="27"/>
        <v>20.833333333333332</v>
      </c>
      <c r="E98" s="23">
        <f t="shared" si="18"/>
        <v>775.0766518861401</v>
      </c>
      <c r="F98" s="24">
        <f t="shared" si="19"/>
        <v>485.68979393111971</v>
      </c>
      <c r="G98" s="25">
        <f t="shared" si="20"/>
        <v>1315.7664458172599</v>
      </c>
      <c r="H98" s="26">
        <f t="shared" si="21"/>
        <v>206.41816242072588</v>
      </c>
      <c r="I98" s="27">
        <f t="shared" si="22"/>
        <v>121143.17685126954</v>
      </c>
      <c r="K98" s="18">
        <f t="shared" si="15"/>
        <v>0.21225015457582239</v>
      </c>
      <c r="L98" s="22">
        <f t="shared" si="23"/>
        <v>1.6999999999999999E-3</v>
      </c>
      <c r="N98" s="13">
        <f t="shared" si="24"/>
        <v>103562.09384164269</v>
      </c>
      <c r="O98" s="13">
        <f t="shared" si="25"/>
        <v>1134.6354589761354</v>
      </c>
      <c r="X98" s="1">
        <f t="shared" si="16"/>
        <v>-1315.7664458172599</v>
      </c>
    </row>
    <row r="99" spans="1:24" x14ac:dyDescent="0.2">
      <c r="A99" s="7">
        <f t="shared" si="14"/>
        <v>4.0253873127037596E-3</v>
      </c>
      <c r="B99" s="4">
        <f t="shared" si="26"/>
        <v>93</v>
      </c>
      <c r="C99" s="4">
        <f t="shared" si="17"/>
        <v>249</v>
      </c>
      <c r="D99" s="8">
        <f t="shared" si="27"/>
        <v>20.75</v>
      </c>
      <c r="E99" s="23">
        <f t="shared" si="18"/>
        <v>773.29397558680205</v>
      </c>
      <c r="F99" s="24">
        <f t="shared" si="19"/>
        <v>486.51878253521903</v>
      </c>
      <c r="G99" s="25">
        <f t="shared" si="20"/>
        <v>1314.812758122021</v>
      </c>
      <c r="H99" s="26">
        <f t="shared" si="21"/>
        <v>205.9434006471582</v>
      </c>
      <c r="I99" s="27">
        <f t="shared" si="22"/>
        <v>120862.60146938148</v>
      </c>
      <c r="K99" s="18">
        <f t="shared" si="15"/>
        <v>0.21339569467580577</v>
      </c>
      <c r="L99" s="22">
        <f t="shared" si="23"/>
        <v>1.6999999999999999E-3</v>
      </c>
      <c r="N99" s="13">
        <f t="shared" si="24"/>
        <v>103146.18181818229</v>
      </c>
      <c r="O99" s="13">
        <f t="shared" si="25"/>
        <v>1131.9805652340724</v>
      </c>
      <c r="X99" s="1">
        <f t="shared" si="16"/>
        <v>-1314.812758122021</v>
      </c>
    </row>
    <row r="100" spans="1:24" x14ac:dyDescent="0.2">
      <c r="A100" s="7">
        <f t="shared" si="14"/>
        <v>4.041684315354844E-3</v>
      </c>
      <c r="B100" s="4">
        <f t="shared" si="26"/>
        <v>94</v>
      </c>
      <c r="C100" s="4">
        <f t="shared" si="17"/>
        <v>248</v>
      </c>
      <c r="D100" s="8">
        <f t="shared" si="27"/>
        <v>20.666666666666668</v>
      </c>
      <c r="E100" s="23">
        <f t="shared" si="18"/>
        <v>771.50297704977027</v>
      </c>
      <c r="F100" s="24">
        <f t="shared" si="19"/>
        <v>487.34919947331241</v>
      </c>
      <c r="G100" s="25">
        <f t="shared" si="20"/>
        <v>1313.8521765230826</v>
      </c>
      <c r="H100" s="26">
        <f t="shared" si="21"/>
        <v>205.46642249794851</v>
      </c>
      <c r="I100" s="27">
        <f t="shared" si="22"/>
        <v>120580.71869240611</v>
      </c>
      <c r="K100" s="18">
        <f t="shared" si="15"/>
        <v>0.21454679758671585</v>
      </c>
      <c r="L100" s="22">
        <f t="shared" si="23"/>
        <v>1.6999999999999999E-3</v>
      </c>
      <c r="N100" s="13">
        <f t="shared" si="24"/>
        <v>102730.26979472188</v>
      </c>
      <c r="O100" s="13">
        <f t="shared" si="25"/>
        <v>1129.3256714920094</v>
      </c>
      <c r="X100" s="1">
        <f t="shared" si="16"/>
        <v>-1313.8521765230826</v>
      </c>
    </row>
    <row r="101" spans="1:24" x14ac:dyDescent="0.2">
      <c r="A101" s="7">
        <f t="shared" si="14"/>
        <v>4.0581138130483781E-3</v>
      </c>
      <c r="B101" s="4">
        <f t="shared" si="26"/>
        <v>95</v>
      </c>
      <c r="C101" s="4">
        <f t="shared" si="17"/>
        <v>247</v>
      </c>
      <c r="D101" s="8">
        <f t="shared" si="27"/>
        <v>20.583333333333332</v>
      </c>
      <c r="E101" s="23">
        <f t="shared" si="18"/>
        <v>769.7036330097477</v>
      </c>
      <c r="F101" s="24">
        <f t="shared" si="19"/>
        <v>488.18104733767655</v>
      </c>
      <c r="G101" s="25">
        <f t="shared" si="20"/>
        <v>1312.8846803474244</v>
      </c>
      <c r="H101" s="26">
        <f t="shared" si="21"/>
        <v>204.98722177709038</v>
      </c>
      <c r="I101" s="27">
        <f t="shared" si="22"/>
        <v>120297.52486684552</v>
      </c>
      <c r="K101" s="18">
        <f t="shared" si="15"/>
        <v>0.21570350374234354</v>
      </c>
      <c r="L101" s="22">
        <f t="shared" si="23"/>
        <v>1.6999999999999999E-3</v>
      </c>
      <c r="N101" s="13">
        <f t="shared" si="24"/>
        <v>102314.35777126146</v>
      </c>
      <c r="O101" s="13">
        <f t="shared" si="25"/>
        <v>1126.6707777499466</v>
      </c>
      <c r="X101" s="1">
        <f t="shared" si="16"/>
        <v>-1312.8846803474244</v>
      </c>
    </row>
    <row r="102" spans="1:24" x14ac:dyDescent="0.2">
      <c r="A102" s="7">
        <f t="shared" si="14"/>
        <v>4.0746774281614001E-3</v>
      </c>
      <c r="B102" s="4">
        <f t="shared" si="26"/>
        <v>96</v>
      </c>
      <c r="C102" s="4">
        <f t="shared" si="17"/>
        <v>246</v>
      </c>
      <c r="D102" s="8">
        <f t="shared" si="27"/>
        <v>20.5</v>
      </c>
      <c r="E102" s="23">
        <f t="shared" si="18"/>
        <v>767.89592014533889</v>
      </c>
      <c r="F102" s="24">
        <f t="shared" si="19"/>
        <v>489.01432872701429</v>
      </c>
      <c r="G102" s="25">
        <f t="shared" si="20"/>
        <v>1311.9102488723531</v>
      </c>
      <c r="H102" s="26">
        <f t="shared" si="21"/>
        <v>204.50579227363735</v>
      </c>
      <c r="I102" s="27">
        <f t="shared" si="22"/>
        <v>120013.01633039213</v>
      </c>
      <c r="K102" s="18">
        <f t="shared" si="15"/>
        <v>0.21686585396975519</v>
      </c>
      <c r="L102" s="22">
        <f t="shared" si="23"/>
        <v>1.6999999999999999E-3</v>
      </c>
      <c r="N102" s="13">
        <f t="shared" si="24"/>
        <v>101898.44574780104</v>
      </c>
      <c r="O102" s="13">
        <f t="shared" si="25"/>
        <v>1124.0158840078839</v>
      </c>
      <c r="X102" s="1">
        <f t="shared" si="16"/>
        <v>-1311.9102488723531</v>
      </c>
    </row>
    <row r="103" spans="1:24" x14ac:dyDescent="0.2">
      <c r="A103" s="7">
        <f t="shared" si="14"/>
        <v>4.0913768096671049E-3</v>
      </c>
      <c r="B103" s="4">
        <f t="shared" si="26"/>
        <v>97</v>
      </c>
      <c r="C103" s="4">
        <f t="shared" si="17"/>
        <v>245</v>
      </c>
      <c r="D103" s="8">
        <f t="shared" si="27"/>
        <v>20.416666666666668</v>
      </c>
      <c r="E103" s="23">
        <f t="shared" si="18"/>
        <v>766.07981507891384</v>
      </c>
      <c r="F103" s="24">
        <f t="shared" si="19"/>
        <v>489.84904624649846</v>
      </c>
      <c r="G103" s="25">
        <f t="shared" si="20"/>
        <v>1310.9288613254123</v>
      </c>
      <c r="H103" s="26">
        <f t="shared" si="21"/>
        <v>204.02212776166661</v>
      </c>
      <c r="I103" s="27">
        <f t="shared" si="22"/>
        <v>119727.1894119073</v>
      </c>
      <c r="K103" s="18">
        <f t="shared" si="15"/>
        <v>0.21803388949408514</v>
      </c>
      <c r="L103" s="22">
        <f t="shared" si="23"/>
        <v>1.6999999999999999E-3</v>
      </c>
      <c r="N103" s="13">
        <f t="shared" si="24"/>
        <v>101482.53372434064</v>
      </c>
      <c r="O103" s="13">
        <f t="shared" si="25"/>
        <v>1121.3609902658206</v>
      </c>
      <c r="X103" s="1">
        <f t="shared" si="16"/>
        <v>-1310.9288613254123</v>
      </c>
    </row>
    <row r="104" spans="1:24" x14ac:dyDescent="0.2">
      <c r="A104" s="7">
        <f t="shared" si="14"/>
        <v>4.1082136336820932E-3</v>
      </c>
      <c r="B104" s="4">
        <f t="shared" si="26"/>
        <v>98</v>
      </c>
      <c r="C104" s="4">
        <f t="shared" si="17"/>
        <v>244</v>
      </c>
      <c r="D104" s="8">
        <f t="shared" si="27"/>
        <v>20.333333333333332</v>
      </c>
      <c r="E104" s="23">
        <f t="shared" si="18"/>
        <v>764.25529437647083</v>
      </c>
      <c r="F104" s="24">
        <f t="shared" si="19"/>
        <v>490.68520250781677</v>
      </c>
      <c r="G104" s="25">
        <f t="shared" si="20"/>
        <v>1309.9404968842875</v>
      </c>
      <c r="H104" s="26">
        <f t="shared" si="21"/>
        <v>203.53622200024239</v>
      </c>
      <c r="I104" s="27">
        <f t="shared" si="22"/>
        <v>119440.04043139973</v>
      </c>
      <c r="K104" s="18">
        <f t="shared" si="15"/>
        <v>0.21920765194339925</v>
      </c>
      <c r="L104" s="22">
        <f t="shared" si="23"/>
        <v>1.6999999999999999E-3</v>
      </c>
      <c r="N104" s="13">
        <f t="shared" si="24"/>
        <v>101066.62170088023</v>
      </c>
      <c r="O104" s="13">
        <f t="shared" si="25"/>
        <v>1118.7060965237579</v>
      </c>
      <c r="X104" s="1">
        <f t="shared" si="16"/>
        <v>-1309.9404968842875</v>
      </c>
    </row>
    <row r="105" spans="1:24" x14ac:dyDescent="0.2">
      <c r="A105" s="7">
        <f t="shared" si="14"/>
        <v>4.1251896040271751E-3</v>
      </c>
      <c r="B105" s="4">
        <f t="shared" si="26"/>
        <v>99</v>
      </c>
      <c r="C105" s="4">
        <f t="shared" si="17"/>
        <v>243</v>
      </c>
      <c r="D105" s="8">
        <f t="shared" si="27"/>
        <v>20.25</v>
      </c>
      <c r="E105" s="23">
        <f t="shared" si="18"/>
        <v>762.42233454749908</v>
      </c>
      <c r="F105" s="24">
        <f t="shared" si="19"/>
        <v>491.52280012921699</v>
      </c>
      <c r="G105" s="25">
        <f t="shared" si="20"/>
        <v>1308.945134676716</v>
      </c>
      <c r="H105" s="26">
        <f t="shared" si="21"/>
        <v>203.04806873337952</v>
      </c>
      <c r="I105" s="27">
        <f t="shared" si="22"/>
        <v>119151.56570000389</v>
      </c>
      <c r="K105" s="18">
        <f t="shared" si="15"/>
        <v>0.22038718335362859</v>
      </c>
      <c r="L105" s="22">
        <f t="shared" si="23"/>
        <v>1.6999999999999999E-3</v>
      </c>
      <c r="N105" s="13">
        <f t="shared" si="24"/>
        <v>100650.70967741981</v>
      </c>
      <c r="O105" s="13">
        <f t="shared" si="25"/>
        <v>1116.0512027816951</v>
      </c>
      <c r="X105" s="1">
        <f t="shared" si="16"/>
        <v>-1308.945134676716</v>
      </c>
    </row>
    <row r="106" spans="1:24" x14ac:dyDescent="0.2">
      <c r="A106" s="7">
        <f t="shared" si="14"/>
        <v>4.1423064528021457E-3</v>
      </c>
      <c r="B106" s="4">
        <f t="shared" si="26"/>
        <v>100</v>
      </c>
      <c r="C106" s="4">
        <f t="shared" si="17"/>
        <v>242</v>
      </c>
      <c r="D106" s="8">
        <f t="shared" si="27"/>
        <v>20.166666666666668</v>
      </c>
      <c r="E106" s="23">
        <f t="shared" si="18"/>
        <v>760.58091204484094</v>
      </c>
      <c r="F106" s="24">
        <f t="shared" si="19"/>
        <v>492.3618417355533</v>
      </c>
      <c r="G106" s="25">
        <f t="shared" si="20"/>
        <v>1307.9427537803942</v>
      </c>
      <c r="H106" s="26">
        <f t="shared" si="21"/>
        <v>202.5576616900066</v>
      </c>
      <c r="I106" s="27">
        <f t="shared" si="22"/>
        <v>118861.76151995835</v>
      </c>
      <c r="K106" s="18">
        <f t="shared" si="15"/>
        <v>0.22157252617357692</v>
      </c>
      <c r="L106" s="22">
        <f t="shared" si="23"/>
        <v>1.6999999999999999E-3</v>
      </c>
      <c r="N106" s="13">
        <f t="shared" si="24"/>
        <v>100234.79765395939</v>
      </c>
      <c r="O106" s="13">
        <f t="shared" si="25"/>
        <v>1113.3963090396321</v>
      </c>
      <c r="X106" s="1">
        <f t="shared" si="16"/>
        <v>-1307.9427537803942</v>
      </c>
    </row>
    <row r="107" spans="1:24" x14ac:dyDescent="0.2">
      <c r="A107" s="7">
        <f t="shared" si="14"/>
        <v>4.1595659409749278E-3</v>
      </c>
      <c r="B107" s="4">
        <f t="shared" si="26"/>
        <v>101</v>
      </c>
      <c r="C107" s="4">
        <f t="shared" si="17"/>
        <v>241</v>
      </c>
      <c r="D107" s="8">
        <f t="shared" si="27"/>
        <v>20.083333333333332</v>
      </c>
      <c r="E107" s="23">
        <f t="shared" si="18"/>
        <v>758.73100326455335</v>
      </c>
      <c r="F107" s="24">
        <f t="shared" si="19"/>
        <v>493.20232995833339</v>
      </c>
      <c r="G107" s="25">
        <f t="shared" si="20"/>
        <v>1306.9333332228866</v>
      </c>
      <c r="H107" s="26">
        <f t="shared" si="21"/>
        <v>202.06499458392918</v>
      </c>
      <c r="I107" s="27">
        <f t="shared" si="22"/>
        <v>118570.62418458394</v>
      </c>
      <c r="K107" s="18">
        <f t="shared" si="15"/>
        <v>0.22276372327000182</v>
      </c>
      <c r="L107" s="22">
        <f t="shared" si="23"/>
        <v>1.6999999999999999E-3</v>
      </c>
      <c r="N107" s="13">
        <f t="shared" si="24"/>
        <v>99818.885630498989</v>
      </c>
      <c r="O107" s="13">
        <f t="shared" si="25"/>
        <v>1110.7414152975691</v>
      </c>
      <c r="X107" s="1">
        <f t="shared" si="16"/>
        <v>-1306.9333332228866</v>
      </c>
    </row>
    <row r="108" spans="1:24" x14ac:dyDescent="0.2">
      <c r="A108" s="7">
        <f t="shared" si="14"/>
        <v>4.1769698589854973E-3</v>
      </c>
      <c r="B108" s="4">
        <f t="shared" si="26"/>
        <v>102</v>
      </c>
      <c r="C108" s="4">
        <f t="shared" si="17"/>
        <v>240</v>
      </c>
      <c r="D108" s="8">
        <f t="shared" si="27"/>
        <v>20</v>
      </c>
      <c r="E108" s="23">
        <f t="shared" si="18"/>
        <v>756.87258454576886</v>
      </c>
      <c r="F108" s="24">
        <f t="shared" si="19"/>
        <v>494.04426743576641</v>
      </c>
      <c r="G108" s="25">
        <f t="shared" si="20"/>
        <v>1305.9168519815353</v>
      </c>
      <c r="H108" s="26">
        <f t="shared" si="21"/>
        <v>201.57006111379269</v>
      </c>
      <c r="I108" s="27">
        <f t="shared" si="22"/>
        <v>118278.14997826196</v>
      </c>
      <c r="K108" s="18">
        <f t="shared" si="15"/>
        <v>0.22396081793277073</v>
      </c>
      <c r="L108" s="22">
        <f t="shared" si="23"/>
        <v>1.6999999999999999E-3</v>
      </c>
      <c r="N108" s="13">
        <f t="shared" si="24"/>
        <v>99402.973607038584</v>
      </c>
      <c r="O108" s="13">
        <f t="shared" si="25"/>
        <v>1108.0865215555064</v>
      </c>
      <c r="X108" s="1">
        <f t="shared" si="16"/>
        <v>-1305.9168519815353</v>
      </c>
    </row>
    <row r="109" spans="1:24" x14ac:dyDescent="0.2">
      <c r="A109" s="7">
        <f t="shared" si="14"/>
        <v>4.1945200273650488E-3</v>
      </c>
      <c r="B109" s="4">
        <f t="shared" si="26"/>
        <v>103</v>
      </c>
      <c r="C109" s="4">
        <f t="shared" si="17"/>
        <v>239</v>
      </c>
      <c r="D109" s="8">
        <f t="shared" si="27"/>
        <v>19.916666666666668</v>
      </c>
      <c r="E109" s="23">
        <f t="shared" si="18"/>
        <v>755.00563217055594</v>
      </c>
      <c r="F109" s="24">
        <f t="shared" si="19"/>
        <v>494.88765681281154</v>
      </c>
      <c r="G109" s="25">
        <f t="shared" si="20"/>
        <v>1304.8932889833675</v>
      </c>
      <c r="H109" s="26">
        <f t="shared" si="21"/>
        <v>201.07285496304533</v>
      </c>
      <c r="I109" s="27">
        <f t="shared" si="22"/>
        <v>117984.33517641219</v>
      </c>
      <c r="K109" s="18">
        <f t="shared" si="15"/>
        <v>0.22516385388009399</v>
      </c>
      <c r="L109" s="22">
        <f t="shared" si="23"/>
        <v>1.6999999999999999E-3</v>
      </c>
      <c r="N109" s="13">
        <f t="shared" si="24"/>
        <v>98987.061583578165</v>
      </c>
      <c r="O109" s="13">
        <f t="shared" si="25"/>
        <v>1105.4316278134436</v>
      </c>
      <c r="X109" s="1">
        <f t="shared" si="16"/>
        <v>-1304.8932889833675</v>
      </c>
    </row>
    <row r="110" spans="1:24" x14ac:dyDescent="0.2">
      <c r="A110" s="7">
        <f t="shared" si="14"/>
        <v>4.2122182973708174E-3</v>
      </c>
      <c r="B110" s="4">
        <f t="shared" si="26"/>
        <v>104</v>
      </c>
      <c r="C110" s="4">
        <f t="shared" si="17"/>
        <v>238</v>
      </c>
      <c r="D110" s="8">
        <f t="shared" si="27"/>
        <v>19.833333333333332</v>
      </c>
      <c r="E110" s="23">
        <f t="shared" si="18"/>
        <v>753.13012236377904</v>
      </c>
      <c r="F110" s="24">
        <f t="shared" si="19"/>
        <v>495.73250074122768</v>
      </c>
      <c r="G110" s="25">
        <f t="shared" si="20"/>
        <v>1303.8626231050066</v>
      </c>
      <c r="H110" s="26">
        <f t="shared" si="21"/>
        <v>200.57336979990072</v>
      </c>
      <c r="I110" s="27">
        <f t="shared" si="22"/>
        <v>117689.17604547086</v>
      </c>
      <c r="K110" s="18">
        <f t="shared" si="15"/>
        <v>0.22637287526383545</v>
      </c>
      <c r="L110" s="22">
        <f t="shared" si="23"/>
        <v>1.6999999999999999E-3</v>
      </c>
      <c r="N110" s="13">
        <f t="shared" si="24"/>
        <v>98571.149560117745</v>
      </c>
      <c r="O110" s="13">
        <f t="shared" si="25"/>
        <v>1102.7767340713806</v>
      </c>
      <c r="X110" s="1">
        <f t="shared" si="16"/>
        <v>-1303.8626231050066</v>
      </c>
    </row>
    <row r="111" spans="1:24" x14ac:dyDescent="0.2">
      <c r="A111" s="7">
        <f t="shared" si="14"/>
        <v>4.2300665516370574E-3</v>
      </c>
      <c r="B111" s="4">
        <f t="shared" si="26"/>
        <v>105</v>
      </c>
      <c r="C111" s="4">
        <f t="shared" si="17"/>
        <v>237</v>
      </c>
      <c r="D111" s="8">
        <f t="shared" si="27"/>
        <v>19.75</v>
      </c>
      <c r="E111" s="23">
        <f t="shared" si="18"/>
        <v>751.24603129295804</v>
      </c>
      <c r="F111" s="24">
        <f t="shared" si="19"/>
        <v>496.57880187962388</v>
      </c>
      <c r="G111" s="25">
        <f t="shared" si="20"/>
        <v>1302.824833172582</v>
      </c>
      <c r="H111" s="26">
        <f t="shared" si="21"/>
        <v>200.07159927730044</v>
      </c>
      <c r="I111" s="27">
        <f t="shared" si="22"/>
        <v>117392.66884286853</v>
      </c>
      <c r="K111" s="18">
        <f t="shared" si="15"/>
        <v>0.22758792667490232</v>
      </c>
      <c r="L111" s="22">
        <f t="shared" si="23"/>
        <v>1.6999999999999999E-3</v>
      </c>
      <c r="N111" s="13">
        <f t="shared" si="24"/>
        <v>98155.23753665734</v>
      </c>
      <c r="O111" s="13">
        <f t="shared" si="25"/>
        <v>1100.1218403293176</v>
      </c>
      <c r="X111" s="1">
        <f t="shared" si="16"/>
        <v>-1302.824833172582</v>
      </c>
    </row>
    <row r="112" spans="1:24" x14ac:dyDescent="0.2">
      <c r="A112" s="7">
        <f t="shared" si="14"/>
        <v>4.2480667048426261E-3</v>
      </c>
      <c r="B112" s="4">
        <f t="shared" si="26"/>
        <v>106</v>
      </c>
      <c r="C112" s="4">
        <f t="shared" si="17"/>
        <v>236</v>
      </c>
      <c r="D112" s="8">
        <f t="shared" si="27"/>
        <v>19.666666666666668</v>
      </c>
      <c r="E112" s="23">
        <f t="shared" si="18"/>
        <v>749.35333506812674</v>
      </c>
      <c r="F112" s="24">
        <f t="shared" si="19"/>
        <v>497.42656289351072</v>
      </c>
      <c r="G112" s="25">
        <f t="shared" si="20"/>
        <v>1301.7798979616375</v>
      </c>
      <c r="H112" s="26">
        <f t="shared" si="21"/>
        <v>199.56753703287649</v>
      </c>
      <c r="I112" s="27">
        <f t="shared" si="22"/>
        <v>117094.8098170079</v>
      </c>
      <c r="K112" s="18">
        <f t="shared" si="15"/>
        <v>0.22880905314871586</v>
      </c>
      <c r="L112" s="22">
        <f t="shared" si="23"/>
        <v>1.6999999999999999E-3</v>
      </c>
      <c r="N112" s="13">
        <f t="shared" si="24"/>
        <v>97739.325513196934</v>
      </c>
      <c r="O112" s="13">
        <f t="shared" si="25"/>
        <v>1097.4669465872548</v>
      </c>
      <c r="X112" s="1">
        <f t="shared" si="16"/>
        <v>-1301.7798979616375</v>
      </c>
    </row>
    <row r="113" spans="1:24" x14ac:dyDescent="0.2">
      <c r="A113" s="7">
        <f t="shared" si="14"/>
        <v>4.2662207043957E-3</v>
      </c>
      <c r="B113" s="4">
        <f t="shared" si="26"/>
        <v>107</v>
      </c>
      <c r="C113" s="4">
        <f t="shared" si="17"/>
        <v>235</v>
      </c>
      <c r="D113" s="8">
        <f t="shared" si="27"/>
        <v>19.583333333333332</v>
      </c>
      <c r="E113" s="23">
        <f t="shared" si="18"/>
        <v>747.4520097416912</v>
      </c>
      <c r="F113" s="24">
        <f t="shared" si="19"/>
        <v>498.27578645535277</v>
      </c>
      <c r="G113" s="25">
        <f t="shared" si="20"/>
        <v>1300.727796197044</v>
      </c>
      <c r="H113" s="26">
        <f t="shared" si="21"/>
        <v>199.06117668891343</v>
      </c>
      <c r="I113" s="27">
        <f t="shared" si="22"/>
        <v>116795.59520724147</v>
      </c>
      <c r="K113" s="18">
        <f t="shared" si="15"/>
        <v>0.23003630017076387</v>
      </c>
      <c r="L113" s="22">
        <f t="shared" si="23"/>
        <v>1.6999999999999999E-3</v>
      </c>
      <c r="N113" s="13">
        <f t="shared" si="24"/>
        <v>97323.413489736515</v>
      </c>
      <c r="O113" s="13">
        <f t="shared" si="25"/>
        <v>1094.8120528451921</v>
      </c>
      <c r="X113" s="1">
        <f t="shared" si="16"/>
        <v>-1300.727796197044</v>
      </c>
    </row>
    <row r="114" spans="1:24" x14ac:dyDescent="0.2">
      <c r="A114" s="7">
        <f t="shared" si="14"/>
        <v>4.2845305311361116E-3</v>
      </c>
      <c r="B114" s="4">
        <f t="shared" si="26"/>
        <v>108</v>
      </c>
      <c r="C114" s="4">
        <f t="shared" si="17"/>
        <v>234</v>
      </c>
      <c r="D114" s="8">
        <f t="shared" si="27"/>
        <v>19.5</v>
      </c>
      <c r="E114" s="23">
        <f t="shared" si="18"/>
        <v>745.54203130828739</v>
      </c>
      <c r="F114" s="24">
        <f t="shared" si="19"/>
        <v>499.12647524462164</v>
      </c>
      <c r="G114" s="25">
        <f t="shared" si="20"/>
        <v>1299.6685065529091</v>
      </c>
      <c r="H114" s="26">
        <f t="shared" si="21"/>
        <v>198.55251185231049</v>
      </c>
      <c r="I114" s="27">
        <f t="shared" si="22"/>
        <v>116495.02124384916</v>
      </c>
      <c r="K114" s="18">
        <f t="shared" si="15"/>
        <v>0.23126971368223648</v>
      </c>
      <c r="L114" s="22">
        <f t="shared" si="23"/>
        <v>1.6999999999999999E-3</v>
      </c>
      <c r="N114" s="13">
        <f t="shared" si="24"/>
        <v>96907.501466276095</v>
      </c>
      <c r="O114" s="13">
        <f t="shared" si="25"/>
        <v>1092.1571591031291</v>
      </c>
      <c r="X114" s="1">
        <f t="shared" si="16"/>
        <v>-1299.6685065529091</v>
      </c>
    </row>
    <row r="115" spans="1:24" x14ac:dyDescent="0.2">
      <c r="A115" s="7">
        <f t="shared" si="14"/>
        <v>4.3029982000558527E-3</v>
      </c>
      <c r="B115" s="4">
        <f t="shared" si="26"/>
        <v>109</v>
      </c>
      <c r="C115" s="4">
        <f t="shared" si="17"/>
        <v>233</v>
      </c>
      <c r="D115" s="8">
        <f t="shared" si="27"/>
        <v>19.416666666666668</v>
      </c>
      <c r="E115" s="23">
        <f t="shared" si="18"/>
        <v>743.62337570463853</v>
      </c>
      <c r="F115" s="24">
        <f t="shared" si="19"/>
        <v>499.97863194785049</v>
      </c>
      <c r="G115" s="25">
        <f t="shared" si="20"/>
        <v>1298.602007652489</v>
      </c>
      <c r="H115" s="26">
        <f t="shared" si="21"/>
        <v>198.04153611454356</v>
      </c>
      <c r="I115" s="27">
        <f t="shared" si="22"/>
        <v>116193.08414801586</v>
      </c>
      <c r="K115" s="18">
        <f t="shared" si="15"/>
        <v>0.23250934008574739</v>
      </c>
      <c r="L115" s="22">
        <f t="shared" si="23"/>
        <v>1.6999999999999999E-3</v>
      </c>
      <c r="N115" s="13">
        <f t="shared" si="24"/>
        <v>96491.58944281569</v>
      </c>
      <c r="O115" s="13">
        <f t="shared" si="25"/>
        <v>1089.5022653610661</v>
      </c>
      <c r="X115" s="1">
        <f t="shared" si="16"/>
        <v>-1298.602007652489</v>
      </c>
    </row>
    <row r="116" spans="1:24" x14ac:dyDescent="0.2">
      <c r="A116" s="7">
        <f t="shared" si="14"/>
        <v>4.3216257610382966E-3</v>
      </c>
      <c r="B116" s="4">
        <f t="shared" si="26"/>
        <v>110</v>
      </c>
      <c r="C116" s="4">
        <f t="shared" si="17"/>
        <v>232</v>
      </c>
      <c r="D116" s="8">
        <f t="shared" si="27"/>
        <v>19.333333333333332</v>
      </c>
      <c r="E116" s="23">
        <f t="shared" si="18"/>
        <v>741.69601880941093</v>
      </c>
      <c r="F116" s="24">
        <f t="shared" si="19"/>
        <v>500.83225925868902</v>
      </c>
      <c r="G116" s="25">
        <f t="shared" si="20"/>
        <v>1297.5282780681</v>
      </c>
      <c r="H116" s="26">
        <f t="shared" si="21"/>
        <v>197.52824305162693</v>
      </c>
      <c r="I116" s="27">
        <f t="shared" si="22"/>
        <v>115889.78013180879</v>
      </c>
      <c r="K116" s="18">
        <f t="shared" si="15"/>
        <v>0.23375522625114098</v>
      </c>
      <c r="L116" s="22">
        <f t="shared" si="23"/>
        <v>1.6999999999999999E-3</v>
      </c>
      <c r="N116" s="13">
        <f t="shared" si="24"/>
        <v>96075.677419355285</v>
      </c>
      <c r="O116" s="13">
        <f t="shared" si="25"/>
        <v>1086.8473716190033</v>
      </c>
      <c r="X116" s="1">
        <f t="shared" si="16"/>
        <v>-1297.5282780681</v>
      </c>
    </row>
    <row r="117" spans="1:24" x14ac:dyDescent="0.2">
      <c r="A117" s="7">
        <f t="shared" si="14"/>
        <v>4.340415299616698E-3</v>
      </c>
      <c r="B117" s="4">
        <f t="shared" si="26"/>
        <v>111</v>
      </c>
      <c r="C117" s="4">
        <f t="shared" si="17"/>
        <v>231</v>
      </c>
      <c r="D117" s="8">
        <f t="shared" si="27"/>
        <v>19.25</v>
      </c>
      <c r="E117" s="23">
        <f t="shared" si="18"/>
        <v>739.7599364430705</v>
      </c>
      <c r="F117" s="24">
        <f t="shared" si="19"/>
        <v>501.68735987796015</v>
      </c>
      <c r="G117" s="25">
        <f t="shared" si="20"/>
        <v>1296.4472963210305</v>
      </c>
      <c r="H117" s="26">
        <f t="shared" si="21"/>
        <v>197.01262622407492</v>
      </c>
      <c r="I117" s="27">
        <f t="shared" si="22"/>
        <v>115585.1053981549</v>
      </c>
      <c r="K117" s="18">
        <f t="shared" si="15"/>
        <v>0.23500741952138771</v>
      </c>
      <c r="L117" s="22">
        <f t="shared" si="23"/>
        <v>1.6999999999999999E-3</v>
      </c>
      <c r="N117" s="13">
        <f t="shared" si="24"/>
        <v>95659.765395894865</v>
      </c>
      <c r="O117" s="13">
        <f t="shared" si="25"/>
        <v>1084.1924778769405</v>
      </c>
      <c r="X117" s="1">
        <f t="shared" si="16"/>
        <v>-1296.4472963210305</v>
      </c>
    </row>
    <row r="118" spans="1:24" x14ac:dyDescent="0.2">
      <c r="A118" s="7">
        <f t="shared" si="14"/>
        <v>4.3593689377525707E-3</v>
      </c>
      <c r="B118" s="4">
        <f t="shared" si="26"/>
        <v>112</v>
      </c>
      <c r="C118" s="4">
        <f t="shared" si="17"/>
        <v>230</v>
      </c>
      <c r="D118" s="8">
        <f t="shared" si="27"/>
        <v>19.166666666666668</v>
      </c>
      <c r="E118" s="23">
        <f t="shared" si="18"/>
        <v>737.81510436773772</v>
      </c>
      <c r="F118" s="24">
        <f t="shared" si="19"/>
        <v>502.54393651371697</v>
      </c>
      <c r="G118" s="25">
        <f t="shared" si="20"/>
        <v>1295.3590408814548</v>
      </c>
      <c r="H118" s="26">
        <f t="shared" si="21"/>
        <v>196.49467917686331</v>
      </c>
      <c r="I118" s="27">
        <f t="shared" si="22"/>
        <v>115279.05614081805</v>
      </c>
      <c r="K118" s="18">
        <f t="shared" si="15"/>
        <v>0.2362659677185685</v>
      </c>
      <c r="L118" s="22">
        <f t="shared" si="23"/>
        <v>1.6999999999999999E-3</v>
      </c>
      <c r="N118" s="13">
        <f t="shared" si="24"/>
        <v>95243.853372434445</v>
      </c>
      <c r="O118" s="13">
        <f t="shared" si="25"/>
        <v>1081.5375841348773</v>
      </c>
      <c r="X118" s="1">
        <f t="shared" si="16"/>
        <v>-1295.3590408814548</v>
      </c>
    </row>
    <row r="119" spans="1:24" x14ac:dyDescent="0.2">
      <c r="A119" s="7">
        <f t="shared" si="14"/>
        <v>4.3784888346345471E-3</v>
      </c>
      <c r="B119" s="4">
        <f t="shared" si="26"/>
        <v>113</v>
      </c>
      <c r="C119" s="4">
        <f t="shared" si="17"/>
        <v>229</v>
      </c>
      <c r="D119" s="8">
        <f t="shared" si="27"/>
        <v>19.083333333333332</v>
      </c>
      <c r="E119" s="23">
        <f t="shared" si="18"/>
        <v>735.8614982870422</v>
      </c>
      <c r="F119" s="24">
        <f t="shared" si="19"/>
        <v>503.40199188130151</v>
      </c>
      <c r="G119" s="25">
        <f t="shared" si="20"/>
        <v>1294.2634901683437</v>
      </c>
      <c r="H119" s="26">
        <f t="shared" si="21"/>
        <v>195.97439543939066</v>
      </c>
      <c r="I119" s="27">
        <f t="shared" si="22"/>
        <v>114971.62854437614</v>
      </c>
      <c r="K119" s="18">
        <f t="shared" si="15"/>
        <v>0.23753091914995147</v>
      </c>
      <c r="L119" s="22">
        <f t="shared" si="23"/>
        <v>1.6999999999999999E-3</v>
      </c>
      <c r="N119" s="13">
        <f t="shared" si="24"/>
        <v>94827.94134897404</v>
      </c>
      <c r="O119" s="13">
        <f t="shared" si="25"/>
        <v>1078.8826903928145</v>
      </c>
      <c r="X119" s="1">
        <f t="shared" si="16"/>
        <v>-1294.2634901683437</v>
      </c>
    </row>
    <row r="120" spans="1:24" x14ac:dyDescent="0.2">
      <c r="A120" s="7">
        <f t="shared" si="14"/>
        <v>4.3977771874983505E-3</v>
      </c>
      <c r="B120" s="4">
        <f t="shared" si="26"/>
        <v>114</v>
      </c>
      <c r="C120" s="4">
        <f t="shared" si="17"/>
        <v>228</v>
      </c>
      <c r="D120" s="8">
        <f t="shared" si="27"/>
        <v>19</v>
      </c>
      <c r="E120" s="23">
        <f t="shared" si="18"/>
        <v>733.89909384597718</v>
      </c>
      <c r="F120" s="24">
        <f t="shared" si="19"/>
        <v>504.26152870340417</v>
      </c>
      <c r="G120" s="25">
        <f t="shared" si="20"/>
        <v>1293.1606225493813</v>
      </c>
      <c r="H120" s="26">
        <f t="shared" si="21"/>
        <v>195.45176852543943</v>
      </c>
      <c r="I120" s="27">
        <f t="shared" si="22"/>
        <v>114662.81878419819</v>
      </c>
      <c r="K120" s="18">
        <f t="shared" si="15"/>
        <v>0.23880232261415954</v>
      </c>
      <c r="L120" s="22">
        <f t="shared" si="23"/>
        <v>1.6999999999999999E-3</v>
      </c>
      <c r="N120" s="13">
        <f t="shared" si="24"/>
        <v>94412.029325513635</v>
      </c>
      <c r="O120" s="13">
        <f t="shared" si="25"/>
        <v>1076.2277966507518</v>
      </c>
      <c r="X120" s="1">
        <f t="shared" si="16"/>
        <v>-1293.1606225493813</v>
      </c>
    </row>
    <row r="121" spans="1:24" x14ac:dyDescent="0.2">
      <c r="A121" s="7">
        <f t="shared" si="14"/>
        <v>4.4172362324685424E-3</v>
      </c>
      <c r="B121" s="4">
        <f t="shared" si="26"/>
        <v>115</v>
      </c>
      <c r="C121" s="4">
        <f t="shared" si="17"/>
        <v>227</v>
      </c>
      <c r="D121" s="8">
        <f t="shared" si="27"/>
        <v>18.916666666666668</v>
      </c>
      <c r="E121" s="23">
        <f t="shared" si="18"/>
        <v>731.92786663075231</v>
      </c>
      <c r="F121" s="24">
        <f t="shared" si="19"/>
        <v>505.12254971012419</v>
      </c>
      <c r="G121" s="25">
        <f t="shared" si="20"/>
        <v>1292.0504163408764</v>
      </c>
      <c r="H121" s="26">
        <f t="shared" si="21"/>
        <v>194.92679193313691</v>
      </c>
      <c r="I121" s="27">
        <f t="shared" si="22"/>
        <v>114352.62302642119</v>
      </c>
      <c r="K121" s="18">
        <f t="shared" si="15"/>
        <v>0.24008022740743395</v>
      </c>
      <c r="L121" s="22">
        <f t="shared" si="23"/>
        <v>1.6999999999999999E-3</v>
      </c>
      <c r="N121" s="13">
        <f t="shared" si="24"/>
        <v>93996.117302053215</v>
      </c>
      <c r="O121" s="13">
        <f t="shared" si="25"/>
        <v>1073.572902908689</v>
      </c>
      <c r="X121" s="1">
        <f t="shared" si="16"/>
        <v>-1292.0504163408764</v>
      </c>
    </row>
    <row r="122" spans="1:24" x14ac:dyDescent="0.2">
      <c r="A122" s="7">
        <f t="shared" si="14"/>
        <v>4.4368682454227048E-3</v>
      </c>
      <c r="B122" s="4">
        <f t="shared" si="26"/>
        <v>116</v>
      </c>
      <c r="C122" s="4">
        <f t="shared" si="17"/>
        <v>226</v>
      </c>
      <c r="D122" s="8">
        <f t="shared" si="27"/>
        <v>18.833333333333332</v>
      </c>
      <c r="E122" s="23">
        <f t="shared" si="18"/>
        <v>729.94779216864686</v>
      </c>
      <c r="F122" s="24">
        <f t="shared" si="19"/>
        <v>505.98505763903182</v>
      </c>
      <c r="G122" s="25">
        <f t="shared" si="20"/>
        <v>1290.9328498076786</v>
      </c>
      <c r="H122" s="26">
        <f t="shared" si="21"/>
        <v>194.39945914491602</v>
      </c>
      <c r="I122" s="27">
        <f t="shared" si="22"/>
        <v>114041.03742792708</v>
      </c>
      <c r="K122" s="18">
        <f t="shared" si="15"/>
        <v>0.24136468332999303</v>
      </c>
      <c r="L122" s="22">
        <f t="shared" si="23"/>
        <v>1.6999999999999999E-3</v>
      </c>
      <c r="N122" s="13">
        <f t="shared" si="24"/>
        <v>93580.205278592795</v>
      </c>
      <c r="O122" s="13">
        <f t="shared" si="25"/>
        <v>1070.9180091666258</v>
      </c>
      <c r="X122" s="1">
        <f t="shared" si="16"/>
        <v>-1290.9328498076786</v>
      </c>
    </row>
    <row r="123" spans="1:24" x14ac:dyDescent="0.2">
      <c r="A123" s="7">
        <f t="shared" si="14"/>
        <v>4.4566755428787899E-3</v>
      </c>
      <c r="B123" s="4">
        <f t="shared" si="26"/>
        <v>117</v>
      </c>
      <c r="C123" s="4">
        <f t="shared" si="17"/>
        <v>225</v>
      </c>
      <c r="D123" s="8">
        <f t="shared" si="27"/>
        <v>18.75</v>
      </c>
      <c r="E123" s="23">
        <f t="shared" si="18"/>
        <v>727.9588459278616</v>
      </c>
      <c r="F123" s="24">
        <f t="shared" si="19"/>
        <v>506.84905523523145</v>
      </c>
      <c r="G123" s="25">
        <f t="shared" si="20"/>
        <v>1289.807901163093</v>
      </c>
      <c r="H123" s="26">
        <f t="shared" si="21"/>
        <v>193.86976362747603</v>
      </c>
      <c r="I123" s="27">
        <f t="shared" si="22"/>
        <v>113728.05813631932</v>
      </c>
      <c r="K123" s="18">
        <f t="shared" si="15"/>
        <v>0.24265574069248932</v>
      </c>
      <c r="L123" s="22">
        <f t="shared" si="23"/>
        <v>1.6999999999999999E-3</v>
      </c>
      <c r="N123" s="13">
        <f t="shared" si="24"/>
        <v>93164.29325513239</v>
      </c>
      <c r="O123" s="13">
        <f t="shared" si="25"/>
        <v>1068.263115424563</v>
      </c>
      <c r="X123" s="1">
        <f t="shared" si="16"/>
        <v>-1289.807901163093</v>
      </c>
    </row>
    <row r="124" spans="1:24" x14ac:dyDescent="0.2">
      <c r="A124" s="7">
        <f t="shared" si="14"/>
        <v>4.4766604829063195E-3</v>
      </c>
      <c r="B124" s="4">
        <f t="shared" si="26"/>
        <v>118</v>
      </c>
      <c r="C124" s="4">
        <f t="shared" si="17"/>
        <v>224</v>
      </c>
      <c r="D124" s="8">
        <f t="shared" si="27"/>
        <v>18.666666666666668</v>
      </c>
      <c r="E124" s="23">
        <f t="shared" si="18"/>
        <v>725.96100331737068</v>
      </c>
      <c r="F124" s="24">
        <f t="shared" si="19"/>
        <v>507.71454525142553</v>
      </c>
      <c r="G124" s="25">
        <f t="shared" si="20"/>
        <v>1288.6755485687963</v>
      </c>
      <c r="H124" s="26">
        <f t="shared" si="21"/>
        <v>193.33769883174284</v>
      </c>
      <c r="I124" s="27">
        <f t="shared" si="22"/>
        <v>113413.68128989964</v>
      </c>
      <c r="K124" s="18">
        <f t="shared" si="15"/>
        <v>0.24395345032256549</v>
      </c>
      <c r="L124" s="22">
        <f t="shared" si="23"/>
        <v>1.6999999999999999E-3</v>
      </c>
      <c r="N124" s="13">
        <f t="shared" si="24"/>
        <v>92748.381231671985</v>
      </c>
      <c r="O124" s="13">
        <f t="shared" si="25"/>
        <v>1065.6082216825002</v>
      </c>
      <c r="X124" s="1">
        <f t="shared" si="16"/>
        <v>-1288.6755485687963</v>
      </c>
    </row>
    <row r="125" spans="1:24" x14ac:dyDescent="0.2">
      <c r="A125" s="7">
        <f t="shared" si="14"/>
        <v>4.4968254660622334E-3</v>
      </c>
      <c r="B125" s="4">
        <f t="shared" si="26"/>
        <v>119</v>
      </c>
      <c r="C125" s="4">
        <f t="shared" si="17"/>
        <v>223</v>
      </c>
      <c r="D125" s="8">
        <f t="shared" si="27"/>
        <v>18.583333333333332</v>
      </c>
      <c r="E125" s="23">
        <f t="shared" si="18"/>
        <v>723.95423968677198</v>
      </c>
      <c r="F125" s="24">
        <f t="shared" si="19"/>
        <v>508.58153044798047</v>
      </c>
      <c r="G125" s="25">
        <f t="shared" si="20"/>
        <v>1287.5357701347525</v>
      </c>
      <c r="H125" s="26">
        <f t="shared" si="21"/>
        <v>192.80325819282939</v>
      </c>
      <c r="I125" s="27">
        <f t="shared" si="22"/>
        <v>113097.90301764449</v>
      </c>
      <c r="K125" s="18">
        <f t="shared" si="15"/>
        <v>0.24525786357151225</v>
      </c>
      <c r="L125" s="22">
        <f t="shared" si="23"/>
        <v>1.6999999999999999E-3</v>
      </c>
      <c r="N125" s="13">
        <f t="shared" si="24"/>
        <v>92332.469208211565</v>
      </c>
      <c r="O125" s="13">
        <f t="shared" si="25"/>
        <v>1062.9533279404372</v>
      </c>
      <c r="X125" s="1">
        <f t="shared" si="16"/>
        <v>-1287.5357701347525</v>
      </c>
    </row>
    <row r="126" spans="1:24" x14ac:dyDescent="0.2">
      <c r="A126" s="35">
        <f t="shared" si="14"/>
        <v>4.5171729363521302E-3</v>
      </c>
      <c r="B126" s="36">
        <f t="shared" si="26"/>
        <v>120</v>
      </c>
      <c r="C126" s="36">
        <f t="shared" si="17"/>
        <v>222</v>
      </c>
      <c r="D126" s="37">
        <f t="shared" si="27"/>
        <v>18.5</v>
      </c>
      <c r="E126" s="38">
        <f t="shared" si="18"/>
        <v>721.93853032613742</v>
      </c>
      <c r="F126" s="39">
        <f t="shared" si="19"/>
        <v>509.45001359299323</v>
      </c>
      <c r="G126" s="40">
        <f t="shared" si="20"/>
        <v>1286.3885439191306</v>
      </c>
      <c r="H126" s="41">
        <f t="shared" si="21"/>
        <v>192.26643512999564</v>
      </c>
      <c r="I126" s="42">
        <f t="shared" si="22"/>
        <v>112780.71943918148</v>
      </c>
      <c r="J126" s="43"/>
      <c r="K126" s="44">
        <f t="shared" si="15"/>
        <v>0.24656903232102906</v>
      </c>
      <c r="L126" s="22">
        <f t="shared" si="23"/>
        <v>1.6999999999999999E-3</v>
      </c>
      <c r="M126" s="43"/>
      <c r="N126" s="45">
        <f t="shared" si="24"/>
        <v>91916.557184751146</v>
      </c>
      <c r="O126" s="13">
        <f t="shared" si="25"/>
        <v>1060.2984341983743</v>
      </c>
      <c r="X126" s="1">
        <f t="shared" si="16"/>
        <v>-1286.3885439191306</v>
      </c>
    </row>
    <row r="127" spans="1:24" x14ac:dyDescent="0.2">
      <c r="A127" s="7">
        <f t="shared" si="14"/>
        <v>4.5377053822177309E-3</v>
      </c>
      <c r="B127" s="4">
        <f t="shared" si="26"/>
        <v>121</v>
      </c>
      <c r="C127" s="4">
        <f t="shared" si="17"/>
        <v>221</v>
      </c>
      <c r="D127" s="8">
        <f t="shared" si="27"/>
        <v>18.416666666666668</v>
      </c>
      <c r="E127" s="23">
        <f t="shared" si="18"/>
        <v>719.91385046586231</v>
      </c>
      <c r="F127" s="24">
        <f t="shared" si="19"/>
        <v>510.31999746235965</v>
      </c>
      <c r="G127" s="25">
        <f t="shared" si="20"/>
        <v>1285.2338479282221</v>
      </c>
      <c r="H127" s="26">
        <f t="shared" si="21"/>
        <v>191.72722304660851</v>
      </c>
      <c r="I127" s="27">
        <f t="shared" si="22"/>
        <v>112462.12666476573</v>
      </c>
      <c r="K127" s="18">
        <f t="shared" si="15"/>
        <v>0.24788700899009</v>
      </c>
      <c r="L127" s="22">
        <f t="shared" si="23"/>
        <v>1.6999999999999999E-3</v>
      </c>
      <c r="N127" s="13">
        <f t="shared" si="24"/>
        <v>91500.64516129074</v>
      </c>
      <c r="O127" s="13">
        <f t="shared" si="25"/>
        <v>1057.6435404563113</v>
      </c>
      <c r="X127" s="1">
        <f t="shared" si="16"/>
        <v>-1285.2338479282221</v>
      </c>
    </row>
    <row r="128" spans="1:24" x14ac:dyDescent="0.2">
      <c r="A128" s="7">
        <f t="shared" si="14"/>
        <v>4.5584253375513962E-3</v>
      </c>
      <c r="B128" s="4">
        <f t="shared" si="26"/>
        <v>122</v>
      </c>
      <c r="C128" s="4">
        <f t="shared" si="17"/>
        <v>220</v>
      </c>
      <c r="D128" s="8">
        <f t="shared" si="27"/>
        <v>18.333333333333332</v>
      </c>
      <c r="E128" s="23">
        <f t="shared" si="18"/>
        <v>717.88017527651471</v>
      </c>
      <c r="F128" s="24">
        <f t="shared" si="19"/>
        <v>511.19148483984424</v>
      </c>
      <c r="G128" s="25">
        <f t="shared" si="20"/>
        <v>1284.071660116359</v>
      </c>
      <c r="H128" s="26">
        <f t="shared" si="21"/>
        <v>191.18561533010174</v>
      </c>
      <c r="I128" s="27">
        <f t="shared" si="22"/>
        <v>112142.12079525599</v>
      </c>
      <c r="K128" s="18">
        <f t="shared" si="15"/>
        <v>0.24921184654191689</v>
      </c>
      <c r="L128" s="22">
        <f t="shared" si="23"/>
        <v>1.6999999999999999E-3</v>
      </c>
      <c r="N128" s="13">
        <f t="shared" si="24"/>
        <v>91084.733137830335</v>
      </c>
      <c r="O128" s="13">
        <f t="shared" si="25"/>
        <v>1054.9886467142487</v>
      </c>
      <c r="X128" s="1">
        <f t="shared" si="16"/>
        <v>-1284.071660116359</v>
      </c>
    </row>
    <row r="129" spans="1:24" x14ac:dyDescent="0.2">
      <c r="A129" s="7">
        <f t="shared" si="14"/>
        <v>4.5793353827385617E-3</v>
      </c>
      <c r="B129" s="4">
        <f t="shared" si="26"/>
        <v>123</v>
      </c>
      <c r="C129" s="4">
        <f t="shared" si="17"/>
        <v>219</v>
      </c>
      <c r="D129" s="8">
        <f t="shared" si="27"/>
        <v>18.25</v>
      </c>
      <c r="E129" s="23">
        <f t="shared" si="18"/>
        <v>715.83747986868241</v>
      </c>
      <c r="F129" s="24">
        <f t="shared" si="19"/>
        <v>512.06447851715063</v>
      </c>
      <c r="G129" s="25">
        <f t="shared" si="20"/>
        <v>1282.901958385833</v>
      </c>
      <c r="H129" s="26">
        <f t="shared" si="21"/>
        <v>190.64160535193517</v>
      </c>
      <c r="I129" s="27">
        <f t="shared" si="22"/>
        <v>111820.69792209078</v>
      </c>
      <c r="K129" s="18">
        <f t="shared" si="15"/>
        <v>0.25054359849106062</v>
      </c>
      <c r="L129" s="22">
        <f t="shared" si="23"/>
        <v>1.6999999999999999E-3</v>
      </c>
      <c r="N129" s="13">
        <f t="shared" si="24"/>
        <v>90668.821114369915</v>
      </c>
      <c r="O129" s="13">
        <f t="shared" si="25"/>
        <v>1052.3337529721857</v>
      </c>
      <c r="X129" s="1">
        <f t="shared" si="16"/>
        <v>-1282.901958385833</v>
      </c>
    </row>
    <row r="130" spans="1:24" x14ac:dyDescent="0.2">
      <c r="A130" s="7">
        <f t="shared" si="14"/>
        <v>4.6004381457289993E-3</v>
      </c>
      <c r="B130" s="4">
        <f t="shared" si="26"/>
        <v>124</v>
      </c>
      <c r="C130" s="4">
        <f t="shared" si="17"/>
        <v>218</v>
      </c>
      <c r="D130" s="8">
        <f t="shared" si="27"/>
        <v>18.166666666666668</v>
      </c>
      <c r="E130" s="23">
        <f t="shared" si="18"/>
        <v>713.7857392928214</v>
      </c>
      <c r="F130" s="24">
        <f t="shared" si="19"/>
        <v>512.9389812939944</v>
      </c>
      <c r="G130" s="25">
        <f t="shared" si="20"/>
        <v>1281.7247205868157</v>
      </c>
      <c r="H130" s="26">
        <f t="shared" si="21"/>
        <v>190.09518646755433</v>
      </c>
      <c r="I130" s="27">
        <f t="shared" si="22"/>
        <v>111497.85412726435</v>
      </c>
      <c r="K130" s="18">
        <f t="shared" si="15"/>
        <v>0.25188231891059387</v>
      </c>
      <c r="L130" s="22">
        <f t="shared" si="23"/>
        <v>1.6999999999999999E-3</v>
      </c>
      <c r="N130" s="13">
        <f t="shared" si="24"/>
        <v>90252.909090909496</v>
      </c>
      <c r="O130" s="13">
        <f t="shared" si="25"/>
        <v>1049.6788592301227</v>
      </c>
      <c r="X130" s="1">
        <f t="shared" si="16"/>
        <v>-1281.7247205868157</v>
      </c>
    </row>
    <row r="131" spans="1:24" x14ac:dyDescent="0.2">
      <c r="A131" s="7">
        <f t="shared" si="14"/>
        <v>4.6217363031378356E-3</v>
      </c>
      <c r="B131" s="4">
        <f t="shared" si="26"/>
        <v>125</v>
      </c>
      <c r="C131" s="4">
        <f t="shared" si="17"/>
        <v>217</v>
      </c>
      <c r="D131" s="8">
        <f t="shared" si="27"/>
        <v>18.083333333333332</v>
      </c>
      <c r="E131" s="23">
        <f t="shared" si="18"/>
        <v>711.72492853910171</v>
      </c>
      <c r="F131" s="24">
        <f t="shared" si="19"/>
        <v>513.81499597817674</v>
      </c>
      <c r="G131" s="25">
        <f t="shared" si="20"/>
        <v>1280.5399245172785</v>
      </c>
      <c r="H131" s="26">
        <f t="shared" si="21"/>
        <v>189.54635201634937</v>
      </c>
      <c r="I131" s="27">
        <f t="shared" si="22"/>
        <v>111173.58548330252</v>
      </c>
      <c r="K131" s="18">
        <f t="shared" si="15"/>
        <v>0.2532280624394167</v>
      </c>
      <c r="L131" s="22">
        <f t="shared" si="23"/>
        <v>1.6999999999999999E-3</v>
      </c>
      <c r="N131" s="13">
        <f t="shared" si="24"/>
        <v>89836.997067449091</v>
      </c>
      <c r="O131" s="13">
        <f t="shared" si="25"/>
        <v>1047.0239654880597</v>
      </c>
      <c r="X131" s="1">
        <f t="shared" si="16"/>
        <v>-1280.5399245172785</v>
      </c>
    </row>
    <row r="132" spans="1:24" x14ac:dyDescent="0.2">
      <c r="A132" s="7">
        <f t="shared" si="14"/>
        <v>4.6432325813772941E-3</v>
      </c>
      <c r="B132" s="4">
        <f t="shared" si="26"/>
        <v>126</v>
      </c>
      <c r="C132" s="4">
        <f t="shared" si="17"/>
        <v>216</v>
      </c>
      <c r="D132" s="8">
        <f t="shared" si="27"/>
        <v>18</v>
      </c>
      <c r="E132" s="23">
        <f t="shared" si="18"/>
        <v>709.65502253725367</v>
      </c>
      <c r="F132" s="24">
        <f t="shared" si="19"/>
        <v>514.69252538565979</v>
      </c>
      <c r="G132" s="25">
        <f t="shared" si="20"/>
        <v>1279.3475479229135</v>
      </c>
      <c r="H132" s="26">
        <f t="shared" si="21"/>
        <v>188.99509532161429</v>
      </c>
      <c r="I132" s="27">
        <f t="shared" si="22"/>
        <v>110847.88805323848</v>
      </c>
      <c r="K132" s="18">
        <f t="shared" si="15"/>
        <v>0.25458088428967723</v>
      </c>
      <c r="L132" s="22">
        <f t="shared" si="23"/>
        <v>1.6999999999999999E-3</v>
      </c>
      <c r="N132" s="13">
        <f t="shared" si="24"/>
        <v>89421.085043988685</v>
      </c>
      <c r="O132" s="13">
        <f t="shared" si="25"/>
        <v>1044.369071745997</v>
      </c>
      <c r="X132" s="1">
        <f t="shared" si="16"/>
        <v>-1279.3475479229135</v>
      </c>
    </row>
    <row r="133" spans="1:24" x14ac:dyDescent="0.2">
      <c r="A133" s="7">
        <f t="shared" si="14"/>
        <v>4.664929757820172E-3</v>
      </c>
      <c r="B133" s="4">
        <f t="shared" si="26"/>
        <v>127</v>
      </c>
      <c r="C133" s="4">
        <f t="shared" si="17"/>
        <v>215</v>
      </c>
      <c r="D133" s="8">
        <f t="shared" si="27"/>
        <v>17.916666666666668</v>
      </c>
      <c r="E133" s="23">
        <f t="shared" si="18"/>
        <v>707.575996156413</v>
      </c>
      <c r="F133" s="24">
        <f t="shared" si="19"/>
        <v>515.57157234064414</v>
      </c>
      <c r="G133" s="25">
        <f t="shared" si="20"/>
        <v>1278.1475684970571</v>
      </c>
      <c r="H133" s="26">
        <f t="shared" si="21"/>
        <v>188.4414096905054</v>
      </c>
      <c r="I133" s="27">
        <f t="shared" si="22"/>
        <v>110520.75789058834</v>
      </c>
      <c r="K133" s="18">
        <f t="shared" si="15"/>
        <v>0.25594084025430897</v>
      </c>
      <c r="L133" s="22">
        <f t="shared" si="23"/>
        <v>1.6999999999999999E-3</v>
      </c>
      <c r="N133" s="13">
        <f t="shared" si="24"/>
        <v>89005.173020528266</v>
      </c>
      <c r="O133" s="13">
        <f t="shared" si="25"/>
        <v>1041.7141780039342</v>
      </c>
      <c r="X133" s="1">
        <f t="shared" si="16"/>
        <v>-1278.1475684970571</v>
      </c>
    </row>
    <row r="134" spans="1:24" x14ac:dyDescent="0.2">
      <c r="A134" s="7">
        <f t="shared" si="14"/>
        <v>4.6868306619960833E-3</v>
      </c>
      <c r="B134" s="4">
        <f t="shared" si="26"/>
        <v>128</v>
      </c>
      <c r="C134" s="4">
        <f t="shared" si="17"/>
        <v>214</v>
      </c>
      <c r="D134" s="8">
        <f t="shared" si="27"/>
        <v>17.833333333333332</v>
      </c>
      <c r="E134" s="23">
        <f t="shared" si="18"/>
        <v>705.48782420496536</v>
      </c>
      <c r="F134" s="24">
        <f t="shared" si="19"/>
        <v>516.45213967564644</v>
      </c>
      <c r="G134" s="25">
        <f t="shared" si="20"/>
        <v>1276.9399638806117</v>
      </c>
      <c r="H134" s="26">
        <f t="shared" si="21"/>
        <v>187.88528841400017</v>
      </c>
      <c r="I134" s="27">
        <f t="shared" si="22"/>
        <v>110192.1910393267</v>
      </c>
      <c r="K134" s="18">
        <f t="shared" si="15"/>
        <v>0.25730798671468774</v>
      </c>
      <c r="L134" s="22">
        <f t="shared" si="23"/>
        <v>1.6999999999999999E-3</v>
      </c>
      <c r="N134" s="13">
        <f t="shared" si="24"/>
        <v>88589.260997067846</v>
      </c>
      <c r="O134" s="13">
        <f t="shared" si="25"/>
        <v>1039.0592842618712</v>
      </c>
      <c r="X134" s="1">
        <f t="shared" si="16"/>
        <v>-1276.9399638806117</v>
      </c>
    </row>
    <row r="135" spans="1:24" x14ac:dyDescent="0.2">
      <c r="A135" s="7">
        <f t="shared" ref="A135:A198" si="28">F135/I135</f>
        <v>4.7089381768215715E-3</v>
      </c>
      <c r="B135" s="4">
        <f t="shared" si="26"/>
        <v>129</v>
      </c>
      <c r="C135" s="4">
        <f t="shared" si="17"/>
        <v>213</v>
      </c>
      <c r="D135" s="8">
        <f t="shared" si="27"/>
        <v>17.75</v>
      </c>
      <c r="E135" s="23">
        <f t="shared" si="18"/>
        <v>703.39048143038974</v>
      </c>
      <c r="F135" s="24">
        <f t="shared" si="19"/>
        <v>517.33423023158082</v>
      </c>
      <c r="G135" s="25">
        <f t="shared" si="20"/>
        <v>1275.7247116619706</v>
      </c>
      <c r="H135" s="26">
        <f t="shared" si="21"/>
        <v>187.32672476685539</v>
      </c>
      <c r="I135" s="27">
        <f t="shared" si="22"/>
        <v>109862.18353386197</v>
      </c>
      <c r="K135" s="18">
        <f t="shared" ref="K135:K198" si="29">IF(C135&lt;1,0,(F135-H135)/G135)</f>
        <v>0.25868238064841037</v>
      </c>
      <c r="L135" s="22">
        <f t="shared" si="23"/>
        <v>1.6999999999999999E-3</v>
      </c>
      <c r="N135" s="13">
        <f t="shared" si="24"/>
        <v>88173.348973607441</v>
      </c>
      <c r="O135" s="13">
        <f t="shared" si="25"/>
        <v>1036.4043905198082</v>
      </c>
      <c r="X135" s="1">
        <f t="shared" ref="X135:X198" si="30">-G135</f>
        <v>-1275.7247116619706</v>
      </c>
    </row>
    <row r="136" spans="1:24" x14ac:dyDescent="0.2">
      <c r="A136" s="7">
        <f t="shared" si="28"/>
        <v>4.7312552398651782E-3</v>
      </c>
      <c r="B136" s="4">
        <f t="shared" si="26"/>
        <v>130</v>
      </c>
      <c r="C136" s="4">
        <f t="shared" ref="C136:C199" si="31">IF(C135-1&lt;1,0,C135-1)</f>
        <v>212</v>
      </c>
      <c r="D136" s="8">
        <f t="shared" si="27"/>
        <v>17.666666666666668</v>
      </c>
      <c r="E136" s="23">
        <f t="shared" ref="E136:E199" si="32">I135*$J$4</f>
        <v>701.28394251910129</v>
      </c>
      <c r="F136" s="24">
        <f t="shared" ref="F136:F199" si="33">IF(C136&lt;1,0,I135/C136)</f>
        <v>518.2178468578395</v>
      </c>
      <c r="G136" s="25">
        <f t="shared" ref="G136:G199" si="34">IF(C136&lt;1,0,F136+E136+$L$3+$L$4)</f>
        <v>1274.5017893769409</v>
      </c>
      <c r="H136" s="26">
        <f t="shared" ref="H136:H199" si="35">I135*L136</f>
        <v>186.76571200756533</v>
      </c>
      <c r="I136" s="27">
        <f t="shared" ref="I136:I199" si="36">IF(C136&lt;1,0,I135-F136+H136)</f>
        <v>109530.7313990117</v>
      </c>
      <c r="K136" s="18">
        <f t="shared" si="29"/>
        <v>0.26006407963719652</v>
      </c>
      <c r="L136" s="22">
        <f t="shared" ref="L136:L199" si="37">L135</f>
        <v>1.6999999999999999E-3</v>
      </c>
      <c r="N136" s="13">
        <f t="shared" ref="N136:N199" si="38">IF(C136&lt;1,0,N135-(N135/C136))</f>
        <v>87757.436950147036</v>
      </c>
      <c r="O136" s="13">
        <f t="shared" ref="O136:O199" si="39">IF(C136&lt;1,0,N135/C136+N135*$J$4+$L$3+$L$4)</f>
        <v>1033.7494967777454</v>
      </c>
      <c r="X136" s="1">
        <f t="shared" si="30"/>
        <v>-1274.5017893769409</v>
      </c>
    </row>
    <row r="137" spans="1:24" x14ac:dyDescent="0.2">
      <c r="A137" s="7">
        <f t="shared" si="28"/>
        <v>4.7537848446486883E-3</v>
      </c>
      <c r="B137" s="4">
        <f t="shared" ref="B137:B200" si="40">B136+1</f>
        <v>131</v>
      </c>
      <c r="C137" s="4">
        <f t="shared" si="31"/>
        <v>211</v>
      </c>
      <c r="D137" s="8">
        <f t="shared" si="27"/>
        <v>17.583333333333332</v>
      </c>
      <c r="E137" s="23">
        <f t="shared" si="32"/>
        <v>699.16818209629366</v>
      </c>
      <c r="F137" s="24">
        <f t="shared" si="33"/>
        <v>519.10299241237772</v>
      </c>
      <c r="G137" s="25">
        <f t="shared" si="34"/>
        <v>1273.2711745086713</v>
      </c>
      <c r="H137" s="26">
        <f t="shared" si="35"/>
        <v>186.20224337831988</v>
      </c>
      <c r="I137" s="27">
        <f t="shared" si="36"/>
        <v>109197.83064997764</v>
      </c>
      <c r="K137" s="18">
        <f t="shared" si="29"/>
        <v>0.26145314187491703</v>
      </c>
      <c r="L137" s="22">
        <f t="shared" si="37"/>
        <v>1.6999999999999999E-3</v>
      </c>
      <c r="N137" s="13">
        <f t="shared" si="38"/>
        <v>87341.524926686616</v>
      </c>
      <c r="O137" s="13">
        <f t="shared" si="39"/>
        <v>1031.0946030356827</v>
      </c>
      <c r="X137" s="1">
        <f t="shared" si="30"/>
        <v>-1273.2711745086713</v>
      </c>
    </row>
    <row r="138" spans="1:24" x14ac:dyDescent="0.2">
      <c r="A138" s="7">
        <f t="shared" si="28"/>
        <v>4.776530041985699E-3</v>
      </c>
      <c r="B138" s="4">
        <f t="shared" si="40"/>
        <v>132</v>
      </c>
      <c r="C138" s="4">
        <f t="shared" si="31"/>
        <v>210</v>
      </c>
      <c r="D138" s="8">
        <f t="shared" si="27"/>
        <v>17.5</v>
      </c>
      <c r="E138" s="23">
        <f t="shared" si="32"/>
        <v>697.04317472578009</v>
      </c>
      <c r="F138" s="24">
        <f t="shared" si="33"/>
        <v>519.98966976179827</v>
      </c>
      <c r="G138" s="25">
        <f t="shared" si="34"/>
        <v>1272.0328444875784</v>
      </c>
      <c r="H138" s="26">
        <f t="shared" si="35"/>
        <v>185.63631210496197</v>
      </c>
      <c r="I138" s="27">
        <f t="shared" si="36"/>
        <v>108863.47729232081</v>
      </c>
      <c r="K138" s="18">
        <f t="shared" si="29"/>
        <v>0.26284962617575031</v>
      </c>
      <c r="L138" s="22">
        <f t="shared" si="37"/>
        <v>1.6999999999999999E-3</v>
      </c>
      <c r="N138" s="13">
        <f t="shared" si="38"/>
        <v>86925.612903226196</v>
      </c>
      <c r="O138" s="13">
        <f t="shared" si="39"/>
        <v>1028.4397092936197</v>
      </c>
      <c r="X138" s="1">
        <f t="shared" si="30"/>
        <v>-1272.0328444875784</v>
      </c>
    </row>
    <row r="139" spans="1:24" x14ac:dyDescent="0.2">
      <c r="A139" s="7">
        <f t="shared" si="28"/>
        <v>4.7994939413588235E-3</v>
      </c>
      <c r="B139" s="4">
        <f t="shared" si="40"/>
        <v>133</v>
      </c>
      <c r="C139" s="4">
        <f t="shared" si="31"/>
        <v>209</v>
      </c>
      <c r="D139" s="8">
        <f t="shared" ref="D139:D202" si="41">C139/12</f>
        <v>17.416666666666668</v>
      </c>
      <c r="E139" s="23">
        <f t="shared" si="32"/>
        <v>694.90889490983409</v>
      </c>
      <c r="F139" s="24">
        <f t="shared" si="33"/>
        <v>520.87788178143921</v>
      </c>
      <c r="G139" s="25">
        <f t="shared" si="34"/>
        <v>1270.7867766912732</v>
      </c>
      <c r="H139" s="26">
        <f t="shared" si="35"/>
        <v>185.06791139694536</v>
      </c>
      <c r="I139" s="27">
        <f t="shared" si="36"/>
        <v>108527.6673219363</v>
      </c>
      <c r="K139" s="18">
        <f t="shared" si="29"/>
        <v>0.26425359198246995</v>
      </c>
      <c r="L139" s="22">
        <f t="shared" si="37"/>
        <v>1.6999999999999999E-3</v>
      </c>
      <c r="N139" s="13">
        <f t="shared" si="38"/>
        <v>86509.700879765791</v>
      </c>
      <c r="O139" s="13">
        <f t="shared" si="39"/>
        <v>1025.7848155515567</v>
      </c>
      <c r="X139" s="1">
        <f t="shared" si="30"/>
        <v>-1270.7867766912732</v>
      </c>
    </row>
    <row r="140" spans="1:24" x14ac:dyDescent="0.2">
      <c r="A140" s="7">
        <f t="shared" si="28"/>
        <v>4.8226797123368005E-3</v>
      </c>
      <c r="B140" s="4">
        <f t="shared" si="40"/>
        <v>134</v>
      </c>
      <c r="C140" s="4">
        <f t="shared" si="31"/>
        <v>208</v>
      </c>
      <c r="D140" s="8">
        <f t="shared" si="41"/>
        <v>17.333333333333332</v>
      </c>
      <c r="E140" s="23">
        <f t="shared" si="32"/>
        <v>692.76531708902837</v>
      </c>
      <c r="F140" s="24">
        <f t="shared" si="33"/>
        <v>521.76763135546298</v>
      </c>
      <c r="G140" s="25">
        <f t="shared" si="34"/>
        <v>1269.5329484444915</v>
      </c>
      <c r="H140" s="26">
        <f t="shared" si="35"/>
        <v>184.4970344472917</v>
      </c>
      <c r="I140" s="27">
        <f t="shared" si="36"/>
        <v>108190.39672502813</v>
      </c>
      <c r="K140" s="18">
        <f t="shared" si="29"/>
        <v>0.2656650993748651</v>
      </c>
      <c r="L140" s="22">
        <f t="shared" si="37"/>
        <v>1.6999999999999999E-3</v>
      </c>
      <c r="N140" s="13">
        <f t="shared" si="38"/>
        <v>86093.788856305386</v>
      </c>
      <c r="O140" s="13">
        <f t="shared" si="39"/>
        <v>1023.1299218094939</v>
      </c>
      <c r="X140" s="1">
        <f t="shared" si="30"/>
        <v>-1269.5329484444915</v>
      </c>
    </row>
    <row r="141" spans="1:24" x14ac:dyDescent="0.2">
      <c r="A141" s="7">
        <f t="shared" si="28"/>
        <v>4.846090586032888E-3</v>
      </c>
      <c r="B141" s="4">
        <f t="shared" si="40"/>
        <v>135</v>
      </c>
      <c r="C141" s="4">
        <f t="shared" si="31"/>
        <v>207</v>
      </c>
      <c r="D141" s="8">
        <f t="shared" si="41"/>
        <v>17.25</v>
      </c>
      <c r="E141" s="23">
        <f t="shared" si="32"/>
        <v>690.61241564207478</v>
      </c>
      <c r="F141" s="24">
        <f t="shared" si="33"/>
        <v>522.65892137694743</v>
      </c>
      <c r="G141" s="25">
        <f t="shared" si="34"/>
        <v>1268.2713370190222</v>
      </c>
      <c r="H141" s="26">
        <f t="shared" si="35"/>
        <v>183.92367443254781</v>
      </c>
      <c r="I141" s="27">
        <f t="shared" si="36"/>
        <v>107851.66147808373</v>
      </c>
      <c r="K141" s="18">
        <f t="shared" si="29"/>
        <v>0.26708420907829683</v>
      </c>
      <c r="L141" s="22">
        <f t="shared" si="37"/>
        <v>1.6999999999999999E-3</v>
      </c>
      <c r="N141" s="13">
        <f t="shared" si="38"/>
        <v>85677.876832844966</v>
      </c>
      <c r="O141" s="13">
        <f t="shared" si="39"/>
        <v>1020.4750280674311</v>
      </c>
      <c r="X141" s="1">
        <f t="shared" si="30"/>
        <v>-1268.2713370190222</v>
      </c>
    </row>
    <row r="142" spans="1:24" x14ac:dyDescent="0.2">
      <c r="A142" s="7">
        <f t="shared" si="28"/>
        <v>4.8697298566059343E-3</v>
      </c>
      <c r="B142" s="4">
        <f t="shared" si="40"/>
        <v>136</v>
      </c>
      <c r="C142" s="4">
        <f t="shared" si="31"/>
        <v>206</v>
      </c>
      <c r="D142" s="8">
        <f t="shared" si="41"/>
        <v>17.166666666666668</v>
      </c>
      <c r="E142" s="23">
        <f t="shared" si="32"/>
        <v>688.45016488566102</v>
      </c>
      <c r="F142" s="24">
        <f t="shared" si="33"/>
        <v>523.5517547479792</v>
      </c>
      <c r="G142" s="25">
        <f t="shared" si="34"/>
        <v>1267.0019196336402</v>
      </c>
      <c r="H142" s="26">
        <f t="shared" si="35"/>
        <v>183.34782451274233</v>
      </c>
      <c r="I142" s="27">
        <f t="shared" si="36"/>
        <v>107511.45754784849</v>
      </c>
      <c r="K142" s="18">
        <f t="shared" si="29"/>
        <v>0.26851098247239313</v>
      </c>
      <c r="L142" s="22">
        <f t="shared" si="37"/>
        <v>1.6999999999999999E-3</v>
      </c>
      <c r="N142" s="13">
        <f t="shared" si="38"/>
        <v>85261.964809384546</v>
      </c>
      <c r="O142" s="13">
        <f t="shared" si="39"/>
        <v>1017.820134325368</v>
      </c>
      <c r="X142" s="1">
        <f t="shared" si="30"/>
        <v>-1267.0019196336402</v>
      </c>
    </row>
    <row r="143" spans="1:24" x14ac:dyDescent="0.2">
      <c r="A143" s="7">
        <f t="shared" si="28"/>
        <v>4.8936008828055991E-3</v>
      </c>
      <c r="B143" s="4">
        <f t="shared" si="40"/>
        <v>137</v>
      </c>
      <c r="C143" s="4">
        <f t="shared" si="31"/>
        <v>205</v>
      </c>
      <c r="D143" s="8">
        <f t="shared" si="41"/>
        <v>17.083333333333332</v>
      </c>
      <c r="E143" s="23">
        <f t="shared" si="32"/>
        <v>686.2785390742888</v>
      </c>
      <c r="F143" s="24">
        <f t="shared" si="33"/>
        <v>524.44613437974874</v>
      </c>
      <c r="G143" s="25">
        <f t="shared" si="34"/>
        <v>1265.7246734540377</v>
      </c>
      <c r="H143" s="26">
        <f t="shared" si="35"/>
        <v>182.76947783134241</v>
      </c>
      <c r="I143" s="27">
        <f t="shared" si="36"/>
        <v>107169.78089130009</v>
      </c>
      <c r="K143" s="18">
        <f t="shared" si="29"/>
        <v>0.26994548159988413</v>
      </c>
      <c r="L143" s="22">
        <f t="shared" si="37"/>
        <v>1.6999999999999999E-3</v>
      </c>
      <c r="N143" s="13">
        <f t="shared" si="38"/>
        <v>84846.052785924141</v>
      </c>
      <c r="O143" s="13">
        <f t="shared" si="39"/>
        <v>1015.1652405833051</v>
      </c>
      <c r="X143" s="1">
        <f t="shared" si="30"/>
        <v>-1265.7246734540377</v>
      </c>
    </row>
    <row r="144" spans="1:24" x14ac:dyDescent="0.2">
      <c r="A144" s="7">
        <f t="shared" si="28"/>
        <v>4.9177070895632486E-3</v>
      </c>
      <c r="B144" s="4">
        <f t="shared" si="40"/>
        <v>138</v>
      </c>
      <c r="C144" s="4">
        <f t="shared" si="31"/>
        <v>204</v>
      </c>
      <c r="D144" s="8">
        <f t="shared" si="41"/>
        <v>17</v>
      </c>
      <c r="E144" s="23">
        <f t="shared" si="32"/>
        <v>684.09751240010883</v>
      </c>
      <c r="F144" s="24">
        <f t="shared" si="33"/>
        <v>525.34206319264752</v>
      </c>
      <c r="G144" s="25">
        <f t="shared" si="34"/>
        <v>1264.4395755927562</v>
      </c>
      <c r="H144" s="26">
        <f t="shared" si="35"/>
        <v>182.18862751521016</v>
      </c>
      <c r="I144" s="27">
        <f t="shared" si="36"/>
        <v>106826.62745562266</v>
      </c>
      <c r="K144" s="18">
        <f t="shared" si="29"/>
        <v>0.27138776917558166</v>
      </c>
      <c r="L144" s="22">
        <f t="shared" si="37"/>
        <v>1.6999999999999999E-3</v>
      </c>
      <c r="N144" s="13">
        <f t="shared" si="38"/>
        <v>84430.140762463736</v>
      </c>
      <c r="O144" s="13">
        <f t="shared" si="39"/>
        <v>1012.5103468412423</v>
      </c>
      <c r="X144" s="1">
        <f t="shared" si="30"/>
        <v>-1264.4395755927562</v>
      </c>
    </row>
    <row r="145" spans="1:24" x14ac:dyDescent="0.2">
      <c r="A145" s="7">
        <f t="shared" si="28"/>
        <v>4.9420519696301022E-3</v>
      </c>
      <c r="B145" s="4">
        <f t="shared" si="40"/>
        <v>139</v>
      </c>
      <c r="C145" s="4">
        <f t="shared" si="31"/>
        <v>203</v>
      </c>
      <c r="D145" s="8">
        <f t="shared" si="41"/>
        <v>16.916666666666668</v>
      </c>
      <c r="E145" s="23">
        <f t="shared" si="32"/>
        <v>681.90705899275713</v>
      </c>
      <c r="F145" s="24">
        <f t="shared" si="33"/>
        <v>526.23954411636771</v>
      </c>
      <c r="G145" s="25">
        <f t="shared" si="34"/>
        <v>1263.146603109125</v>
      </c>
      <c r="H145" s="26">
        <f t="shared" si="35"/>
        <v>181.60526667455849</v>
      </c>
      <c r="I145" s="27">
        <f t="shared" si="36"/>
        <v>106481.99317818084</v>
      </c>
      <c r="K145" s="18">
        <f t="shared" si="29"/>
        <v>0.27283790859550433</v>
      </c>
      <c r="L145" s="22">
        <f t="shared" si="37"/>
        <v>1.6999999999999999E-3</v>
      </c>
      <c r="N145" s="13">
        <f t="shared" si="38"/>
        <v>84014.228739003316</v>
      </c>
      <c r="O145" s="13">
        <f t="shared" si="39"/>
        <v>1009.8554530991796</v>
      </c>
      <c r="X145" s="1">
        <f t="shared" si="30"/>
        <v>-1263.146603109125</v>
      </c>
    </row>
    <row r="146" spans="1:24" x14ac:dyDescent="0.2">
      <c r="A146" s="7">
        <f t="shared" si="28"/>
        <v>4.9666390852642801E-3</v>
      </c>
      <c r="B146" s="4">
        <f t="shared" si="40"/>
        <v>140</v>
      </c>
      <c r="C146" s="4">
        <f t="shared" si="31"/>
        <v>202</v>
      </c>
      <c r="D146" s="8">
        <f t="shared" si="41"/>
        <v>16.833333333333332</v>
      </c>
      <c r="E146" s="23">
        <f t="shared" si="32"/>
        <v>679.70715291918873</v>
      </c>
      <c r="F146" s="24">
        <f t="shared" si="33"/>
        <v>527.13858009000421</v>
      </c>
      <c r="G146" s="25">
        <f t="shared" si="34"/>
        <v>1261.8457330091928</v>
      </c>
      <c r="H146" s="26">
        <f t="shared" si="35"/>
        <v>181.01938840290742</v>
      </c>
      <c r="I146" s="27">
        <f t="shared" si="36"/>
        <v>106135.87398649375</v>
      </c>
      <c r="K146" s="18">
        <f t="shared" si="29"/>
        <v>0.27429596394615313</v>
      </c>
      <c r="L146" s="22">
        <f t="shared" si="37"/>
        <v>1.6999999999999999E-3</v>
      </c>
      <c r="N146" s="13">
        <f t="shared" si="38"/>
        <v>83598.316715542896</v>
      </c>
      <c r="O146" s="13">
        <f t="shared" si="39"/>
        <v>1007.2005593571165</v>
      </c>
      <c r="X146" s="1">
        <f t="shared" si="30"/>
        <v>-1261.8457330091928</v>
      </c>
    </row>
    <row r="147" spans="1:24" x14ac:dyDescent="0.2">
      <c r="A147" s="7">
        <f t="shared" si="28"/>
        <v>4.9914720699684584E-3</v>
      </c>
      <c r="B147" s="4">
        <f t="shared" si="40"/>
        <v>141</v>
      </c>
      <c r="C147" s="4">
        <f t="shared" si="31"/>
        <v>201</v>
      </c>
      <c r="D147" s="8">
        <f t="shared" si="41"/>
        <v>16.75</v>
      </c>
      <c r="E147" s="23">
        <f t="shared" si="32"/>
        <v>677.49776818351188</v>
      </c>
      <c r="F147" s="24">
        <f t="shared" si="33"/>
        <v>528.03917406215794</v>
      </c>
      <c r="G147" s="25">
        <f t="shared" si="34"/>
        <v>1260.5369422456697</v>
      </c>
      <c r="H147" s="26">
        <f t="shared" si="35"/>
        <v>180.43098577703938</v>
      </c>
      <c r="I147" s="27">
        <f t="shared" si="36"/>
        <v>105788.26579820864</v>
      </c>
      <c r="K147" s="18">
        <f t="shared" si="29"/>
        <v>0.27576200001393708</v>
      </c>
      <c r="L147" s="22">
        <f t="shared" si="37"/>
        <v>1.6999999999999999E-3</v>
      </c>
      <c r="N147" s="13">
        <f t="shared" si="38"/>
        <v>83182.404692082491</v>
      </c>
      <c r="O147" s="13">
        <f t="shared" si="39"/>
        <v>1004.5456656150536</v>
      </c>
      <c r="X147" s="1">
        <f t="shared" si="30"/>
        <v>-1260.5369422456697</v>
      </c>
    </row>
    <row r="148" spans="1:24" x14ac:dyDescent="0.2">
      <c r="A148" s="7">
        <f t="shared" si="28"/>
        <v>5.0165546302799241E-3</v>
      </c>
      <c r="B148" s="4">
        <f t="shared" si="40"/>
        <v>142</v>
      </c>
      <c r="C148" s="4">
        <f t="shared" si="31"/>
        <v>200</v>
      </c>
      <c r="D148" s="8">
        <f t="shared" si="41"/>
        <v>16.666666666666668</v>
      </c>
      <c r="E148" s="23">
        <f t="shared" si="32"/>
        <v>675.27887872681936</v>
      </c>
      <c r="F148" s="24">
        <f t="shared" si="33"/>
        <v>528.94132899104318</v>
      </c>
      <c r="G148" s="25">
        <f t="shared" si="34"/>
        <v>1259.2202077178626</v>
      </c>
      <c r="H148" s="26">
        <f t="shared" si="35"/>
        <v>179.84005185695469</v>
      </c>
      <c r="I148" s="27">
        <f t="shared" si="36"/>
        <v>105439.16452107455</v>
      </c>
      <c r="K148" s="18">
        <f t="shared" si="29"/>
        <v>0.27723608229475549</v>
      </c>
      <c r="L148" s="22">
        <f t="shared" si="37"/>
        <v>1.6999999999999999E-3</v>
      </c>
      <c r="N148" s="13">
        <f t="shared" si="38"/>
        <v>82766.492668622086</v>
      </c>
      <c r="O148" s="13">
        <f t="shared" si="39"/>
        <v>1001.8907718729907</v>
      </c>
      <c r="X148" s="1">
        <f t="shared" si="30"/>
        <v>-1259.2202077178626</v>
      </c>
    </row>
    <row r="149" spans="1:24" x14ac:dyDescent="0.2">
      <c r="A149" s="7">
        <f t="shared" si="28"/>
        <v>5.0418905476148574E-3</v>
      </c>
      <c r="B149" s="4">
        <f t="shared" si="40"/>
        <v>143</v>
      </c>
      <c r="C149" s="4">
        <f t="shared" si="31"/>
        <v>199</v>
      </c>
      <c r="D149" s="8">
        <f t="shared" si="41"/>
        <v>16.583333333333332</v>
      </c>
      <c r="E149" s="23">
        <f t="shared" si="32"/>
        <v>673.05045842702089</v>
      </c>
      <c r="F149" s="24">
        <f t="shared" si="33"/>
        <v>529.84504784459568</v>
      </c>
      <c r="G149" s="25">
        <f t="shared" si="34"/>
        <v>1257.8955062716166</v>
      </c>
      <c r="H149" s="26">
        <f t="shared" si="35"/>
        <v>179.24657968582673</v>
      </c>
      <c r="I149" s="27">
        <f t="shared" si="36"/>
        <v>105088.56605291579</v>
      </c>
      <c r="K149" s="18">
        <f t="shared" si="29"/>
        <v>0.27871827700373741</v>
      </c>
      <c r="L149" s="22">
        <f t="shared" si="37"/>
        <v>1.6999999999999999E-3</v>
      </c>
      <c r="N149" s="13">
        <f t="shared" si="38"/>
        <v>82350.580645161666</v>
      </c>
      <c r="O149" s="13">
        <f t="shared" si="39"/>
        <v>999.23587813092786</v>
      </c>
      <c r="X149" s="1">
        <f t="shared" si="30"/>
        <v>-1257.8955062716166</v>
      </c>
    </row>
    <row r="150" spans="1:24" x14ac:dyDescent="0.2">
      <c r="A150" s="7">
        <f t="shared" si="28"/>
        <v>5.0674836801688078E-3</v>
      </c>
      <c r="B150" s="4">
        <f t="shared" si="40"/>
        <v>144</v>
      </c>
      <c r="C150" s="4">
        <f t="shared" si="31"/>
        <v>198</v>
      </c>
      <c r="D150" s="8">
        <f t="shared" si="41"/>
        <v>16.5</v>
      </c>
      <c r="E150" s="23">
        <f t="shared" si="32"/>
        <v>670.8124810986734</v>
      </c>
      <c r="F150" s="24">
        <f t="shared" si="33"/>
        <v>530.75033360058478</v>
      </c>
      <c r="G150" s="25">
        <f t="shared" si="34"/>
        <v>1256.5628146992581</v>
      </c>
      <c r="H150" s="26">
        <f t="shared" si="35"/>
        <v>178.65056228995684</v>
      </c>
      <c r="I150" s="27">
        <f t="shared" si="36"/>
        <v>104736.46628160516</v>
      </c>
      <c r="K150" s="18">
        <f t="shared" si="29"/>
        <v>0.2802086510851417</v>
      </c>
      <c r="L150" s="22">
        <f t="shared" si="37"/>
        <v>1.6999999999999999E-3</v>
      </c>
      <c r="N150" s="13">
        <f t="shared" si="38"/>
        <v>81934.668621701247</v>
      </c>
      <c r="O150" s="13">
        <f t="shared" si="39"/>
        <v>996.58098438886498</v>
      </c>
      <c r="X150" s="1">
        <f t="shared" si="30"/>
        <v>-1256.5628146992581</v>
      </c>
    </row>
    <row r="151" spans="1:24" x14ac:dyDescent="0.2">
      <c r="A151" s="7">
        <f t="shared" si="28"/>
        <v>5.0933379648753236E-3</v>
      </c>
      <c r="B151" s="4">
        <f t="shared" si="40"/>
        <v>145</v>
      </c>
      <c r="C151" s="4">
        <f t="shared" si="31"/>
        <v>197</v>
      </c>
      <c r="D151" s="8">
        <f t="shared" si="41"/>
        <v>16.416666666666668</v>
      </c>
      <c r="E151" s="23">
        <f t="shared" si="32"/>
        <v>668.56492049281042</v>
      </c>
      <c r="F151" s="24">
        <f t="shared" si="33"/>
        <v>531.65718924672672</v>
      </c>
      <c r="G151" s="25">
        <f t="shared" si="34"/>
        <v>1255.2221097395372</v>
      </c>
      <c r="H151" s="26">
        <f t="shared" si="35"/>
        <v>178.05199267872877</v>
      </c>
      <c r="I151" s="27">
        <f t="shared" si="36"/>
        <v>104382.86108503715</v>
      </c>
      <c r="K151" s="18">
        <f t="shared" si="29"/>
        <v>0.28170727222242142</v>
      </c>
      <c r="L151" s="22">
        <f t="shared" si="37"/>
        <v>1.6999999999999999E-3</v>
      </c>
      <c r="N151" s="13">
        <f t="shared" si="38"/>
        <v>81518.756598240841</v>
      </c>
      <c r="O151" s="13">
        <f t="shared" si="39"/>
        <v>993.92609064680187</v>
      </c>
      <c r="X151" s="1">
        <f t="shared" si="30"/>
        <v>-1255.2221097395372</v>
      </c>
    </row>
    <row r="152" spans="1:24" x14ac:dyDescent="0.2">
      <c r="A152" s="7">
        <f t="shared" si="28"/>
        <v>5.1194574194248586E-3</v>
      </c>
      <c r="B152" s="4">
        <f t="shared" si="40"/>
        <v>146</v>
      </c>
      <c r="C152" s="4">
        <f t="shared" si="31"/>
        <v>196</v>
      </c>
      <c r="D152" s="8">
        <f t="shared" si="41"/>
        <v>16.333333333333332</v>
      </c>
      <c r="E152" s="23">
        <f t="shared" si="32"/>
        <v>666.30775029677091</v>
      </c>
      <c r="F152" s="24">
        <f t="shared" si="33"/>
        <v>532.56561778080174</v>
      </c>
      <c r="G152" s="25">
        <f t="shared" si="34"/>
        <v>1253.8733680775726</v>
      </c>
      <c r="H152" s="26">
        <f t="shared" si="35"/>
        <v>177.45086384456314</v>
      </c>
      <c r="I152" s="27">
        <f t="shared" si="36"/>
        <v>104027.74633110092</v>
      </c>
      <c r="K152" s="18">
        <f t="shared" si="29"/>
        <v>0.28321420884845599</v>
      </c>
      <c r="L152" s="22">
        <f t="shared" si="37"/>
        <v>1.6999999999999999E-3</v>
      </c>
      <c r="N152" s="13">
        <f t="shared" si="38"/>
        <v>81102.844574780436</v>
      </c>
      <c r="O152" s="13">
        <f t="shared" si="39"/>
        <v>991.27119690473921</v>
      </c>
      <c r="X152" s="1">
        <f t="shared" si="30"/>
        <v>-1253.8733680775726</v>
      </c>
    </row>
    <row r="153" spans="1:24" x14ac:dyDescent="0.2">
      <c r="A153" s="7">
        <f t="shared" si="28"/>
        <v>5.1458461443461296E-3</v>
      </c>
      <c r="B153" s="4">
        <f t="shared" si="40"/>
        <v>147</v>
      </c>
      <c r="C153" s="4">
        <f t="shared" si="31"/>
        <v>195</v>
      </c>
      <c r="D153" s="8">
        <f t="shared" si="41"/>
        <v>16.25</v>
      </c>
      <c r="E153" s="23">
        <f t="shared" si="32"/>
        <v>664.04094413402663</v>
      </c>
      <c r="F153" s="24">
        <f t="shared" si="33"/>
        <v>533.47562221077396</v>
      </c>
      <c r="G153" s="25">
        <f t="shared" si="34"/>
        <v>1252.5165663448006</v>
      </c>
      <c r="H153" s="26">
        <f t="shared" si="35"/>
        <v>176.84716876287155</v>
      </c>
      <c r="I153" s="27">
        <f t="shared" si="36"/>
        <v>103671.11787765303</v>
      </c>
      <c r="K153" s="18">
        <f t="shared" si="29"/>
        <v>0.28472953015595287</v>
      </c>
      <c r="L153" s="22">
        <f t="shared" si="37"/>
        <v>1.6999999999999999E-3</v>
      </c>
      <c r="N153" s="13">
        <f t="shared" si="38"/>
        <v>80686.932551320017</v>
      </c>
      <c r="O153" s="13">
        <f t="shared" si="39"/>
        <v>988.61630316267633</v>
      </c>
      <c r="X153" s="1">
        <f t="shared" si="30"/>
        <v>-1252.5165663448006</v>
      </c>
    </row>
    <row r="154" spans="1:24" x14ac:dyDescent="0.2">
      <c r="A154" s="7">
        <f t="shared" si="28"/>
        <v>5.1725083251521493E-3</v>
      </c>
      <c r="B154" s="4">
        <f t="shared" si="40"/>
        <v>148</v>
      </c>
      <c r="C154" s="4">
        <f t="shared" si="31"/>
        <v>194</v>
      </c>
      <c r="D154" s="8">
        <f t="shared" si="41"/>
        <v>16.166666666666668</v>
      </c>
      <c r="E154" s="23">
        <f t="shared" si="32"/>
        <v>661.76447556400831</v>
      </c>
      <c r="F154" s="24">
        <f t="shared" si="33"/>
        <v>534.3872055549125</v>
      </c>
      <c r="G154" s="25">
        <f t="shared" si="34"/>
        <v>1251.1516811189208</v>
      </c>
      <c r="H154" s="26">
        <f t="shared" si="35"/>
        <v>176.24090039201013</v>
      </c>
      <c r="I154" s="27">
        <f t="shared" si="36"/>
        <v>103312.97157249012</v>
      </c>
      <c r="K154" s="18">
        <f t="shared" si="29"/>
        <v>0.2862533061080233</v>
      </c>
      <c r="L154" s="22">
        <f t="shared" si="37"/>
        <v>1.6999999999999999E-3</v>
      </c>
      <c r="N154" s="13">
        <f t="shared" si="38"/>
        <v>80271.020527859597</v>
      </c>
      <c r="O154" s="13">
        <f t="shared" si="39"/>
        <v>985.96140942061334</v>
      </c>
      <c r="X154" s="1">
        <f t="shared" si="30"/>
        <v>-1251.1516811189208</v>
      </c>
    </row>
    <row r="155" spans="1:24" x14ac:dyDescent="0.2">
      <c r="A155" s="7">
        <f t="shared" si="28"/>
        <v>5.1994482345533487E-3</v>
      </c>
      <c r="B155" s="4">
        <f t="shared" si="40"/>
        <v>149</v>
      </c>
      <c r="C155" s="4">
        <f t="shared" si="31"/>
        <v>193</v>
      </c>
      <c r="D155" s="8">
        <f t="shared" si="41"/>
        <v>16.083333333333332</v>
      </c>
      <c r="E155" s="23">
        <f t="shared" si="32"/>
        <v>659.47831808193098</v>
      </c>
      <c r="F155" s="24">
        <f t="shared" si="33"/>
        <v>535.3003708419177</v>
      </c>
      <c r="G155" s="25">
        <f t="shared" si="34"/>
        <v>1249.7786889238487</v>
      </c>
      <c r="H155" s="26">
        <f t="shared" si="35"/>
        <v>175.63205167323318</v>
      </c>
      <c r="I155" s="27">
        <f t="shared" si="36"/>
        <v>102953.30325332144</v>
      </c>
      <c r="K155" s="18">
        <f t="shared" si="29"/>
        <v>0.28778560744893594</v>
      </c>
      <c r="L155" s="22">
        <f t="shared" si="37"/>
        <v>1.6999999999999999E-3</v>
      </c>
      <c r="N155" s="13">
        <f t="shared" si="38"/>
        <v>79855.108504399192</v>
      </c>
      <c r="O155" s="13">
        <f t="shared" si="39"/>
        <v>983.30651567855034</v>
      </c>
      <c r="X155" s="1">
        <f t="shared" si="30"/>
        <v>-1249.7786889238487</v>
      </c>
    </row>
    <row r="156" spans="1:24" x14ac:dyDescent="0.2">
      <c r="A156" s="7">
        <f t="shared" si="28"/>
        <v>5.2266702347402126E-3</v>
      </c>
      <c r="B156" s="4">
        <f t="shared" si="40"/>
        <v>150</v>
      </c>
      <c r="C156" s="4">
        <f t="shared" si="31"/>
        <v>192</v>
      </c>
      <c r="D156" s="8">
        <f t="shared" si="41"/>
        <v>16</v>
      </c>
      <c r="E156" s="23">
        <f t="shared" si="32"/>
        <v>657.18244511861883</v>
      </c>
      <c r="F156" s="24">
        <f t="shared" si="33"/>
        <v>536.21512111104914</v>
      </c>
      <c r="G156" s="84">
        <f t="shared" si="34"/>
        <v>1248.397566229668</v>
      </c>
      <c r="H156" s="26">
        <f t="shared" si="35"/>
        <v>175.02061553064644</v>
      </c>
      <c r="I156" s="27">
        <f t="shared" si="36"/>
        <v>102592.10874774105</v>
      </c>
      <c r="K156" s="18">
        <f t="shared" si="29"/>
        <v>0.28932650571505014</v>
      </c>
      <c r="L156" s="22">
        <f t="shared" si="37"/>
        <v>1.6999999999999999E-3</v>
      </c>
      <c r="N156" s="13">
        <f t="shared" si="38"/>
        <v>79439.196480938786</v>
      </c>
      <c r="O156" s="13">
        <f t="shared" si="39"/>
        <v>980.65162193648757</v>
      </c>
      <c r="X156" s="1">
        <f t="shared" si="30"/>
        <v>-1248.397566229668</v>
      </c>
    </row>
    <row r="157" spans="1:24" x14ac:dyDescent="0.2">
      <c r="A157" s="7">
        <f t="shared" si="28"/>
        <v>5.2541787797379955E-3</v>
      </c>
      <c r="B157" s="4">
        <f t="shared" si="40"/>
        <v>151</v>
      </c>
      <c r="C157" s="4">
        <f t="shared" si="31"/>
        <v>191</v>
      </c>
      <c r="D157" s="8">
        <f t="shared" si="41"/>
        <v>15.916666666666666</v>
      </c>
      <c r="E157" s="23">
        <f t="shared" si="32"/>
        <v>654.87683004032772</v>
      </c>
      <c r="F157" s="24">
        <f t="shared" si="33"/>
        <v>537.13145941225685</v>
      </c>
      <c r="G157" s="25">
        <f t="shared" si="34"/>
        <v>1247.0082894525844</v>
      </c>
      <c r="H157" s="26">
        <f t="shared" si="35"/>
        <v>174.40658487115977</v>
      </c>
      <c r="I157" s="27">
        <f t="shared" si="36"/>
        <v>102229.38387319996</v>
      </c>
      <c r="K157" s="18">
        <f t="shared" si="29"/>
        <v>0.29087607324593417</v>
      </c>
      <c r="L157" s="22">
        <f t="shared" si="37"/>
        <v>1.6999999999999999E-3</v>
      </c>
      <c r="N157" s="13">
        <f t="shared" si="38"/>
        <v>79023.284457478367</v>
      </c>
      <c r="O157" s="13">
        <f t="shared" si="39"/>
        <v>977.9967281944248</v>
      </c>
      <c r="X157" s="1">
        <f t="shared" si="30"/>
        <v>-1247.0082894525844</v>
      </c>
    </row>
    <row r="158" spans="1:24" x14ac:dyDescent="0.2">
      <c r="A158" s="7">
        <f t="shared" si="28"/>
        <v>5.2819784178361846E-3</v>
      </c>
      <c r="B158" s="4">
        <f t="shared" si="40"/>
        <v>152</v>
      </c>
      <c r="C158" s="4">
        <f t="shared" si="31"/>
        <v>190</v>
      </c>
      <c r="D158" s="8">
        <f t="shared" si="41"/>
        <v>15.833333333333334</v>
      </c>
      <c r="E158" s="23">
        <f t="shared" si="32"/>
        <v>652.56144614856737</v>
      </c>
      <c r="F158" s="24">
        <f t="shared" si="33"/>
        <v>538.04938880631551</v>
      </c>
      <c r="G158" s="25">
        <f t="shared" si="34"/>
        <v>1245.6108349548829</v>
      </c>
      <c r="H158" s="26">
        <f t="shared" si="35"/>
        <v>173.78995258443993</v>
      </c>
      <c r="I158" s="27">
        <f t="shared" si="36"/>
        <v>101865.12443697808</v>
      </c>
      <c r="K158" s="18">
        <f t="shared" si="29"/>
        <v>0.29243438319567072</v>
      </c>
      <c r="L158" s="22">
        <f t="shared" si="37"/>
        <v>1.6999999999999999E-3</v>
      </c>
      <c r="N158" s="13">
        <f t="shared" si="38"/>
        <v>78607.372434017947</v>
      </c>
      <c r="O158" s="13">
        <f t="shared" si="39"/>
        <v>975.34183445236181</v>
      </c>
      <c r="X158" s="1">
        <f t="shared" si="30"/>
        <v>-1245.6108349548829</v>
      </c>
    </row>
    <row r="159" spans="1:24" x14ac:dyDescent="0.2">
      <c r="A159" s="7">
        <f t="shared" si="28"/>
        <v>5.3100737940955161E-3</v>
      </c>
      <c r="B159" s="4">
        <f t="shared" si="40"/>
        <v>153</v>
      </c>
      <c r="C159" s="4">
        <f t="shared" si="31"/>
        <v>189</v>
      </c>
      <c r="D159" s="8">
        <f t="shared" si="41"/>
        <v>15.75</v>
      </c>
      <c r="E159" s="23">
        <f t="shared" si="32"/>
        <v>650.23626667992221</v>
      </c>
      <c r="F159" s="24">
        <f t="shared" si="33"/>
        <v>538.96891236496333</v>
      </c>
      <c r="G159" s="25">
        <f t="shared" si="34"/>
        <v>1244.2051790448854</v>
      </c>
      <c r="H159" s="26">
        <f t="shared" si="35"/>
        <v>173.17071154286273</v>
      </c>
      <c r="I159" s="27">
        <f t="shared" si="36"/>
        <v>101499.32623615598</v>
      </c>
      <c r="K159" s="18">
        <f t="shared" si="29"/>
        <v>0.29400150954435483</v>
      </c>
      <c r="L159" s="22">
        <f t="shared" si="37"/>
        <v>1.6999999999999999E-3</v>
      </c>
      <c r="N159" s="13">
        <f t="shared" si="38"/>
        <v>78191.460410557542</v>
      </c>
      <c r="O159" s="13">
        <f t="shared" si="39"/>
        <v>972.68694071029881</v>
      </c>
      <c r="X159" s="1">
        <f t="shared" si="30"/>
        <v>-1244.2051790448854</v>
      </c>
    </row>
    <row r="160" spans="1:24" x14ac:dyDescent="0.2">
      <c r="A160" s="7">
        <f t="shared" si="28"/>
        <v>5.3384696529354108E-3</v>
      </c>
      <c r="B160" s="4">
        <f t="shared" si="40"/>
        <v>154</v>
      </c>
      <c r="C160" s="4">
        <f t="shared" si="31"/>
        <v>188</v>
      </c>
      <c r="D160" s="8">
        <f t="shared" si="41"/>
        <v>15.666666666666666</v>
      </c>
      <c r="E160" s="23">
        <f t="shared" si="32"/>
        <v>647.90126480587105</v>
      </c>
      <c r="F160" s="24">
        <f t="shared" si="33"/>
        <v>539.89003317104243</v>
      </c>
      <c r="G160" s="25">
        <f t="shared" si="34"/>
        <v>1242.7912979769135</v>
      </c>
      <c r="H160" s="26">
        <f t="shared" si="35"/>
        <v>172.54885460146514</v>
      </c>
      <c r="I160" s="27">
        <f t="shared" si="36"/>
        <v>101131.9850575864</v>
      </c>
      <c r="K160" s="18">
        <f t="shared" si="29"/>
        <v>0.29557752710978602</v>
      </c>
      <c r="L160" s="22">
        <f t="shared" si="37"/>
        <v>1.6999999999999999E-3</v>
      </c>
      <c r="N160" s="13">
        <f t="shared" si="38"/>
        <v>77775.548387097137</v>
      </c>
      <c r="O160" s="13">
        <f t="shared" si="39"/>
        <v>970.03204696823605</v>
      </c>
      <c r="X160" s="1">
        <f t="shared" si="30"/>
        <v>-1242.7912979769135</v>
      </c>
    </row>
    <row r="161" spans="1:24" x14ac:dyDescent="0.2">
      <c r="A161" s="7">
        <f t="shared" si="28"/>
        <v>5.3671708408048815E-3</v>
      </c>
      <c r="B161" s="4">
        <f t="shared" si="40"/>
        <v>155</v>
      </c>
      <c r="C161" s="4">
        <f t="shared" si="31"/>
        <v>187</v>
      </c>
      <c r="D161" s="8">
        <f t="shared" si="41"/>
        <v>15.583333333333334</v>
      </c>
      <c r="E161" s="23">
        <f t="shared" si="32"/>
        <v>645.55641363260554</v>
      </c>
      <c r="F161" s="24">
        <f t="shared" si="33"/>
        <v>540.81275431864378</v>
      </c>
      <c r="G161" s="25">
        <f t="shared" si="34"/>
        <v>1241.3691679512494</v>
      </c>
      <c r="H161" s="26">
        <f t="shared" si="35"/>
        <v>171.92437459789687</v>
      </c>
      <c r="I161" s="27">
        <f t="shared" si="36"/>
        <v>100763.09667786566</v>
      </c>
      <c r="K161" s="18">
        <f t="shared" si="29"/>
        <v>0.29716251155936052</v>
      </c>
      <c r="L161" s="22">
        <f t="shared" si="37"/>
        <v>1.6999999999999999E-3</v>
      </c>
      <c r="N161" s="13">
        <f t="shared" si="38"/>
        <v>77359.636363636717</v>
      </c>
      <c r="O161" s="13">
        <f t="shared" si="39"/>
        <v>967.37715322617328</v>
      </c>
      <c r="X161" s="1">
        <f t="shared" si="30"/>
        <v>-1241.3691679512494</v>
      </c>
    </row>
    <row r="162" spans="1:24" x14ac:dyDescent="0.2">
      <c r="A162" s="7">
        <f t="shared" si="28"/>
        <v>5.3961823089400717E-3</v>
      </c>
      <c r="B162" s="4">
        <f t="shared" si="40"/>
        <v>156</v>
      </c>
      <c r="C162" s="4">
        <f t="shared" si="31"/>
        <v>186</v>
      </c>
      <c r="D162" s="8">
        <f t="shared" si="41"/>
        <v>15.5</v>
      </c>
      <c r="E162" s="23">
        <f t="shared" si="32"/>
        <v>643.20168620084735</v>
      </c>
      <c r="F162" s="24">
        <f t="shared" si="33"/>
        <v>541.73707891325625</v>
      </c>
      <c r="G162" s="25">
        <f t="shared" si="34"/>
        <v>1239.9387651141037</v>
      </c>
      <c r="H162" s="26">
        <f t="shared" si="35"/>
        <v>171.2972643523716</v>
      </c>
      <c r="I162" s="27">
        <f t="shared" si="36"/>
        <v>100392.65686330477</v>
      </c>
      <c r="K162" s="18">
        <f t="shared" si="29"/>
        <v>0.2987565394221669</v>
      </c>
      <c r="L162" s="22">
        <f t="shared" si="37"/>
        <v>1.6999999999999999E-3</v>
      </c>
      <c r="N162" s="13">
        <f t="shared" si="38"/>
        <v>76943.724340176297</v>
      </c>
      <c r="O162" s="13">
        <f t="shared" si="39"/>
        <v>964.72225948411028</v>
      </c>
      <c r="X162" s="1">
        <f t="shared" si="30"/>
        <v>-1239.9387651141037</v>
      </c>
    </row>
    <row r="163" spans="1:24" x14ac:dyDescent="0.2">
      <c r="A163" s="7">
        <f t="shared" si="28"/>
        <v>5.4255091162116933E-3</v>
      </c>
      <c r="B163" s="4">
        <f t="shared" si="40"/>
        <v>157</v>
      </c>
      <c r="C163" s="4">
        <f t="shared" si="31"/>
        <v>185</v>
      </c>
      <c r="D163" s="8">
        <f t="shared" si="41"/>
        <v>15.416666666666666</v>
      </c>
      <c r="E163" s="23">
        <f t="shared" si="32"/>
        <v>640.83705548566377</v>
      </c>
      <c r="F163" s="24">
        <f t="shared" si="33"/>
        <v>542.66301007191771</v>
      </c>
      <c r="G163" s="25">
        <f t="shared" si="34"/>
        <v>1238.5000655575814</v>
      </c>
      <c r="H163" s="26">
        <f t="shared" si="35"/>
        <v>170.66751666761812</v>
      </c>
      <c r="I163" s="27">
        <f t="shared" si="36"/>
        <v>100020.66136990047</v>
      </c>
      <c r="K163" s="18">
        <f t="shared" si="29"/>
        <v>0.30035968810128777</v>
      </c>
      <c r="L163" s="22">
        <f t="shared" si="37"/>
        <v>1.6999999999999999E-3</v>
      </c>
      <c r="N163" s="13">
        <f t="shared" si="38"/>
        <v>76527.812316715892</v>
      </c>
      <c r="O163" s="13">
        <f t="shared" si="39"/>
        <v>962.06736574204729</v>
      </c>
      <c r="X163" s="1">
        <f t="shared" si="30"/>
        <v>-1238.5000655575814</v>
      </c>
    </row>
    <row r="164" spans="1:24" x14ac:dyDescent="0.2">
      <c r="A164" s="7">
        <f t="shared" si="28"/>
        <v>5.4551564320658458E-3</v>
      </c>
      <c r="B164" s="4">
        <f t="shared" si="40"/>
        <v>158</v>
      </c>
      <c r="C164" s="4">
        <f t="shared" si="31"/>
        <v>184</v>
      </c>
      <c r="D164" s="8">
        <f t="shared" si="41"/>
        <v>15.333333333333334</v>
      </c>
      <c r="E164" s="23">
        <f t="shared" si="32"/>
        <v>638.46249439628309</v>
      </c>
      <c r="F164" s="24">
        <f t="shared" si="33"/>
        <v>543.59055092337212</v>
      </c>
      <c r="G164" s="25">
        <f t="shared" si="34"/>
        <v>1237.0530453196552</v>
      </c>
      <c r="H164" s="26">
        <f t="shared" si="35"/>
        <v>170.03512432883079</v>
      </c>
      <c r="I164" s="27">
        <f t="shared" si="36"/>
        <v>99647.105943305927</v>
      </c>
      <c r="K164" s="18">
        <f t="shared" si="29"/>
        <v>0.30197203588631433</v>
      </c>
      <c r="L164" s="22">
        <f t="shared" si="37"/>
        <v>1.6999999999999999E-3</v>
      </c>
      <c r="N164" s="13">
        <f t="shared" si="38"/>
        <v>76111.900293255487</v>
      </c>
      <c r="O164" s="13">
        <f t="shared" si="39"/>
        <v>959.41247199998452</v>
      </c>
      <c r="X164" s="1">
        <f t="shared" si="30"/>
        <v>-1237.0530453196552</v>
      </c>
    </row>
    <row r="165" spans="1:24" x14ac:dyDescent="0.2">
      <c r="A165" s="7">
        <f t="shared" si="28"/>
        <v>5.4851295395617712E-3</v>
      </c>
      <c r="B165" s="4">
        <f t="shared" si="40"/>
        <v>159</v>
      </c>
      <c r="C165" s="4">
        <f t="shared" si="31"/>
        <v>183</v>
      </c>
      <c r="D165" s="8">
        <f t="shared" si="41"/>
        <v>15.25</v>
      </c>
      <c r="E165" s="23">
        <f t="shared" si="32"/>
        <v>636.07797577590736</v>
      </c>
      <c r="F165" s="24">
        <f t="shared" si="33"/>
        <v>544.51970460822906</v>
      </c>
      <c r="G165" s="25">
        <f t="shared" si="34"/>
        <v>1235.5976803841363</v>
      </c>
      <c r="H165" s="26">
        <f t="shared" si="35"/>
        <v>169.40008010362007</v>
      </c>
      <c r="I165" s="27">
        <f t="shared" si="36"/>
        <v>99271.986318801311</v>
      </c>
      <c r="K165" s="18">
        <f t="shared" si="29"/>
        <v>0.3035936619660759</v>
      </c>
      <c r="L165" s="22">
        <f t="shared" si="37"/>
        <v>1.6999999999999999E-3</v>
      </c>
      <c r="N165" s="13">
        <f t="shared" si="38"/>
        <v>75695.988269795067</v>
      </c>
      <c r="O165" s="13">
        <f t="shared" si="39"/>
        <v>956.75757825792175</v>
      </c>
      <c r="X165" s="1">
        <f t="shared" si="30"/>
        <v>-1235.5976803841363</v>
      </c>
    </row>
    <row r="166" spans="1:24" x14ac:dyDescent="0.2">
      <c r="A166" s="7">
        <f t="shared" si="28"/>
        <v>5.5154338385103039E-3</v>
      </c>
      <c r="B166" s="4">
        <f t="shared" si="40"/>
        <v>160</v>
      </c>
      <c r="C166" s="4">
        <f t="shared" si="31"/>
        <v>182</v>
      </c>
      <c r="D166" s="8">
        <f t="shared" si="41"/>
        <v>15.166666666666666</v>
      </c>
      <c r="E166" s="23">
        <f t="shared" si="32"/>
        <v>633.68347240152468</v>
      </c>
      <c r="F166" s="24">
        <f t="shared" si="33"/>
        <v>545.45047427912812</v>
      </c>
      <c r="G166" s="25">
        <f t="shared" si="34"/>
        <v>1234.1339466806528</v>
      </c>
      <c r="H166" s="26">
        <f t="shared" si="35"/>
        <v>168.76237674196221</v>
      </c>
      <c r="I166" s="27">
        <f t="shared" si="36"/>
        <v>98895.298221264136</v>
      </c>
      <c r="K166" s="18">
        <f t="shared" si="29"/>
        <v>0.30522464644158964</v>
      </c>
      <c r="L166" s="22">
        <f t="shared" si="37"/>
        <v>1.6999999999999999E-3</v>
      </c>
      <c r="N166" s="13">
        <f t="shared" si="38"/>
        <v>75280.076246334647</v>
      </c>
      <c r="O166" s="13">
        <f t="shared" si="39"/>
        <v>954.10268451585875</v>
      </c>
      <c r="X166" s="1">
        <f t="shared" si="30"/>
        <v>-1234.1339466806528</v>
      </c>
    </row>
    <row r="167" spans="1:24" x14ac:dyDescent="0.2">
      <c r="A167" s="7">
        <f t="shared" si="28"/>
        <v>5.5460748487169429E-3</v>
      </c>
      <c r="B167" s="4">
        <f t="shared" si="40"/>
        <v>161</v>
      </c>
      <c r="C167" s="4">
        <f t="shared" si="31"/>
        <v>181</v>
      </c>
      <c r="D167" s="8">
        <f t="shared" si="41"/>
        <v>15.083333333333334</v>
      </c>
      <c r="E167" s="23">
        <f t="shared" si="32"/>
        <v>631.2789569837197</v>
      </c>
      <c r="F167" s="24">
        <f t="shared" si="33"/>
        <v>546.38286310090677</v>
      </c>
      <c r="G167" s="25">
        <f t="shared" si="34"/>
        <v>1232.6618200846265</v>
      </c>
      <c r="H167" s="26">
        <f t="shared" si="35"/>
        <v>168.12200697614901</v>
      </c>
      <c r="I167" s="27">
        <f t="shared" si="36"/>
        <v>98517.037365139375</v>
      </c>
      <c r="K167" s="18">
        <f t="shared" si="29"/>
        <v>0.30686507033923455</v>
      </c>
      <c r="L167" s="22">
        <f t="shared" si="37"/>
        <v>1.6999999999999999E-3</v>
      </c>
      <c r="N167" s="13">
        <f t="shared" si="38"/>
        <v>74864.164222874242</v>
      </c>
      <c r="O167" s="13">
        <f t="shared" si="39"/>
        <v>951.44779077379576</v>
      </c>
      <c r="X167" s="1">
        <f t="shared" si="30"/>
        <v>-1232.6618200846265</v>
      </c>
    </row>
    <row r="168" spans="1:24" x14ac:dyDescent="0.2">
      <c r="A168" s="7">
        <f t="shared" si="28"/>
        <v>5.5770582133336296E-3</v>
      </c>
      <c r="B168" s="4">
        <f t="shared" si="40"/>
        <v>162</v>
      </c>
      <c r="C168" s="4">
        <f t="shared" si="31"/>
        <v>180</v>
      </c>
      <c r="D168" s="8">
        <f t="shared" si="41"/>
        <v>15</v>
      </c>
      <c r="E168" s="23">
        <f t="shared" si="32"/>
        <v>628.86440216648305</v>
      </c>
      <c r="F168" s="24">
        <f t="shared" si="33"/>
        <v>547.31687425077428</v>
      </c>
      <c r="G168" s="25">
        <f t="shared" si="34"/>
        <v>1231.1812764172573</v>
      </c>
      <c r="H168" s="26">
        <f t="shared" si="35"/>
        <v>167.47896352073693</v>
      </c>
      <c r="I168" s="27">
        <f t="shared" si="36"/>
        <v>98137.199454409347</v>
      </c>
      <c r="K168" s="18">
        <f t="shared" si="29"/>
        <v>0.30851501562415512</v>
      </c>
      <c r="L168" s="22">
        <f t="shared" si="37"/>
        <v>1.6999999999999999E-3</v>
      </c>
      <c r="N168" s="13">
        <f t="shared" si="38"/>
        <v>74448.252199413837</v>
      </c>
      <c r="O168" s="13">
        <f t="shared" si="39"/>
        <v>948.79289703173288</v>
      </c>
      <c r="X168" s="1">
        <f t="shared" si="30"/>
        <v>-1231.1812764172573</v>
      </c>
    </row>
    <row r="169" spans="1:24" x14ac:dyDescent="0.2">
      <c r="A169" s="7">
        <f t="shared" si="28"/>
        <v>5.6083897023234998E-3</v>
      </c>
      <c r="B169" s="4">
        <f t="shared" si="40"/>
        <v>163</v>
      </c>
      <c r="C169" s="4">
        <f t="shared" si="31"/>
        <v>179</v>
      </c>
      <c r="D169" s="8">
        <f t="shared" si="41"/>
        <v>14.916666666666666</v>
      </c>
      <c r="E169" s="23">
        <f t="shared" si="32"/>
        <v>626.43978052701902</v>
      </c>
      <c r="F169" s="24">
        <f t="shared" si="33"/>
        <v>548.25251091848793</v>
      </c>
      <c r="G169" s="25">
        <f t="shared" si="34"/>
        <v>1229.692291445507</v>
      </c>
      <c r="H169" s="26">
        <f t="shared" si="35"/>
        <v>166.83323907249587</v>
      </c>
      <c r="I169" s="27">
        <f t="shared" si="36"/>
        <v>97755.780182563351</v>
      </c>
      <c r="K169" s="18">
        <f t="shared" si="29"/>
        <v>0.31017456521389802</v>
      </c>
      <c r="L169" s="22">
        <f t="shared" si="37"/>
        <v>1.6999999999999999E-3</v>
      </c>
      <c r="N169" s="13">
        <f t="shared" si="38"/>
        <v>74032.340175953417</v>
      </c>
      <c r="O169" s="13">
        <f t="shared" si="39"/>
        <v>946.13800328967011</v>
      </c>
      <c r="X169" s="1">
        <f t="shared" si="30"/>
        <v>-1229.692291445507</v>
      </c>
    </row>
    <row r="170" spans="1:24" x14ac:dyDescent="0.2">
      <c r="A170" s="7">
        <f t="shared" si="28"/>
        <v>5.6400752160430815E-3</v>
      </c>
      <c r="B170" s="4">
        <f t="shared" si="40"/>
        <v>164</v>
      </c>
      <c r="C170" s="4">
        <f t="shared" si="31"/>
        <v>178</v>
      </c>
      <c r="D170" s="8">
        <f t="shared" si="41"/>
        <v>14.833333333333334</v>
      </c>
      <c r="E170" s="23">
        <f t="shared" si="32"/>
        <v>624.00506457555173</v>
      </c>
      <c r="F170" s="24">
        <f t="shared" si="33"/>
        <v>549.18977630653569</v>
      </c>
      <c r="G170" s="25">
        <f t="shared" si="34"/>
        <v>1228.1948408820874</v>
      </c>
      <c r="H170" s="26">
        <f t="shared" si="35"/>
        <v>166.18482631035769</v>
      </c>
      <c r="I170" s="27">
        <f t="shared" si="36"/>
        <v>97372.775232567175</v>
      </c>
      <c r="K170" s="18">
        <f t="shared" si="29"/>
        <v>0.31184380299228781</v>
      </c>
      <c r="L170" s="22">
        <f t="shared" si="37"/>
        <v>1.6999999999999999E-3</v>
      </c>
      <c r="N170" s="13">
        <f t="shared" si="38"/>
        <v>73616.428152492997</v>
      </c>
      <c r="O170" s="13">
        <f t="shared" si="39"/>
        <v>943.48310954760711</v>
      </c>
      <c r="X170" s="1">
        <f t="shared" si="30"/>
        <v>-1228.1948408820874</v>
      </c>
    </row>
    <row r="171" spans="1:24" x14ac:dyDescent="0.2">
      <c r="A171" s="7">
        <f t="shared" si="28"/>
        <v>5.672120788946626E-3</v>
      </c>
      <c r="B171" s="4">
        <f t="shared" si="40"/>
        <v>165</v>
      </c>
      <c r="C171" s="4">
        <f t="shared" si="31"/>
        <v>177</v>
      </c>
      <c r="D171" s="8">
        <f t="shared" si="41"/>
        <v>14.75</v>
      </c>
      <c r="E171" s="23">
        <f t="shared" si="32"/>
        <v>621.56022675513043</v>
      </c>
      <c r="F171" s="24">
        <f t="shared" si="33"/>
        <v>550.12867363032308</v>
      </c>
      <c r="G171" s="25">
        <f t="shared" si="34"/>
        <v>1226.6889003854535</v>
      </c>
      <c r="H171" s="26">
        <f t="shared" si="35"/>
        <v>165.53371789536419</v>
      </c>
      <c r="I171" s="27">
        <f t="shared" si="36"/>
        <v>96988.180276832209</v>
      </c>
      <c r="K171" s="18">
        <f t="shared" si="29"/>
        <v>0.31352281382354596</v>
      </c>
      <c r="L171" s="22">
        <f t="shared" si="37"/>
        <v>1.6999999999999999E-3</v>
      </c>
      <c r="N171" s="13">
        <f t="shared" si="38"/>
        <v>73200.516129032592</v>
      </c>
      <c r="O171" s="13">
        <f t="shared" si="39"/>
        <v>940.82821580554412</v>
      </c>
      <c r="X171" s="1">
        <f t="shared" si="30"/>
        <v>-1226.6889003854535</v>
      </c>
    </row>
    <row r="172" spans="1:24" x14ac:dyDescent="0.2">
      <c r="A172" s="7">
        <f t="shared" si="28"/>
        <v>5.7045325934174263E-3</v>
      </c>
      <c r="B172" s="4">
        <f t="shared" si="40"/>
        <v>166</v>
      </c>
      <c r="C172" s="4">
        <f t="shared" si="31"/>
        <v>176</v>
      </c>
      <c r="D172" s="8">
        <f t="shared" si="41"/>
        <v>14.666666666666666</v>
      </c>
      <c r="E172" s="23">
        <f t="shared" si="32"/>
        <v>619.10523944143256</v>
      </c>
      <c r="F172" s="24">
        <f t="shared" si="33"/>
        <v>551.06920611836483</v>
      </c>
      <c r="G172" s="25">
        <f t="shared" si="34"/>
        <v>1225.1744455597973</v>
      </c>
      <c r="H172" s="26">
        <f t="shared" si="35"/>
        <v>164.87990647061474</v>
      </c>
      <c r="I172" s="27">
        <f t="shared" si="36"/>
        <v>96601.990977184454</v>
      </c>
      <c r="K172" s="18">
        <f t="shared" si="29"/>
        <v>0.31521168356665769</v>
      </c>
      <c r="L172" s="22">
        <f t="shared" si="37"/>
        <v>1.6999999999999999E-3</v>
      </c>
      <c r="N172" s="13">
        <f t="shared" si="38"/>
        <v>72784.604105572187</v>
      </c>
      <c r="O172" s="13">
        <f t="shared" si="39"/>
        <v>938.17332206348135</v>
      </c>
      <c r="X172" s="1">
        <f t="shared" si="30"/>
        <v>-1225.1744455597973</v>
      </c>
    </row>
    <row r="173" spans="1:24" x14ac:dyDescent="0.2">
      <c r="A173" s="7">
        <f t="shared" si="28"/>
        <v>5.7373169437312651E-3</v>
      </c>
      <c r="B173" s="4">
        <f t="shared" si="40"/>
        <v>167</v>
      </c>
      <c r="C173" s="4">
        <f t="shared" si="31"/>
        <v>175</v>
      </c>
      <c r="D173" s="8">
        <f t="shared" si="41"/>
        <v>14.583333333333334</v>
      </c>
      <c r="E173" s="23">
        <f t="shared" si="32"/>
        <v>616.64007494256578</v>
      </c>
      <c r="F173" s="24">
        <f t="shared" si="33"/>
        <v>552.01137701248263</v>
      </c>
      <c r="G173" s="25">
        <f t="shared" si="34"/>
        <v>1223.6514519550483</v>
      </c>
      <c r="H173" s="26">
        <f t="shared" si="35"/>
        <v>164.22338466121357</v>
      </c>
      <c r="I173" s="27">
        <f t="shared" si="36"/>
        <v>96214.202984833173</v>
      </c>
      <c r="K173" s="18">
        <f t="shared" si="29"/>
        <v>0.31691049908999308</v>
      </c>
      <c r="L173" s="22">
        <f t="shared" si="37"/>
        <v>1.6999999999999999E-3</v>
      </c>
      <c r="N173" s="13">
        <f t="shared" si="38"/>
        <v>72368.692082111767</v>
      </c>
      <c r="O173" s="13">
        <f t="shared" si="39"/>
        <v>935.51842832141847</v>
      </c>
      <c r="X173" s="1">
        <f t="shared" si="30"/>
        <v>-1223.6514519550483</v>
      </c>
    </row>
    <row r="174" spans="1:24" x14ac:dyDescent="0.2">
      <c r="A174" s="7">
        <f t="shared" si="28"/>
        <v>5.7704803001573032E-3</v>
      </c>
      <c r="B174" s="4">
        <f t="shared" si="40"/>
        <v>168</v>
      </c>
      <c r="C174" s="4">
        <f t="shared" si="31"/>
        <v>174</v>
      </c>
      <c r="D174" s="8">
        <f t="shared" si="41"/>
        <v>14.5</v>
      </c>
      <c r="E174" s="23">
        <f t="shared" si="32"/>
        <v>614.16470549886765</v>
      </c>
      <c r="F174" s="24">
        <f t="shared" si="33"/>
        <v>552.95518956800674</v>
      </c>
      <c r="G174" s="25">
        <f t="shared" si="34"/>
        <v>1222.1198950668745</v>
      </c>
      <c r="H174" s="26">
        <f t="shared" si="35"/>
        <v>163.56414507421638</v>
      </c>
      <c r="I174" s="27">
        <f t="shared" si="36"/>
        <v>95824.811940339379</v>
      </c>
      <c r="K174" s="18">
        <f t="shared" si="29"/>
        <v>0.3186193482861866</v>
      </c>
      <c r="L174" s="22">
        <f t="shared" si="37"/>
        <v>1.6999999999999999E-3</v>
      </c>
      <c r="N174" s="13">
        <f t="shared" si="38"/>
        <v>71952.780058651348</v>
      </c>
      <c r="O174" s="13">
        <f t="shared" si="39"/>
        <v>932.86353457935547</v>
      </c>
      <c r="X174" s="1">
        <f t="shared" si="30"/>
        <v>-1222.1198950668745</v>
      </c>
    </row>
    <row r="175" spans="1:24" x14ac:dyDescent="0.2">
      <c r="A175" s="7">
        <f t="shared" si="28"/>
        <v>5.8040292732020422E-3</v>
      </c>
      <c r="B175" s="4">
        <f t="shared" si="40"/>
        <v>169</v>
      </c>
      <c r="C175" s="4">
        <f t="shared" si="31"/>
        <v>173</v>
      </c>
      <c r="D175" s="8">
        <f t="shared" si="41"/>
        <v>14.416666666666666</v>
      </c>
      <c r="E175" s="23">
        <f t="shared" si="32"/>
        <v>611.679103282705</v>
      </c>
      <c r="F175" s="24">
        <f t="shared" si="33"/>
        <v>553.90064705398481</v>
      </c>
      <c r="G175" s="25">
        <f t="shared" si="34"/>
        <v>1220.5797503366898</v>
      </c>
      <c r="H175" s="26">
        <f t="shared" si="35"/>
        <v>162.90218029857692</v>
      </c>
      <c r="I175" s="27">
        <f t="shared" si="36"/>
        <v>95433.81347358397</v>
      </c>
      <c r="K175" s="18">
        <f t="shared" si="29"/>
        <v>0.32033832008728086</v>
      </c>
      <c r="L175" s="22">
        <f t="shared" si="37"/>
        <v>1.6999999999999999E-3</v>
      </c>
      <c r="N175" s="13">
        <f t="shared" si="38"/>
        <v>71536.868035190942</v>
      </c>
      <c r="O175" s="13">
        <f t="shared" si="39"/>
        <v>930.20864083729248</v>
      </c>
      <c r="X175" s="1">
        <f t="shared" si="30"/>
        <v>-1220.5797503366898</v>
      </c>
    </row>
    <row r="176" spans="1:24" x14ac:dyDescent="0.2">
      <c r="A176" s="7">
        <f t="shared" si="28"/>
        <v>5.8379706280021768E-3</v>
      </c>
      <c r="B176" s="4">
        <f t="shared" si="40"/>
        <v>170</v>
      </c>
      <c r="C176" s="4">
        <f t="shared" si="31"/>
        <v>172</v>
      </c>
      <c r="D176" s="8">
        <f t="shared" si="41"/>
        <v>14.333333333333334</v>
      </c>
      <c r="E176" s="23">
        <f t="shared" si="32"/>
        <v>609.18324039826996</v>
      </c>
      <c r="F176" s="24">
        <f t="shared" si="33"/>
        <v>554.84775275339518</v>
      </c>
      <c r="G176" s="25">
        <f t="shared" si="34"/>
        <v>1219.0309931516651</v>
      </c>
      <c r="H176" s="26">
        <f t="shared" si="35"/>
        <v>162.23748290509275</v>
      </c>
      <c r="I176" s="27">
        <f t="shared" si="36"/>
        <v>95041.203203735669</v>
      </c>
      <c r="K176" s="18">
        <f t="shared" si="29"/>
        <v>0.32206750448013921</v>
      </c>
      <c r="L176" s="22">
        <f t="shared" si="37"/>
        <v>1.6999999999999999E-3</v>
      </c>
      <c r="N176" s="13">
        <f t="shared" si="38"/>
        <v>71120.956011730537</v>
      </c>
      <c r="O176" s="13">
        <f t="shared" si="39"/>
        <v>927.55374709522971</v>
      </c>
      <c r="X176" s="1">
        <f t="shared" si="30"/>
        <v>-1219.0309931516651</v>
      </c>
    </row>
    <row r="177" spans="1:24" x14ac:dyDescent="0.2">
      <c r="A177" s="7">
        <f t="shared" si="28"/>
        <v>5.8723112888724987E-3</v>
      </c>
      <c r="B177" s="4">
        <f t="shared" si="40"/>
        <v>171</v>
      </c>
      <c r="C177" s="4">
        <f t="shared" si="31"/>
        <v>171</v>
      </c>
      <c r="D177" s="8">
        <f t="shared" si="41"/>
        <v>14.25</v>
      </c>
      <c r="E177" s="23">
        <f t="shared" si="32"/>
        <v>606.67708888137565</v>
      </c>
      <c r="F177" s="24">
        <f t="shared" si="33"/>
        <v>555.79650996336647</v>
      </c>
      <c r="G177" s="25">
        <f t="shared" si="34"/>
        <v>1217.4735988447421</v>
      </c>
      <c r="H177" s="26">
        <f t="shared" si="35"/>
        <v>161.57004544635063</v>
      </c>
      <c r="I177" s="27">
        <f t="shared" si="36"/>
        <v>94646.976739218648</v>
      </c>
      <c r="K177" s="18">
        <f t="shared" si="29"/>
        <v>0.32380699252213474</v>
      </c>
      <c r="L177" s="22">
        <f t="shared" si="37"/>
        <v>1.6999999999999999E-3</v>
      </c>
      <c r="N177" s="13">
        <f t="shared" si="38"/>
        <v>70705.043988270118</v>
      </c>
      <c r="O177" s="13">
        <f t="shared" si="39"/>
        <v>924.89885335316694</v>
      </c>
      <c r="X177" s="1">
        <f t="shared" si="30"/>
        <v>-1217.4735988447421</v>
      </c>
    </row>
    <row r="178" spans="1:24" x14ac:dyDescent="0.2">
      <c r="A178" s="7">
        <f t="shared" si="28"/>
        <v>5.9070583440152639E-3</v>
      </c>
      <c r="B178" s="4">
        <f t="shared" si="40"/>
        <v>172</v>
      </c>
      <c r="C178" s="4">
        <f t="shared" si="31"/>
        <v>170</v>
      </c>
      <c r="D178" s="8">
        <f t="shared" si="41"/>
        <v>14.166666666666666</v>
      </c>
      <c r="E178" s="23">
        <f t="shared" si="32"/>
        <v>604.16062069924953</v>
      </c>
      <c r="F178" s="24">
        <f t="shared" si="33"/>
        <v>556.7469219954038</v>
      </c>
      <c r="G178" s="25">
        <f t="shared" si="34"/>
        <v>1215.9075426946533</v>
      </c>
      <c r="H178" s="26">
        <f t="shared" si="35"/>
        <v>160.89986045667169</v>
      </c>
      <c r="I178" s="27">
        <f t="shared" si="36"/>
        <v>94251.129677679914</v>
      </c>
      <c r="K178" s="18">
        <f t="shared" si="29"/>
        <v>0.32555687635711933</v>
      </c>
      <c r="L178" s="22">
        <f t="shared" si="37"/>
        <v>1.6999999999999999E-3</v>
      </c>
      <c r="N178" s="13">
        <f t="shared" si="38"/>
        <v>70289.131964809698</v>
      </c>
      <c r="O178" s="13">
        <f t="shared" si="39"/>
        <v>922.24395961110395</v>
      </c>
      <c r="X178" s="1">
        <f t="shared" si="30"/>
        <v>-1215.9075426946533</v>
      </c>
    </row>
    <row r="179" spans="1:24" x14ac:dyDescent="0.2">
      <c r="A179" s="7">
        <f t="shared" si="28"/>
        <v>5.9422190503977419E-3</v>
      </c>
      <c r="B179" s="4">
        <f t="shared" si="40"/>
        <v>173</v>
      </c>
      <c r="C179" s="4">
        <f t="shared" si="31"/>
        <v>169</v>
      </c>
      <c r="D179" s="8">
        <f t="shared" si="41"/>
        <v>14.083333333333334</v>
      </c>
      <c r="E179" s="23">
        <f t="shared" si="32"/>
        <v>601.63380775032499</v>
      </c>
      <c r="F179" s="24">
        <f t="shared" si="33"/>
        <v>557.69899217562079</v>
      </c>
      <c r="G179" s="25">
        <f t="shared" si="34"/>
        <v>1214.3327999259459</v>
      </c>
      <c r="H179" s="26">
        <f t="shared" si="35"/>
        <v>160.22692045205585</v>
      </c>
      <c r="I179" s="27">
        <f t="shared" si="36"/>
        <v>93853.657605956352</v>
      </c>
      <c r="K179" s="18">
        <f t="shared" si="29"/>
        <v>0.32731724923168021</v>
      </c>
      <c r="L179" s="22">
        <f t="shared" si="37"/>
        <v>1.6999999999999999E-3</v>
      </c>
      <c r="N179" s="13">
        <f t="shared" si="38"/>
        <v>69873.219941349293</v>
      </c>
      <c r="O179" s="13">
        <f t="shared" si="39"/>
        <v>919.58906586904095</v>
      </c>
      <c r="X179" s="1">
        <f t="shared" si="30"/>
        <v>-1214.3327999259459</v>
      </c>
    </row>
    <row r="180" spans="1:24" x14ac:dyDescent="0.2">
      <c r="A180" s="7">
        <f t="shared" si="28"/>
        <v>5.9778008388050134E-3</v>
      </c>
      <c r="B180" s="4">
        <f t="shared" si="40"/>
        <v>174</v>
      </c>
      <c r="C180" s="4">
        <f t="shared" si="31"/>
        <v>168</v>
      </c>
      <c r="D180" s="8">
        <f t="shared" si="41"/>
        <v>14</v>
      </c>
      <c r="E180" s="23">
        <f t="shared" si="32"/>
        <v>599.09662186403125</v>
      </c>
      <c r="F180" s="24">
        <f t="shared" si="33"/>
        <v>558.65272384497825</v>
      </c>
      <c r="G180" s="25">
        <f t="shared" si="34"/>
        <v>1212.7493457090095</v>
      </c>
      <c r="H180" s="26">
        <f t="shared" si="35"/>
        <v>159.5512179301258</v>
      </c>
      <c r="I180" s="27">
        <f t="shared" si="36"/>
        <v>93454.556100041504</v>
      </c>
      <c r="K180" s="18">
        <f t="shared" si="29"/>
        <v>0.32908820551168866</v>
      </c>
      <c r="L180" s="22">
        <f t="shared" si="37"/>
        <v>1.6999999999999999E-3</v>
      </c>
      <c r="N180" s="13">
        <f t="shared" si="38"/>
        <v>69457.307917888887</v>
      </c>
      <c r="O180" s="13">
        <f t="shared" si="39"/>
        <v>916.93417212697818</v>
      </c>
      <c r="X180" s="1">
        <f t="shared" si="30"/>
        <v>-1212.7493457090095</v>
      </c>
    </row>
    <row r="181" spans="1:24" x14ac:dyDescent="0.2">
      <c r="A181" s="7">
        <f t="shared" si="28"/>
        <v>6.0138113190753876E-3</v>
      </c>
      <c r="B181" s="4">
        <f t="shared" si="40"/>
        <v>175</v>
      </c>
      <c r="C181" s="4">
        <f t="shared" si="31"/>
        <v>167</v>
      </c>
      <c r="D181" s="8">
        <f t="shared" si="41"/>
        <v>13.916666666666666</v>
      </c>
      <c r="E181" s="23">
        <f t="shared" si="32"/>
        <v>596.5490348005809</v>
      </c>
      <c r="F181" s="24">
        <f t="shared" si="33"/>
        <v>559.60812035952995</v>
      </c>
      <c r="G181" s="25">
        <f t="shared" si="34"/>
        <v>1211.157155160111</v>
      </c>
      <c r="H181" s="26">
        <f t="shared" si="35"/>
        <v>158.87274537007056</v>
      </c>
      <c r="I181" s="27">
        <f t="shared" si="36"/>
        <v>93053.82072505205</v>
      </c>
      <c r="K181" s="18">
        <f t="shared" si="29"/>
        <v>0.33086984069914815</v>
      </c>
      <c r="L181" s="22">
        <f t="shared" si="37"/>
        <v>1.6999999999999999E-3</v>
      </c>
      <c r="N181" s="13">
        <f t="shared" si="38"/>
        <v>69041.395894428468</v>
      </c>
      <c r="O181" s="13">
        <f t="shared" si="39"/>
        <v>914.27927838491541</v>
      </c>
      <c r="X181" s="1">
        <f t="shared" si="30"/>
        <v>-1211.157155160111</v>
      </c>
    </row>
    <row r="182" spans="1:24" x14ac:dyDescent="0.2">
      <c r="A182" s="7">
        <f t="shared" si="28"/>
        <v>6.0502582855262088E-3</v>
      </c>
      <c r="B182" s="4">
        <f t="shared" si="40"/>
        <v>176</v>
      </c>
      <c r="C182" s="4">
        <f t="shared" si="31"/>
        <v>166</v>
      </c>
      <c r="D182" s="8">
        <f t="shared" si="41"/>
        <v>13.833333333333334</v>
      </c>
      <c r="E182" s="23">
        <f t="shared" si="32"/>
        <v>593.99101825075638</v>
      </c>
      <c r="F182" s="24">
        <f t="shared" si="33"/>
        <v>560.56518509067496</v>
      </c>
      <c r="G182" s="25">
        <f t="shared" si="34"/>
        <v>1209.5562033414312</v>
      </c>
      <c r="H182" s="26">
        <f t="shared" si="35"/>
        <v>158.19149523258847</v>
      </c>
      <c r="I182" s="27">
        <f t="shared" si="36"/>
        <v>92651.447035193967</v>
      </c>
      <c r="K182" s="18">
        <f t="shared" si="29"/>
        <v>0.33266225144934847</v>
      </c>
      <c r="L182" s="22">
        <f t="shared" si="37"/>
        <v>1.6999999999999999E-3</v>
      </c>
      <c r="N182" s="13">
        <f t="shared" si="38"/>
        <v>68625.483870968048</v>
      </c>
      <c r="O182" s="13">
        <f t="shared" si="39"/>
        <v>911.62438464285242</v>
      </c>
      <c r="X182" s="1">
        <f t="shared" si="30"/>
        <v>-1209.5562033414312</v>
      </c>
    </row>
    <row r="183" spans="1:24" x14ac:dyDescent="0.2">
      <c r="A183" s="7">
        <f t="shared" si="28"/>
        <v>6.087149722578151E-3</v>
      </c>
      <c r="B183" s="4">
        <f t="shared" si="40"/>
        <v>177</v>
      </c>
      <c r="C183" s="4">
        <f t="shared" si="31"/>
        <v>165</v>
      </c>
      <c r="D183" s="8">
        <f t="shared" si="41"/>
        <v>13.75</v>
      </c>
      <c r="E183" s="23">
        <f t="shared" si="32"/>
        <v>591.42254383569377</v>
      </c>
      <c r="F183" s="24">
        <f t="shared" si="33"/>
        <v>561.52392142541794</v>
      </c>
      <c r="G183" s="25">
        <f t="shared" si="34"/>
        <v>1207.9464652611118</v>
      </c>
      <c r="H183" s="26">
        <f t="shared" si="35"/>
        <v>157.50745995982973</v>
      </c>
      <c r="I183" s="27">
        <f t="shared" si="36"/>
        <v>92247.430573728372</v>
      </c>
      <c r="K183" s="18">
        <f t="shared" si="29"/>
        <v>0.33446553558833036</v>
      </c>
      <c r="L183" s="22">
        <f t="shared" si="37"/>
        <v>1.6999999999999999E-3</v>
      </c>
      <c r="N183" s="13">
        <f t="shared" si="38"/>
        <v>68209.571847507643</v>
      </c>
      <c r="O183" s="13">
        <f t="shared" si="39"/>
        <v>908.96949090078942</v>
      </c>
      <c r="X183" s="1">
        <f t="shared" si="30"/>
        <v>-1207.9464652611118</v>
      </c>
    </row>
    <row r="184" spans="1:24" x14ac:dyDescent="0.2">
      <c r="A184" s="7">
        <f t="shared" si="28"/>
        <v>6.1244938105865544E-3</v>
      </c>
      <c r="B184" s="4">
        <f t="shared" si="40"/>
        <v>178</v>
      </c>
      <c r="C184" s="4">
        <f t="shared" si="31"/>
        <v>164</v>
      </c>
      <c r="D184" s="8">
        <f t="shared" si="41"/>
        <v>13.666666666666666</v>
      </c>
      <c r="E184" s="23">
        <f t="shared" si="32"/>
        <v>588.84358310666482</v>
      </c>
      <c r="F184" s="24">
        <f t="shared" si="33"/>
        <v>562.48433276663638</v>
      </c>
      <c r="G184" s="25">
        <f t="shared" si="34"/>
        <v>1206.3279158733012</v>
      </c>
      <c r="H184" s="26">
        <f t="shared" si="35"/>
        <v>156.82063197533822</v>
      </c>
      <c r="I184" s="27">
        <f t="shared" si="36"/>
        <v>91841.766872937078</v>
      </c>
      <c r="K184" s="18">
        <f t="shared" si="29"/>
        <v>0.33627979213067011</v>
      </c>
      <c r="L184" s="22">
        <f t="shared" si="37"/>
        <v>1.6999999999999999E-3</v>
      </c>
      <c r="N184" s="13">
        <f t="shared" si="38"/>
        <v>67793.659824047238</v>
      </c>
      <c r="O184" s="13">
        <f t="shared" si="39"/>
        <v>906.31459715872666</v>
      </c>
      <c r="X184" s="1">
        <f t="shared" si="30"/>
        <v>-1206.3279158733012</v>
      </c>
    </row>
    <row r="185" spans="1:24" x14ac:dyDescent="0.2">
      <c r="A185" s="7">
        <f t="shared" si="28"/>
        <v>6.1622989318887269E-3</v>
      </c>
      <c r="B185" s="4">
        <f t="shared" si="40"/>
        <v>179</v>
      </c>
      <c r="C185" s="4">
        <f t="shared" si="31"/>
        <v>163</v>
      </c>
      <c r="D185" s="8">
        <f t="shared" si="41"/>
        <v>13.583333333333334</v>
      </c>
      <c r="E185" s="23">
        <f t="shared" si="32"/>
        <v>586.25410754485677</v>
      </c>
      <c r="F185" s="24">
        <f t="shared" si="33"/>
        <v>563.44642253335633</v>
      </c>
      <c r="G185" s="25">
        <f t="shared" si="34"/>
        <v>1204.700530078213</v>
      </c>
      <c r="H185" s="26">
        <f t="shared" si="35"/>
        <v>156.13100368399301</v>
      </c>
      <c r="I185" s="27">
        <f t="shared" si="36"/>
        <v>91434.451454087714</v>
      </c>
      <c r="K185" s="18">
        <f t="shared" si="29"/>
        <v>0.33810512129758846</v>
      </c>
      <c r="L185" s="22">
        <f t="shared" si="37"/>
        <v>1.6999999999999999E-3</v>
      </c>
      <c r="N185" s="13">
        <f t="shared" si="38"/>
        <v>67377.747800586818</v>
      </c>
      <c r="O185" s="13">
        <f t="shared" si="39"/>
        <v>903.65970341666389</v>
      </c>
      <c r="X185" s="1">
        <f t="shared" si="30"/>
        <v>-1204.700530078213</v>
      </c>
    </row>
    <row r="186" spans="1:24" x14ac:dyDescent="0.2">
      <c r="A186" s="7">
        <f t="shared" si="28"/>
        <v>6.200573677076604E-3</v>
      </c>
      <c r="B186" s="4">
        <f t="shared" si="40"/>
        <v>180</v>
      </c>
      <c r="C186" s="4">
        <f t="shared" si="31"/>
        <v>162</v>
      </c>
      <c r="D186" s="8">
        <f t="shared" si="41"/>
        <v>13.5</v>
      </c>
      <c r="E186" s="23">
        <f t="shared" si="32"/>
        <v>583.65408856115005</v>
      </c>
      <c r="F186" s="24">
        <f t="shared" si="33"/>
        <v>564.41019416103529</v>
      </c>
      <c r="G186" s="25">
        <f t="shared" si="34"/>
        <v>1203.0642827221855</v>
      </c>
      <c r="H186" s="26">
        <f t="shared" si="35"/>
        <v>155.43856747194911</v>
      </c>
      <c r="I186" s="27">
        <f t="shared" si="36"/>
        <v>91025.479827398623</v>
      </c>
      <c r="K186" s="18">
        <f t="shared" si="29"/>
        <v>0.33994162453539228</v>
      </c>
      <c r="L186" s="22">
        <f t="shared" si="37"/>
        <v>1.6999999999999999E-3</v>
      </c>
      <c r="N186" s="13">
        <f t="shared" si="38"/>
        <v>66961.835777126398</v>
      </c>
      <c r="O186" s="13">
        <f t="shared" si="39"/>
        <v>901.00480967460089</v>
      </c>
      <c r="X186" s="1">
        <f t="shared" si="30"/>
        <v>-1203.0642827221855</v>
      </c>
    </row>
    <row r="187" spans="1:24" x14ac:dyDescent="0.2">
      <c r="A187" s="7">
        <f t="shared" si="28"/>
        <v>6.2393268515046453E-3</v>
      </c>
      <c r="B187" s="4">
        <f t="shared" si="40"/>
        <v>181</v>
      </c>
      <c r="C187" s="4">
        <f t="shared" si="31"/>
        <v>161</v>
      </c>
      <c r="D187" s="8">
        <f t="shared" si="41"/>
        <v>13.416666666666666</v>
      </c>
      <c r="E187" s="23">
        <f t="shared" si="32"/>
        <v>581.04349749589448</v>
      </c>
      <c r="F187" s="24">
        <f t="shared" si="33"/>
        <v>565.37565110185483</v>
      </c>
      <c r="G187" s="25">
        <f t="shared" si="34"/>
        <v>1201.4191485977494</v>
      </c>
      <c r="H187" s="26">
        <f t="shared" si="35"/>
        <v>154.74331570657765</v>
      </c>
      <c r="I187" s="27">
        <f t="shared" si="36"/>
        <v>90614.847492003348</v>
      </c>
      <c r="K187" s="18">
        <f t="shared" si="29"/>
        <v>0.34178940453425566</v>
      </c>
      <c r="L187" s="22">
        <f t="shared" si="37"/>
        <v>1.6999999999999999E-3</v>
      </c>
      <c r="N187" s="13">
        <f t="shared" si="38"/>
        <v>66545.923753665993</v>
      </c>
      <c r="O187" s="13">
        <f t="shared" si="39"/>
        <v>898.3499159325379</v>
      </c>
      <c r="X187" s="1">
        <f t="shared" si="30"/>
        <v>-1201.4191485977494</v>
      </c>
    </row>
    <row r="188" spans="1:24" x14ac:dyDescent="0.2">
      <c r="A188" s="7">
        <f t="shared" si="28"/>
        <v>6.2785674820432973E-3</v>
      </c>
      <c r="B188" s="4">
        <f t="shared" si="40"/>
        <v>182</v>
      </c>
      <c r="C188" s="4">
        <f t="shared" si="31"/>
        <v>160</v>
      </c>
      <c r="D188" s="8">
        <f t="shared" si="41"/>
        <v>13.333333333333334</v>
      </c>
      <c r="E188" s="23">
        <f t="shared" si="32"/>
        <v>578.42230561868166</v>
      </c>
      <c r="F188" s="24">
        <f t="shared" si="33"/>
        <v>566.34279682502097</v>
      </c>
      <c r="G188" s="25">
        <f t="shared" si="34"/>
        <v>1199.7651024437027</v>
      </c>
      <c r="H188" s="26">
        <f t="shared" si="35"/>
        <v>154.04524073640567</v>
      </c>
      <c r="I188" s="27">
        <f t="shared" si="36"/>
        <v>90202.549935914736</v>
      </c>
      <c r="K188" s="18">
        <f t="shared" si="29"/>
        <v>0.34364856524734744</v>
      </c>
      <c r="L188" s="22">
        <f t="shared" si="37"/>
        <v>1.6999999999999999E-3</v>
      </c>
      <c r="N188" s="13">
        <f t="shared" si="38"/>
        <v>66130.011730205588</v>
      </c>
      <c r="O188" s="13">
        <f t="shared" si="39"/>
        <v>895.69502219047513</v>
      </c>
      <c r="X188" s="1">
        <f t="shared" si="30"/>
        <v>-1199.7651024437027</v>
      </c>
    </row>
    <row r="189" spans="1:24" x14ac:dyDescent="0.2">
      <c r="A189" s="7">
        <f t="shared" si="28"/>
        <v>6.3183048240889163E-3</v>
      </c>
      <c r="B189" s="4">
        <f t="shared" si="40"/>
        <v>183</v>
      </c>
      <c r="C189" s="4">
        <f t="shared" si="31"/>
        <v>159</v>
      </c>
      <c r="D189" s="8">
        <f t="shared" si="41"/>
        <v>13.25</v>
      </c>
      <c r="E189" s="23">
        <f t="shared" si="32"/>
        <v>575.79048412811665</v>
      </c>
      <c r="F189" s="24">
        <f t="shared" si="33"/>
        <v>567.31163481707381</v>
      </c>
      <c r="G189" s="25">
        <f t="shared" si="34"/>
        <v>1198.1021189451903</v>
      </c>
      <c r="H189" s="26">
        <f t="shared" si="35"/>
        <v>153.34433489105504</v>
      </c>
      <c r="I189" s="27">
        <f t="shared" si="36"/>
        <v>89788.582635988714</v>
      </c>
      <c r="K189" s="18">
        <f t="shared" si="29"/>
        <v>0.34551921191031343</v>
      </c>
      <c r="L189" s="22">
        <f t="shared" si="37"/>
        <v>1.6999999999999999E-3</v>
      </c>
      <c r="N189" s="13">
        <f t="shared" si="38"/>
        <v>65714.099706745168</v>
      </c>
      <c r="O189" s="13">
        <f t="shared" si="39"/>
        <v>893.04012844841236</v>
      </c>
      <c r="X189" s="1">
        <f t="shared" si="30"/>
        <v>-1198.1021189451903</v>
      </c>
    </row>
    <row r="190" spans="1:24" x14ac:dyDescent="0.2">
      <c r="A190" s="7">
        <f t="shared" si="28"/>
        <v>6.3585483688415878E-3</v>
      </c>
      <c r="B190" s="4">
        <f t="shared" si="40"/>
        <v>184</v>
      </c>
      <c r="C190" s="4">
        <f t="shared" si="31"/>
        <v>158</v>
      </c>
      <c r="D190" s="8">
        <f t="shared" si="41"/>
        <v>13.166666666666666</v>
      </c>
      <c r="E190" s="23">
        <f t="shared" si="32"/>
        <v>573.14800415158652</v>
      </c>
      <c r="F190" s="24">
        <f t="shared" si="33"/>
        <v>568.28216858220708</v>
      </c>
      <c r="G190" s="25">
        <f t="shared" si="34"/>
        <v>1196.4301727337936</v>
      </c>
      <c r="H190" s="26">
        <f t="shared" si="35"/>
        <v>152.64059048118079</v>
      </c>
      <c r="I190" s="27">
        <f t="shared" si="36"/>
        <v>89372.941057887685</v>
      </c>
      <c r="K190" s="18">
        <f t="shared" si="29"/>
        <v>0.34740145106111997</v>
      </c>
      <c r="L190" s="22">
        <f t="shared" si="37"/>
        <v>1.6999999999999999E-3</v>
      </c>
      <c r="N190" s="13">
        <f t="shared" si="38"/>
        <v>65298.187683284756</v>
      </c>
      <c r="O190" s="13">
        <f t="shared" si="39"/>
        <v>890.38523470634937</v>
      </c>
      <c r="X190" s="1">
        <f t="shared" si="30"/>
        <v>-1196.4301727337936</v>
      </c>
    </row>
    <row r="191" spans="1:24" x14ac:dyDescent="0.2">
      <c r="A191" s="7">
        <f t="shared" si="28"/>
        <v>6.3993078508628506E-3</v>
      </c>
      <c r="B191" s="4">
        <f t="shared" si="40"/>
        <v>185</v>
      </c>
      <c r="C191" s="4">
        <f t="shared" si="31"/>
        <v>157</v>
      </c>
      <c r="D191" s="8">
        <f t="shared" si="41"/>
        <v>13.083333333333334</v>
      </c>
      <c r="E191" s="23">
        <f t="shared" si="32"/>
        <v>570.49483674502653</v>
      </c>
      <c r="F191" s="24">
        <f t="shared" si="33"/>
        <v>569.25440164259669</v>
      </c>
      <c r="G191" s="25">
        <f t="shared" si="34"/>
        <v>1194.7492383876233</v>
      </c>
      <c r="H191" s="26">
        <f t="shared" si="35"/>
        <v>151.93399979840905</v>
      </c>
      <c r="I191" s="27">
        <f t="shared" si="36"/>
        <v>88955.620656043495</v>
      </c>
      <c r="K191" s="18">
        <f t="shared" si="29"/>
        <v>0.34929539056026804</v>
      </c>
      <c r="L191" s="22">
        <f t="shared" si="37"/>
        <v>1.6999999999999999E-3</v>
      </c>
      <c r="N191" s="13">
        <f t="shared" si="38"/>
        <v>64882.275659824343</v>
      </c>
      <c r="O191" s="13">
        <f t="shared" si="39"/>
        <v>887.73034096428637</v>
      </c>
      <c r="X191" s="1">
        <f t="shared" si="30"/>
        <v>-1194.7492383876233</v>
      </c>
    </row>
    <row r="192" spans="1:24" x14ac:dyDescent="0.2">
      <c r="A192" s="7">
        <f t="shared" si="28"/>
        <v>6.4405932559259893E-3</v>
      </c>
      <c r="B192" s="4">
        <f t="shared" si="40"/>
        <v>186</v>
      </c>
      <c r="C192" s="4">
        <f t="shared" si="31"/>
        <v>156</v>
      </c>
      <c r="D192" s="8">
        <f t="shared" si="41"/>
        <v>13</v>
      </c>
      <c r="E192" s="23">
        <f t="shared" si="32"/>
        <v>567.83095289268397</v>
      </c>
      <c r="F192" s="24">
        <f t="shared" si="33"/>
        <v>570.22833753874033</v>
      </c>
      <c r="G192" s="25">
        <f t="shared" si="34"/>
        <v>1193.0592904314244</v>
      </c>
      <c r="H192" s="26">
        <f t="shared" si="35"/>
        <v>151.22455511527394</v>
      </c>
      <c r="I192" s="27">
        <f t="shared" si="36"/>
        <v>88536.616873620034</v>
      </c>
      <c r="K192" s="18">
        <f t="shared" si="29"/>
        <v>0.35120113961138483</v>
      </c>
      <c r="L192" s="22">
        <f t="shared" si="37"/>
        <v>1.6999999999999999E-3</v>
      </c>
      <c r="N192" s="13">
        <f t="shared" si="38"/>
        <v>64466.363636363931</v>
      </c>
      <c r="O192" s="13">
        <f t="shared" si="39"/>
        <v>885.07544722222349</v>
      </c>
      <c r="X192" s="1">
        <f t="shared" si="30"/>
        <v>-1193.0592904314244</v>
      </c>
    </row>
    <row r="193" spans="1:24" x14ac:dyDescent="0.2">
      <c r="A193" s="7">
        <f t="shared" si="28"/>
        <v>6.4824148291721638E-3</v>
      </c>
      <c r="B193" s="4">
        <f t="shared" si="40"/>
        <v>187</v>
      </c>
      <c r="C193" s="4">
        <f t="shared" si="31"/>
        <v>155</v>
      </c>
      <c r="D193" s="8">
        <f t="shared" si="41"/>
        <v>12.916666666666666</v>
      </c>
      <c r="E193" s="23">
        <f t="shared" si="32"/>
        <v>565.15632350687929</v>
      </c>
      <c r="F193" s="24">
        <f t="shared" si="33"/>
        <v>571.20397982980671</v>
      </c>
      <c r="G193" s="25">
        <f t="shared" si="34"/>
        <v>1191.360303336686</v>
      </c>
      <c r="H193" s="26">
        <f t="shared" si="35"/>
        <v>150.51224868515405</v>
      </c>
      <c r="I193" s="27">
        <f t="shared" si="36"/>
        <v>88115.925142475375</v>
      </c>
      <c r="K193" s="18">
        <f t="shared" si="29"/>
        <v>0.35311880878220137</v>
      </c>
      <c r="L193" s="22">
        <f t="shared" si="37"/>
        <v>1.6999999999999999E-3</v>
      </c>
      <c r="N193" s="13">
        <f t="shared" si="38"/>
        <v>64050.451612903518</v>
      </c>
      <c r="O193" s="13">
        <f t="shared" si="39"/>
        <v>882.42055348016061</v>
      </c>
      <c r="X193" s="1">
        <f t="shared" si="30"/>
        <v>-1191.360303336686</v>
      </c>
    </row>
    <row r="194" spans="1:24" x14ac:dyDescent="0.2">
      <c r="A194" s="7">
        <f t="shared" si="28"/>
        <v>6.5247830835863862E-3</v>
      </c>
      <c r="B194" s="4">
        <f t="shared" si="40"/>
        <v>188</v>
      </c>
      <c r="C194" s="4">
        <f t="shared" si="31"/>
        <v>154</v>
      </c>
      <c r="D194" s="8">
        <f t="shared" si="41"/>
        <v>12.833333333333334</v>
      </c>
      <c r="E194" s="23">
        <f t="shared" si="32"/>
        <v>562.47091942776433</v>
      </c>
      <c r="F194" s="24">
        <f t="shared" si="33"/>
        <v>572.18133209399593</v>
      </c>
      <c r="G194" s="25">
        <f t="shared" si="34"/>
        <v>1189.6522515217603</v>
      </c>
      <c r="H194" s="26">
        <f t="shared" si="35"/>
        <v>149.79707274220812</v>
      </c>
      <c r="I194" s="27">
        <f t="shared" si="36"/>
        <v>87693.540883123584</v>
      </c>
      <c r="K194" s="18">
        <f t="shared" si="29"/>
        <v>0.35504851002592491</v>
      </c>
      <c r="L194" s="22">
        <f t="shared" si="37"/>
        <v>1.6999999999999999E-3</v>
      </c>
      <c r="N194" s="13">
        <f t="shared" si="38"/>
        <v>63634.539589443106</v>
      </c>
      <c r="O194" s="13">
        <f t="shared" si="39"/>
        <v>879.76565973809772</v>
      </c>
      <c r="X194" s="1">
        <f t="shared" si="30"/>
        <v>-1189.6522515217603</v>
      </c>
    </row>
    <row r="195" spans="1:24" x14ac:dyDescent="0.2">
      <c r="A195" s="7">
        <f t="shared" si="28"/>
        <v>6.567708808808085E-3</v>
      </c>
      <c r="B195" s="4">
        <f t="shared" si="40"/>
        <v>189</v>
      </c>
      <c r="C195" s="4">
        <f t="shared" si="31"/>
        <v>153</v>
      </c>
      <c r="D195" s="8">
        <f t="shared" si="41"/>
        <v>12.75</v>
      </c>
      <c r="E195" s="23">
        <f t="shared" si="32"/>
        <v>559.77471142307866</v>
      </c>
      <c r="F195" s="24">
        <f t="shared" si="33"/>
        <v>573.16039792891229</v>
      </c>
      <c r="G195" s="25">
        <f t="shared" si="34"/>
        <v>1187.9351093519908</v>
      </c>
      <c r="H195" s="26">
        <f t="shared" si="35"/>
        <v>149.07901950131009</v>
      </c>
      <c r="I195" s="27">
        <f t="shared" si="36"/>
        <v>87269.459504695988</v>
      </c>
      <c r="K195" s="18">
        <f t="shared" si="29"/>
        <v>0.35699035670301488</v>
      </c>
      <c r="L195" s="22">
        <f t="shared" si="37"/>
        <v>1.6999999999999999E-3</v>
      </c>
      <c r="N195" s="13">
        <f t="shared" si="38"/>
        <v>63218.627565982693</v>
      </c>
      <c r="O195" s="13">
        <f t="shared" si="39"/>
        <v>877.11076599603484</v>
      </c>
      <c r="X195" s="1">
        <f t="shared" si="30"/>
        <v>-1187.9351093519908</v>
      </c>
    </row>
    <row r="196" spans="1:24" x14ac:dyDescent="0.2">
      <c r="A196" s="7">
        <f t="shared" si="28"/>
        <v>6.6112030802917389E-3</v>
      </c>
      <c r="B196" s="4">
        <f t="shared" si="40"/>
        <v>190</v>
      </c>
      <c r="C196" s="4">
        <f t="shared" si="31"/>
        <v>152</v>
      </c>
      <c r="D196" s="8">
        <f t="shared" si="41"/>
        <v>12.666666666666666</v>
      </c>
      <c r="E196" s="23">
        <f t="shared" si="32"/>
        <v>557.06767018790265</v>
      </c>
      <c r="F196" s="24">
        <f t="shared" si="33"/>
        <v>574.14118095194726</v>
      </c>
      <c r="G196" s="25">
        <f t="shared" si="34"/>
        <v>1186.2088511398499</v>
      </c>
      <c r="H196" s="26">
        <f t="shared" si="35"/>
        <v>148.35808115798318</v>
      </c>
      <c r="I196" s="27">
        <f t="shared" si="36"/>
        <v>86843.676404902028</v>
      </c>
      <c r="K196" s="18">
        <f t="shared" si="29"/>
        <v>0.35894446360337073</v>
      </c>
      <c r="L196" s="22">
        <f t="shared" si="37"/>
        <v>1.6999999999999999E-3</v>
      </c>
      <c r="N196" s="13">
        <f t="shared" si="38"/>
        <v>62802.715542522281</v>
      </c>
      <c r="O196" s="13">
        <f t="shared" si="39"/>
        <v>874.45587225397196</v>
      </c>
      <c r="X196" s="1">
        <f t="shared" si="30"/>
        <v>-1186.2088511398499</v>
      </c>
    </row>
    <row r="197" spans="1:24" x14ac:dyDescent="0.2">
      <c r="A197" s="7">
        <f t="shared" si="28"/>
        <v>6.6552772688339371E-3</v>
      </c>
      <c r="B197" s="4">
        <f t="shared" si="40"/>
        <v>191</v>
      </c>
      <c r="C197" s="4">
        <f t="shared" si="31"/>
        <v>151</v>
      </c>
      <c r="D197" s="8">
        <f t="shared" si="41"/>
        <v>12.583333333333334</v>
      </c>
      <c r="E197" s="23">
        <f t="shared" si="32"/>
        <v>554.34976634440704</v>
      </c>
      <c r="F197" s="24">
        <f t="shared" si="33"/>
        <v>575.12368480067573</v>
      </c>
      <c r="G197" s="25">
        <f t="shared" si="34"/>
        <v>1184.4734511450829</v>
      </c>
      <c r="H197" s="26">
        <f t="shared" si="35"/>
        <v>147.63424988833344</v>
      </c>
      <c r="I197" s="27">
        <f t="shared" si="36"/>
        <v>86416.186969989678</v>
      </c>
      <c r="K197" s="18">
        <f t="shared" si="29"/>
        <v>0.36091094696894166</v>
      </c>
      <c r="L197" s="22">
        <f t="shared" si="37"/>
        <v>1.6999999999999999E-3</v>
      </c>
      <c r="N197" s="13">
        <f t="shared" si="38"/>
        <v>62386.803519061868</v>
      </c>
      <c r="O197" s="13">
        <f t="shared" si="39"/>
        <v>871.80097851190908</v>
      </c>
      <c r="X197" s="1">
        <f t="shared" si="30"/>
        <v>-1184.4734511450829</v>
      </c>
    </row>
    <row r="198" spans="1:24" x14ac:dyDescent="0.2">
      <c r="A198" s="7">
        <f t="shared" si="28"/>
        <v>6.6999430504840708E-3</v>
      </c>
      <c r="B198" s="4">
        <f t="shared" si="40"/>
        <v>192</v>
      </c>
      <c r="C198" s="4">
        <f t="shared" si="31"/>
        <v>150</v>
      </c>
      <c r="D198" s="8">
        <f t="shared" si="41"/>
        <v>12.5</v>
      </c>
      <c r="E198" s="23">
        <f t="shared" si="32"/>
        <v>551.62097044160032</v>
      </c>
      <c r="F198" s="24">
        <f t="shared" si="33"/>
        <v>576.10791313326456</v>
      </c>
      <c r="G198" s="25">
        <f t="shared" si="34"/>
        <v>1182.728883574865</v>
      </c>
      <c r="H198" s="26">
        <f t="shared" si="35"/>
        <v>146.90751784898245</v>
      </c>
      <c r="I198" s="27">
        <f t="shared" si="36"/>
        <v>85986.986574705399</v>
      </c>
      <c r="K198" s="18">
        <f t="shared" si="29"/>
        <v>0.36288992451676633</v>
      </c>
      <c r="L198" s="22">
        <f t="shared" si="37"/>
        <v>1.6999999999999999E-3</v>
      </c>
      <c r="N198" s="13">
        <f t="shared" si="38"/>
        <v>61970.891495601456</v>
      </c>
      <c r="O198" s="13">
        <f t="shared" si="39"/>
        <v>869.14608476984608</v>
      </c>
      <c r="X198" s="1">
        <f t="shared" si="30"/>
        <v>-1182.728883574865</v>
      </c>
    </row>
    <row r="199" spans="1:24" x14ac:dyDescent="0.2">
      <c r="A199" s="7">
        <f t="shared" ref="A199:A262" si="42">F199/I199</f>
        <v>6.7452124168568247E-3</v>
      </c>
      <c r="B199" s="4">
        <f t="shared" si="40"/>
        <v>193</v>
      </c>
      <c r="C199" s="4">
        <f t="shared" si="31"/>
        <v>149</v>
      </c>
      <c r="D199" s="8">
        <f t="shared" si="41"/>
        <v>12.416666666666666</v>
      </c>
      <c r="E199" s="23">
        <f t="shared" si="32"/>
        <v>548.88125295507371</v>
      </c>
      <c r="F199" s="24">
        <f t="shared" si="33"/>
        <v>577.09386962889528</v>
      </c>
      <c r="G199" s="25">
        <f t="shared" si="34"/>
        <v>1180.9751225839691</v>
      </c>
      <c r="H199" s="26">
        <f t="shared" si="35"/>
        <v>146.17787717699917</v>
      </c>
      <c r="I199" s="27">
        <f t="shared" si="36"/>
        <v>85556.070582253509</v>
      </c>
      <c r="K199" s="18">
        <f t="shared" ref="K199:K262" si="43">IF(C199&lt;1,0,(F199-H199)/G199)</f>
        <v>0.36488151546245406</v>
      </c>
      <c r="L199" s="22">
        <f t="shared" si="37"/>
        <v>1.6999999999999999E-3</v>
      </c>
      <c r="N199" s="13">
        <f t="shared" si="38"/>
        <v>61554.979472141044</v>
      </c>
      <c r="O199" s="13">
        <f t="shared" si="39"/>
        <v>866.49119102778332</v>
      </c>
      <c r="X199" s="1">
        <f t="shared" ref="X199:X262" si="44">-G199</f>
        <v>-1180.9751225839691</v>
      </c>
    </row>
    <row r="200" spans="1:24" x14ac:dyDescent="0.2">
      <c r="A200" s="7">
        <f t="shared" si="42"/>
        <v>6.791097685865553E-3</v>
      </c>
      <c r="B200" s="4">
        <f t="shared" si="40"/>
        <v>194</v>
      </c>
      <c r="C200" s="4">
        <f t="shared" ref="C200:C263" si="45">IF(C199-1&lt;1,0,C199-1)</f>
        <v>148</v>
      </c>
      <c r="D200" s="8">
        <f t="shared" si="41"/>
        <v>12.333333333333334</v>
      </c>
      <c r="E200" s="23">
        <f t="shared" ref="E200:E263" si="46">I199*$J$4</f>
        <v>546.13058428674117</v>
      </c>
      <c r="F200" s="24">
        <f t="shared" ref="F200:F263" si="47">IF(C200&lt;1,0,I199/C200)</f>
        <v>578.08155798819939</v>
      </c>
      <c r="G200" s="25">
        <f t="shared" ref="G200:G263" si="48">IF(C200&lt;1,0,F200+E200+$L$3+$L$4)</f>
        <v>1179.2121422749406</v>
      </c>
      <c r="H200" s="26">
        <f t="shared" ref="H200:H263" si="49">I199*L200</f>
        <v>145.44531998983095</v>
      </c>
      <c r="I200" s="27">
        <f t="shared" ref="I200:I263" si="50">IF(C200&lt;1,0,I199-F200+H200)</f>
        <v>85123.434344255133</v>
      </c>
      <c r="K200" s="18">
        <f t="shared" si="43"/>
        <v>0.36688584054411527</v>
      </c>
      <c r="L200" s="22">
        <f t="shared" ref="L200:L263" si="51">L199</f>
        <v>1.6999999999999999E-3</v>
      </c>
      <c r="N200" s="13">
        <f t="shared" ref="N200:N263" si="52">IF(C200&lt;1,0,N199-(N199/C200))</f>
        <v>61139.067448680631</v>
      </c>
      <c r="O200" s="13">
        <f t="shared" ref="O200:O263" si="53">IF(C200&lt;1,0,N199/C200+N199*$J$4+$L$3+$L$4)</f>
        <v>863.83629728572032</v>
      </c>
      <c r="X200" s="1">
        <f t="shared" si="44"/>
        <v>-1179.2121422749406</v>
      </c>
    </row>
    <row r="201" spans="1:24" x14ac:dyDescent="0.2">
      <c r="A201" s="7">
        <f t="shared" si="42"/>
        <v>6.837611512896761E-3</v>
      </c>
      <c r="B201" s="4">
        <f t="shared" ref="B201:B264" si="54">B200+1</f>
        <v>195</v>
      </c>
      <c r="C201" s="4">
        <f t="shared" si="45"/>
        <v>147</v>
      </c>
      <c r="D201" s="8">
        <f t="shared" si="41"/>
        <v>12.25</v>
      </c>
      <c r="E201" s="23">
        <f t="shared" si="46"/>
        <v>543.36893476457772</v>
      </c>
      <c r="F201" s="24">
        <f t="shared" si="47"/>
        <v>579.07098193370837</v>
      </c>
      <c r="G201" s="25">
        <f t="shared" si="48"/>
        <v>1177.4399166982862</v>
      </c>
      <c r="H201" s="26">
        <f t="shared" si="49"/>
        <v>144.70983838523372</v>
      </c>
      <c r="I201" s="27">
        <f t="shared" si="50"/>
        <v>84689.073200706654</v>
      </c>
      <c r="K201" s="18">
        <f t="shared" si="43"/>
        <v>0.36890302204675279</v>
      </c>
      <c r="L201" s="22">
        <f t="shared" si="51"/>
        <v>1.6999999999999999E-3</v>
      </c>
      <c r="N201" s="13">
        <f t="shared" si="52"/>
        <v>60723.155425220219</v>
      </c>
      <c r="O201" s="13">
        <f t="shared" si="53"/>
        <v>861.18140354365755</v>
      </c>
      <c r="X201" s="1">
        <f t="shared" si="44"/>
        <v>-1177.4399166982862</v>
      </c>
    </row>
    <row r="202" spans="1:24" x14ac:dyDescent="0.2">
      <c r="A202" s="7">
        <f t="shared" si="42"/>
        <v>6.8847669024469831E-3</v>
      </c>
      <c r="B202" s="4">
        <f t="shared" si="54"/>
        <v>196</v>
      </c>
      <c r="C202" s="4">
        <f t="shared" si="45"/>
        <v>146</v>
      </c>
      <c r="D202" s="8">
        <f t="shared" si="41"/>
        <v>12.166666666666666</v>
      </c>
      <c r="E202" s="23">
        <f t="shared" si="46"/>
        <v>540.59627464235382</v>
      </c>
      <c r="F202" s="24">
        <f t="shared" si="47"/>
        <v>580.0621452103195</v>
      </c>
      <c r="G202" s="25">
        <f t="shared" si="48"/>
        <v>1175.6584198526734</v>
      </c>
      <c r="H202" s="26">
        <f t="shared" si="49"/>
        <v>143.97142444120129</v>
      </c>
      <c r="I202" s="27">
        <f t="shared" si="50"/>
        <v>84252.982479937535</v>
      </c>
      <c r="K202" s="18">
        <f t="shared" si="43"/>
        <v>0.37093318382712431</v>
      </c>
      <c r="L202" s="22">
        <f t="shared" si="51"/>
        <v>1.6999999999999999E-3</v>
      </c>
      <c r="N202" s="13">
        <f t="shared" si="52"/>
        <v>60307.243401759806</v>
      </c>
      <c r="O202" s="13">
        <f t="shared" si="53"/>
        <v>858.52650980159456</v>
      </c>
      <c r="X202" s="1">
        <f t="shared" si="44"/>
        <v>-1175.6584198526734</v>
      </c>
    </row>
    <row r="203" spans="1:24" x14ac:dyDescent="0.2">
      <c r="A203" s="7">
        <f t="shared" si="42"/>
        <v>6.9325772202445124E-3</v>
      </c>
      <c r="B203" s="4">
        <f t="shared" si="54"/>
        <v>197</v>
      </c>
      <c r="C203" s="4">
        <f t="shared" si="45"/>
        <v>145</v>
      </c>
      <c r="D203" s="8">
        <f t="shared" ref="D203:D266" si="55">C203/12</f>
        <v>12.083333333333334</v>
      </c>
      <c r="E203" s="23">
        <f t="shared" si="46"/>
        <v>537.81257409936666</v>
      </c>
      <c r="F203" s="24">
        <f t="shared" si="47"/>
        <v>581.05505158577614</v>
      </c>
      <c r="G203" s="25">
        <f t="shared" si="48"/>
        <v>1173.8676256851427</v>
      </c>
      <c r="H203" s="26">
        <f t="shared" si="49"/>
        <v>143.23007021589379</v>
      </c>
      <c r="I203" s="27">
        <f t="shared" si="50"/>
        <v>83815.157498567656</v>
      </c>
      <c r="K203" s="18">
        <f t="shared" si="43"/>
        <v>0.37297645133908541</v>
      </c>
      <c r="L203" s="22">
        <f t="shared" si="51"/>
        <v>1.6999999999999999E-3</v>
      </c>
      <c r="N203" s="13">
        <f t="shared" si="52"/>
        <v>59891.331378299394</v>
      </c>
      <c r="O203" s="13">
        <f t="shared" si="53"/>
        <v>855.87161605953179</v>
      </c>
      <c r="X203" s="1">
        <f t="shared" si="44"/>
        <v>-1173.8676256851427</v>
      </c>
    </row>
    <row r="204" spans="1:24" x14ac:dyDescent="0.2">
      <c r="A204" s="7">
        <f t="shared" si="42"/>
        <v>6.9810562058797241E-3</v>
      </c>
      <c r="B204" s="4">
        <f t="shared" si="54"/>
        <v>198</v>
      </c>
      <c r="C204" s="4">
        <f t="shared" si="45"/>
        <v>144</v>
      </c>
      <c r="D204" s="8">
        <f t="shared" si="55"/>
        <v>12</v>
      </c>
      <c r="E204" s="23">
        <f t="shared" si="46"/>
        <v>535.0178032401675</v>
      </c>
      <c r="F204" s="24">
        <f t="shared" si="47"/>
        <v>582.04970485116428</v>
      </c>
      <c r="G204" s="25">
        <f t="shared" si="48"/>
        <v>1172.0675080913318</v>
      </c>
      <c r="H204" s="26">
        <f t="shared" si="49"/>
        <v>142.48576774756501</v>
      </c>
      <c r="I204" s="27">
        <f t="shared" si="50"/>
        <v>83375.593561464062</v>
      </c>
      <c r="K204" s="18">
        <f t="shared" si="43"/>
        <v>0.37503295165942513</v>
      </c>
      <c r="L204" s="22">
        <f t="shared" si="51"/>
        <v>1.6999999999999999E-3</v>
      </c>
      <c r="N204" s="13">
        <f t="shared" si="52"/>
        <v>59475.419354838981</v>
      </c>
      <c r="O204" s="13">
        <f t="shared" si="53"/>
        <v>853.21672231746879</v>
      </c>
      <c r="X204" s="1">
        <f t="shared" si="44"/>
        <v>-1172.0675080913318</v>
      </c>
    </row>
    <row r="205" spans="1:24" x14ac:dyDescent="0.2">
      <c r="A205" s="7">
        <f t="shared" si="42"/>
        <v>7.0302179859690903E-3</v>
      </c>
      <c r="B205" s="4">
        <f t="shared" si="54"/>
        <v>199</v>
      </c>
      <c r="C205" s="4">
        <f t="shared" si="45"/>
        <v>143</v>
      </c>
      <c r="D205" s="8">
        <f t="shared" si="55"/>
        <v>11.916666666666666</v>
      </c>
      <c r="E205" s="23">
        <f t="shared" si="46"/>
        <v>532.21193209428577</v>
      </c>
      <c r="F205" s="24">
        <f t="shared" si="47"/>
        <v>583.04610882142697</v>
      </c>
      <c r="G205" s="25">
        <f t="shared" si="48"/>
        <v>1170.2580409157126</v>
      </c>
      <c r="H205" s="26">
        <f t="shared" si="49"/>
        <v>141.7385090544889</v>
      </c>
      <c r="I205" s="27">
        <f t="shared" si="50"/>
        <v>82934.285961697125</v>
      </c>
      <c r="K205" s="18">
        <f t="shared" si="43"/>
        <v>0.37710281351420605</v>
      </c>
      <c r="L205" s="22">
        <f t="shared" si="51"/>
        <v>1.6999999999999999E-3</v>
      </c>
      <c r="N205" s="13">
        <f t="shared" si="52"/>
        <v>59059.507331378569</v>
      </c>
      <c r="O205" s="13">
        <f t="shared" si="53"/>
        <v>850.56182857540591</v>
      </c>
      <c r="X205" s="1">
        <f t="shared" si="44"/>
        <v>-1170.2580409157126</v>
      </c>
    </row>
    <row r="206" spans="1:24" x14ac:dyDescent="0.2">
      <c r="A206" s="7">
        <f t="shared" si="42"/>
        <v>7.080077087879332E-3</v>
      </c>
      <c r="B206" s="4">
        <f t="shared" si="54"/>
        <v>200</v>
      </c>
      <c r="C206" s="4">
        <f t="shared" si="45"/>
        <v>142</v>
      </c>
      <c r="D206" s="8">
        <f t="shared" si="55"/>
        <v>11.833333333333334</v>
      </c>
      <c r="E206" s="23">
        <f t="shared" si="46"/>
        <v>529.39493061594897</v>
      </c>
      <c r="F206" s="24">
        <f t="shared" si="47"/>
        <v>584.04426733589526</v>
      </c>
      <c r="G206" s="25">
        <f t="shared" si="48"/>
        <v>1168.4391979518441</v>
      </c>
      <c r="H206" s="26">
        <f t="shared" si="49"/>
        <v>140.9882861348851</v>
      </c>
      <c r="I206" s="27">
        <f t="shared" si="50"/>
        <v>82491.229980496122</v>
      </c>
      <c r="K206" s="18">
        <f t="shared" si="43"/>
        <v>0.37918616730561805</v>
      </c>
      <c r="L206" s="22">
        <f t="shared" si="51"/>
        <v>1.6999999999999999E-3</v>
      </c>
      <c r="N206" s="13">
        <f t="shared" si="52"/>
        <v>58643.595307918156</v>
      </c>
      <c r="O206" s="13">
        <f t="shared" si="53"/>
        <v>847.90693483334303</v>
      </c>
      <c r="X206" s="1">
        <f t="shared" si="44"/>
        <v>-1168.4391979518441</v>
      </c>
    </row>
    <row r="207" spans="1:24" x14ac:dyDescent="0.2">
      <c r="A207" s="7">
        <f t="shared" si="42"/>
        <v>7.1306484540397614E-3</v>
      </c>
      <c r="B207" s="4">
        <f t="shared" si="54"/>
        <v>201</v>
      </c>
      <c r="C207" s="4">
        <f t="shared" si="45"/>
        <v>141</v>
      </c>
      <c r="D207" s="8">
        <f t="shared" si="55"/>
        <v>11.75</v>
      </c>
      <c r="E207" s="23">
        <f t="shared" si="46"/>
        <v>526.5667686837993</v>
      </c>
      <c r="F207" s="24">
        <f t="shared" si="47"/>
        <v>585.04418425883773</v>
      </c>
      <c r="G207" s="25">
        <f t="shared" si="48"/>
        <v>1166.6109529426371</v>
      </c>
      <c r="H207" s="26">
        <f t="shared" si="49"/>
        <v>140.23509096684339</v>
      </c>
      <c r="I207" s="27">
        <f t="shared" si="50"/>
        <v>82046.420887204134</v>
      </c>
      <c r="K207" s="18">
        <f t="shared" si="43"/>
        <v>0.38128314513935979</v>
      </c>
      <c r="L207" s="22">
        <f t="shared" si="51"/>
        <v>1.6999999999999999E-3</v>
      </c>
      <c r="N207" s="13">
        <f t="shared" si="52"/>
        <v>58227.683284457744</v>
      </c>
      <c r="O207" s="13">
        <f t="shared" si="53"/>
        <v>845.25204109128015</v>
      </c>
      <c r="X207" s="1">
        <f t="shared" si="44"/>
        <v>-1166.6109529426371</v>
      </c>
    </row>
    <row r="208" spans="1:24" x14ac:dyDescent="0.2">
      <c r="A208" s="7">
        <f t="shared" si="42"/>
        <v>7.1819474568724064E-3</v>
      </c>
      <c r="B208" s="4">
        <f t="shared" si="54"/>
        <v>202</v>
      </c>
      <c r="C208" s="4">
        <f t="shared" si="45"/>
        <v>140</v>
      </c>
      <c r="D208" s="8">
        <f t="shared" si="55"/>
        <v>11.666666666666666</v>
      </c>
      <c r="E208" s="23">
        <f t="shared" si="46"/>
        <v>523.72741610060575</v>
      </c>
      <c r="F208" s="24">
        <f t="shared" si="47"/>
        <v>586.04586348002954</v>
      </c>
      <c r="G208" s="25">
        <f t="shared" si="48"/>
        <v>1164.7732795806353</v>
      </c>
      <c r="H208" s="26">
        <f t="shared" si="49"/>
        <v>139.47891550824701</v>
      </c>
      <c r="I208" s="27">
        <f t="shared" si="50"/>
        <v>81599.853939232344</v>
      </c>
      <c r="K208" s="18">
        <f t="shared" si="43"/>
        <v>0.38339388085255899</v>
      </c>
      <c r="L208" s="22">
        <f t="shared" si="51"/>
        <v>1.6999999999999999E-3</v>
      </c>
      <c r="N208" s="13">
        <f t="shared" si="52"/>
        <v>57811.771260997331</v>
      </c>
      <c r="O208" s="13">
        <f t="shared" si="53"/>
        <v>842.59714734921727</v>
      </c>
      <c r="X208" s="1">
        <f t="shared" si="44"/>
        <v>-1164.7732795806353</v>
      </c>
    </row>
    <row r="209" spans="1:24" x14ac:dyDescent="0.2">
      <c r="A209" s="7">
        <f t="shared" si="42"/>
        <v>7.2339899143712616E-3</v>
      </c>
      <c r="B209" s="4">
        <f t="shared" si="54"/>
        <v>203</v>
      </c>
      <c r="C209" s="4">
        <f t="shared" si="45"/>
        <v>139</v>
      </c>
      <c r="D209" s="8">
        <f t="shared" si="55"/>
        <v>11.583333333333334</v>
      </c>
      <c r="E209" s="23">
        <f t="shared" si="46"/>
        <v>520.87684259297248</v>
      </c>
      <c r="F209" s="24">
        <f t="shared" si="47"/>
        <v>587.04930891534059</v>
      </c>
      <c r="G209" s="25">
        <f t="shared" si="48"/>
        <v>1162.9261515083131</v>
      </c>
      <c r="H209" s="26">
        <f t="shared" si="49"/>
        <v>138.71975169669497</v>
      </c>
      <c r="I209" s="27">
        <f t="shared" si="50"/>
        <v>81151.524382013697</v>
      </c>
      <c r="K209" s="18">
        <f t="shared" si="43"/>
        <v>0.38551851004224386</v>
      </c>
      <c r="L209" s="22">
        <f t="shared" si="51"/>
        <v>1.6999999999999999E-3</v>
      </c>
      <c r="N209" s="13">
        <f t="shared" si="52"/>
        <v>57395.859237536919</v>
      </c>
      <c r="O209" s="13">
        <f t="shared" si="53"/>
        <v>839.94225360715427</v>
      </c>
      <c r="X209" s="1">
        <f t="shared" si="44"/>
        <v>-1162.9261515083131</v>
      </c>
    </row>
    <row r="210" spans="1:24" x14ac:dyDescent="0.2">
      <c r="A210" s="7">
        <f t="shared" si="42"/>
        <v>7.2867921063638468E-3</v>
      </c>
      <c r="B210" s="4">
        <f t="shared" si="54"/>
        <v>204</v>
      </c>
      <c r="C210" s="4">
        <f t="shared" si="45"/>
        <v>138</v>
      </c>
      <c r="D210" s="8">
        <f t="shared" si="55"/>
        <v>11.5</v>
      </c>
      <c r="E210" s="23">
        <f t="shared" si="46"/>
        <v>518.01501781104253</v>
      </c>
      <c r="F210" s="24">
        <f t="shared" si="47"/>
        <v>588.0545245073456</v>
      </c>
      <c r="G210" s="25">
        <f t="shared" si="48"/>
        <v>1161.0695423183881</v>
      </c>
      <c r="H210" s="26">
        <f t="shared" si="49"/>
        <v>137.95759144942329</v>
      </c>
      <c r="I210" s="27">
        <f t="shared" si="50"/>
        <v>80701.427448955772</v>
      </c>
      <c r="K210" s="18">
        <f t="shared" si="43"/>
        <v>0.38765717009437917</v>
      </c>
      <c r="L210" s="22">
        <f t="shared" si="51"/>
        <v>1.6999999999999999E-3</v>
      </c>
      <c r="N210" s="13">
        <f t="shared" si="52"/>
        <v>56979.947214076506</v>
      </c>
      <c r="O210" s="13">
        <f t="shared" si="53"/>
        <v>837.2873598650915</v>
      </c>
      <c r="X210" s="1">
        <f t="shared" si="44"/>
        <v>-1161.0695423183881</v>
      </c>
    </row>
    <row r="211" spans="1:24" x14ac:dyDescent="0.2">
      <c r="A211" s="7">
        <f t="shared" si="42"/>
        <v>7.3403707914901604E-3</v>
      </c>
      <c r="B211" s="4">
        <f t="shared" si="54"/>
        <v>205</v>
      </c>
      <c r="C211" s="4">
        <f t="shared" si="45"/>
        <v>137</v>
      </c>
      <c r="D211" s="8">
        <f t="shared" si="55"/>
        <v>11.416666666666666</v>
      </c>
      <c r="E211" s="23">
        <f t="shared" si="46"/>
        <v>515.14191132819781</v>
      </c>
      <c r="F211" s="24">
        <f t="shared" si="47"/>
        <v>589.06151422595451</v>
      </c>
      <c r="G211" s="25">
        <f t="shared" si="48"/>
        <v>1159.2034255541523</v>
      </c>
      <c r="H211" s="26">
        <f t="shared" si="49"/>
        <v>137.19242666322481</v>
      </c>
      <c r="I211" s="27">
        <f t="shared" si="50"/>
        <v>80249.55836139305</v>
      </c>
      <c r="K211" s="18">
        <f t="shared" si="43"/>
        <v>0.389810000213479</v>
      </c>
      <c r="L211" s="22">
        <f t="shared" si="51"/>
        <v>1.6999999999999999E-3</v>
      </c>
      <c r="N211" s="13">
        <f t="shared" si="52"/>
        <v>56564.035190616094</v>
      </c>
      <c r="O211" s="13">
        <f t="shared" si="53"/>
        <v>834.63246612302851</v>
      </c>
      <c r="X211" s="1">
        <f t="shared" si="44"/>
        <v>-1159.2034255541523</v>
      </c>
    </row>
    <row r="212" spans="1:24" x14ac:dyDescent="0.2">
      <c r="A212" s="7">
        <f t="shared" si="42"/>
        <v>7.3947432249362576E-3</v>
      </c>
      <c r="B212" s="4">
        <f t="shared" si="54"/>
        <v>206</v>
      </c>
      <c r="C212" s="4">
        <f t="shared" si="45"/>
        <v>136</v>
      </c>
      <c r="D212" s="8">
        <f t="shared" si="55"/>
        <v>11.333333333333334</v>
      </c>
      <c r="E212" s="23">
        <f t="shared" si="46"/>
        <v>512.25749264075364</v>
      </c>
      <c r="F212" s="24">
        <f t="shared" si="47"/>
        <v>590.07028206906659</v>
      </c>
      <c r="G212" s="25">
        <f t="shared" si="48"/>
        <v>1157.3277747098202</v>
      </c>
      <c r="H212" s="26">
        <f t="shared" si="49"/>
        <v>136.42424921436819</v>
      </c>
      <c r="I212" s="27">
        <f t="shared" si="50"/>
        <v>79795.912328538354</v>
      </c>
      <c r="K212" s="18">
        <f t="shared" si="43"/>
        <v>0.39197714145281121</v>
      </c>
      <c r="L212" s="22">
        <f t="shared" si="51"/>
        <v>1.6999999999999999E-3</v>
      </c>
      <c r="N212" s="13">
        <f t="shared" si="52"/>
        <v>56148.123167155682</v>
      </c>
      <c r="O212" s="13">
        <f t="shared" si="53"/>
        <v>831.97757238096574</v>
      </c>
      <c r="X212" s="1">
        <f t="shared" si="44"/>
        <v>-1157.3277747098202</v>
      </c>
    </row>
    <row r="213" spans="1:24" x14ac:dyDescent="0.2">
      <c r="A213" s="7">
        <f t="shared" si="42"/>
        <v>7.4499271769618456E-3</v>
      </c>
      <c r="B213" s="4">
        <f t="shared" si="54"/>
        <v>207</v>
      </c>
      <c r="C213" s="4">
        <f t="shared" si="45"/>
        <v>135</v>
      </c>
      <c r="D213" s="8">
        <f t="shared" si="55"/>
        <v>11.25</v>
      </c>
      <c r="E213" s="23">
        <f t="shared" si="46"/>
        <v>509.36173116764917</v>
      </c>
      <c r="F213" s="24">
        <f t="shared" si="47"/>
        <v>591.08083206324704</v>
      </c>
      <c r="G213" s="25">
        <f t="shared" si="48"/>
        <v>1155.4425632308962</v>
      </c>
      <c r="H213" s="26">
        <f t="shared" si="49"/>
        <v>135.65305095851519</v>
      </c>
      <c r="I213" s="27">
        <f t="shared" si="50"/>
        <v>79340.484547433618</v>
      </c>
      <c r="K213" s="18">
        <f t="shared" si="43"/>
        <v>0.39415873674520513</v>
      </c>
      <c r="L213" s="22">
        <f t="shared" si="51"/>
        <v>1.6999999999999999E-3</v>
      </c>
      <c r="N213" s="13">
        <f t="shared" si="52"/>
        <v>55732.211143695269</v>
      </c>
      <c r="O213" s="13">
        <f t="shared" si="53"/>
        <v>829.32267863890274</v>
      </c>
      <c r="X213" s="1">
        <f t="shared" si="44"/>
        <v>-1155.4425632308962</v>
      </c>
    </row>
    <row r="214" spans="1:24" x14ac:dyDescent="0.2">
      <c r="A214" s="7">
        <f t="shared" si="42"/>
        <v>7.5059409522637167E-3</v>
      </c>
      <c r="B214" s="4">
        <f t="shared" si="54"/>
        <v>208</v>
      </c>
      <c r="C214" s="4">
        <f t="shared" si="45"/>
        <v>134</v>
      </c>
      <c r="D214" s="8">
        <f t="shared" si="55"/>
        <v>11.166666666666666</v>
      </c>
      <c r="E214" s="23">
        <f t="shared" si="46"/>
        <v>506.45459625013302</v>
      </c>
      <c r="F214" s="24">
        <f t="shared" si="47"/>
        <v>592.09316826443001</v>
      </c>
      <c r="G214" s="25">
        <f t="shared" si="48"/>
        <v>1153.5477645145629</v>
      </c>
      <c r="H214" s="26">
        <f t="shared" si="49"/>
        <v>134.87882373063715</v>
      </c>
      <c r="I214" s="27">
        <f t="shared" si="50"/>
        <v>78883.270202899832</v>
      </c>
      <c r="K214" s="18">
        <f t="shared" si="43"/>
        <v>0.39635493093447954</v>
      </c>
      <c r="L214" s="22">
        <f t="shared" si="51"/>
        <v>1.6999999999999999E-3</v>
      </c>
      <c r="N214" s="13">
        <f t="shared" si="52"/>
        <v>55316.299120234857</v>
      </c>
      <c r="O214" s="13">
        <f t="shared" si="53"/>
        <v>826.66778489683998</v>
      </c>
      <c r="X214" s="1">
        <f t="shared" si="44"/>
        <v>-1153.5477645145629</v>
      </c>
    </row>
    <row r="215" spans="1:24" x14ac:dyDescent="0.2">
      <c r="A215" s="7">
        <f t="shared" si="42"/>
        <v>7.562803410219315E-3</v>
      </c>
      <c r="B215" s="4">
        <f t="shared" si="54"/>
        <v>209</v>
      </c>
      <c r="C215" s="4">
        <f t="shared" si="45"/>
        <v>133</v>
      </c>
      <c r="D215" s="8">
        <f t="shared" si="55"/>
        <v>11.083333333333334</v>
      </c>
      <c r="E215" s="23">
        <f t="shared" si="46"/>
        <v>503.53605715144386</v>
      </c>
      <c r="F215" s="24">
        <f t="shared" si="47"/>
        <v>593.10729475864537</v>
      </c>
      <c r="G215" s="25">
        <f t="shared" si="48"/>
        <v>1151.6433519100892</v>
      </c>
      <c r="H215" s="26">
        <f t="shared" si="49"/>
        <v>134.10155934492971</v>
      </c>
      <c r="I215" s="27">
        <f t="shared" si="50"/>
        <v>78424.264467486108</v>
      </c>
      <c r="K215" s="18">
        <f t="shared" si="43"/>
        <v>0.39856587080750244</v>
      </c>
      <c r="L215" s="22">
        <f t="shared" si="51"/>
        <v>1.6999999999999999E-3</v>
      </c>
      <c r="N215" s="13">
        <f t="shared" si="52"/>
        <v>54900.387096774444</v>
      </c>
      <c r="O215" s="13">
        <f t="shared" si="53"/>
        <v>824.01289115477698</v>
      </c>
      <c r="X215" s="1">
        <f t="shared" si="44"/>
        <v>-1151.6433519100892</v>
      </c>
    </row>
    <row r="216" spans="1:24" x14ac:dyDescent="0.2">
      <c r="A216" s="7">
        <f t="shared" si="42"/>
        <v>7.6205339860574706E-3</v>
      </c>
      <c r="B216" s="4">
        <f t="shared" si="54"/>
        <v>210</v>
      </c>
      <c r="C216" s="4">
        <f t="shared" si="45"/>
        <v>132</v>
      </c>
      <c r="D216" s="8">
        <f t="shared" si="55"/>
        <v>11</v>
      </c>
      <c r="E216" s="23">
        <f t="shared" si="46"/>
        <v>500.60608305648515</v>
      </c>
      <c r="F216" s="24">
        <f t="shared" si="47"/>
        <v>594.12321566277353</v>
      </c>
      <c r="G216" s="25">
        <f t="shared" si="48"/>
        <v>1149.7292987192586</v>
      </c>
      <c r="H216" s="26">
        <f t="shared" si="49"/>
        <v>133.32124959472637</v>
      </c>
      <c r="I216" s="27">
        <f t="shared" si="50"/>
        <v>77963.462501418064</v>
      </c>
      <c r="K216" s="18">
        <f t="shared" si="43"/>
        <v>0.40079170512690043</v>
      </c>
      <c r="L216" s="22">
        <f t="shared" si="51"/>
        <v>1.6999999999999999E-3</v>
      </c>
      <c r="N216" s="13">
        <f t="shared" si="52"/>
        <v>54484.475073314032</v>
      </c>
      <c r="O216" s="13">
        <f t="shared" si="53"/>
        <v>821.3579974127141</v>
      </c>
      <c r="X216" s="1">
        <f t="shared" si="44"/>
        <v>-1149.7292987192586</v>
      </c>
    </row>
    <row r="217" spans="1:24" x14ac:dyDescent="0.2">
      <c r="A217" s="7">
        <f t="shared" si="42"/>
        <v>7.6791527130062572E-3</v>
      </c>
      <c r="B217" s="4">
        <f t="shared" si="54"/>
        <v>211</v>
      </c>
      <c r="C217" s="4">
        <f t="shared" si="45"/>
        <v>131</v>
      </c>
      <c r="D217" s="8">
        <f t="shared" si="55"/>
        <v>10.916666666666666</v>
      </c>
      <c r="E217" s="23">
        <f t="shared" si="46"/>
        <v>497.66464307149568</v>
      </c>
      <c r="F217" s="24">
        <f t="shared" si="47"/>
        <v>595.14093512532872</v>
      </c>
      <c r="G217" s="25">
        <f t="shared" si="48"/>
        <v>1147.8055781968244</v>
      </c>
      <c r="H217" s="26">
        <f t="shared" si="49"/>
        <v>132.53788625241071</v>
      </c>
      <c r="I217" s="27">
        <f t="shared" si="50"/>
        <v>77500.859452545148</v>
      </c>
      <c r="K217" s="18">
        <f t="shared" si="43"/>
        <v>0.4030325846644312</v>
      </c>
      <c r="L217" s="22">
        <f t="shared" si="51"/>
        <v>1.6999999999999999E-3</v>
      </c>
      <c r="N217" s="13">
        <f t="shared" si="52"/>
        <v>54068.563049853619</v>
      </c>
      <c r="O217" s="13">
        <f t="shared" si="53"/>
        <v>818.70310367065122</v>
      </c>
      <c r="X217" s="1">
        <f t="shared" si="44"/>
        <v>-1147.8055781968244</v>
      </c>
    </row>
    <row r="218" spans="1:24" x14ac:dyDescent="0.2">
      <c r="A218" s="7">
        <f t="shared" si="42"/>
        <v>7.7386802454709356E-3</v>
      </c>
      <c r="B218" s="4">
        <f t="shared" si="54"/>
        <v>212</v>
      </c>
      <c r="C218" s="4">
        <f t="shared" si="45"/>
        <v>130</v>
      </c>
      <c r="D218" s="8">
        <f t="shared" si="55"/>
        <v>10.833333333333334</v>
      </c>
      <c r="E218" s="23">
        <f t="shared" si="46"/>
        <v>494.71170622371346</v>
      </c>
      <c r="F218" s="24">
        <f t="shared" si="47"/>
        <v>596.16045732727036</v>
      </c>
      <c r="G218" s="25">
        <f t="shared" si="48"/>
        <v>1145.8721635509837</v>
      </c>
      <c r="H218" s="26">
        <f t="shared" si="49"/>
        <v>131.75146106932675</v>
      </c>
      <c r="I218" s="27">
        <f t="shared" si="50"/>
        <v>77036.450456287217</v>
      </c>
      <c r="K218" s="18">
        <f t="shared" si="43"/>
        <v>0.40528866223503518</v>
      </c>
      <c r="L218" s="22">
        <f t="shared" si="51"/>
        <v>1.6999999999999999E-3</v>
      </c>
      <c r="N218" s="13">
        <f t="shared" si="52"/>
        <v>53652.651026393207</v>
      </c>
      <c r="O218" s="13">
        <f t="shared" si="53"/>
        <v>816.04820992858834</v>
      </c>
      <c r="X218" s="1">
        <f t="shared" si="44"/>
        <v>-1145.8721635509837</v>
      </c>
    </row>
    <row r="219" spans="1:24" x14ac:dyDescent="0.2">
      <c r="A219" s="7">
        <f t="shared" si="42"/>
        <v>7.7991378832983809E-3</v>
      </c>
      <c r="B219" s="4">
        <f t="shared" si="54"/>
        <v>213</v>
      </c>
      <c r="C219" s="4">
        <f t="shared" si="45"/>
        <v>129</v>
      </c>
      <c r="D219" s="8">
        <f t="shared" si="55"/>
        <v>10.75</v>
      </c>
      <c r="E219" s="23">
        <f t="shared" si="46"/>
        <v>491.74724146103455</v>
      </c>
      <c r="F219" s="24">
        <f t="shared" si="47"/>
        <v>597.18178648284663</v>
      </c>
      <c r="G219" s="25">
        <f t="shared" si="48"/>
        <v>1143.9290279438812</v>
      </c>
      <c r="H219" s="26">
        <f t="shared" si="49"/>
        <v>130.96196577568827</v>
      </c>
      <c r="I219" s="27">
        <f t="shared" si="50"/>
        <v>76570.230635580054</v>
      </c>
      <c r="K219" s="18">
        <f t="shared" si="43"/>
        <v>0.40756009273158345</v>
      </c>
      <c r="L219" s="22">
        <f t="shared" si="51"/>
        <v>1.6999999999999999E-3</v>
      </c>
      <c r="N219" s="13">
        <f t="shared" si="52"/>
        <v>53236.739002932794</v>
      </c>
      <c r="O219" s="13">
        <f t="shared" si="53"/>
        <v>813.39331618652545</v>
      </c>
      <c r="X219" s="1">
        <f t="shared" si="44"/>
        <v>-1143.9290279438812</v>
      </c>
    </row>
    <row r="220" spans="1:24" x14ac:dyDescent="0.2">
      <c r="A220" s="7">
        <f t="shared" si="42"/>
        <v>7.8605475971878103E-3</v>
      </c>
      <c r="B220" s="4">
        <f t="shared" si="54"/>
        <v>214</v>
      </c>
      <c r="C220" s="4">
        <f t="shared" si="45"/>
        <v>128</v>
      </c>
      <c r="D220" s="8">
        <f t="shared" si="55"/>
        <v>10.666666666666666</v>
      </c>
      <c r="E220" s="23">
        <f t="shared" si="46"/>
        <v>488.77121765166527</v>
      </c>
      <c r="F220" s="24">
        <f t="shared" si="47"/>
        <v>598.20492684046917</v>
      </c>
      <c r="G220" s="25">
        <f t="shared" si="48"/>
        <v>1141.9761444921344</v>
      </c>
      <c r="H220" s="26">
        <f t="shared" si="49"/>
        <v>130.16939208048609</v>
      </c>
      <c r="I220" s="27">
        <f t="shared" si="50"/>
        <v>76102.19510082007</v>
      </c>
      <c r="K220" s="18">
        <f t="shared" si="43"/>
        <v>0.40984703316033833</v>
      </c>
      <c r="L220" s="22">
        <f t="shared" si="51"/>
        <v>1.6999999999999999E-3</v>
      </c>
      <c r="N220" s="13">
        <f t="shared" si="52"/>
        <v>52820.826979472382</v>
      </c>
      <c r="O220" s="13">
        <f t="shared" si="53"/>
        <v>810.73842244446257</v>
      </c>
      <c r="X220" s="1">
        <f t="shared" si="44"/>
        <v>-1141.9761444921344</v>
      </c>
    </row>
    <row r="221" spans="1:24" x14ac:dyDescent="0.2">
      <c r="A221" s="7">
        <f t="shared" si="42"/>
        <v>7.9229320553115719E-3</v>
      </c>
      <c r="B221" s="4">
        <f t="shared" si="54"/>
        <v>215</v>
      </c>
      <c r="C221" s="4">
        <f t="shared" si="45"/>
        <v>127</v>
      </c>
      <c r="D221" s="8">
        <f t="shared" si="55"/>
        <v>10.583333333333334</v>
      </c>
      <c r="E221" s="23">
        <f t="shared" si="46"/>
        <v>485.78360358376949</v>
      </c>
      <c r="F221" s="24">
        <f t="shared" si="47"/>
        <v>599.22988268362258</v>
      </c>
      <c r="G221" s="25">
        <f t="shared" si="48"/>
        <v>1140.0134862673922</v>
      </c>
      <c r="H221" s="26">
        <f t="shared" si="49"/>
        <v>129.37373167139413</v>
      </c>
      <c r="I221" s="27">
        <f t="shared" si="50"/>
        <v>75632.338949807847</v>
      </c>
      <c r="K221" s="18">
        <f t="shared" si="43"/>
        <v>0.41214964267714188</v>
      </c>
      <c r="L221" s="22">
        <f t="shared" si="51"/>
        <v>1.6999999999999999E-3</v>
      </c>
      <c r="N221" s="13">
        <f t="shared" si="52"/>
        <v>52404.914956011969</v>
      </c>
      <c r="O221" s="13">
        <f t="shared" si="53"/>
        <v>808.08352870239969</v>
      </c>
      <c r="X221" s="1">
        <f t="shared" si="44"/>
        <v>-1140.0134862673922</v>
      </c>
    </row>
    <row r="222" spans="1:24" x14ac:dyDescent="0.2">
      <c r="A222" s="7">
        <f t="shared" si="42"/>
        <v>7.9863146512136815E-3</v>
      </c>
      <c r="B222" s="4">
        <f t="shared" si="54"/>
        <v>216</v>
      </c>
      <c r="C222" s="4">
        <f t="shared" si="45"/>
        <v>126</v>
      </c>
      <c r="D222" s="8">
        <f t="shared" si="55"/>
        <v>10.5</v>
      </c>
      <c r="E222" s="23">
        <f t="shared" si="46"/>
        <v>482.78436796510783</v>
      </c>
      <c r="F222" s="24">
        <f t="shared" si="47"/>
        <v>600.25665833180835</v>
      </c>
      <c r="G222" s="25">
        <f t="shared" si="48"/>
        <v>1138.0410262969162</v>
      </c>
      <c r="H222" s="26">
        <f t="shared" si="49"/>
        <v>128.57497621467334</v>
      </c>
      <c r="I222" s="27">
        <f t="shared" si="50"/>
        <v>75160.657267690709</v>
      </c>
      <c r="K222" s="18">
        <f t="shared" si="43"/>
        <v>0.41446808262435408</v>
      </c>
      <c r="L222" s="22">
        <f t="shared" si="51"/>
        <v>1.6999999999999999E-3</v>
      </c>
      <c r="N222" s="13">
        <f t="shared" si="52"/>
        <v>51989.002932551557</v>
      </c>
      <c r="O222" s="13">
        <f t="shared" si="53"/>
        <v>805.42863496033669</v>
      </c>
      <c r="X222" s="1">
        <f t="shared" si="44"/>
        <v>-1138.0410262969162</v>
      </c>
    </row>
    <row r="223" spans="1:24" x14ac:dyDescent="0.2">
      <c r="A223" s="7">
        <f t="shared" si="42"/>
        <v>8.0507195330582672E-3</v>
      </c>
      <c r="B223" s="4">
        <f t="shared" si="54"/>
        <v>217</v>
      </c>
      <c r="C223" s="4">
        <f t="shared" si="45"/>
        <v>125</v>
      </c>
      <c r="D223" s="8">
        <f t="shared" si="55"/>
        <v>10.416666666666666</v>
      </c>
      <c r="E223" s="23">
        <f t="shared" si="46"/>
        <v>479.77347942267147</v>
      </c>
      <c r="F223" s="24">
        <f t="shared" si="47"/>
        <v>601.28525814152567</v>
      </c>
      <c r="G223" s="25">
        <f t="shared" si="48"/>
        <v>1136.0587375641971</v>
      </c>
      <c r="H223" s="26">
        <f t="shared" si="49"/>
        <v>127.77311735507419</v>
      </c>
      <c r="I223" s="27">
        <f t="shared" si="50"/>
        <v>74687.145126904259</v>
      </c>
      <c r="K223" s="18">
        <f t="shared" si="43"/>
        <v>0.41680251656855372</v>
      </c>
      <c r="L223" s="22">
        <f t="shared" si="51"/>
        <v>1.6999999999999999E-3</v>
      </c>
      <c r="N223" s="13">
        <f t="shared" si="52"/>
        <v>51573.090909091145</v>
      </c>
      <c r="O223" s="13">
        <f t="shared" si="53"/>
        <v>802.77374121827393</v>
      </c>
      <c r="X223" s="1">
        <f t="shared" si="44"/>
        <v>-1136.0587375641971</v>
      </c>
    </row>
    <row r="224" spans="1:24" x14ac:dyDescent="0.2">
      <c r="A224" s="7">
        <f t="shared" si="42"/>
        <v>8.1161716343047859E-3</v>
      </c>
      <c r="B224" s="4">
        <f t="shared" si="54"/>
        <v>218</v>
      </c>
      <c r="C224" s="4">
        <f t="shared" si="45"/>
        <v>124</v>
      </c>
      <c r="D224" s="8">
        <f t="shared" si="55"/>
        <v>10.333333333333334</v>
      </c>
      <c r="E224" s="23">
        <f t="shared" si="46"/>
        <v>476.75090650230862</v>
      </c>
      <c r="F224" s="24">
        <f t="shared" si="47"/>
        <v>602.31568650729241</v>
      </c>
      <c r="G224" s="25">
        <f t="shared" si="48"/>
        <v>1134.0665930096011</v>
      </c>
      <c r="H224" s="26">
        <f t="shared" si="49"/>
        <v>126.96814671573723</v>
      </c>
      <c r="I224" s="27">
        <f t="shared" si="50"/>
        <v>74211.797587112698</v>
      </c>
      <c r="K224" s="18">
        <f t="shared" si="43"/>
        <v>0.41915311033902469</v>
      </c>
      <c r="L224" s="22">
        <f t="shared" si="51"/>
        <v>1.6999999999999999E-3</v>
      </c>
      <c r="N224" s="13">
        <f t="shared" si="52"/>
        <v>51157.178885630732</v>
      </c>
      <c r="O224" s="13">
        <f t="shared" si="53"/>
        <v>800.11884747621093</v>
      </c>
      <c r="X224" s="1">
        <f t="shared" si="44"/>
        <v>-1134.0665930096011</v>
      </c>
    </row>
    <row r="225" spans="1:24" x14ac:dyDescent="0.2">
      <c r="A225" s="7">
        <f t="shared" si="42"/>
        <v>8.1826967058917857E-3</v>
      </c>
      <c r="B225" s="4">
        <f t="shared" si="54"/>
        <v>219</v>
      </c>
      <c r="C225" s="4">
        <f t="shared" si="45"/>
        <v>123</v>
      </c>
      <c r="D225" s="8">
        <f t="shared" si="55"/>
        <v>10.25</v>
      </c>
      <c r="E225" s="23">
        <f t="shared" si="46"/>
        <v>473.71661766834387</v>
      </c>
      <c r="F225" s="24">
        <f t="shared" si="47"/>
        <v>603.34794786270481</v>
      </c>
      <c r="G225" s="25">
        <f t="shared" si="48"/>
        <v>1132.0645655310486</v>
      </c>
      <c r="H225" s="26">
        <f t="shared" si="49"/>
        <v>126.16005589809158</v>
      </c>
      <c r="I225" s="27">
        <f t="shared" si="50"/>
        <v>73734.609695148087</v>
      </c>
      <c r="K225" s="18">
        <f t="shared" si="43"/>
        <v>0.42152003206704525</v>
      </c>
      <c r="L225" s="22">
        <f t="shared" si="51"/>
        <v>1.6999999999999999E-3</v>
      </c>
      <c r="N225" s="13">
        <f t="shared" si="52"/>
        <v>50741.26686217032</v>
      </c>
      <c r="O225" s="13">
        <f t="shared" si="53"/>
        <v>797.46395373414816</v>
      </c>
      <c r="X225" s="1">
        <f t="shared" si="44"/>
        <v>-1132.0645655310486</v>
      </c>
    </row>
    <row r="226" spans="1:24" x14ac:dyDescent="0.2">
      <c r="A226" s="7">
        <f t="shared" si="42"/>
        <v>8.2503213500165831E-3</v>
      </c>
      <c r="B226" s="4">
        <f t="shared" si="54"/>
        <v>220</v>
      </c>
      <c r="C226" s="4">
        <f t="shared" si="45"/>
        <v>122</v>
      </c>
      <c r="D226" s="8">
        <f t="shared" si="55"/>
        <v>10.166666666666666</v>
      </c>
      <c r="E226" s="23">
        <f t="shared" si="46"/>
        <v>470.67058130319032</v>
      </c>
      <c r="F226" s="24">
        <f t="shared" si="47"/>
        <v>604.38204668154174</v>
      </c>
      <c r="G226" s="25">
        <f t="shared" si="48"/>
        <v>1130.052627984732</v>
      </c>
      <c r="H226" s="26">
        <f t="shared" si="49"/>
        <v>125.34883648175175</v>
      </c>
      <c r="I226" s="27">
        <f t="shared" si="50"/>
        <v>73255.576484948295</v>
      </c>
      <c r="K226" s="18">
        <f t="shared" si="43"/>
        <v>0.42390345222599862</v>
      </c>
      <c r="L226" s="22">
        <f t="shared" si="51"/>
        <v>1.6999999999999999E-3</v>
      </c>
      <c r="N226" s="13">
        <f t="shared" si="52"/>
        <v>50325.354838709907</v>
      </c>
      <c r="O226" s="13">
        <f t="shared" si="53"/>
        <v>794.80905999208517</v>
      </c>
      <c r="X226" s="1">
        <f t="shared" si="44"/>
        <v>-1130.052627984732</v>
      </c>
    </row>
    <row r="227" spans="1:24" x14ac:dyDescent="0.2">
      <c r="A227" s="7">
        <f t="shared" si="42"/>
        <v>8.3190730556038529E-3</v>
      </c>
      <c r="B227" s="4">
        <f t="shared" si="54"/>
        <v>221</v>
      </c>
      <c r="C227" s="4">
        <f t="shared" si="45"/>
        <v>121</v>
      </c>
      <c r="D227" s="8">
        <f t="shared" si="55"/>
        <v>10.083333333333334</v>
      </c>
      <c r="E227" s="23">
        <f t="shared" si="46"/>
        <v>467.61276570695333</v>
      </c>
      <c r="F227" s="24">
        <f t="shared" si="47"/>
        <v>605.41798747891153</v>
      </c>
      <c r="G227" s="25">
        <f t="shared" si="48"/>
        <v>1128.0307531858648</v>
      </c>
      <c r="H227" s="26">
        <f t="shared" si="49"/>
        <v>124.53448002441209</v>
      </c>
      <c r="I227" s="27">
        <f t="shared" si="50"/>
        <v>72774.692977493789</v>
      </c>
      <c r="K227" s="18">
        <f t="shared" si="43"/>
        <v>0.42630354367232803</v>
      </c>
      <c r="L227" s="22">
        <f t="shared" si="51"/>
        <v>1.6999999999999999E-3</v>
      </c>
      <c r="N227" s="13">
        <f t="shared" si="52"/>
        <v>49909.442815249495</v>
      </c>
      <c r="O227" s="13">
        <f t="shared" si="53"/>
        <v>792.15416625002229</v>
      </c>
      <c r="X227" s="1">
        <f t="shared" si="44"/>
        <v>-1128.0307531858648</v>
      </c>
    </row>
    <row r="228" spans="1:24" x14ac:dyDescent="0.2">
      <c r="A228" s="7">
        <f t="shared" si="42"/>
        <v>8.388980235562565E-3</v>
      </c>
      <c r="B228" s="4">
        <f t="shared" si="54"/>
        <v>222</v>
      </c>
      <c r="C228" s="4">
        <f t="shared" si="45"/>
        <v>120</v>
      </c>
      <c r="D228" s="8">
        <f t="shared" si="55"/>
        <v>10</v>
      </c>
      <c r="E228" s="23">
        <f t="shared" si="46"/>
        <v>464.54313909702739</v>
      </c>
      <c r="F228" s="24">
        <f t="shared" si="47"/>
        <v>606.45577481244823</v>
      </c>
      <c r="G228" s="25">
        <f t="shared" si="48"/>
        <v>1125.9989139094755</v>
      </c>
      <c r="H228" s="26">
        <f t="shared" si="49"/>
        <v>123.71697806173944</v>
      </c>
      <c r="I228" s="27">
        <f t="shared" si="50"/>
        <v>72291.95418074308</v>
      </c>
      <c r="K228" s="18">
        <f t="shared" si="43"/>
        <v>0.42872048168735488</v>
      </c>
      <c r="L228" s="22">
        <f t="shared" si="51"/>
        <v>1.6999999999999999E-3</v>
      </c>
      <c r="N228" s="13">
        <f t="shared" si="52"/>
        <v>49493.530791789082</v>
      </c>
      <c r="O228" s="13">
        <f t="shared" si="53"/>
        <v>789.4992725079594</v>
      </c>
      <c r="X228" s="1">
        <f t="shared" si="44"/>
        <v>-1125.9989139094755</v>
      </c>
    </row>
    <row r="229" spans="1:24" x14ac:dyDescent="0.2">
      <c r="A229" s="7">
        <f t="shared" si="42"/>
        <v>8.4600722659372955E-3</v>
      </c>
      <c r="B229" s="4">
        <f t="shared" si="54"/>
        <v>223</v>
      </c>
      <c r="C229" s="4">
        <f t="shared" si="45"/>
        <v>119</v>
      </c>
      <c r="D229" s="8">
        <f t="shared" si="55"/>
        <v>9.9166666666666661</v>
      </c>
      <c r="E229" s="23">
        <f t="shared" si="46"/>
        <v>461.4616696076838</v>
      </c>
      <c r="F229" s="24">
        <f t="shared" si="47"/>
        <v>607.49541328355531</v>
      </c>
      <c r="G229" s="25">
        <f t="shared" si="48"/>
        <v>1123.9570828912392</v>
      </c>
      <c r="H229" s="26">
        <f t="shared" si="49"/>
        <v>122.89632210726323</v>
      </c>
      <c r="I229" s="27">
        <f t="shared" si="50"/>
        <v>71807.355089566787</v>
      </c>
      <c r="K229" s="18">
        <f t="shared" si="43"/>
        <v>0.4311544440199811</v>
      </c>
      <c r="L229" s="22">
        <f t="shared" si="51"/>
        <v>1.6999999999999999E-3</v>
      </c>
      <c r="N229" s="13">
        <f t="shared" si="52"/>
        <v>49077.61876832867</v>
      </c>
      <c r="O229" s="13">
        <f t="shared" si="53"/>
        <v>786.84437876589652</v>
      </c>
      <c r="X229" s="1">
        <f t="shared" si="44"/>
        <v>-1123.9570828912392</v>
      </c>
    </row>
    <row r="230" spans="1:24" x14ac:dyDescent="0.2">
      <c r="A230" s="7">
        <f t="shared" si="42"/>
        <v>8.532379527067268E-3</v>
      </c>
      <c r="B230" s="4">
        <f t="shared" si="54"/>
        <v>224</v>
      </c>
      <c r="C230" s="4">
        <f t="shared" si="45"/>
        <v>118</v>
      </c>
      <c r="D230" s="8">
        <f t="shared" si="55"/>
        <v>9.8333333333333339</v>
      </c>
      <c r="E230" s="23">
        <f t="shared" si="46"/>
        <v>458.36832528964976</v>
      </c>
      <c r="F230" s="24">
        <f t="shared" si="47"/>
        <v>608.5369075387016</v>
      </c>
      <c r="G230" s="25">
        <f t="shared" si="48"/>
        <v>1121.9052328283515</v>
      </c>
      <c r="H230" s="26">
        <f t="shared" si="49"/>
        <v>122.07250365226353</v>
      </c>
      <c r="I230" s="27">
        <f t="shared" si="50"/>
        <v>71320.890685680351</v>
      </c>
      <c r="K230" s="18">
        <f t="shared" si="43"/>
        <v>0.4336056109303002</v>
      </c>
      <c r="L230" s="22">
        <f t="shared" si="51"/>
        <v>1.6999999999999999E-3</v>
      </c>
      <c r="N230" s="13">
        <f t="shared" si="52"/>
        <v>48661.706744868257</v>
      </c>
      <c r="O230" s="13">
        <f t="shared" si="53"/>
        <v>784.18948502383364</v>
      </c>
      <c r="X230" s="1">
        <f t="shared" si="44"/>
        <v>-1121.9052328283515</v>
      </c>
    </row>
    <row r="231" spans="1:24" x14ac:dyDescent="0.2">
      <c r="A231" s="7">
        <f t="shared" si="42"/>
        <v>8.605933446874282E-3</v>
      </c>
      <c r="B231" s="4">
        <f t="shared" si="54"/>
        <v>225</v>
      </c>
      <c r="C231" s="4">
        <f t="shared" si="45"/>
        <v>117</v>
      </c>
      <c r="D231" s="8">
        <f t="shared" si="55"/>
        <v>9.75</v>
      </c>
      <c r="E231" s="23">
        <f t="shared" si="46"/>
        <v>455.26307410967905</v>
      </c>
      <c r="F231" s="24">
        <f t="shared" si="47"/>
        <v>609.58026227077221</v>
      </c>
      <c r="G231" s="25">
        <f t="shared" si="48"/>
        <v>1119.8433363804513</v>
      </c>
      <c r="H231" s="26">
        <f t="shared" si="49"/>
        <v>121.24551416565659</v>
      </c>
      <c r="I231" s="27">
        <f t="shared" si="50"/>
        <v>70832.555937575235</v>
      </c>
      <c r="K231" s="18">
        <f t="shared" si="43"/>
        <v>0.4360741652341365</v>
      </c>
      <c r="L231" s="22">
        <f t="shared" si="51"/>
        <v>1.6999999999999999E-3</v>
      </c>
      <c r="N231" s="13">
        <f t="shared" si="52"/>
        <v>48245.794721407845</v>
      </c>
      <c r="O231" s="13">
        <f t="shared" si="53"/>
        <v>781.53459128177076</v>
      </c>
      <c r="X231" s="1">
        <f t="shared" si="44"/>
        <v>-1119.8433363804513</v>
      </c>
    </row>
    <row r="232" spans="1:24" x14ac:dyDescent="0.2">
      <c r="A232" s="7">
        <f t="shared" si="42"/>
        <v>8.6807665464091154E-3</v>
      </c>
      <c r="B232" s="4">
        <f t="shared" si="54"/>
        <v>226</v>
      </c>
      <c r="C232" s="4">
        <f t="shared" si="45"/>
        <v>116</v>
      </c>
      <c r="D232" s="8">
        <f t="shared" si="55"/>
        <v>9.6666666666666661</v>
      </c>
      <c r="E232" s="23">
        <f t="shared" si="46"/>
        <v>452.14588395011265</v>
      </c>
      <c r="F232" s="24">
        <f t="shared" si="47"/>
        <v>610.62548222047621</v>
      </c>
      <c r="G232" s="25">
        <f t="shared" si="48"/>
        <v>1117.7713661705889</v>
      </c>
      <c r="H232" s="26">
        <f t="shared" si="49"/>
        <v>120.41534509387789</v>
      </c>
      <c r="I232" s="27">
        <f t="shared" si="50"/>
        <v>70342.345800448631</v>
      </c>
      <c r="K232" s="18">
        <f t="shared" si="43"/>
        <v>0.43856029234853816</v>
      </c>
      <c r="L232" s="22">
        <f t="shared" si="51"/>
        <v>1.6999999999999999E-3</v>
      </c>
      <c r="N232" s="13">
        <f t="shared" si="52"/>
        <v>47829.882697947432</v>
      </c>
      <c r="O232" s="13">
        <f t="shared" si="53"/>
        <v>778.87969753970788</v>
      </c>
      <c r="X232" s="1">
        <f t="shared" si="44"/>
        <v>-1117.7713661705889</v>
      </c>
    </row>
    <row r="233" spans="1:24" x14ac:dyDescent="0.2">
      <c r="A233" s="7">
        <f t="shared" si="42"/>
        <v>8.7569124877950547E-3</v>
      </c>
      <c r="B233" s="4">
        <f t="shared" si="54"/>
        <v>227</v>
      </c>
      <c r="C233" s="4">
        <f t="shared" si="45"/>
        <v>115</v>
      </c>
      <c r="D233" s="8">
        <f t="shared" si="55"/>
        <v>9.5833333333333339</v>
      </c>
      <c r="E233" s="23">
        <f t="shared" si="46"/>
        <v>449.01672260843031</v>
      </c>
      <c r="F233" s="24">
        <f t="shared" si="47"/>
        <v>611.67257217781423</v>
      </c>
      <c r="G233" s="25">
        <f t="shared" si="48"/>
        <v>1115.6892947862445</v>
      </c>
      <c r="H233" s="26">
        <f t="shared" si="49"/>
        <v>119.58198786076267</v>
      </c>
      <c r="I233" s="27">
        <f t="shared" si="50"/>
        <v>69850.255216131569</v>
      </c>
      <c r="K233" s="18">
        <f t="shared" si="43"/>
        <v>0.44106418033824685</v>
      </c>
      <c r="L233" s="22">
        <f t="shared" si="51"/>
        <v>1.6999999999999999E-3</v>
      </c>
      <c r="N233" s="13">
        <f t="shared" si="52"/>
        <v>47413.97067448702</v>
      </c>
      <c r="O233" s="13">
        <f t="shared" si="53"/>
        <v>776.22480379764488</v>
      </c>
      <c r="X233" s="1">
        <f t="shared" si="44"/>
        <v>-1115.6892947862445</v>
      </c>
    </row>
    <row r="234" spans="1:24" x14ac:dyDescent="0.2">
      <c r="A234" s="7">
        <f t="shared" si="42"/>
        <v>8.8344061247170765E-3</v>
      </c>
      <c r="B234" s="4">
        <f t="shared" si="54"/>
        <v>228</v>
      </c>
      <c r="C234" s="4">
        <f t="shared" si="45"/>
        <v>114</v>
      </c>
      <c r="D234" s="8">
        <f t="shared" si="55"/>
        <v>9.5</v>
      </c>
      <c r="E234" s="23">
        <f t="shared" si="46"/>
        <v>445.87555779679127</v>
      </c>
      <c r="F234" s="24">
        <f t="shared" si="47"/>
        <v>612.72153698361024</v>
      </c>
      <c r="G234" s="25">
        <f t="shared" si="48"/>
        <v>1113.5970947804014</v>
      </c>
      <c r="H234" s="26">
        <f t="shared" si="49"/>
        <v>118.74543386742366</v>
      </c>
      <c r="I234" s="27">
        <f t="shared" si="50"/>
        <v>69356.279113015393</v>
      </c>
      <c r="K234" s="18">
        <f t="shared" si="43"/>
        <v>0.44358601996316938</v>
      </c>
      <c r="L234" s="22">
        <f t="shared" si="51"/>
        <v>1.6999999999999999E-3</v>
      </c>
      <c r="N234" s="13">
        <f t="shared" si="52"/>
        <v>46998.058651026608</v>
      </c>
      <c r="O234" s="13">
        <f t="shared" si="53"/>
        <v>773.56991005558211</v>
      </c>
      <c r="X234" s="1">
        <f t="shared" si="44"/>
        <v>-1113.5970947804014</v>
      </c>
    </row>
    <row r="235" spans="1:24" x14ac:dyDescent="0.2">
      <c r="A235" s="7">
        <f t="shared" si="42"/>
        <v>8.9132835556157697E-3</v>
      </c>
      <c r="B235" s="4">
        <f t="shared" si="54"/>
        <v>229</v>
      </c>
      <c r="C235" s="4">
        <f t="shared" si="45"/>
        <v>113</v>
      </c>
      <c r="D235" s="8">
        <f t="shared" si="55"/>
        <v>9.4166666666666661</v>
      </c>
      <c r="E235" s="23">
        <f t="shared" si="46"/>
        <v>442.72235714156523</v>
      </c>
      <c r="F235" s="24">
        <f t="shared" si="47"/>
        <v>613.77238153110966</v>
      </c>
      <c r="G235" s="25">
        <f t="shared" si="48"/>
        <v>1111.4947386726749</v>
      </c>
      <c r="H235" s="26">
        <f t="shared" si="49"/>
        <v>117.90567449212617</v>
      </c>
      <c r="I235" s="27">
        <f t="shared" si="50"/>
        <v>68860.412405976414</v>
      </c>
      <c r="K235" s="18">
        <f t="shared" si="43"/>
        <v>0.44612600472687591</v>
      </c>
      <c r="L235" s="22">
        <f t="shared" si="51"/>
        <v>1.6999999999999999E-3</v>
      </c>
      <c r="N235" s="13">
        <f t="shared" si="52"/>
        <v>46582.146627566195</v>
      </c>
      <c r="O235" s="13">
        <f t="shared" si="53"/>
        <v>770.91501631351912</v>
      </c>
      <c r="X235" s="1">
        <f t="shared" si="44"/>
        <v>-1111.4947386726749</v>
      </c>
    </row>
    <row r="236" spans="1:24" x14ac:dyDescent="0.2">
      <c r="A236" s="7">
        <f t="shared" si="42"/>
        <v>8.9935821797565256E-3</v>
      </c>
      <c r="B236" s="4">
        <f t="shared" si="54"/>
        <v>230</v>
      </c>
      <c r="C236" s="4">
        <f t="shared" si="45"/>
        <v>112</v>
      </c>
      <c r="D236" s="8">
        <f t="shared" si="55"/>
        <v>9.3333333333333339</v>
      </c>
      <c r="E236" s="23">
        <f t="shared" si="46"/>
        <v>439.55708818285137</v>
      </c>
      <c r="F236" s="24">
        <f t="shared" si="47"/>
        <v>614.82511076764661</v>
      </c>
      <c r="G236" s="25">
        <f t="shared" si="48"/>
        <v>1109.3821989504979</v>
      </c>
      <c r="H236" s="26">
        <f t="shared" si="49"/>
        <v>117.0627010901599</v>
      </c>
      <c r="I236" s="27">
        <f t="shared" si="50"/>
        <v>68362.649996298933</v>
      </c>
      <c r="K236" s="18">
        <f t="shared" si="43"/>
        <v>0.44868433092615134</v>
      </c>
      <c r="L236" s="22">
        <f t="shared" si="51"/>
        <v>1.6999999999999999E-3</v>
      </c>
      <c r="N236" s="13">
        <f t="shared" si="52"/>
        <v>46166.234604105783</v>
      </c>
      <c r="O236" s="13">
        <f t="shared" si="53"/>
        <v>768.26012257145635</v>
      </c>
      <c r="X236" s="1">
        <f t="shared" si="44"/>
        <v>-1109.3821989504979</v>
      </c>
    </row>
    <row r="237" spans="1:24" x14ac:dyDescent="0.2">
      <c r="A237" s="7">
        <f t="shared" si="42"/>
        <v>9.0753407563570511E-3</v>
      </c>
      <c r="B237" s="4">
        <f t="shared" si="54"/>
        <v>231</v>
      </c>
      <c r="C237" s="4">
        <f t="shared" si="45"/>
        <v>111</v>
      </c>
      <c r="D237" s="8">
        <f t="shared" si="55"/>
        <v>9.25</v>
      </c>
      <c r="E237" s="23">
        <f t="shared" si="46"/>
        <v>436.3797183739868</v>
      </c>
      <c r="F237" s="24">
        <f t="shared" si="47"/>
        <v>615.87972969638679</v>
      </c>
      <c r="G237" s="25">
        <f t="shared" si="48"/>
        <v>1107.2594480703735</v>
      </c>
      <c r="H237" s="26">
        <f t="shared" si="49"/>
        <v>116.21650499370818</v>
      </c>
      <c r="I237" s="27">
        <f t="shared" si="50"/>
        <v>67862.986771596246</v>
      </c>
      <c r="K237" s="18">
        <f t="shared" si="43"/>
        <v>0.45126119770162643</v>
      </c>
      <c r="L237" s="22">
        <f t="shared" si="51"/>
        <v>1.6999999999999999E-3</v>
      </c>
      <c r="N237" s="13">
        <f t="shared" si="52"/>
        <v>45750.32258064537</v>
      </c>
      <c r="O237" s="13">
        <f t="shared" si="53"/>
        <v>765.60522882939335</v>
      </c>
      <c r="X237" s="1">
        <f t="shared" si="44"/>
        <v>-1107.2594480703735</v>
      </c>
    </row>
    <row r="238" spans="1:24" x14ac:dyDescent="0.2">
      <c r="A238" s="7">
        <f t="shared" si="42"/>
        <v>9.1585994669695098E-3</v>
      </c>
      <c r="B238" s="4">
        <f t="shared" si="54"/>
        <v>232</v>
      </c>
      <c r="C238" s="4">
        <f t="shared" si="45"/>
        <v>110</v>
      </c>
      <c r="D238" s="8">
        <f t="shared" si="55"/>
        <v>9.1666666666666661</v>
      </c>
      <c r="E238" s="23">
        <f t="shared" si="46"/>
        <v>433.19021508104248</v>
      </c>
      <c r="F238" s="24">
        <f t="shared" si="47"/>
        <v>616.93624337814765</v>
      </c>
      <c r="G238" s="25">
        <f t="shared" si="48"/>
        <v>1105.1264584591902</v>
      </c>
      <c r="H238" s="26">
        <f t="shared" si="49"/>
        <v>115.36707751171362</v>
      </c>
      <c r="I238" s="27">
        <f t="shared" si="50"/>
        <v>67361.417605729817</v>
      </c>
      <c r="K238" s="18">
        <f t="shared" si="43"/>
        <v>0.4538568070895172</v>
      </c>
      <c r="L238" s="22">
        <f t="shared" si="51"/>
        <v>1.6999999999999999E-3</v>
      </c>
      <c r="N238" s="13">
        <f t="shared" si="52"/>
        <v>45334.410557184958</v>
      </c>
      <c r="O238" s="13">
        <f t="shared" si="53"/>
        <v>762.95033508733059</v>
      </c>
      <c r="X238" s="1">
        <f t="shared" si="44"/>
        <v>-1105.1264584591902</v>
      </c>
    </row>
    <row r="239" spans="1:24" x14ac:dyDescent="0.2">
      <c r="A239" s="7">
        <f t="shared" si="42"/>
        <v>9.2433999813283305E-3</v>
      </c>
      <c r="B239" s="4">
        <f t="shared" si="54"/>
        <v>233</v>
      </c>
      <c r="C239" s="4">
        <f t="shared" si="45"/>
        <v>109</v>
      </c>
      <c r="D239" s="8">
        <f t="shared" si="55"/>
        <v>9.0833333333333339</v>
      </c>
      <c r="E239" s="23">
        <f t="shared" si="46"/>
        <v>429.98854558230715</v>
      </c>
      <c r="F239" s="24">
        <f t="shared" si="47"/>
        <v>617.99465693330103</v>
      </c>
      <c r="G239" s="25">
        <f t="shared" si="48"/>
        <v>1102.9832025156081</v>
      </c>
      <c r="H239" s="26">
        <f t="shared" si="49"/>
        <v>114.51440992974068</v>
      </c>
      <c r="I239" s="27">
        <f t="shared" si="50"/>
        <v>66857.937358726267</v>
      </c>
      <c r="K239" s="18">
        <f t="shared" si="43"/>
        <v>0.45647136407450023</v>
      </c>
      <c r="L239" s="22">
        <f t="shared" si="51"/>
        <v>1.6999999999999999E-3</v>
      </c>
      <c r="N239" s="13">
        <f t="shared" si="52"/>
        <v>44918.498533724545</v>
      </c>
      <c r="O239" s="13">
        <f t="shared" si="53"/>
        <v>760.29544134526759</v>
      </c>
      <c r="X239" s="1">
        <f t="shared" si="44"/>
        <v>-1102.9832025156081</v>
      </c>
    </row>
    <row r="240" spans="1:24" x14ac:dyDescent="0.2">
      <c r="A240" s="7">
        <f t="shared" si="42"/>
        <v>9.3297855268903093E-3</v>
      </c>
      <c r="B240" s="4">
        <f t="shared" si="54"/>
        <v>234</v>
      </c>
      <c r="C240" s="4">
        <f t="shared" si="45"/>
        <v>108</v>
      </c>
      <c r="D240" s="8">
        <f t="shared" si="55"/>
        <v>9</v>
      </c>
      <c r="E240" s="23">
        <f t="shared" si="46"/>
        <v>426.77467706775764</v>
      </c>
      <c r="F240" s="24">
        <f t="shared" si="47"/>
        <v>619.05497554376177</v>
      </c>
      <c r="G240" s="25">
        <f t="shared" si="48"/>
        <v>1100.8296526115194</v>
      </c>
      <c r="H240" s="26">
        <f t="shared" si="49"/>
        <v>113.65849350983464</v>
      </c>
      <c r="I240" s="27">
        <f t="shared" si="50"/>
        <v>66352.540876692336</v>
      </c>
      <c r="K240" s="18">
        <f t="shared" si="43"/>
        <v>0.45910507664375255</v>
      </c>
      <c r="L240" s="22">
        <f t="shared" si="51"/>
        <v>1.6999999999999999E-3</v>
      </c>
      <c r="N240" s="13">
        <f t="shared" si="52"/>
        <v>44502.586510264133</v>
      </c>
      <c r="O240" s="13">
        <f t="shared" si="53"/>
        <v>757.64054760320471</v>
      </c>
      <c r="X240" s="1">
        <f t="shared" si="44"/>
        <v>-1100.8296526115194</v>
      </c>
    </row>
    <row r="241" spans="1:24" x14ac:dyDescent="0.2">
      <c r="A241" s="7">
        <f t="shared" si="42"/>
        <v>9.4178009623108998E-3</v>
      </c>
      <c r="B241" s="4">
        <f t="shared" si="54"/>
        <v>235</v>
      </c>
      <c r="C241" s="4">
        <f t="shared" si="45"/>
        <v>107</v>
      </c>
      <c r="D241" s="8">
        <f t="shared" si="55"/>
        <v>8.9166666666666661</v>
      </c>
      <c r="E241" s="23">
        <f t="shared" si="46"/>
        <v>423.54857663851578</v>
      </c>
      <c r="F241" s="24">
        <f t="shared" si="47"/>
        <v>620.11720445506853</v>
      </c>
      <c r="G241" s="25">
        <f t="shared" si="48"/>
        <v>1098.6657810935844</v>
      </c>
      <c r="H241" s="26">
        <f t="shared" si="49"/>
        <v>112.79931949037696</v>
      </c>
      <c r="I241" s="27">
        <f t="shared" si="50"/>
        <v>65845.222991727656</v>
      </c>
      <c r="K241" s="18">
        <f t="shared" si="43"/>
        <v>0.46175815584218893</v>
      </c>
      <c r="L241" s="22">
        <f t="shared" si="51"/>
        <v>1.6999999999999999E-3</v>
      </c>
      <c r="N241" s="13">
        <f t="shared" si="52"/>
        <v>44086.67448680372</v>
      </c>
      <c r="O241" s="13">
        <f t="shared" si="53"/>
        <v>754.98565386114183</v>
      </c>
      <c r="X241" s="1">
        <f t="shared" si="44"/>
        <v>-1098.6657810935844</v>
      </c>
    </row>
    <row r="242" spans="1:24" x14ac:dyDescent="0.2">
      <c r="A242" s="7">
        <f t="shared" si="42"/>
        <v>9.5074928551191207E-3</v>
      </c>
      <c r="B242" s="4">
        <f t="shared" si="54"/>
        <v>236</v>
      </c>
      <c r="C242" s="4">
        <f t="shared" si="45"/>
        <v>106</v>
      </c>
      <c r="D242" s="8">
        <f t="shared" si="55"/>
        <v>8.8333333333333339</v>
      </c>
      <c r="E242" s="23">
        <f t="shared" si="46"/>
        <v>420.31021130629182</v>
      </c>
      <c r="F242" s="24">
        <f t="shared" si="47"/>
        <v>621.18134897856282</v>
      </c>
      <c r="G242" s="25">
        <f t="shared" si="48"/>
        <v>1096.4915602848546</v>
      </c>
      <c r="H242" s="26">
        <f t="shared" si="49"/>
        <v>111.93687908593701</v>
      </c>
      <c r="I242" s="27">
        <f t="shared" si="50"/>
        <v>65335.97852183503</v>
      </c>
      <c r="K242" s="18">
        <f t="shared" si="43"/>
        <v>0.46443081582892493</v>
      </c>
      <c r="L242" s="22">
        <f t="shared" si="51"/>
        <v>1.6999999999999999E-3</v>
      </c>
      <c r="N242" s="13">
        <f t="shared" si="52"/>
        <v>43670.762463343308</v>
      </c>
      <c r="O242" s="13">
        <f t="shared" si="53"/>
        <v>752.33076011907895</v>
      </c>
      <c r="X242" s="1">
        <f t="shared" si="44"/>
        <v>-1096.4915602848546</v>
      </c>
    </row>
    <row r="243" spans="1:24" x14ac:dyDescent="0.2">
      <c r="A243" s="7">
        <f t="shared" si="42"/>
        <v>9.5989095638735443E-3</v>
      </c>
      <c r="B243" s="4">
        <f t="shared" si="54"/>
        <v>237</v>
      </c>
      <c r="C243" s="4">
        <f t="shared" si="45"/>
        <v>105</v>
      </c>
      <c r="D243" s="8">
        <f t="shared" si="55"/>
        <v>8.75</v>
      </c>
      <c r="E243" s="23">
        <f t="shared" si="46"/>
        <v>417.05954799281164</v>
      </c>
      <c r="F243" s="24">
        <f t="shared" si="47"/>
        <v>622.24741449366695</v>
      </c>
      <c r="G243" s="25">
        <f t="shared" si="48"/>
        <v>1094.3069624864786</v>
      </c>
      <c r="H243" s="26">
        <f t="shared" si="49"/>
        <v>111.07116348711955</v>
      </c>
      <c r="I243" s="27">
        <f t="shared" si="50"/>
        <v>64824.802270828484</v>
      </c>
      <c r="K243" s="18">
        <f t="shared" si="43"/>
        <v>0.46712327393499847</v>
      </c>
      <c r="L243" s="22">
        <f t="shared" si="51"/>
        <v>1.6999999999999999E-3</v>
      </c>
      <c r="N243" s="13">
        <f t="shared" si="52"/>
        <v>43254.850439882895</v>
      </c>
      <c r="O243" s="13">
        <f t="shared" si="53"/>
        <v>749.67586637701606</v>
      </c>
      <c r="X243" s="1">
        <f t="shared" si="44"/>
        <v>-1094.3069624864786</v>
      </c>
    </row>
    <row r="244" spans="1:24" x14ac:dyDescent="0.2">
      <c r="A244" s="7">
        <f t="shared" si="42"/>
        <v>9.6921013251040945E-3</v>
      </c>
      <c r="B244" s="4">
        <f t="shared" si="54"/>
        <v>238</v>
      </c>
      <c r="C244" s="4">
        <f t="shared" si="45"/>
        <v>104</v>
      </c>
      <c r="D244" s="8">
        <f t="shared" si="55"/>
        <v>8.6666666666666661</v>
      </c>
      <c r="E244" s="23">
        <f t="shared" si="46"/>
        <v>413.79655352922981</v>
      </c>
      <c r="F244" s="24">
        <f t="shared" si="47"/>
        <v>623.31540645027394</v>
      </c>
      <c r="G244" s="25">
        <f t="shared" si="48"/>
        <v>1092.1119599795038</v>
      </c>
      <c r="H244" s="26">
        <f t="shared" si="49"/>
        <v>110.20216386040842</v>
      </c>
      <c r="I244" s="27">
        <f t="shared" si="50"/>
        <v>64311.689028238616</v>
      </c>
      <c r="K244" s="18">
        <f t="shared" si="43"/>
        <v>0.46983575072238509</v>
      </c>
      <c r="L244" s="22">
        <f t="shared" si="51"/>
        <v>1.6999999999999999E-3</v>
      </c>
      <c r="N244" s="13">
        <f t="shared" si="52"/>
        <v>42838.938416422483</v>
      </c>
      <c r="O244" s="13">
        <f t="shared" si="53"/>
        <v>747.02097263495318</v>
      </c>
      <c r="X244" s="1">
        <f t="shared" si="44"/>
        <v>-1092.1119599795038</v>
      </c>
    </row>
    <row r="245" spans="1:24" x14ac:dyDescent="0.2">
      <c r="A245" s="7">
        <f t="shared" si="42"/>
        <v>9.7871203453679025E-3</v>
      </c>
      <c r="B245" s="4">
        <f t="shared" si="54"/>
        <v>239</v>
      </c>
      <c r="C245" s="4">
        <f t="shared" si="45"/>
        <v>103</v>
      </c>
      <c r="D245" s="8">
        <f t="shared" si="55"/>
        <v>8.5833333333333339</v>
      </c>
      <c r="E245" s="23">
        <f t="shared" si="46"/>
        <v>410.52119465552533</v>
      </c>
      <c r="F245" s="24">
        <f t="shared" si="47"/>
        <v>624.38533037124864</v>
      </c>
      <c r="G245" s="25">
        <f t="shared" si="48"/>
        <v>1089.906525026774</v>
      </c>
      <c r="H245" s="26">
        <f t="shared" si="49"/>
        <v>109.32987134800564</v>
      </c>
      <c r="I245" s="27">
        <f t="shared" si="50"/>
        <v>63796.633569215373</v>
      </c>
      <c r="K245" s="18">
        <f t="shared" si="43"/>
        <v>0.47256847004433744</v>
      </c>
      <c r="L245" s="22">
        <f t="shared" si="51"/>
        <v>1.6999999999999999E-3</v>
      </c>
      <c r="N245" s="13">
        <f t="shared" si="52"/>
        <v>42423.026392962071</v>
      </c>
      <c r="O245" s="13">
        <f t="shared" si="53"/>
        <v>744.3660788928903</v>
      </c>
      <c r="X245" s="1">
        <f t="shared" si="44"/>
        <v>-1089.906525026774</v>
      </c>
    </row>
    <row r="246" spans="1:24" x14ac:dyDescent="0.2">
      <c r="A246" s="7">
        <f t="shared" si="42"/>
        <v>9.8840208987737883E-3</v>
      </c>
      <c r="B246" s="4">
        <f t="shared" si="54"/>
        <v>240</v>
      </c>
      <c r="C246" s="4">
        <f t="shared" si="45"/>
        <v>102</v>
      </c>
      <c r="D246" s="8">
        <f t="shared" si="55"/>
        <v>8.5</v>
      </c>
      <c r="E246" s="23">
        <f t="shared" si="46"/>
        <v>407.23343801988125</v>
      </c>
      <c r="F246" s="24">
        <f t="shared" si="47"/>
        <v>625.45719185505266</v>
      </c>
      <c r="G246" s="25">
        <f t="shared" si="48"/>
        <v>1087.6906298749338</v>
      </c>
      <c r="H246" s="26">
        <f t="shared" si="49"/>
        <v>108.45427706766613</v>
      </c>
      <c r="I246" s="27">
        <f t="shared" si="50"/>
        <v>63279.630654427987</v>
      </c>
      <c r="K246" s="18">
        <f t="shared" si="43"/>
        <v>0.47532165910708746</v>
      </c>
      <c r="L246" s="22">
        <f t="shared" si="51"/>
        <v>1.6999999999999999E-3</v>
      </c>
      <c r="N246" s="13">
        <f t="shared" si="52"/>
        <v>42007.114369501658</v>
      </c>
      <c r="O246" s="13">
        <f t="shared" si="53"/>
        <v>741.7111851508273</v>
      </c>
      <c r="X246" s="1">
        <f t="shared" si="44"/>
        <v>-1087.6906298749338</v>
      </c>
    </row>
    <row r="247" spans="1:24" x14ac:dyDescent="0.2">
      <c r="A247" s="7">
        <f t="shared" si="42"/>
        <v>9.982859430358074E-3</v>
      </c>
      <c r="B247" s="4">
        <f t="shared" si="54"/>
        <v>241</v>
      </c>
      <c r="C247" s="4">
        <f t="shared" si="45"/>
        <v>101</v>
      </c>
      <c r="D247" s="8">
        <f t="shared" si="55"/>
        <v>8.4166666666666661</v>
      </c>
      <c r="E247" s="23">
        <f t="shared" si="46"/>
        <v>403.93325017804563</v>
      </c>
      <c r="F247" s="24">
        <f t="shared" si="47"/>
        <v>626.53099657849486</v>
      </c>
      <c r="G247" s="25">
        <f t="shared" si="48"/>
        <v>1085.4642467565404</v>
      </c>
      <c r="H247" s="26">
        <f t="shared" si="49"/>
        <v>107.57537211252757</v>
      </c>
      <c r="I247" s="27">
        <f t="shared" si="50"/>
        <v>62760.675029962018</v>
      </c>
      <c r="K247" s="18">
        <f t="shared" si="43"/>
        <v>0.47809554853294417</v>
      </c>
      <c r="L247" s="22">
        <f t="shared" si="51"/>
        <v>1.6999999999999999E-3</v>
      </c>
      <c r="N247" s="13">
        <f t="shared" si="52"/>
        <v>41591.202346041246</v>
      </c>
      <c r="O247" s="13">
        <f t="shared" si="53"/>
        <v>739.05629140876454</v>
      </c>
      <c r="X247" s="1">
        <f t="shared" si="44"/>
        <v>-1085.4642467565404</v>
      </c>
    </row>
    <row r="248" spans="1:24" x14ac:dyDescent="0.2">
      <c r="A248" s="7">
        <f t="shared" si="42"/>
        <v>1.0083694665725524E-2</v>
      </c>
      <c r="B248" s="4">
        <f t="shared" si="54"/>
        <v>242</v>
      </c>
      <c r="C248" s="4">
        <f t="shared" si="45"/>
        <v>100</v>
      </c>
      <c r="D248" s="8">
        <f t="shared" si="55"/>
        <v>8.3333333333333339</v>
      </c>
      <c r="E248" s="23">
        <f t="shared" si="46"/>
        <v>400.62059759267459</v>
      </c>
      <c r="F248" s="24">
        <f t="shared" si="47"/>
        <v>627.60675029962022</v>
      </c>
      <c r="G248" s="25">
        <f t="shared" si="48"/>
        <v>1083.2273478922948</v>
      </c>
      <c r="H248" s="26">
        <f t="shared" si="49"/>
        <v>106.69314755093542</v>
      </c>
      <c r="I248" s="27">
        <f t="shared" si="50"/>
        <v>62239.761427213329</v>
      </c>
      <c r="K248" s="18">
        <f t="shared" si="43"/>
        <v>0.48089037242482835</v>
      </c>
      <c r="L248" s="22">
        <f t="shared" si="51"/>
        <v>1.6999999999999999E-3</v>
      </c>
      <c r="N248" s="13">
        <f t="shared" si="52"/>
        <v>41175.290322580833</v>
      </c>
      <c r="O248" s="13">
        <f t="shared" si="53"/>
        <v>736.40139766670154</v>
      </c>
      <c r="X248" s="1">
        <f t="shared" si="44"/>
        <v>-1083.2273478922948</v>
      </c>
    </row>
    <row r="249" spans="1:24" x14ac:dyDescent="0.2">
      <c r="A249" s="7">
        <f t="shared" si="42"/>
        <v>1.018658772740284E-2</v>
      </c>
      <c r="B249" s="4">
        <f t="shared" si="54"/>
        <v>243</v>
      </c>
      <c r="C249" s="4">
        <f t="shared" si="45"/>
        <v>99</v>
      </c>
      <c r="D249" s="8">
        <f t="shared" si="55"/>
        <v>8.25</v>
      </c>
      <c r="E249" s="23">
        <f t="shared" si="46"/>
        <v>397.29544663265534</v>
      </c>
      <c r="F249" s="24">
        <f t="shared" si="47"/>
        <v>628.68445886074073</v>
      </c>
      <c r="G249" s="25">
        <f t="shared" si="48"/>
        <v>1080.979905493396</v>
      </c>
      <c r="H249" s="26">
        <f t="shared" si="49"/>
        <v>105.80759442626265</v>
      </c>
      <c r="I249" s="27">
        <f t="shared" si="50"/>
        <v>61716.884562778847</v>
      </c>
      <c r="K249" s="18">
        <f t="shared" si="43"/>
        <v>0.48370636843227838</v>
      </c>
      <c r="L249" s="22">
        <f t="shared" si="51"/>
        <v>1.6999999999999999E-3</v>
      </c>
      <c r="N249" s="13">
        <f t="shared" si="52"/>
        <v>40759.378299120421</v>
      </c>
      <c r="O249" s="13">
        <f t="shared" si="53"/>
        <v>733.74650392463877</v>
      </c>
      <c r="X249" s="1">
        <f t="shared" si="44"/>
        <v>-1080.979905493396</v>
      </c>
    </row>
    <row r="250" spans="1:24" x14ac:dyDescent="0.2">
      <c r="A250" s="7">
        <f t="shared" si="42"/>
        <v>1.0291602258389199E-2</v>
      </c>
      <c r="B250" s="4">
        <f t="shared" si="54"/>
        <v>244</v>
      </c>
      <c r="C250" s="4">
        <f t="shared" si="45"/>
        <v>98</v>
      </c>
      <c r="D250" s="8">
        <f t="shared" si="55"/>
        <v>8.1666666666666661</v>
      </c>
      <c r="E250" s="23">
        <f t="shared" si="46"/>
        <v>393.95776357240908</v>
      </c>
      <c r="F250" s="24">
        <f t="shared" si="47"/>
        <v>629.7641281916209</v>
      </c>
      <c r="G250" s="25">
        <f t="shared" si="48"/>
        <v>1078.72189176403</v>
      </c>
      <c r="H250" s="26">
        <f t="shared" si="49"/>
        <v>104.91870375672403</v>
      </c>
      <c r="I250" s="27">
        <f t="shared" si="50"/>
        <v>61192.039138343949</v>
      </c>
      <c r="K250" s="18">
        <f t="shared" si="43"/>
        <v>0.48654377781896962</v>
      </c>
      <c r="L250" s="22">
        <f t="shared" si="51"/>
        <v>1.6999999999999999E-3</v>
      </c>
      <c r="N250" s="13">
        <f t="shared" si="52"/>
        <v>40343.466275660008</v>
      </c>
      <c r="O250" s="13">
        <f t="shared" si="53"/>
        <v>731.09161018257578</v>
      </c>
      <c r="X250" s="1">
        <f t="shared" si="44"/>
        <v>-1078.72189176403</v>
      </c>
    </row>
    <row r="251" spans="1:24" x14ac:dyDescent="0.2">
      <c r="A251" s="7">
        <f t="shared" si="42"/>
        <v>1.0398804553428538E-2</v>
      </c>
      <c r="B251" s="4">
        <f t="shared" si="54"/>
        <v>245</v>
      </c>
      <c r="C251" s="4">
        <f t="shared" si="45"/>
        <v>97</v>
      </c>
      <c r="D251" s="8">
        <f t="shared" si="55"/>
        <v>8.0833333333333339</v>
      </c>
      <c r="E251" s="23">
        <f t="shared" si="46"/>
        <v>390.60751459117188</v>
      </c>
      <c r="F251" s="24">
        <f t="shared" si="47"/>
        <v>630.84576431282426</v>
      </c>
      <c r="G251" s="25">
        <f t="shared" si="48"/>
        <v>1076.4532789039961</v>
      </c>
      <c r="H251" s="26">
        <f t="shared" si="49"/>
        <v>104.02646653518471</v>
      </c>
      <c r="I251" s="27">
        <f t="shared" si="50"/>
        <v>60665.219840566308</v>
      </c>
      <c r="K251" s="18">
        <f t="shared" si="43"/>
        <v>0.48940284553178842</v>
      </c>
      <c r="L251" s="22">
        <f t="shared" si="51"/>
        <v>1.6999999999999999E-3</v>
      </c>
      <c r="N251" s="13">
        <f t="shared" si="52"/>
        <v>39927.554252199596</v>
      </c>
      <c r="O251" s="13">
        <f t="shared" si="53"/>
        <v>728.4367164405129</v>
      </c>
      <c r="X251" s="1">
        <f t="shared" si="44"/>
        <v>-1076.4532789039961</v>
      </c>
    </row>
    <row r="252" spans="1:24" x14ac:dyDescent="0.2">
      <c r="A252" s="7">
        <f t="shared" si="42"/>
        <v>1.0508263698572558E-2</v>
      </c>
      <c r="B252" s="4">
        <f t="shared" si="54"/>
        <v>246</v>
      </c>
      <c r="C252" s="4">
        <f t="shared" si="45"/>
        <v>96</v>
      </c>
      <c r="D252" s="8">
        <f t="shared" si="55"/>
        <v>8</v>
      </c>
      <c r="E252" s="23">
        <f t="shared" si="46"/>
        <v>387.24466577225343</v>
      </c>
      <c r="F252" s="24">
        <f t="shared" si="47"/>
        <v>631.92937333923237</v>
      </c>
      <c r="G252" s="25">
        <f t="shared" si="48"/>
        <v>1074.1740391114859</v>
      </c>
      <c r="H252" s="26">
        <f t="shared" si="49"/>
        <v>103.13087372896271</v>
      </c>
      <c r="I252" s="27">
        <f t="shared" si="50"/>
        <v>60136.42134095604</v>
      </c>
      <c r="K252" s="18">
        <f t="shared" si="43"/>
        <v>0.49228382027149981</v>
      </c>
      <c r="L252" s="22">
        <f t="shared" si="51"/>
        <v>1.6999999999999999E-3</v>
      </c>
      <c r="N252" s="13">
        <f t="shared" si="52"/>
        <v>39511.642228739183</v>
      </c>
      <c r="O252" s="13">
        <f t="shared" si="53"/>
        <v>725.78182269845001</v>
      </c>
      <c r="X252" s="1">
        <f t="shared" si="44"/>
        <v>-1074.1740391114859</v>
      </c>
    </row>
    <row r="253" spans="1:24" x14ac:dyDescent="0.2">
      <c r="A253" s="7">
        <f t="shared" si="42"/>
        <v>1.0620051719651875E-2</v>
      </c>
      <c r="B253" s="4">
        <f t="shared" si="54"/>
        <v>247</v>
      </c>
      <c r="C253" s="4">
        <f t="shared" si="45"/>
        <v>95</v>
      </c>
      <c r="D253" s="8">
        <f t="shared" si="55"/>
        <v>7.916666666666667</v>
      </c>
      <c r="E253" s="23">
        <f t="shared" si="46"/>
        <v>383.86918310227196</v>
      </c>
      <c r="F253" s="24">
        <f t="shared" si="47"/>
        <v>633.01496148374781</v>
      </c>
      <c r="G253" s="25">
        <f t="shared" si="48"/>
        <v>1071.8841445860198</v>
      </c>
      <c r="H253" s="26">
        <f t="shared" si="49"/>
        <v>102.23191627962527</v>
      </c>
      <c r="I253" s="27">
        <f t="shared" si="50"/>
        <v>59605.638295751916</v>
      </c>
      <c r="K253" s="18">
        <f t="shared" si="43"/>
        <v>0.49518695456505718</v>
      </c>
      <c r="L253" s="22">
        <f t="shared" si="51"/>
        <v>1.6999999999999999E-3</v>
      </c>
      <c r="N253" s="13">
        <f t="shared" si="52"/>
        <v>39095.730205278771</v>
      </c>
      <c r="O253" s="13">
        <f t="shared" si="53"/>
        <v>723.12692895638713</v>
      </c>
      <c r="X253" s="1">
        <f t="shared" si="44"/>
        <v>-1071.8841445860198</v>
      </c>
    </row>
    <row r="254" spans="1:24" x14ac:dyDescent="0.2">
      <c r="A254" s="7">
        <f t="shared" si="42"/>
        <v>1.0734243740325762E-2</v>
      </c>
      <c r="B254" s="4">
        <f t="shared" si="54"/>
        <v>248</v>
      </c>
      <c r="C254" s="4">
        <f t="shared" si="45"/>
        <v>94</v>
      </c>
      <c r="D254" s="8">
        <f t="shared" si="55"/>
        <v>7.833333333333333</v>
      </c>
      <c r="E254" s="23">
        <f t="shared" si="46"/>
        <v>380.48103247036403</v>
      </c>
      <c r="F254" s="24">
        <f t="shared" si="47"/>
        <v>634.10253506119057</v>
      </c>
      <c r="G254" s="25">
        <f t="shared" si="48"/>
        <v>1069.5835675315545</v>
      </c>
      <c r="H254" s="26">
        <f t="shared" si="49"/>
        <v>101.32958510277825</v>
      </c>
      <c r="I254" s="27">
        <f t="shared" si="50"/>
        <v>59072.865345793507</v>
      </c>
      <c r="K254" s="18">
        <f t="shared" si="43"/>
        <v>0.49811250483959452</v>
      </c>
      <c r="L254" s="22">
        <f t="shared" si="51"/>
        <v>1.6999999999999999E-3</v>
      </c>
      <c r="N254" s="13">
        <f t="shared" si="52"/>
        <v>38679.818181818358</v>
      </c>
      <c r="O254" s="13">
        <f t="shared" si="53"/>
        <v>720.47203521432425</v>
      </c>
      <c r="X254" s="1">
        <f t="shared" si="44"/>
        <v>-1069.5835675315545</v>
      </c>
    </row>
    <row r="255" spans="1:24" x14ac:dyDescent="0.2">
      <c r="A255" s="7">
        <f t="shared" si="42"/>
        <v>1.0850918150439297E-2</v>
      </c>
      <c r="B255" s="4">
        <f t="shared" si="54"/>
        <v>249</v>
      </c>
      <c r="C255" s="4">
        <f t="shared" si="45"/>
        <v>93</v>
      </c>
      <c r="D255" s="8">
        <f t="shared" si="55"/>
        <v>7.75</v>
      </c>
      <c r="E255" s="23">
        <f t="shared" si="46"/>
        <v>377.08017966736827</v>
      </c>
      <c r="F255" s="24">
        <f t="shared" si="47"/>
        <v>635.19210049240326</v>
      </c>
      <c r="G255" s="25">
        <f t="shared" si="48"/>
        <v>1067.2722801597715</v>
      </c>
      <c r="H255" s="26">
        <f t="shared" si="49"/>
        <v>100.42387108784895</v>
      </c>
      <c r="I255" s="27">
        <f t="shared" si="50"/>
        <v>58538.097116388955</v>
      </c>
      <c r="K255" s="18">
        <f t="shared" si="43"/>
        <v>0.50106073149815067</v>
      </c>
      <c r="L255" s="22">
        <f t="shared" si="51"/>
        <v>1.6999999999999999E-3</v>
      </c>
      <c r="N255" s="13">
        <f t="shared" si="52"/>
        <v>38263.906158357946</v>
      </c>
      <c r="O255" s="13">
        <f t="shared" si="53"/>
        <v>717.81714147226137</v>
      </c>
      <c r="X255" s="1">
        <f t="shared" si="44"/>
        <v>-1067.2722801597715</v>
      </c>
    </row>
    <row r="256" spans="1:24" x14ac:dyDescent="0.2">
      <c r="A256" s="7">
        <f t="shared" si="42"/>
        <v>1.0970156785480778E-2</v>
      </c>
      <c r="B256" s="4">
        <f t="shared" si="54"/>
        <v>250</v>
      </c>
      <c r="C256" s="4">
        <f t="shared" si="45"/>
        <v>92</v>
      </c>
      <c r="D256" s="8">
        <f t="shared" si="55"/>
        <v>7.666666666666667</v>
      </c>
      <c r="E256" s="23">
        <f t="shared" si="46"/>
        <v>373.66659038498165</v>
      </c>
      <c r="F256" s="24">
        <f t="shared" si="47"/>
        <v>636.28366430857557</v>
      </c>
      <c r="G256" s="25">
        <f t="shared" si="48"/>
        <v>1064.9502546935573</v>
      </c>
      <c r="H256" s="26">
        <f t="shared" si="49"/>
        <v>99.514765097861215</v>
      </c>
      <c r="I256" s="27">
        <f t="shared" si="50"/>
        <v>58001.328217178241</v>
      </c>
      <c r="K256" s="18">
        <f t="shared" si="43"/>
        <v>0.50403189899717082</v>
      </c>
      <c r="L256" s="22">
        <f t="shared" si="51"/>
        <v>1.6999999999999999E-3</v>
      </c>
      <c r="N256" s="13">
        <f t="shared" si="52"/>
        <v>37847.994134897534</v>
      </c>
      <c r="O256" s="13">
        <f t="shared" si="53"/>
        <v>715.16224773019849</v>
      </c>
      <c r="X256" s="1">
        <f t="shared" si="44"/>
        <v>-1064.9502546935573</v>
      </c>
    </row>
    <row r="257" spans="1:24" x14ac:dyDescent="0.2">
      <c r="A257" s="7">
        <f t="shared" si="42"/>
        <v>1.1092045118002724E-2</v>
      </c>
      <c r="B257" s="4">
        <f t="shared" si="54"/>
        <v>251</v>
      </c>
      <c r="C257" s="4">
        <f t="shared" si="45"/>
        <v>91</v>
      </c>
      <c r="D257" s="8">
        <f t="shared" si="55"/>
        <v>7.583333333333333</v>
      </c>
      <c r="E257" s="23">
        <f t="shared" si="46"/>
        <v>370.24023021488631</v>
      </c>
      <c r="F257" s="24">
        <f t="shared" si="47"/>
        <v>637.3772331558049</v>
      </c>
      <c r="G257" s="25">
        <f t="shared" si="48"/>
        <v>1062.6174633706912</v>
      </c>
      <c r="H257" s="26">
        <f t="shared" si="49"/>
        <v>98.602257969203009</v>
      </c>
      <c r="I257" s="27">
        <f t="shared" si="50"/>
        <v>57462.553241991634</v>
      </c>
      <c r="K257" s="18">
        <f t="shared" si="43"/>
        <v>0.50702627592583771</v>
      </c>
      <c r="L257" s="22">
        <f t="shared" si="51"/>
        <v>1.6999999999999999E-3</v>
      </c>
      <c r="N257" s="13">
        <f t="shared" si="52"/>
        <v>37432.082111437121</v>
      </c>
      <c r="O257" s="13">
        <f t="shared" si="53"/>
        <v>712.50735398813561</v>
      </c>
      <c r="X257" s="1">
        <f t="shared" si="44"/>
        <v>-1062.6174633706912</v>
      </c>
    </row>
    <row r="258" spans="1:24" x14ac:dyDescent="0.2">
      <c r="A258" s="7">
        <f t="shared" si="42"/>
        <v>1.1216672461947439E-2</v>
      </c>
      <c r="B258" s="4">
        <f t="shared" si="54"/>
        <v>252</v>
      </c>
      <c r="C258" s="4">
        <f t="shared" si="45"/>
        <v>90</v>
      </c>
      <c r="D258" s="8">
        <f t="shared" si="55"/>
        <v>7.5</v>
      </c>
      <c r="E258" s="23">
        <f t="shared" si="46"/>
        <v>366.80106464784626</v>
      </c>
      <c r="F258" s="24">
        <f t="shared" si="47"/>
        <v>638.47281379990704</v>
      </c>
      <c r="G258" s="25">
        <f t="shared" si="48"/>
        <v>1060.2738784477533</v>
      </c>
      <c r="H258" s="26">
        <f t="shared" si="49"/>
        <v>97.686340511385779</v>
      </c>
      <c r="I258" s="27">
        <f t="shared" si="50"/>
        <v>56921.766768703113</v>
      </c>
      <c r="K258" s="18">
        <f t="shared" si="43"/>
        <v>0.51004413508728108</v>
      </c>
      <c r="L258" s="22">
        <f t="shared" si="51"/>
        <v>1.6999999999999999E-3</v>
      </c>
      <c r="N258" s="13">
        <f t="shared" si="52"/>
        <v>37016.170087976709</v>
      </c>
      <c r="O258" s="13">
        <f t="shared" si="53"/>
        <v>709.85246024607272</v>
      </c>
      <c r="X258" s="1">
        <f t="shared" si="44"/>
        <v>-1060.2738784477533</v>
      </c>
    </row>
    <row r="259" spans="1:24" x14ac:dyDescent="0.2">
      <c r="A259" s="7">
        <f t="shared" si="42"/>
        <v>1.1344132190903595E-2</v>
      </c>
      <c r="B259" s="4">
        <f t="shared" si="54"/>
        <v>253</v>
      </c>
      <c r="C259" s="4">
        <f t="shared" si="45"/>
        <v>89</v>
      </c>
      <c r="D259" s="8">
        <f t="shared" si="55"/>
        <v>7.416666666666667</v>
      </c>
      <c r="E259" s="23">
        <f t="shared" si="46"/>
        <v>363.34905907277152</v>
      </c>
      <c r="F259" s="24">
        <f t="shared" si="47"/>
        <v>639.57041313149568</v>
      </c>
      <c r="G259" s="25">
        <f t="shared" si="48"/>
        <v>1057.9194722042671</v>
      </c>
      <c r="H259" s="26">
        <f t="shared" si="49"/>
        <v>96.767003506795291</v>
      </c>
      <c r="I259" s="27">
        <f t="shared" si="50"/>
        <v>56378.963359078414</v>
      </c>
      <c r="K259" s="18">
        <f t="shared" si="43"/>
        <v>0.5130857535817186</v>
      </c>
      <c r="L259" s="22">
        <f t="shared" si="51"/>
        <v>1.6999999999999999E-3</v>
      </c>
      <c r="N259" s="13">
        <f t="shared" si="52"/>
        <v>36600.258064516296</v>
      </c>
      <c r="O259" s="13">
        <f t="shared" si="53"/>
        <v>707.19756650400973</v>
      </c>
      <c r="X259" s="1">
        <f t="shared" si="44"/>
        <v>-1057.9194722042671</v>
      </c>
    </row>
    <row r="260" spans="1:24" x14ac:dyDescent="0.2">
      <c r="A260" s="7">
        <f t="shared" si="42"/>
        <v>1.1474521971414671E-2</v>
      </c>
      <c r="B260" s="4">
        <f t="shared" si="54"/>
        <v>254</v>
      </c>
      <c r="C260" s="4">
        <f t="shared" si="45"/>
        <v>88</v>
      </c>
      <c r="D260" s="8">
        <f t="shared" si="55"/>
        <v>7.333333333333333</v>
      </c>
      <c r="E260" s="23">
        <f t="shared" si="46"/>
        <v>359.88417877574835</v>
      </c>
      <c r="F260" s="24">
        <f t="shared" si="47"/>
        <v>640.6700381713456</v>
      </c>
      <c r="G260" s="25">
        <f t="shared" si="48"/>
        <v>1055.5542169470939</v>
      </c>
      <c r="H260" s="26">
        <f t="shared" si="49"/>
        <v>95.844237710433305</v>
      </c>
      <c r="I260" s="27">
        <f t="shared" si="50"/>
        <v>55834.137558617505</v>
      </c>
      <c r="K260" s="18">
        <f t="shared" si="43"/>
        <v>0.51615141289158417</v>
      </c>
      <c r="L260" s="22">
        <f t="shared" si="51"/>
        <v>1.6999999999999999E-3</v>
      </c>
      <c r="N260" s="13">
        <f t="shared" si="52"/>
        <v>36184.346041055884</v>
      </c>
      <c r="O260" s="13">
        <f t="shared" si="53"/>
        <v>704.54267276194696</v>
      </c>
      <c r="X260" s="1">
        <f t="shared" si="44"/>
        <v>-1055.5542169470939</v>
      </c>
    </row>
    <row r="261" spans="1:24" x14ac:dyDescent="0.2">
      <c r="A261" s="7">
        <f t="shared" si="42"/>
        <v>1.1607944012564439E-2</v>
      </c>
      <c r="B261" s="4">
        <f t="shared" si="54"/>
        <v>255</v>
      </c>
      <c r="C261" s="4">
        <f t="shared" si="45"/>
        <v>87</v>
      </c>
      <c r="D261" s="8">
        <f t="shared" si="55"/>
        <v>7.25</v>
      </c>
      <c r="E261" s="23">
        <f t="shared" si="46"/>
        <v>356.40638893903366</v>
      </c>
      <c r="F261" s="24">
        <f t="shared" si="47"/>
        <v>641.77169607606334</v>
      </c>
      <c r="G261" s="25">
        <f t="shared" si="48"/>
        <v>1053.1780850150969</v>
      </c>
      <c r="H261" s="26">
        <f t="shared" si="49"/>
        <v>94.91803384964976</v>
      </c>
      <c r="I261" s="27">
        <f t="shared" si="50"/>
        <v>55287.283896391091</v>
      </c>
      <c r="K261" s="18">
        <f t="shared" si="43"/>
        <v>0.51924139896869825</v>
      </c>
      <c r="L261" s="22">
        <f t="shared" si="51"/>
        <v>1.6999999999999999E-3</v>
      </c>
      <c r="N261" s="13">
        <f t="shared" si="52"/>
        <v>35768.434017595471</v>
      </c>
      <c r="O261" s="13">
        <f t="shared" si="53"/>
        <v>701.88777901988396</v>
      </c>
      <c r="X261" s="1">
        <f t="shared" si="44"/>
        <v>-1053.1780850150969</v>
      </c>
    </row>
    <row r="262" spans="1:24" x14ac:dyDescent="0.2">
      <c r="A262" s="7">
        <f t="shared" si="42"/>
        <v>1.174450533317987E-2</v>
      </c>
      <c r="B262" s="4">
        <f t="shared" si="54"/>
        <v>256</v>
      </c>
      <c r="C262" s="4">
        <f t="shared" si="45"/>
        <v>86</v>
      </c>
      <c r="D262" s="8">
        <f t="shared" si="55"/>
        <v>7.166666666666667</v>
      </c>
      <c r="E262" s="23">
        <f t="shared" si="46"/>
        <v>352.91565464001127</v>
      </c>
      <c r="F262" s="24">
        <f t="shared" si="47"/>
        <v>642.87539414408241</v>
      </c>
      <c r="G262" s="25">
        <f t="shared" si="48"/>
        <v>1050.7910487840936</v>
      </c>
      <c r="H262" s="26">
        <f t="shared" si="49"/>
        <v>93.988382623864851</v>
      </c>
      <c r="I262" s="27">
        <f t="shared" si="50"/>
        <v>54738.396884870876</v>
      </c>
      <c r="K262" s="18">
        <f t="shared" si="43"/>
        <v>0.52235600232353863</v>
      </c>
      <c r="L262" s="22">
        <f t="shared" si="51"/>
        <v>1.6999999999999999E-3</v>
      </c>
      <c r="N262" s="13">
        <f t="shared" si="52"/>
        <v>35352.521994135059</v>
      </c>
      <c r="O262" s="13">
        <f t="shared" si="53"/>
        <v>699.23288527782108</v>
      </c>
      <c r="X262" s="1">
        <f t="shared" si="44"/>
        <v>-1050.7910487840936</v>
      </c>
    </row>
    <row r="263" spans="1:24" x14ac:dyDescent="0.2">
      <c r="A263" s="7">
        <f t="shared" ref="A263:A326" si="56">F263/I263</f>
        <v>1.1884318048119603E-2</v>
      </c>
      <c r="B263" s="4">
        <f t="shared" si="54"/>
        <v>257</v>
      </c>
      <c r="C263" s="4">
        <f t="shared" si="45"/>
        <v>85</v>
      </c>
      <c r="D263" s="8">
        <f t="shared" si="55"/>
        <v>7.083333333333333</v>
      </c>
      <c r="E263" s="23">
        <f t="shared" si="46"/>
        <v>349.41194085010846</v>
      </c>
      <c r="F263" s="24">
        <f t="shared" si="47"/>
        <v>643.98113982201028</v>
      </c>
      <c r="G263" s="25">
        <f t="shared" si="48"/>
        <v>1048.3930806721187</v>
      </c>
      <c r="H263" s="26">
        <f t="shared" si="49"/>
        <v>93.055274704280478</v>
      </c>
      <c r="I263" s="27">
        <f t="shared" si="50"/>
        <v>54187.471019753146</v>
      </c>
      <c r="K263" s="18">
        <f t="shared" ref="K263:K326" si="57">IF(C263&lt;1,0,(F263-H263)/G263)</f>
        <v>0.52549551811667283</v>
      </c>
      <c r="L263" s="22">
        <f t="shared" si="51"/>
        <v>1.6999999999999999E-3</v>
      </c>
      <c r="N263" s="13">
        <f t="shared" si="52"/>
        <v>34936.609970674646</v>
      </c>
      <c r="O263" s="13">
        <f t="shared" si="53"/>
        <v>696.5779915357582</v>
      </c>
      <c r="X263" s="1">
        <f t="shared" ref="X263:X326" si="58">-G263</f>
        <v>-1048.3930806721187</v>
      </c>
    </row>
    <row r="264" spans="1:24" x14ac:dyDescent="0.2">
      <c r="A264" s="7">
        <f t="shared" si="56"/>
        <v>1.2027499675257508E-2</v>
      </c>
      <c r="B264" s="4">
        <f t="shared" si="54"/>
        <v>258</v>
      </c>
      <c r="C264" s="4">
        <f t="shared" ref="C264:C327" si="59">IF(C263-1&lt;1,0,C263-1)</f>
        <v>84</v>
      </c>
      <c r="D264" s="8">
        <f t="shared" si="55"/>
        <v>7</v>
      </c>
      <c r="E264" s="23">
        <f t="shared" ref="E264:E327" si="60">I263*$J$4</f>
        <v>345.89521243367</v>
      </c>
      <c r="F264" s="24">
        <f t="shared" ref="F264:F267" si="61">IF(C264&lt;1,0,I263/C264)</f>
        <v>645.08894071134694</v>
      </c>
      <c r="G264" s="25">
        <f t="shared" ref="G264:G327" si="62">IF(C264&lt;1,0,F264+E264+$L$3+$L$4)</f>
        <v>1045.984153145017</v>
      </c>
      <c r="H264" s="26">
        <f t="shared" ref="H264:H327" si="63">I263*L264</f>
        <v>92.11870073358034</v>
      </c>
      <c r="I264" s="27">
        <f t="shared" ref="I264:I267" si="64">IF(C264&lt;1,0,I263-F264+H264)</f>
        <v>53634.500779775379</v>
      </c>
      <c r="K264" s="18">
        <f t="shared" si="57"/>
        <v>0.52866024625241326</v>
      </c>
      <c r="L264" s="22">
        <f t="shared" ref="L264:L327" si="65">L263</f>
        <v>1.6999999999999999E-3</v>
      </c>
      <c r="N264" s="13">
        <f t="shared" ref="N264:N327" si="66">IF(C264&lt;1,0,N263-(N263/C264))</f>
        <v>34520.697947214234</v>
      </c>
      <c r="O264" s="13">
        <f t="shared" ref="O264:O327" si="67">IF(C264&lt;1,0,N263/C264+N263*$J$4+$L$3+$L$4)</f>
        <v>693.92309779369532</v>
      </c>
      <c r="X264" s="1">
        <f t="shared" si="58"/>
        <v>-1045.984153145017</v>
      </c>
    </row>
    <row r="265" spans="1:24" x14ac:dyDescent="0.2">
      <c r="A265" s="7">
        <f t="shared" si="56"/>
        <v>1.2174173464928034E-2</v>
      </c>
      <c r="B265" s="4">
        <f t="shared" ref="B265:B328" si="68">B264+1</f>
        <v>259</v>
      </c>
      <c r="C265" s="4">
        <f t="shared" si="59"/>
        <v>83</v>
      </c>
      <c r="D265" s="8">
        <f t="shared" si="55"/>
        <v>6.916666666666667</v>
      </c>
      <c r="E265" s="23">
        <f t="shared" si="60"/>
        <v>342.36543414678738</v>
      </c>
      <c r="F265" s="24">
        <f t="shared" si="61"/>
        <v>646.19880457560703</v>
      </c>
      <c r="G265" s="25">
        <f t="shared" si="62"/>
        <v>1043.5642387223943</v>
      </c>
      <c r="H265" s="26">
        <f t="shared" si="63"/>
        <v>91.178651325618134</v>
      </c>
      <c r="I265" s="27">
        <f t="shared" si="64"/>
        <v>53079.480626525386</v>
      </c>
      <c r="K265" s="18">
        <f t="shared" si="57"/>
        <v>0.53185049147475971</v>
      </c>
      <c r="L265" s="22">
        <f t="shared" si="65"/>
        <v>1.6999999999999999E-3</v>
      </c>
      <c r="N265" s="13">
        <f t="shared" si="66"/>
        <v>34104.785923753821</v>
      </c>
      <c r="O265" s="13">
        <f t="shared" si="67"/>
        <v>691.26820405163244</v>
      </c>
      <c r="X265" s="1">
        <f t="shared" si="58"/>
        <v>-1043.5642387223943</v>
      </c>
    </row>
    <row r="266" spans="1:24" x14ac:dyDescent="0.2">
      <c r="A266" s="7">
        <f t="shared" si="56"/>
        <v>1.2324468753774369E-2</v>
      </c>
      <c r="B266" s="4">
        <f t="shared" si="68"/>
        <v>260</v>
      </c>
      <c r="C266" s="4">
        <f t="shared" si="59"/>
        <v>82</v>
      </c>
      <c r="D266" s="8">
        <f t="shared" si="55"/>
        <v>6.833333333333333</v>
      </c>
      <c r="E266" s="23">
        <f t="shared" si="60"/>
        <v>338.8225706360804</v>
      </c>
      <c r="F266" s="24">
        <f t="shared" si="61"/>
        <v>647.31073934787059</v>
      </c>
      <c r="G266" s="25">
        <f t="shared" si="62"/>
        <v>1041.133309983951</v>
      </c>
      <c r="H266" s="26">
        <f t="shared" si="63"/>
        <v>90.235117065093149</v>
      </c>
      <c r="I266" s="27">
        <f t="shared" si="64"/>
        <v>52522.40500424261</v>
      </c>
      <c r="K266" s="18">
        <f t="shared" si="57"/>
        <v>0.53506656346569559</v>
      </c>
      <c r="L266" s="22">
        <f t="shared" si="65"/>
        <v>1.6999999999999999E-3</v>
      </c>
      <c r="N266" s="13">
        <f t="shared" si="66"/>
        <v>33688.873900293409</v>
      </c>
      <c r="O266" s="13">
        <f t="shared" si="67"/>
        <v>688.61331030956956</v>
      </c>
      <c r="X266" s="1">
        <f t="shared" si="58"/>
        <v>-1041.133309983951</v>
      </c>
    </row>
    <row r="267" spans="1:24" x14ac:dyDescent="0.2">
      <c r="A267" s="7">
        <f t="shared" si="56"/>
        <v>1.2478521345134686E-2</v>
      </c>
      <c r="B267" s="4">
        <f t="shared" si="68"/>
        <v>261</v>
      </c>
      <c r="C267" s="4">
        <f t="shared" si="59"/>
        <v>81</v>
      </c>
      <c r="D267" s="8">
        <f t="shared" ref="D267:D330" si="69">C267/12</f>
        <v>6.75</v>
      </c>
      <c r="E267" s="23">
        <f t="shared" si="60"/>
        <v>335.26658643742905</v>
      </c>
      <c r="F267" s="24">
        <f t="shared" si="61"/>
        <v>648.42475313879766</v>
      </c>
      <c r="G267" s="25">
        <f t="shared" si="62"/>
        <v>1038.6913395762267</v>
      </c>
      <c r="H267" s="26">
        <f t="shared" si="63"/>
        <v>89.288088507212436</v>
      </c>
      <c r="I267" s="27">
        <f t="shared" si="64"/>
        <v>51963.26833961103</v>
      </c>
      <c r="K267" s="18">
        <f t="shared" si="57"/>
        <v>0.53830877694590773</v>
      </c>
      <c r="L267" s="22">
        <f t="shared" si="65"/>
        <v>1.6999999999999999E-3</v>
      </c>
      <c r="N267" s="13">
        <f t="shared" si="66"/>
        <v>33272.961876832996</v>
      </c>
      <c r="O267" s="13">
        <f t="shared" si="67"/>
        <v>685.95841656750667</v>
      </c>
      <c r="X267" s="1">
        <f t="shared" si="58"/>
        <v>-1038.6913395762267</v>
      </c>
    </row>
    <row r="268" spans="1:24" x14ac:dyDescent="0.2">
      <c r="A268" s="7">
        <f t="shared" si="56"/>
        <v>1.2636473918317834E-2</v>
      </c>
      <c r="B268" s="4">
        <f t="shared" si="68"/>
        <v>262</v>
      </c>
      <c r="C268" s="4">
        <f t="shared" si="59"/>
        <v>80</v>
      </c>
      <c r="D268" s="8">
        <f t="shared" si="69"/>
        <v>6.666666666666667</v>
      </c>
      <c r="E268" s="23">
        <f t="shared" si="60"/>
        <v>331.69744597465137</v>
      </c>
      <c r="F268" s="24">
        <f>IF(C268&lt;1,0,I267/C268)</f>
        <v>649.54085424513789</v>
      </c>
      <c r="G268" s="25">
        <f t="shared" si="62"/>
        <v>1036.2383002197894</v>
      </c>
      <c r="H268" s="26">
        <f t="shared" si="63"/>
        <v>88.33755617733874</v>
      </c>
      <c r="I268" s="27">
        <f>IF(C268&lt;1,0,I267-F268+H268)</f>
        <v>51402.065041543225</v>
      </c>
      <c r="K268" s="18">
        <f t="shared" si="57"/>
        <v>0.54157745177799943</v>
      </c>
      <c r="L268" s="22">
        <f t="shared" si="65"/>
        <v>1.6999999999999999E-3</v>
      </c>
      <c r="N268" s="13">
        <f t="shared" si="66"/>
        <v>32857.049853372584</v>
      </c>
      <c r="O268" s="13">
        <f t="shared" si="67"/>
        <v>683.30352282544379</v>
      </c>
      <c r="X268" s="1">
        <f t="shared" si="58"/>
        <v>-1036.2383002197894</v>
      </c>
    </row>
    <row r="269" spans="1:24" x14ac:dyDescent="0.2">
      <c r="A269" s="7">
        <f t="shared" si="56"/>
        <v>1.2798476469361088E-2</v>
      </c>
      <c r="B269" s="4">
        <f t="shared" si="68"/>
        <v>263</v>
      </c>
      <c r="C269" s="4">
        <f t="shared" si="59"/>
        <v>79</v>
      </c>
      <c r="D269" s="8">
        <f t="shared" si="69"/>
        <v>6.583333333333333</v>
      </c>
      <c r="E269" s="23">
        <f t="shared" si="60"/>
        <v>328.11511355812507</v>
      </c>
      <c r="F269" s="24">
        <f t="shared" ref="F269:F332" si="70">IF(C269&lt;1,0,I268/C269)</f>
        <v>650.65905115877501</v>
      </c>
      <c r="G269" s="25">
        <f t="shared" si="62"/>
        <v>1033.7741647169</v>
      </c>
      <c r="H269" s="26">
        <f t="shared" si="63"/>
        <v>87.383510570623471</v>
      </c>
      <c r="I269" s="27">
        <f t="shared" ref="I269:I332" si="71">IF(C269&lt;1,0,I268-F269+H269)</f>
        <v>50838.78950095507</v>
      </c>
      <c r="K269" s="18">
        <f t="shared" si="57"/>
        <v>0.54487291307227148</v>
      </c>
      <c r="L269" s="22">
        <f t="shared" si="65"/>
        <v>1.6999999999999999E-3</v>
      </c>
      <c r="N269" s="13">
        <f t="shared" si="66"/>
        <v>32441.137829912172</v>
      </c>
      <c r="O269" s="13">
        <f t="shared" si="67"/>
        <v>680.64862908338091</v>
      </c>
      <c r="X269" s="1">
        <f t="shared" si="58"/>
        <v>-1033.7741647169</v>
      </c>
    </row>
    <row r="270" spans="1:24" x14ac:dyDescent="0.2">
      <c r="A270" s="7">
        <f t="shared" si="56"/>
        <v>1.2964686786131933E-2</v>
      </c>
      <c r="B270" s="4">
        <f t="shared" si="68"/>
        <v>264</v>
      </c>
      <c r="C270" s="4">
        <f t="shared" si="59"/>
        <v>78</v>
      </c>
      <c r="D270" s="8">
        <f t="shared" si="69"/>
        <v>6.5</v>
      </c>
      <c r="E270" s="23">
        <f t="shared" si="60"/>
        <v>324.51955338334955</v>
      </c>
      <c r="F270" s="24">
        <f t="shared" si="70"/>
        <v>651.77935257634704</v>
      </c>
      <c r="G270" s="25">
        <f t="shared" si="62"/>
        <v>1031.2989059596966</v>
      </c>
      <c r="H270" s="26">
        <f t="shared" si="63"/>
        <v>86.425942151623616</v>
      </c>
      <c r="I270" s="27">
        <f t="shared" si="71"/>
        <v>50273.436090530347</v>
      </c>
      <c r="K270" s="18">
        <f t="shared" si="57"/>
        <v>0.54819549129514689</v>
      </c>
      <c r="L270" s="22">
        <f t="shared" si="65"/>
        <v>1.6999999999999999E-3</v>
      </c>
      <c r="N270" s="13">
        <f t="shared" si="66"/>
        <v>32025.225806451759</v>
      </c>
      <c r="O270" s="13">
        <f t="shared" si="67"/>
        <v>677.99373534131792</v>
      </c>
      <c r="X270" s="1">
        <f t="shared" si="58"/>
        <v>-1031.2989059596966</v>
      </c>
    </row>
    <row r="271" spans="1:24" x14ac:dyDescent="0.2">
      <c r="A271" s="7">
        <f t="shared" si="56"/>
        <v>1.3135270960937018E-2</v>
      </c>
      <c r="B271" s="4">
        <f t="shared" si="68"/>
        <v>265</v>
      </c>
      <c r="C271" s="4">
        <f t="shared" si="59"/>
        <v>77</v>
      </c>
      <c r="D271" s="8">
        <f t="shared" si="69"/>
        <v>6.416666666666667</v>
      </c>
      <c r="E271" s="23">
        <f t="shared" si="60"/>
        <v>320.9107295294429</v>
      </c>
      <c r="F271" s="24">
        <f t="shared" si="70"/>
        <v>652.90176740948505</v>
      </c>
      <c r="G271" s="25">
        <f t="shared" si="62"/>
        <v>1028.812496938928</v>
      </c>
      <c r="H271" s="26">
        <f t="shared" si="63"/>
        <v>85.464841353901591</v>
      </c>
      <c r="I271" s="27">
        <f t="shared" si="71"/>
        <v>49705.999164474764</v>
      </c>
      <c r="K271" s="18">
        <f t="shared" si="57"/>
        <v>0.55154552238032095</v>
      </c>
      <c r="L271" s="22">
        <f t="shared" si="65"/>
        <v>1.6999999999999999E-3</v>
      </c>
      <c r="N271" s="13">
        <f t="shared" si="66"/>
        <v>31609.313782991347</v>
      </c>
      <c r="O271" s="13">
        <f t="shared" si="67"/>
        <v>675.33884159925515</v>
      </c>
      <c r="X271" s="1">
        <f t="shared" si="58"/>
        <v>-1028.812496938928</v>
      </c>
    </row>
    <row r="272" spans="1:24" x14ac:dyDescent="0.2">
      <c r="A272" s="7">
        <f t="shared" si="56"/>
        <v>1.3310403944138896E-2</v>
      </c>
      <c r="B272" s="4">
        <f t="shared" si="68"/>
        <v>266</v>
      </c>
      <c r="C272" s="4">
        <f t="shared" si="59"/>
        <v>76</v>
      </c>
      <c r="D272" s="8">
        <f t="shared" si="69"/>
        <v>6.333333333333333</v>
      </c>
      <c r="E272" s="23">
        <f t="shared" si="60"/>
        <v>317.28860595757226</v>
      </c>
      <c r="F272" s="24">
        <f t="shared" si="70"/>
        <v>654.02630479572053</v>
      </c>
      <c r="G272" s="25">
        <f t="shared" si="62"/>
        <v>1026.3149107532927</v>
      </c>
      <c r="H272" s="26">
        <f t="shared" si="63"/>
        <v>84.500198579607101</v>
      </c>
      <c r="I272" s="27">
        <f t="shared" si="71"/>
        <v>49136.473058258649</v>
      </c>
      <c r="K272" s="18">
        <f t="shared" si="57"/>
        <v>0.55492334784271402</v>
      </c>
      <c r="L272" s="22">
        <f t="shared" si="65"/>
        <v>1.6999999999999999E-3</v>
      </c>
      <c r="N272" s="13">
        <f t="shared" si="66"/>
        <v>31193.401759530934</v>
      </c>
      <c r="O272" s="13">
        <f t="shared" si="67"/>
        <v>672.68394785719215</v>
      </c>
      <c r="X272" s="1">
        <f t="shared" si="58"/>
        <v>-1026.3149107532927</v>
      </c>
    </row>
    <row r="273" spans="1:24" x14ac:dyDescent="0.2">
      <c r="A273" s="7">
        <f t="shared" si="56"/>
        <v>1.3490270142659607E-2</v>
      </c>
      <c r="B273" s="4">
        <f t="shared" si="68"/>
        <v>267</v>
      </c>
      <c r="C273" s="4">
        <f t="shared" si="59"/>
        <v>75</v>
      </c>
      <c r="D273" s="8">
        <f t="shared" si="69"/>
        <v>6.25</v>
      </c>
      <c r="E273" s="23">
        <f t="shared" si="60"/>
        <v>313.653146509311</v>
      </c>
      <c r="F273" s="24">
        <f t="shared" si="70"/>
        <v>655.15297411011534</v>
      </c>
      <c r="G273" s="25">
        <f t="shared" si="62"/>
        <v>1023.8061206194263</v>
      </c>
      <c r="H273" s="26">
        <f t="shared" si="63"/>
        <v>83.532004199039704</v>
      </c>
      <c r="I273" s="27">
        <f t="shared" si="71"/>
        <v>48564.852088347572</v>
      </c>
      <c r="K273" s="18">
        <f t="shared" si="57"/>
        <v>0.55832931489531612</v>
      </c>
      <c r="L273" s="22">
        <f t="shared" si="65"/>
        <v>1.6999999999999999E-3</v>
      </c>
      <c r="N273" s="13">
        <f t="shared" si="66"/>
        <v>30777.489736070522</v>
      </c>
      <c r="O273" s="13">
        <f t="shared" si="67"/>
        <v>670.02905411512927</v>
      </c>
      <c r="X273" s="1">
        <f t="shared" si="58"/>
        <v>-1023.8061206194263</v>
      </c>
    </row>
    <row r="274" spans="1:24" x14ac:dyDescent="0.2">
      <c r="A274" s="7">
        <f t="shared" si="56"/>
        <v>1.3675064067675158E-2</v>
      </c>
      <c r="B274" s="4">
        <f t="shared" si="68"/>
        <v>268</v>
      </c>
      <c r="C274" s="4">
        <f t="shared" si="59"/>
        <v>74</v>
      </c>
      <c r="D274" s="8">
        <f t="shared" si="69"/>
        <v>6.166666666666667</v>
      </c>
      <c r="E274" s="23">
        <f t="shared" si="60"/>
        <v>310.00431490491934</v>
      </c>
      <c r="F274" s="24">
        <f t="shared" si="70"/>
        <v>656.28178497766987</v>
      </c>
      <c r="G274" s="25">
        <f t="shared" si="62"/>
        <v>1021.2860998825893</v>
      </c>
      <c r="H274" s="26">
        <f t="shared" si="63"/>
        <v>82.560248550190863</v>
      </c>
      <c r="I274" s="27">
        <f t="shared" si="71"/>
        <v>47991.130551920091</v>
      </c>
      <c r="K274" s="18">
        <f t="shared" si="57"/>
        <v>0.56176377656901044</v>
      </c>
      <c r="L274" s="22">
        <f t="shared" si="65"/>
        <v>1.6999999999999999E-3</v>
      </c>
      <c r="N274" s="13">
        <f t="shared" si="66"/>
        <v>30361.577712610109</v>
      </c>
      <c r="O274" s="13">
        <f t="shared" si="67"/>
        <v>667.37416037306639</v>
      </c>
      <c r="X274" s="1">
        <f t="shared" si="58"/>
        <v>-1021.2860998825893</v>
      </c>
    </row>
    <row r="275" spans="1:24" x14ac:dyDescent="0.2">
      <c r="A275" s="7">
        <f t="shared" si="56"/>
        <v>1.3864991036283294E-2</v>
      </c>
      <c r="B275" s="4">
        <f t="shared" si="68"/>
        <v>269</v>
      </c>
      <c r="C275" s="4">
        <f t="shared" si="59"/>
        <v>73</v>
      </c>
      <c r="D275" s="8">
        <f t="shared" si="69"/>
        <v>6.083333333333333</v>
      </c>
      <c r="E275" s="23">
        <f t="shared" si="60"/>
        <v>306.3420747415426</v>
      </c>
      <c r="F275" s="24">
        <f t="shared" si="70"/>
        <v>657.41274728657663</v>
      </c>
      <c r="G275" s="25">
        <f t="shared" si="62"/>
        <v>1018.7548220281192</v>
      </c>
      <c r="H275" s="26">
        <f t="shared" si="63"/>
        <v>81.584921938264145</v>
      </c>
      <c r="I275" s="27">
        <f t="shared" si="71"/>
        <v>47415.302726571783</v>
      </c>
      <c r="K275" s="18">
        <f t="shared" si="57"/>
        <v>0.56522709183546693</v>
      </c>
      <c r="L275" s="22">
        <f t="shared" si="65"/>
        <v>1.6999999999999999E-3</v>
      </c>
      <c r="N275" s="13">
        <f t="shared" si="66"/>
        <v>29945.665689149697</v>
      </c>
      <c r="O275" s="13">
        <f t="shared" si="67"/>
        <v>664.71926663100351</v>
      </c>
      <c r="X275" s="1">
        <f t="shared" si="58"/>
        <v>-1018.7548220281192</v>
      </c>
    </row>
    <row r="276" spans="1:24" x14ac:dyDescent="0.2">
      <c r="A276" s="7">
        <f t="shared" si="56"/>
        <v>1.4060267932465721E-2</v>
      </c>
      <c r="B276" s="4">
        <f t="shared" si="68"/>
        <v>270</v>
      </c>
      <c r="C276" s="4">
        <f t="shared" si="59"/>
        <v>72</v>
      </c>
      <c r="D276" s="8">
        <f t="shared" si="69"/>
        <v>6</v>
      </c>
      <c r="E276" s="23">
        <f t="shared" si="60"/>
        <v>302.66638949132181</v>
      </c>
      <c r="F276" s="24">
        <f t="shared" si="70"/>
        <v>658.54587120238591</v>
      </c>
      <c r="G276" s="25">
        <f t="shared" si="62"/>
        <v>1016.2122606937078</v>
      </c>
      <c r="H276" s="26">
        <f t="shared" si="63"/>
        <v>80.606014635172031</v>
      </c>
      <c r="I276" s="27">
        <f t="shared" si="71"/>
        <v>46837.362870004574</v>
      </c>
      <c r="K276" s="18">
        <f t="shared" si="57"/>
        <v>0.56871962573319934</v>
      </c>
      <c r="L276" s="22">
        <f t="shared" si="65"/>
        <v>1.6999999999999999E-3</v>
      </c>
      <c r="N276" s="13">
        <f t="shared" si="66"/>
        <v>29529.753665689284</v>
      </c>
      <c r="O276" s="13">
        <f t="shared" si="67"/>
        <v>662.06437288894062</v>
      </c>
      <c r="X276" s="1">
        <f t="shared" si="58"/>
        <v>-1016.2122606937078</v>
      </c>
    </row>
    <row r="277" spans="1:24" x14ac:dyDescent="0.2">
      <c r="A277" s="7">
        <f t="shared" si="56"/>
        <v>1.4261124033274054E-2</v>
      </c>
      <c r="B277" s="4">
        <f t="shared" si="68"/>
        <v>271</v>
      </c>
      <c r="C277" s="4">
        <f t="shared" si="59"/>
        <v>71</v>
      </c>
      <c r="D277" s="8">
        <f t="shared" si="69"/>
        <v>5.916666666666667</v>
      </c>
      <c r="E277" s="23">
        <f t="shared" si="60"/>
        <v>298.97722249941097</v>
      </c>
      <c r="F277" s="24">
        <f t="shared" si="70"/>
        <v>659.68116718316298</v>
      </c>
      <c r="G277" s="25">
        <f t="shared" si="62"/>
        <v>1013.6583896825739</v>
      </c>
      <c r="H277" s="26">
        <f t="shared" si="63"/>
        <v>79.623516879007767</v>
      </c>
      <c r="I277" s="27">
        <f t="shared" si="71"/>
        <v>46257.305219700422</v>
      </c>
      <c r="K277" s="18">
        <f t="shared" si="57"/>
        <v>0.57224174949688889</v>
      </c>
      <c r="L277" s="22">
        <f t="shared" si="65"/>
        <v>1.6999999999999999E-3</v>
      </c>
      <c r="N277" s="13">
        <f t="shared" si="66"/>
        <v>29113.841642228872</v>
      </c>
      <c r="O277" s="13">
        <f t="shared" si="67"/>
        <v>659.40947914687774</v>
      </c>
      <c r="X277" s="1">
        <f t="shared" si="58"/>
        <v>-1013.6583896825739</v>
      </c>
    </row>
    <row r="278" spans="1:24" x14ac:dyDescent="0.2">
      <c r="A278" s="7">
        <f t="shared" si="56"/>
        <v>1.4467801906856292E-2</v>
      </c>
      <c r="B278" s="4">
        <f t="shared" si="68"/>
        <v>272</v>
      </c>
      <c r="C278" s="4">
        <f t="shared" si="59"/>
        <v>70</v>
      </c>
      <c r="D278" s="8">
        <f t="shared" si="69"/>
        <v>5.833333333333333</v>
      </c>
      <c r="E278" s="23">
        <f t="shared" si="60"/>
        <v>295.27453698189362</v>
      </c>
      <c r="F278" s="24">
        <f t="shared" si="70"/>
        <v>660.81864599572032</v>
      </c>
      <c r="G278" s="25">
        <f t="shared" si="62"/>
        <v>1011.0931829776139</v>
      </c>
      <c r="H278" s="26">
        <f t="shared" si="63"/>
        <v>78.637418873490716</v>
      </c>
      <c r="I278" s="27">
        <f t="shared" si="71"/>
        <v>45675.123992578192</v>
      </c>
      <c r="K278" s="18">
        <f t="shared" si="57"/>
        <v>0.57579384069007167</v>
      </c>
      <c r="L278" s="22">
        <f t="shared" si="65"/>
        <v>1.6999999999999999E-3</v>
      </c>
      <c r="N278" s="13">
        <f t="shared" si="66"/>
        <v>28697.929618768459</v>
      </c>
      <c r="O278" s="13">
        <f t="shared" si="67"/>
        <v>656.75458540481486</v>
      </c>
      <c r="X278" s="1">
        <f t="shared" si="58"/>
        <v>-1011.0931829776139</v>
      </c>
    </row>
    <row r="279" spans="1:24" x14ac:dyDescent="0.2">
      <c r="A279" s="7">
        <f t="shared" si="56"/>
        <v>1.4680558389718913E-2</v>
      </c>
      <c r="B279" s="4">
        <f t="shared" si="68"/>
        <v>273</v>
      </c>
      <c r="C279" s="4">
        <f t="shared" si="59"/>
        <v>69</v>
      </c>
      <c r="D279" s="8">
        <f t="shared" si="69"/>
        <v>5.75</v>
      </c>
      <c r="E279" s="23">
        <f t="shared" si="60"/>
        <v>291.55829602359296</v>
      </c>
      <c r="F279" s="24">
        <f t="shared" si="70"/>
        <v>661.95831873301722</v>
      </c>
      <c r="G279" s="25">
        <f t="shared" si="62"/>
        <v>1008.5166147566101</v>
      </c>
      <c r="H279" s="26">
        <f t="shared" si="63"/>
        <v>77.64771078738292</v>
      </c>
      <c r="I279" s="27">
        <f t="shared" si="71"/>
        <v>45090.813384632551</v>
      </c>
      <c r="K279" s="18">
        <f t="shared" si="57"/>
        <v>0.57937628334129987</v>
      </c>
      <c r="L279" s="22">
        <f t="shared" si="65"/>
        <v>1.6999999999999999E-3</v>
      </c>
      <c r="N279" s="13">
        <f t="shared" si="66"/>
        <v>28282.017595308047</v>
      </c>
      <c r="O279" s="13">
        <f t="shared" si="67"/>
        <v>654.09969166275198</v>
      </c>
      <c r="X279" s="1">
        <f t="shared" si="58"/>
        <v>-1008.5166147566101</v>
      </c>
    </row>
    <row r="280" spans="1:24" x14ac:dyDescent="0.2">
      <c r="A280" s="7">
        <f t="shared" si="56"/>
        <v>1.4899665651502782E-2</v>
      </c>
      <c r="B280" s="4">
        <f t="shared" si="68"/>
        <v>274</v>
      </c>
      <c r="C280" s="4">
        <f t="shared" si="59"/>
        <v>68</v>
      </c>
      <c r="D280" s="8">
        <f t="shared" si="69"/>
        <v>5.666666666666667</v>
      </c>
      <c r="E280" s="23">
        <f t="shared" si="60"/>
        <v>287.82846257576642</v>
      </c>
      <c r="F280" s="24">
        <f t="shared" si="70"/>
        <v>663.10019683283167</v>
      </c>
      <c r="G280" s="25">
        <f t="shared" si="62"/>
        <v>1005.9286594085982</v>
      </c>
      <c r="H280" s="26">
        <f t="shared" si="63"/>
        <v>76.654382753875339</v>
      </c>
      <c r="I280" s="27">
        <f t="shared" si="71"/>
        <v>44504.367570553593</v>
      </c>
      <c r="K280" s="18">
        <f t="shared" si="57"/>
        <v>0.58298946808388719</v>
      </c>
      <c r="L280" s="22">
        <f t="shared" si="65"/>
        <v>1.6999999999999999E-3</v>
      </c>
      <c r="N280" s="13">
        <f t="shared" si="66"/>
        <v>27866.105571847635</v>
      </c>
      <c r="O280" s="13">
        <f t="shared" si="67"/>
        <v>651.4447979206891</v>
      </c>
      <c r="X280" s="1">
        <f t="shared" si="58"/>
        <v>-1005.9286594085982</v>
      </c>
    </row>
    <row r="281" spans="1:24" x14ac:dyDescent="0.2">
      <c r="A281" s="7">
        <f t="shared" si="56"/>
        <v>1.5125412356554372E-2</v>
      </c>
      <c r="B281" s="4">
        <f t="shared" si="68"/>
        <v>275</v>
      </c>
      <c r="C281" s="4">
        <f t="shared" si="59"/>
        <v>67</v>
      </c>
      <c r="D281" s="8">
        <f t="shared" si="69"/>
        <v>5.583333333333333</v>
      </c>
      <c r="E281" s="23">
        <f t="shared" si="60"/>
        <v>284.08499945367811</v>
      </c>
      <c r="F281" s="24">
        <f t="shared" si="70"/>
        <v>664.24429209781488</v>
      </c>
      <c r="G281" s="25">
        <f t="shared" si="62"/>
        <v>1003.329291551493</v>
      </c>
      <c r="H281" s="26">
        <f t="shared" si="63"/>
        <v>75.65742486994111</v>
      </c>
      <c r="I281" s="27">
        <f t="shared" si="71"/>
        <v>43915.78070332572</v>
      </c>
      <c r="K281" s="18">
        <f t="shared" si="57"/>
        <v>0.5866337922993512</v>
      </c>
      <c r="L281" s="22">
        <f t="shared" si="65"/>
        <v>1.6999999999999999E-3</v>
      </c>
      <c r="N281" s="13">
        <f t="shared" si="66"/>
        <v>27450.193548387222</v>
      </c>
      <c r="O281" s="13">
        <f t="shared" si="67"/>
        <v>648.78990417862622</v>
      </c>
      <c r="X281" s="1">
        <f t="shared" si="58"/>
        <v>-1003.329291551493</v>
      </c>
    </row>
    <row r="282" spans="1:24" x14ac:dyDescent="0.2">
      <c r="A282" s="7">
        <f t="shared" si="56"/>
        <v>1.5358104932716141E-2</v>
      </c>
      <c r="B282" s="4">
        <f t="shared" si="68"/>
        <v>276</v>
      </c>
      <c r="C282" s="4">
        <f t="shared" si="59"/>
        <v>66</v>
      </c>
      <c r="D282" s="8">
        <f t="shared" si="69"/>
        <v>5.5</v>
      </c>
      <c r="E282" s="23">
        <f t="shared" si="60"/>
        <v>280.3278693340377</v>
      </c>
      <c r="F282" s="24">
        <f t="shared" si="70"/>
        <v>665.39061671705633</v>
      </c>
      <c r="G282" s="25">
        <f t="shared" si="62"/>
        <v>1000.718486051094</v>
      </c>
      <c r="H282" s="26">
        <f t="shared" si="63"/>
        <v>74.656827195653719</v>
      </c>
      <c r="I282" s="27">
        <f t="shared" si="71"/>
        <v>43325.046913804319</v>
      </c>
      <c r="K282" s="18">
        <f t="shared" si="57"/>
        <v>0.59030966026467635</v>
      </c>
      <c r="L282" s="22">
        <f t="shared" si="65"/>
        <v>1.6999999999999999E-3</v>
      </c>
      <c r="N282" s="13">
        <f t="shared" si="66"/>
        <v>27034.28152492681</v>
      </c>
      <c r="O282" s="13">
        <f t="shared" si="67"/>
        <v>646.13501043656333</v>
      </c>
      <c r="X282" s="1">
        <f t="shared" si="58"/>
        <v>-1000.718486051094</v>
      </c>
    </row>
    <row r="283" spans="1:24" x14ac:dyDescent="0.2">
      <c r="A283" s="7">
        <f t="shared" si="56"/>
        <v>1.5598068959062867E-2</v>
      </c>
      <c r="B283" s="4">
        <f t="shared" si="68"/>
        <v>277</v>
      </c>
      <c r="C283" s="4">
        <f t="shared" si="59"/>
        <v>65</v>
      </c>
      <c r="D283" s="8">
        <f t="shared" si="69"/>
        <v>5.416666666666667</v>
      </c>
      <c r="E283" s="23">
        <f t="shared" si="60"/>
        <v>276.55703475229899</v>
      </c>
      <c r="F283" s="24">
        <f t="shared" si="70"/>
        <v>666.53918328929717</v>
      </c>
      <c r="G283" s="25">
        <f t="shared" si="62"/>
        <v>998.0962180415961</v>
      </c>
      <c r="H283" s="26">
        <f t="shared" si="63"/>
        <v>73.652579753467336</v>
      </c>
      <c r="I283" s="27">
        <f t="shared" si="71"/>
        <v>42732.160310268489</v>
      </c>
      <c r="K283" s="18">
        <f t="shared" si="57"/>
        <v>0.59401748330351956</v>
      </c>
      <c r="L283" s="22">
        <f t="shared" si="65"/>
        <v>1.6999999999999999E-3</v>
      </c>
      <c r="N283" s="13">
        <f t="shared" si="66"/>
        <v>26618.369501466397</v>
      </c>
      <c r="O283" s="13">
        <f t="shared" si="67"/>
        <v>643.48011669450034</v>
      </c>
      <c r="X283" s="1">
        <f t="shared" si="58"/>
        <v>-998.0962180415961</v>
      </c>
    </row>
    <row r="284" spans="1:24" x14ac:dyDescent="0.2">
      <c r="A284" s="7">
        <f t="shared" si="56"/>
        <v>1.584565068579976E-2</v>
      </c>
      <c r="B284" s="4">
        <f t="shared" si="68"/>
        <v>278</v>
      </c>
      <c r="C284" s="4">
        <f t="shared" si="59"/>
        <v>64</v>
      </c>
      <c r="D284" s="8">
        <f t="shared" si="69"/>
        <v>5.333333333333333</v>
      </c>
      <c r="E284" s="23">
        <f t="shared" si="60"/>
        <v>272.77245809980406</v>
      </c>
      <c r="F284" s="24">
        <f t="shared" si="70"/>
        <v>667.69000484794515</v>
      </c>
      <c r="G284" s="25">
        <f t="shared" si="62"/>
        <v>995.46246294774915</v>
      </c>
      <c r="H284" s="26">
        <f t="shared" si="63"/>
        <v>72.644672527456422</v>
      </c>
      <c r="I284" s="27">
        <f t="shared" si="71"/>
        <v>42137.114977948004</v>
      </c>
      <c r="K284" s="18">
        <f t="shared" si="57"/>
        <v>0.59775767994149065</v>
      </c>
      <c r="L284" s="22">
        <f t="shared" si="65"/>
        <v>1.6999999999999999E-3</v>
      </c>
      <c r="N284" s="13">
        <f t="shared" si="66"/>
        <v>26202.457478005985</v>
      </c>
      <c r="O284" s="13">
        <f t="shared" si="67"/>
        <v>640.82522295243757</v>
      </c>
      <c r="X284" s="1">
        <f t="shared" si="58"/>
        <v>-995.46246294774915</v>
      </c>
    </row>
    <row r="285" spans="1:24" x14ac:dyDescent="0.2">
      <c r="A285" s="7">
        <f t="shared" si="56"/>
        <v>1.6101218701243498E-2</v>
      </c>
      <c r="B285" s="4">
        <f t="shared" si="68"/>
        <v>279</v>
      </c>
      <c r="C285" s="4">
        <f t="shared" si="59"/>
        <v>63</v>
      </c>
      <c r="D285" s="8">
        <f t="shared" si="69"/>
        <v>5.25</v>
      </c>
      <c r="E285" s="23">
        <f t="shared" si="60"/>
        <v>268.97410162076432</v>
      </c>
      <c r="F285" s="24">
        <f t="shared" si="70"/>
        <v>668.84309488806355</v>
      </c>
      <c r="G285" s="25">
        <f t="shared" si="62"/>
        <v>992.81719650882792</v>
      </c>
      <c r="H285" s="26">
        <f t="shared" si="63"/>
        <v>71.633095462511605</v>
      </c>
      <c r="I285" s="27">
        <f t="shared" si="71"/>
        <v>41539.904978522449</v>
      </c>
      <c r="K285" s="18">
        <f t="shared" si="57"/>
        <v>0.60153067606564337</v>
      </c>
      <c r="L285" s="22">
        <f t="shared" si="65"/>
        <v>1.6999999999999999E-3</v>
      </c>
      <c r="N285" s="13">
        <f t="shared" si="66"/>
        <v>25786.545454545572</v>
      </c>
      <c r="O285" s="13">
        <f t="shared" si="67"/>
        <v>638.17032921037458</v>
      </c>
      <c r="X285" s="1">
        <f t="shared" si="58"/>
        <v>-992.81719650882792</v>
      </c>
    </row>
    <row r="286" spans="1:24" x14ac:dyDescent="0.2">
      <c r="A286" s="7">
        <f t="shared" si="56"/>
        <v>1.6365165762764009E-2</v>
      </c>
      <c r="B286" s="4">
        <f t="shared" si="68"/>
        <v>280</v>
      </c>
      <c r="C286" s="4">
        <f t="shared" si="59"/>
        <v>62</v>
      </c>
      <c r="D286" s="8">
        <f t="shared" si="69"/>
        <v>5.166666666666667</v>
      </c>
      <c r="E286" s="23">
        <f t="shared" si="60"/>
        <v>265.16192740906303</v>
      </c>
      <c r="F286" s="24">
        <f t="shared" si="70"/>
        <v>669.99846739552333</v>
      </c>
      <c r="G286" s="25">
        <f t="shared" si="62"/>
        <v>990.1603948045863</v>
      </c>
      <c r="H286" s="26">
        <f t="shared" si="63"/>
        <v>70.617838463488155</v>
      </c>
      <c r="I286" s="27">
        <f t="shared" si="71"/>
        <v>40940.524349590414</v>
      </c>
      <c r="K286" s="18">
        <f t="shared" si="57"/>
        <v>0.60533690508831783</v>
      </c>
      <c r="L286" s="22">
        <f t="shared" si="65"/>
        <v>1.6999999999999999E-3</v>
      </c>
      <c r="N286" s="13">
        <f t="shared" si="66"/>
        <v>25370.63343108516</v>
      </c>
      <c r="O286" s="13">
        <f t="shared" si="67"/>
        <v>635.51543546831169</v>
      </c>
      <c r="X286" s="1">
        <f t="shared" si="58"/>
        <v>-990.1603948045863</v>
      </c>
    </row>
    <row r="287" spans="1:24" x14ac:dyDescent="0.2">
      <c r="A287" s="7">
        <f t="shared" si="56"/>
        <v>1.663791081081531E-2</v>
      </c>
      <c r="B287" s="4">
        <f t="shared" si="68"/>
        <v>281</v>
      </c>
      <c r="C287" s="4">
        <f t="shared" si="59"/>
        <v>61</v>
      </c>
      <c r="D287" s="8">
        <f t="shared" si="69"/>
        <v>5.083333333333333</v>
      </c>
      <c r="E287" s="23">
        <f t="shared" si="60"/>
        <v>261.33589740486707</v>
      </c>
      <c r="F287" s="24">
        <f t="shared" si="70"/>
        <v>671.15613687853136</v>
      </c>
      <c r="G287" s="25">
        <f t="shared" si="62"/>
        <v>987.49203428339843</v>
      </c>
      <c r="H287" s="26">
        <f t="shared" si="63"/>
        <v>69.598891394303706</v>
      </c>
      <c r="I287" s="27">
        <f t="shared" si="71"/>
        <v>40338.967104106181</v>
      </c>
      <c r="K287" s="18">
        <f t="shared" si="57"/>
        <v>0.60917680811548491</v>
      </c>
      <c r="L287" s="22">
        <f t="shared" si="65"/>
        <v>1.6999999999999999E-3</v>
      </c>
      <c r="N287" s="13">
        <f t="shared" si="66"/>
        <v>24954.721407624747</v>
      </c>
      <c r="O287" s="13">
        <f t="shared" si="67"/>
        <v>632.86054172624881</v>
      </c>
      <c r="X287" s="1">
        <f t="shared" si="58"/>
        <v>-987.49203428339843</v>
      </c>
    </row>
    <row r="288" spans="1:24" x14ac:dyDescent="0.2">
      <c r="A288" s="7">
        <f t="shared" si="56"/>
        <v>1.6919901187777062E-2</v>
      </c>
      <c r="B288" s="4">
        <f t="shared" si="68"/>
        <v>282</v>
      </c>
      <c r="C288" s="4">
        <f t="shared" si="59"/>
        <v>60</v>
      </c>
      <c r="D288" s="8">
        <f t="shared" si="69"/>
        <v>5</v>
      </c>
      <c r="E288" s="23">
        <f t="shared" si="60"/>
        <v>257.49597339103127</v>
      </c>
      <c r="F288" s="24">
        <f t="shared" si="70"/>
        <v>672.3161184017697</v>
      </c>
      <c r="G288" s="25">
        <f t="shared" si="62"/>
        <v>984.81209179280097</v>
      </c>
      <c r="H288" s="26">
        <f t="shared" si="63"/>
        <v>68.576244076980501</v>
      </c>
      <c r="I288" s="27">
        <f t="shared" si="71"/>
        <v>39735.227229781398</v>
      </c>
      <c r="K288" s="18">
        <f t="shared" si="57"/>
        <v>0.6130508341197467</v>
      </c>
      <c r="L288" s="22">
        <f t="shared" si="65"/>
        <v>1.6999999999999999E-3</v>
      </c>
      <c r="N288" s="13">
        <f t="shared" si="66"/>
        <v>24538.809384164335</v>
      </c>
      <c r="O288" s="13">
        <f t="shared" si="67"/>
        <v>630.20564798418593</v>
      </c>
      <c r="X288" s="1">
        <f t="shared" si="58"/>
        <v>-984.81209179280097</v>
      </c>
    </row>
    <row r="289" spans="1:24" x14ac:dyDescent="0.2">
      <c r="A289" s="7">
        <f t="shared" si="56"/>
        <v>1.7211615086324853E-2</v>
      </c>
      <c r="B289" s="4">
        <f t="shared" si="68"/>
        <v>283</v>
      </c>
      <c r="C289" s="4">
        <f t="shared" si="59"/>
        <v>59</v>
      </c>
      <c r="D289" s="8">
        <f t="shared" si="69"/>
        <v>4.916666666666667</v>
      </c>
      <c r="E289" s="23">
        <f t="shared" si="60"/>
        <v>253.64211698927886</v>
      </c>
      <c r="F289" s="24">
        <f t="shared" si="70"/>
        <v>673.47842762341349</v>
      </c>
      <c r="G289" s="25">
        <f t="shared" si="62"/>
        <v>982.12054461269236</v>
      </c>
      <c r="H289" s="26">
        <f t="shared" si="63"/>
        <v>67.549886290628379</v>
      </c>
      <c r="I289" s="27">
        <f t="shared" si="71"/>
        <v>39129.298688448616</v>
      </c>
      <c r="K289" s="18">
        <f t="shared" si="57"/>
        <v>0.61695944011815596</v>
      </c>
      <c r="L289" s="22">
        <f t="shared" si="65"/>
        <v>1.6999999999999999E-3</v>
      </c>
      <c r="N289" s="13">
        <f t="shared" si="66"/>
        <v>24122.897360703922</v>
      </c>
      <c r="O289" s="13">
        <f t="shared" si="67"/>
        <v>627.55075424212305</v>
      </c>
      <c r="X289" s="1">
        <f t="shared" si="58"/>
        <v>-982.12054461269236</v>
      </c>
    </row>
    <row r="290" spans="1:24" x14ac:dyDescent="0.2">
      <c r="A290" s="7">
        <f t="shared" si="56"/>
        <v>1.7513564255515895E-2</v>
      </c>
      <c r="B290" s="4">
        <f t="shared" si="68"/>
        <v>284</v>
      </c>
      <c r="C290" s="4">
        <f t="shared" si="59"/>
        <v>58</v>
      </c>
      <c r="D290" s="8">
        <f t="shared" si="69"/>
        <v>4.833333333333333</v>
      </c>
      <c r="E290" s="23">
        <f t="shared" si="60"/>
        <v>249.77428965613899</v>
      </c>
      <c r="F290" s="24">
        <f t="shared" si="70"/>
        <v>674.64308083532092</v>
      </c>
      <c r="G290" s="25">
        <f t="shared" si="62"/>
        <v>979.41737049145991</v>
      </c>
      <c r="H290" s="26">
        <f t="shared" si="63"/>
        <v>66.519807770362647</v>
      </c>
      <c r="I290" s="27">
        <f t="shared" si="71"/>
        <v>38521.175415383659</v>
      </c>
      <c r="K290" s="18">
        <f t="shared" si="57"/>
        <v>0.62090309135502608</v>
      </c>
      <c r="L290" s="22">
        <f t="shared" si="65"/>
        <v>1.6999999999999999E-3</v>
      </c>
      <c r="N290" s="13">
        <f t="shared" si="66"/>
        <v>23706.98533724351</v>
      </c>
      <c r="O290" s="13">
        <f t="shared" si="67"/>
        <v>624.89586050006017</v>
      </c>
      <c r="X290" s="1">
        <f t="shared" si="58"/>
        <v>-979.41737049145991</v>
      </c>
    </row>
    <row r="291" spans="1:24" x14ac:dyDescent="0.2">
      <c r="A291" s="7">
        <f t="shared" si="56"/>
        <v>1.7826296996803746E-2</v>
      </c>
      <c r="B291" s="4">
        <f t="shared" si="68"/>
        <v>285</v>
      </c>
      <c r="C291" s="4">
        <f t="shared" si="59"/>
        <v>57</v>
      </c>
      <c r="D291" s="8">
        <f t="shared" si="69"/>
        <v>4.75</v>
      </c>
      <c r="E291" s="23">
        <f t="shared" si="60"/>
        <v>245.892452678621</v>
      </c>
      <c r="F291" s="24">
        <f t="shared" si="70"/>
        <v>675.81009500673088</v>
      </c>
      <c r="G291" s="25">
        <f t="shared" si="62"/>
        <v>976.70254768535187</v>
      </c>
      <c r="H291" s="26">
        <f t="shared" si="63"/>
        <v>65.485998206152217</v>
      </c>
      <c r="I291" s="27">
        <f t="shared" si="71"/>
        <v>37910.851318583082</v>
      </c>
      <c r="K291" s="18">
        <f t="shared" si="57"/>
        <v>0.62488226148990933</v>
      </c>
      <c r="L291" s="22">
        <f t="shared" si="65"/>
        <v>1.6999999999999999E-3</v>
      </c>
      <c r="N291" s="13">
        <f t="shared" si="66"/>
        <v>23291.073313783098</v>
      </c>
      <c r="O291" s="13">
        <f t="shared" si="67"/>
        <v>622.24096675799728</v>
      </c>
      <c r="X291" s="1">
        <f t="shared" si="58"/>
        <v>-976.70254768535187</v>
      </c>
    </row>
    <row r="292" spans="1:24" x14ac:dyDescent="0.2">
      <c r="A292" s="7">
        <f t="shared" si="56"/>
        <v>1.815040148688089E-2</v>
      </c>
      <c r="B292" s="4">
        <f t="shared" si="68"/>
        <v>286</v>
      </c>
      <c r="C292" s="4">
        <f t="shared" si="59"/>
        <v>56</v>
      </c>
      <c r="D292" s="8">
        <f t="shared" si="69"/>
        <v>4.666666666666667</v>
      </c>
      <c r="E292" s="23">
        <f t="shared" si="60"/>
        <v>241.99656716960237</v>
      </c>
      <c r="F292" s="24">
        <f t="shared" si="70"/>
        <v>676.97948783184074</v>
      </c>
      <c r="G292" s="25">
        <f t="shared" si="62"/>
        <v>973.97605500144311</v>
      </c>
      <c r="H292" s="26">
        <f t="shared" si="63"/>
        <v>64.448447241591239</v>
      </c>
      <c r="I292" s="27">
        <f t="shared" si="71"/>
        <v>37298.320277992832</v>
      </c>
      <c r="K292" s="18">
        <f t="shared" si="57"/>
        <v>0.62889743279093446</v>
      </c>
      <c r="L292" s="22">
        <f t="shared" si="65"/>
        <v>1.6999999999999999E-3</v>
      </c>
      <c r="N292" s="13">
        <f t="shared" si="66"/>
        <v>22875.161290322685</v>
      </c>
      <c r="O292" s="13">
        <f t="shared" si="67"/>
        <v>619.5860730159344</v>
      </c>
      <c r="X292" s="1">
        <f t="shared" si="58"/>
        <v>-973.97605500144311</v>
      </c>
    </row>
    <row r="293" spans="1:24" x14ac:dyDescent="0.2">
      <c r="A293" s="7">
        <f t="shared" si="56"/>
        <v>1.8486509469714481E-2</v>
      </c>
      <c r="B293" s="4">
        <f t="shared" si="68"/>
        <v>287</v>
      </c>
      <c r="C293" s="4">
        <f t="shared" si="59"/>
        <v>55</v>
      </c>
      <c r="D293" s="8">
        <f t="shared" si="69"/>
        <v>4.583333333333333</v>
      </c>
      <c r="E293" s="23">
        <f t="shared" si="60"/>
        <v>238.08659406290494</v>
      </c>
      <c r="F293" s="24">
        <f t="shared" si="70"/>
        <v>678.1512777816879</v>
      </c>
      <c r="G293" s="25">
        <f t="shared" si="62"/>
        <v>971.23787184459286</v>
      </c>
      <c r="H293" s="26">
        <f t="shared" si="63"/>
        <v>63.40714447258781</v>
      </c>
      <c r="I293" s="27">
        <f t="shared" si="71"/>
        <v>36683.576144683728</v>
      </c>
      <c r="K293" s="18">
        <f t="shared" si="57"/>
        <v>0.63294909633369911</v>
      </c>
      <c r="L293" s="22">
        <f t="shared" si="65"/>
        <v>1.6999999999999999E-3</v>
      </c>
      <c r="N293" s="13">
        <f t="shared" si="66"/>
        <v>22459.249266862273</v>
      </c>
      <c r="O293" s="13">
        <f t="shared" si="67"/>
        <v>616.93117927387152</v>
      </c>
      <c r="X293" s="1">
        <f t="shared" si="58"/>
        <v>-971.23787184459286</v>
      </c>
    </row>
    <row r="294" spans="1:24" x14ac:dyDescent="0.2">
      <c r="A294" s="7">
        <f t="shared" si="56"/>
        <v>1.8835300366534944E-2</v>
      </c>
      <c r="B294" s="4">
        <f t="shared" si="68"/>
        <v>288</v>
      </c>
      <c r="C294" s="4">
        <f t="shared" si="59"/>
        <v>54</v>
      </c>
      <c r="D294" s="8">
        <f t="shared" si="69"/>
        <v>4.5</v>
      </c>
      <c r="E294" s="23">
        <f t="shared" si="60"/>
        <v>234.16249410803175</v>
      </c>
      <c r="F294" s="24">
        <f t="shared" si="70"/>
        <v>679.32548416080976</v>
      </c>
      <c r="G294" s="25">
        <f t="shared" si="62"/>
        <v>968.48797826884152</v>
      </c>
      <c r="H294" s="26">
        <f t="shared" si="63"/>
        <v>62.362079445962337</v>
      </c>
      <c r="I294" s="27">
        <f t="shared" si="71"/>
        <v>36066.612739968885</v>
      </c>
      <c r="K294" s="18">
        <f t="shared" si="57"/>
        <v>0.63703775220592906</v>
      </c>
      <c r="L294" s="22">
        <f t="shared" si="65"/>
        <v>1.6999999999999999E-3</v>
      </c>
      <c r="N294" s="13">
        <f t="shared" si="66"/>
        <v>22043.33724340186</v>
      </c>
      <c r="O294" s="13">
        <f t="shared" si="67"/>
        <v>614.27628553180853</v>
      </c>
      <c r="X294" s="1">
        <f t="shared" si="58"/>
        <v>-968.48797826884152</v>
      </c>
    </row>
    <row r="295" spans="1:24" x14ac:dyDescent="0.2">
      <c r="A295" s="7">
        <f t="shared" si="56"/>
        <v>1.9197505860038662E-2</v>
      </c>
      <c r="B295" s="4">
        <f t="shared" si="68"/>
        <v>289</v>
      </c>
      <c r="C295" s="4">
        <f t="shared" si="59"/>
        <v>53</v>
      </c>
      <c r="D295" s="8">
        <f t="shared" si="69"/>
        <v>4.416666666666667</v>
      </c>
      <c r="E295" s="23">
        <f t="shared" si="60"/>
        <v>230.22422786453336</v>
      </c>
      <c r="F295" s="24">
        <f t="shared" si="70"/>
        <v>680.5021271692242</v>
      </c>
      <c r="G295" s="25">
        <f t="shared" si="62"/>
        <v>965.7263550337575</v>
      </c>
      <c r="H295" s="26">
        <f t="shared" si="63"/>
        <v>61.313241657947103</v>
      </c>
      <c r="I295" s="27">
        <f t="shared" si="71"/>
        <v>35447.423854457607</v>
      </c>
      <c r="K295" s="18">
        <f t="shared" si="57"/>
        <v>0.64116390971812409</v>
      </c>
      <c r="L295" s="22">
        <f t="shared" si="65"/>
        <v>1.6999999999999999E-3</v>
      </c>
      <c r="N295" s="13">
        <f t="shared" si="66"/>
        <v>21627.425219941448</v>
      </c>
      <c r="O295" s="13">
        <f t="shared" si="67"/>
        <v>611.62139178974576</v>
      </c>
      <c r="X295" s="1">
        <f t="shared" si="58"/>
        <v>-965.7263550337575</v>
      </c>
    </row>
    <row r="296" spans="1:24" x14ac:dyDescent="0.2">
      <c r="A296" s="7">
        <f t="shared" si="56"/>
        <v>1.9573915017890554E-2</v>
      </c>
      <c r="B296" s="4">
        <f t="shared" si="68"/>
        <v>290</v>
      </c>
      <c r="C296" s="4">
        <f t="shared" si="59"/>
        <v>52</v>
      </c>
      <c r="D296" s="8">
        <f t="shared" si="69"/>
        <v>4.333333333333333</v>
      </c>
      <c r="E296" s="23">
        <f t="shared" si="60"/>
        <v>226.27175569596847</v>
      </c>
      <c r="F296" s="24">
        <f t="shared" si="70"/>
        <v>681.68122797033857</v>
      </c>
      <c r="G296" s="25">
        <f t="shared" si="62"/>
        <v>962.95298366630709</v>
      </c>
      <c r="H296" s="26">
        <f t="shared" si="63"/>
        <v>60.260620552577926</v>
      </c>
      <c r="I296" s="27">
        <f t="shared" si="71"/>
        <v>34826.003247039851</v>
      </c>
      <c r="K296" s="18">
        <f t="shared" si="57"/>
        <v>0.64532808762042526</v>
      </c>
      <c r="L296" s="22">
        <f t="shared" si="65"/>
        <v>1.6999999999999999E-3</v>
      </c>
      <c r="N296" s="13">
        <f t="shared" si="66"/>
        <v>21211.513196481035</v>
      </c>
      <c r="O296" s="13">
        <f t="shared" si="67"/>
        <v>608.96649804768276</v>
      </c>
      <c r="X296" s="1">
        <f t="shared" si="58"/>
        <v>-962.95298366630709</v>
      </c>
    </row>
    <row r="297" spans="1:24" x14ac:dyDescent="0.2">
      <c r="A297" s="7">
        <f t="shared" si="56"/>
        <v>1.99653800310262E-2</v>
      </c>
      <c r="B297" s="4">
        <f t="shared" si="68"/>
        <v>291</v>
      </c>
      <c r="C297" s="4">
        <f t="shared" si="59"/>
        <v>51</v>
      </c>
      <c r="D297" s="8">
        <f t="shared" si="69"/>
        <v>4.25</v>
      </c>
      <c r="E297" s="23">
        <f t="shared" si="60"/>
        <v>222.3050377634215</v>
      </c>
      <c r="F297" s="24">
        <f t="shared" si="70"/>
        <v>682.86280876548733</v>
      </c>
      <c r="G297" s="25">
        <f t="shared" si="62"/>
        <v>960.16784652890885</v>
      </c>
      <c r="H297" s="26">
        <f t="shared" si="63"/>
        <v>59.204205519967743</v>
      </c>
      <c r="I297" s="27">
        <f t="shared" si="71"/>
        <v>34202.344643794335</v>
      </c>
      <c r="K297" s="18">
        <f t="shared" si="57"/>
        <v>0.64953081432595372</v>
      </c>
      <c r="L297" s="22">
        <f t="shared" si="65"/>
        <v>1.6999999999999999E-3</v>
      </c>
      <c r="N297" s="13">
        <f t="shared" si="66"/>
        <v>20795.601173020623</v>
      </c>
      <c r="O297" s="13">
        <f t="shared" si="67"/>
        <v>606.31160430561988</v>
      </c>
      <c r="X297" s="1">
        <f t="shared" si="58"/>
        <v>-960.16784652890885</v>
      </c>
    </row>
    <row r="298" spans="1:24" x14ac:dyDescent="0.2">
      <c r="A298" s="7">
        <f t="shared" si="56"/>
        <v>2.0372822654578789E-2</v>
      </c>
      <c r="B298" s="4">
        <f t="shared" si="68"/>
        <v>292</v>
      </c>
      <c r="C298" s="4">
        <f t="shared" si="59"/>
        <v>50</v>
      </c>
      <c r="D298" s="8">
        <f t="shared" si="69"/>
        <v>4.166666666666667</v>
      </c>
      <c r="E298" s="23">
        <f t="shared" si="60"/>
        <v>218.32403401853264</v>
      </c>
      <c r="F298" s="24">
        <f t="shared" si="70"/>
        <v>684.04689287588667</v>
      </c>
      <c r="G298" s="25">
        <f t="shared" si="62"/>
        <v>957.37092689441931</v>
      </c>
      <c r="H298" s="26">
        <f t="shared" si="63"/>
        <v>58.143985894450367</v>
      </c>
      <c r="I298" s="27">
        <f t="shared" si="71"/>
        <v>33576.4417368129</v>
      </c>
      <c r="K298" s="18">
        <f t="shared" si="57"/>
        <v>0.65377262814088155</v>
      </c>
      <c r="L298" s="22">
        <f t="shared" si="65"/>
        <v>1.6999999999999999E-3</v>
      </c>
      <c r="N298" s="13">
        <f t="shared" si="66"/>
        <v>20379.68914956021</v>
      </c>
      <c r="O298" s="13">
        <f t="shared" si="67"/>
        <v>603.656710563557</v>
      </c>
      <c r="X298" s="1">
        <f t="shared" si="58"/>
        <v>-957.37092689441931</v>
      </c>
    </row>
    <row r="299" spans="1:24" x14ac:dyDescent="0.2">
      <c r="A299" s="7">
        <f t="shared" si="56"/>
        <v>2.0797241453893556E-2</v>
      </c>
      <c r="B299" s="4">
        <f t="shared" si="68"/>
        <v>293</v>
      </c>
      <c r="C299" s="4">
        <f t="shared" si="59"/>
        <v>49</v>
      </c>
      <c r="D299" s="8">
        <f t="shared" si="69"/>
        <v>4.083333333333333</v>
      </c>
      <c r="E299" s="23">
        <f t="shared" si="60"/>
        <v>214.32870419599348</v>
      </c>
      <c r="F299" s="24">
        <f t="shared" si="70"/>
        <v>685.23350483291631</v>
      </c>
      <c r="G299" s="25">
        <f t="shared" si="62"/>
        <v>954.56220902890982</v>
      </c>
      <c r="H299" s="26">
        <f t="shared" si="63"/>
        <v>57.079950952581925</v>
      </c>
      <c r="I299" s="27">
        <f t="shared" si="71"/>
        <v>32948.288182932563</v>
      </c>
      <c r="K299" s="18">
        <f t="shared" si="57"/>
        <v>0.65805407750152212</v>
      </c>
      <c r="L299" s="22">
        <f t="shared" si="65"/>
        <v>1.6999999999999999E-3</v>
      </c>
      <c r="N299" s="13">
        <f t="shared" si="66"/>
        <v>19963.777126099798</v>
      </c>
      <c r="O299" s="13">
        <f t="shared" si="67"/>
        <v>601.00181682149412</v>
      </c>
      <c r="X299" s="1">
        <f t="shared" si="58"/>
        <v>-954.56220902890982</v>
      </c>
    </row>
    <row r="300" spans="1:24" x14ac:dyDescent="0.2">
      <c r="A300" s="7">
        <f t="shared" si="56"/>
        <v>2.123971997553184E-2</v>
      </c>
      <c r="B300" s="4">
        <f t="shared" si="68"/>
        <v>294</v>
      </c>
      <c r="C300" s="4">
        <f t="shared" si="59"/>
        <v>48</v>
      </c>
      <c r="D300" s="8">
        <f t="shared" si="69"/>
        <v>4</v>
      </c>
      <c r="E300" s="23">
        <f t="shared" si="60"/>
        <v>210.31900780545334</v>
      </c>
      <c r="F300" s="24">
        <f t="shared" si="70"/>
        <v>686.4226704777617</v>
      </c>
      <c r="G300" s="25">
        <f t="shared" si="62"/>
        <v>951.74167828321504</v>
      </c>
      <c r="H300" s="26">
        <f t="shared" si="63"/>
        <v>56.012089910985353</v>
      </c>
      <c r="I300" s="27">
        <f t="shared" si="71"/>
        <v>32317.877602365788</v>
      </c>
      <c r="K300" s="18">
        <f t="shared" si="57"/>
        <v>0.66237572121873767</v>
      </c>
      <c r="L300" s="22">
        <f t="shared" si="65"/>
        <v>1.6999999999999999E-3</v>
      </c>
      <c r="N300" s="13">
        <f t="shared" si="66"/>
        <v>19547.865102639385</v>
      </c>
      <c r="O300" s="13">
        <f t="shared" si="67"/>
        <v>598.34692307943124</v>
      </c>
      <c r="X300" s="1">
        <f t="shared" si="58"/>
        <v>-951.74167828321504</v>
      </c>
    </row>
    <row r="301" spans="1:24" x14ac:dyDescent="0.2">
      <c r="A301" s="7">
        <f t="shared" si="56"/>
        <v>2.1701435984019059E-2</v>
      </c>
      <c r="B301" s="4">
        <f t="shared" si="68"/>
        <v>295</v>
      </c>
      <c r="C301" s="4">
        <f t="shared" si="59"/>
        <v>47</v>
      </c>
      <c r="D301" s="8">
        <f t="shared" si="69"/>
        <v>3.9166666666666665</v>
      </c>
      <c r="E301" s="23">
        <f t="shared" si="60"/>
        <v>206.29490412277568</v>
      </c>
      <c r="F301" s="24">
        <f t="shared" si="70"/>
        <v>687.61441707161248</v>
      </c>
      <c r="G301" s="25">
        <f t="shared" si="62"/>
        <v>948.90932119438821</v>
      </c>
      <c r="H301" s="26">
        <f t="shared" si="63"/>
        <v>54.940391924021839</v>
      </c>
      <c r="I301" s="27">
        <f t="shared" si="71"/>
        <v>31685.203577218199</v>
      </c>
      <c r="K301" s="18">
        <f t="shared" si="57"/>
        <v>0.66673812872998917</v>
      </c>
      <c r="L301" s="22">
        <f t="shared" si="65"/>
        <v>1.6999999999999999E-3</v>
      </c>
      <c r="N301" s="13">
        <f t="shared" si="66"/>
        <v>19131.953079178973</v>
      </c>
      <c r="O301" s="13">
        <f t="shared" si="67"/>
        <v>595.69202933736835</v>
      </c>
      <c r="X301" s="1">
        <f t="shared" si="58"/>
        <v>-948.90932119438821</v>
      </c>
    </row>
    <row r="302" spans="1:24" x14ac:dyDescent="0.2">
      <c r="A302" s="7">
        <f t="shared" si="56"/>
        <v>2.2183671930112562E-2</v>
      </c>
      <c r="B302" s="4">
        <f t="shared" si="68"/>
        <v>296</v>
      </c>
      <c r="C302" s="4">
        <f t="shared" si="59"/>
        <v>46</v>
      </c>
      <c r="D302" s="8">
        <f t="shared" si="69"/>
        <v>3.8333333333333335</v>
      </c>
      <c r="E302" s="23">
        <f t="shared" si="60"/>
        <v>202.25635218057641</v>
      </c>
      <c r="F302" s="24">
        <f t="shared" si="70"/>
        <v>688.80877341778694</v>
      </c>
      <c r="G302" s="25">
        <f t="shared" si="62"/>
        <v>946.06512559836335</v>
      </c>
      <c r="H302" s="26">
        <f t="shared" si="63"/>
        <v>53.864846081270933</v>
      </c>
      <c r="I302" s="27">
        <f t="shared" si="71"/>
        <v>31050.259649881682</v>
      </c>
      <c r="K302" s="18">
        <f t="shared" si="57"/>
        <v>0.67114188035937727</v>
      </c>
      <c r="L302" s="22">
        <f t="shared" si="65"/>
        <v>1.6999999999999999E-3</v>
      </c>
      <c r="N302" s="13">
        <f t="shared" si="66"/>
        <v>18716.041055718561</v>
      </c>
      <c r="O302" s="13">
        <f t="shared" si="67"/>
        <v>593.03713559530547</v>
      </c>
      <c r="X302" s="1">
        <f t="shared" si="58"/>
        <v>-946.06512559836335</v>
      </c>
    </row>
    <row r="303" spans="1:24" x14ac:dyDescent="0.2">
      <c r="A303" s="7">
        <f t="shared" si="56"/>
        <v>2.2687826846505509E-2</v>
      </c>
      <c r="B303" s="4">
        <f t="shared" si="68"/>
        <v>297</v>
      </c>
      <c r="C303" s="4">
        <f t="shared" si="59"/>
        <v>45</v>
      </c>
      <c r="D303" s="8">
        <f t="shared" si="69"/>
        <v>3.75</v>
      </c>
      <c r="E303" s="23">
        <f t="shared" si="60"/>
        <v>198.20331075796651</v>
      </c>
      <c r="F303" s="24">
        <f t="shared" si="70"/>
        <v>690.00576999737075</v>
      </c>
      <c r="G303" s="25">
        <f t="shared" si="62"/>
        <v>943.20908075533725</v>
      </c>
      <c r="H303" s="26">
        <f t="shared" si="63"/>
        <v>52.78544140479886</v>
      </c>
      <c r="I303" s="27">
        <f t="shared" si="71"/>
        <v>30413.03932128911</v>
      </c>
      <c r="K303" s="18">
        <f t="shared" si="57"/>
        <v>0.67558756758604932</v>
      </c>
      <c r="L303" s="22">
        <f t="shared" si="65"/>
        <v>1.6999999999999999E-3</v>
      </c>
      <c r="N303" s="13">
        <f t="shared" si="66"/>
        <v>18300.129032258148</v>
      </c>
      <c r="O303" s="13">
        <f t="shared" si="67"/>
        <v>590.38224185324259</v>
      </c>
      <c r="X303" s="1">
        <f t="shared" si="58"/>
        <v>-943.20908075533725</v>
      </c>
    </row>
    <row r="304" spans="1:24" x14ac:dyDescent="0.2">
      <c r="A304" s="7">
        <f t="shared" si="56"/>
        <v>2.3215429903330951E-2</v>
      </c>
      <c r="B304" s="4">
        <f t="shared" si="68"/>
        <v>298</v>
      </c>
      <c r="C304" s="4">
        <f t="shared" si="59"/>
        <v>44</v>
      </c>
      <c r="D304" s="8">
        <f t="shared" si="69"/>
        <v>3.6666666666666665</v>
      </c>
      <c r="E304" s="23">
        <f t="shared" si="60"/>
        <v>194.13573836941134</v>
      </c>
      <c r="F304" s="24">
        <f t="shared" si="70"/>
        <v>691.20543912020707</v>
      </c>
      <c r="G304" s="25">
        <f t="shared" si="62"/>
        <v>940.34117748961842</v>
      </c>
      <c r="H304" s="26">
        <f t="shared" si="63"/>
        <v>51.702166846191481</v>
      </c>
      <c r="I304" s="27">
        <f t="shared" si="71"/>
        <v>29773.536049015096</v>
      </c>
      <c r="K304" s="18">
        <f t="shared" si="57"/>
        <v>0.6800757933213829</v>
      </c>
      <c r="L304" s="22">
        <f t="shared" si="65"/>
        <v>1.6999999999999999E-3</v>
      </c>
      <c r="N304" s="13">
        <f t="shared" si="66"/>
        <v>17884.217008797736</v>
      </c>
      <c r="O304" s="13">
        <f t="shared" si="67"/>
        <v>587.72734811117971</v>
      </c>
      <c r="X304" s="1">
        <f t="shared" si="58"/>
        <v>-940.34117748961842</v>
      </c>
    </row>
    <row r="305" spans="1:24" x14ac:dyDescent="0.2">
      <c r="A305" s="7">
        <f t="shared" si="56"/>
        <v>2.376815590008818E-2</v>
      </c>
      <c r="B305" s="4">
        <f t="shared" si="68"/>
        <v>299</v>
      </c>
      <c r="C305" s="4">
        <f t="shared" si="59"/>
        <v>43</v>
      </c>
      <c r="D305" s="8">
        <f t="shared" si="69"/>
        <v>3.5833333333333335</v>
      </c>
      <c r="E305" s="23">
        <f t="shared" si="60"/>
        <v>190.05359325260727</v>
      </c>
      <c r="F305" s="24">
        <f t="shared" si="70"/>
        <v>692.40781509337432</v>
      </c>
      <c r="G305" s="25">
        <f t="shared" si="62"/>
        <v>937.46140834598157</v>
      </c>
      <c r="H305" s="26">
        <f t="shared" si="63"/>
        <v>50.615011283325657</v>
      </c>
      <c r="I305" s="27">
        <f t="shared" si="71"/>
        <v>29131.743245205049</v>
      </c>
      <c r="K305" s="18">
        <f t="shared" si="57"/>
        <v>0.68460717219538836</v>
      </c>
      <c r="L305" s="22">
        <f t="shared" si="65"/>
        <v>1.6999999999999999E-3</v>
      </c>
      <c r="N305" s="13">
        <f t="shared" si="66"/>
        <v>17468.304985337323</v>
      </c>
      <c r="O305" s="13">
        <f t="shared" si="67"/>
        <v>585.07245436911683</v>
      </c>
      <c r="X305" s="1">
        <f t="shared" si="58"/>
        <v>-937.46140834598157</v>
      </c>
    </row>
    <row r="306" spans="1:24" x14ac:dyDescent="0.2">
      <c r="A306" s="7">
        <f t="shared" si="56"/>
        <v>2.4347843024586452E-2</v>
      </c>
      <c r="B306" s="4">
        <f t="shared" si="68"/>
        <v>300</v>
      </c>
      <c r="C306" s="4">
        <f t="shared" si="59"/>
        <v>42</v>
      </c>
      <c r="D306" s="8">
        <f t="shared" si="69"/>
        <v>3.5</v>
      </c>
      <c r="E306" s="23">
        <f t="shared" si="60"/>
        <v>185.95683335526212</v>
      </c>
      <c r="F306" s="24">
        <f t="shared" si="70"/>
        <v>693.61293440964403</v>
      </c>
      <c r="G306" s="25">
        <f t="shared" si="62"/>
        <v>934.56976776490615</v>
      </c>
      <c r="H306" s="26">
        <f t="shared" si="63"/>
        <v>49.523963516848582</v>
      </c>
      <c r="I306" s="27">
        <f t="shared" si="71"/>
        <v>28487.654274312252</v>
      </c>
      <c r="K306" s="18">
        <f t="shared" si="57"/>
        <v>0.68918233085281866</v>
      </c>
      <c r="L306" s="22">
        <f t="shared" si="65"/>
        <v>1.6999999999999999E-3</v>
      </c>
      <c r="N306" s="13">
        <f t="shared" si="66"/>
        <v>17052.392961876911</v>
      </c>
      <c r="O306" s="13">
        <f t="shared" si="67"/>
        <v>582.41756062705394</v>
      </c>
      <c r="X306" s="1">
        <f t="shared" si="58"/>
        <v>-934.56976776490615</v>
      </c>
    </row>
    <row r="307" spans="1:24" x14ac:dyDescent="0.2">
      <c r="A307" s="7">
        <f t="shared" si="56"/>
        <v>2.495651327561724E-2</v>
      </c>
      <c r="B307" s="4">
        <f t="shared" si="68"/>
        <v>301</v>
      </c>
      <c r="C307" s="4">
        <f t="shared" si="59"/>
        <v>41</v>
      </c>
      <c r="D307" s="8">
        <f t="shared" si="69"/>
        <v>3.4166666666666665</v>
      </c>
      <c r="E307" s="23">
        <f t="shared" si="60"/>
        <v>181.84541632065029</v>
      </c>
      <c r="F307" s="24">
        <f t="shared" si="70"/>
        <v>694.82083595883546</v>
      </c>
      <c r="G307" s="25">
        <f t="shared" si="62"/>
        <v>931.66625227948578</v>
      </c>
      <c r="H307" s="26">
        <f t="shared" si="63"/>
        <v>48.429012266330822</v>
      </c>
      <c r="I307" s="27">
        <f t="shared" si="71"/>
        <v>27841.262450619746</v>
      </c>
      <c r="K307" s="18">
        <f t="shared" si="57"/>
        <v>0.69380190825952215</v>
      </c>
      <c r="L307" s="22">
        <f t="shared" si="65"/>
        <v>1.6999999999999999E-3</v>
      </c>
      <c r="N307" s="13">
        <f t="shared" si="66"/>
        <v>16636.480938416498</v>
      </c>
      <c r="O307" s="13">
        <f t="shared" si="67"/>
        <v>579.76266688499095</v>
      </c>
      <c r="X307" s="1">
        <f t="shared" si="58"/>
        <v>-931.66625227948578</v>
      </c>
    </row>
    <row r="308" spans="1:24" x14ac:dyDescent="0.2">
      <c r="A308" s="7">
        <f t="shared" si="56"/>
        <v>2.5596396027439336E-2</v>
      </c>
      <c r="B308" s="4">
        <f t="shared" si="68"/>
        <v>302</v>
      </c>
      <c r="C308" s="4">
        <f t="shared" si="59"/>
        <v>40</v>
      </c>
      <c r="D308" s="8">
        <f t="shared" si="69"/>
        <v>3.3333333333333335</v>
      </c>
      <c r="E308" s="23">
        <f t="shared" si="60"/>
        <v>177.71929947179416</v>
      </c>
      <c r="F308" s="24">
        <f t="shared" si="70"/>
        <v>696.03156126549368</v>
      </c>
      <c r="G308" s="25">
        <f t="shared" si="62"/>
        <v>928.75086073728789</v>
      </c>
      <c r="H308" s="26">
        <f t="shared" si="63"/>
        <v>47.330146166053567</v>
      </c>
      <c r="I308" s="27">
        <f t="shared" si="71"/>
        <v>27192.561035520306</v>
      </c>
      <c r="K308" s="18">
        <f t="shared" si="57"/>
        <v>0.69846655601962959</v>
      </c>
      <c r="L308" s="22">
        <f t="shared" si="65"/>
        <v>1.6999999999999999E-3</v>
      </c>
      <c r="N308" s="13">
        <f t="shared" si="66"/>
        <v>16220.568914956086</v>
      </c>
      <c r="O308" s="13">
        <f t="shared" si="67"/>
        <v>577.10777314292807</v>
      </c>
      <c r="X308" s="1">
        <f t="shared" si="58"/>
        <v>-928.75086073728789</v>
      </c>
    </row>
    <row r="309" spans="1:24" x14ac:dyDescent="0.2">
      <c r="A309" s="7">
        <f t="shared" si="56"/>
        <v>2.6269955314806012E-2</v>
      </c>
      <c r="B309" s="4">
        <f t="shared" si="68"/>
        <v>303</v>
      </c>
      <c r="C309" s="4">
        <f t="shared" si="59"/>
        <v>39</v>
      </c>
      <c r="D309" s="8">
        <f t="shared" si="69"/>
        <v>3.25</v>
      </c>
      <c r="E309" s="23">
        <f t="shared" si="60"/>
        <v>173.57843979410137</v>
      </c>
      <c r="F309" s="24">
        <f t="shared" si="70"/>
        <v>697.2451547569309</v>
      </c>
      <c r="G309" s="25">
        <f t="shared" si="62"/>
        <v>925.82359455103233</v>
      </c>
      <c r="H309" s="26">
        <f t="shared" si="63"/>
        <v>46.227353760384517</v>
      </c>
      <c r="I309" s="27">
        <f t="shared" si="71"/>
        <v>26541.543234523757</v>
      </c>
      <c r="K309" s="18">
        <f t="shared" si="57"/>
        <v>0.7031769387042357</v>
      </c>
      <c r="L309" s="22">
        <f t="shared" si="65"/>
        <v>1.6999999999999999E-3</v>
      </c>
      <c r="N309" s="13">
        <f t="shared" si="66"/>
        <v>15804.656891495673</v>
      </c>
      <c r="O309" s="13">
        <f t="shared" si="67"/>
        <v>574.45287940086519</v>
      </c>
      <c r="X309" s="1">
        <f t="shared" si="58"/>
        <v>-925.82359455103233</v>
      </c>
    </row>
    <row r="310" spans="1:24" x14ac:dyDescent="0.2">
      <c r="A310" s="7">
        <f t="shared" si="56"/>
        <v>2.6979921542388156E-2</v>
      </c>
      <c r="B310" s="4">
        <f t="shared" si="68"/>
        <v>304</v>
      </c>
      <c r="C310" s="4">
        <f t="shared" si="59"/>
        <v>38</v>
      </c>
      <c r="D310" s="8">
        <f t="shared" si="69"/>
        <v>3.1666666666666665</v>
      </c>
      <c r="E310" s="23">
        <f t="shared" si="60"/>
        <v>169.42279391626153</v>
      </c>
      <c r="F310" s="24">
        <f t="shared" si="70"/>
        <v>698.46166406641464</v>
      </c>
      <c r="G310" s="25">
        <f t="shared" si="62"/>
        <v>922.88445798267617</v>
      </c>
      <c r="H310" s="26">
        <f t="shared" si="63"/>
        <v>45.120623498690385</v>
      </c>
      <c r="I310" s="27">
        <f t="shared" si="71"/>
        <v>25888.202193956033</v>
      </c>
      <c r="K310" s="18">
        <f t="shared" si="57"/>
        <v>0.70793373419231242</v>
      </c>
      <c r="L310" s="22">
        <f t="shared" si="65"/>
        <v>1.6999999999999999E-3</v>
      </c>
      <c r="N310" s="13">
        <f t="shared" si="66"/>
        <v>15388.744868035261</v>
      </c>
      <c r="O310" s="13">
        <f t="shared" si="67"/>
        <v>571.7979856588023</v>
      </c>
      <c r="X310" s="1">
        <f t="shared" si="58"/>
        <v>-922.88445798267617</v>
      </c>
    </row>
    <row r="311" spans="1:24" x14ac:dyDescent="0.2">
      <c r="A311" s="7">
        <f t="shared" si="56"/>
        <v>2.772932847885223E-2</v>
      </c>
      <c r="B311" s="4">
        <f t="shared" si="68"/>
        <v>305</v>
      </c>
      <c r="C311" s="4">
        <f t="shared" si="59"/>
        <v>37</v>
      </c>
      <c r="D311" s="8">
        <f t="shared" si="69"/>
        <v>3.0833333333333335</v>
      </c>
      <c r="E311" s="23">
        <f t="shared" si="60"/>
        <v>165.25231808917545</v>
      </c>
      <c r="F311" s="24">
        <f t="shared" si="70"/>
        <v>699.6811403771901</v>
      </c>
      <c r="G311" s="25">
        <f t="shared" si="62"/>
        <v>919.93345846636555</v>
      </c>
      <c r="H311" s="26">
        <f t="shared" si="63"/>
        <v>44.009943729725251</v>
      </c>
      <c r="I311" s="27">
        <f t="shared" si="71"/>
        <v>25232.530997308568</v>
      </c>
      <c r="K311" s="18">
        <f t="shared" si="57"/>
        <v>0.71273763402468682</v>
      </c>
      <c r="L311" s="22">
        <f t="shared" si="65"/>
        <v>1.6999999999999999E-3</v>
      </c>
      <c r="N311" s="13">
        <f t="shared" si="66"/>
        <v>14972.832844574848</v>
      </c>
      <c r="O311" s="13">
        <f t="shared" si="67"/>
        <v>569.14309191673942</v>
      </c>
      <c r="X311" s="1">
        <f t="shared" si="58"/>
        <v>-919.93345846636555</v>
      </c>
    </row>
    <row r="312" spans="1:24" x14ac:dyDescent="0.2">
      <c r="A312" s="7">
        <f t="shared" si="56"/>
        <v>2.8521556592472592E-2</v>
      </c>
      <c r="B312" s="4">
        <f t="shared" si="68"/>
        <v>306</v>
      </c>
      <c r="C312" s="4">
        <f t="shared" si="59"/>
        <v>36</v>
      </c>
      <c r="D312" s="8">
        <f t="shared" si="69"/>
        <v>3</v>
      </c>
      <c r="E312" s="23">
        <f t="shared" si="60"/>
        <v>161.06696816265205</v>
      </c>
      <c r="F312" s="24">
        <f t="shared" si="70"/>
        <v>700.90363881412691</v>
      </c>
      <c r="G312" s="25">
        <f t="shared" si="62"/>
        <v>916.97060697677898</v>
      </c>
      <c r="H312" s="26">
        <f t="shared" si="63"/>
        <v>42.895302695424562</v>
      </c>
      <c r="I312" s="27">
        <f t="shared" si="71"/>
        <v>24574.522661189865</v>
      </c>
      <c r="K312" s="18">
        <f t="shared" si="57"/>
        <v>0.7175893437720251</v>
      </c>
      <c r="L312" s="22">
        <f t="shared" si="65"/>
        <v>1.6999999999999999E-3</v>
      </c>
      <c r="N312" s="13">
        <f t="shared" si="66"/>
        <v>14556.920821114436</v>
      </c>
      <c r="O312" s="13">
        <f t="shared" si="67"/>
        <v>566.48819817467654</v>
      </c>
      <c r="X312" s="1">
        <f t="shared" si="58"/>
        <v>-916.97060697677898</v>
      </c>
    </row>
    <row r="313" spans="1:24" x14ac:dyDescent="0.2">
      <c r="A313" s="7">
        <f t="shared" si="56"/>
        <v>2.9360384033823159E-2</v>
      </c>
      <c r="B313" s="4">
        <f t="shared" si="68"/>
        <v>307</v>
      </c>
      <c r="C313" s="4">
        <f t="shared" si="59"/>
        <v>35</v>
      </c>
      <c r="D313" s="8">
        <f t="shared" si="69"/>
        <v>2.9166666666666665</v>
      </c>
      <c r="E313" s="23">
        <f t="shared" si="60"/>
        <v>156.866699559566</v>
      </c>
      <c r="F313" s="24">
        <f t="shared" si="70"/>
        <v>702.12921889113898</v>
      </c>
      <c r="G313" s="25">
        <f t="shared" si="62"/>
        <v>913.99591845070495</v>
      </c>
      <c r="H313" s="26">
        <f t="shared" si="63"/>
        <v>41.776688524022767</v>
      </c>
      <c r="I313" s="27">
        <f t="shared" si="71"/>
        <v>23914.170130822749</v>
      </c>
      <c r="K313" s="18">
        <f t="shared" si="57"/>
        <v>0.72248958341790592</v>
      </c>
      <c r="L313" s="22">
        <f t="shared" si="65"/>
        <v>1.6999999999999999E-3</v>
      </c>
      <c r="N313" s="13">
        <f t="shared" si="66"/>
        <v>14141.008797654024</v>
      </c>
      <c r="O313" s="13">
        <f t="shared" si="67"/>
        <v>563.83330443261366</v>
      </c>
      <c r="X313" s="1">
        <f t="shared" si="58"/>
        <v>-913.99591845070495</v>
      </c>
    </row>
    <row r="314" spans="1:24" x14ac:dyDescent="0.2">
      <c r="A314" s="7">
        <f t="shared" si="56"/>
        <v>3.0250046887572678E-2</v>
      </c>
      <c r="B314" s="4">
        <f t="shared" si="68"/>
        <v>308</v>
      </c>
      <c r="C314" s="4">
        <f t="shared" si="59"/>
        <v>34</v>
      </c>
      <c r="D314" s="8">
        <f t="shared" si="69"/>
        <v>2.8333333333333335</v>
      </c>
      <c r="E314" s="23">
        <f t="shared" si="60"/>
        <v>152.65146724711536</v>
      </c>
      <c r="F314" s="24">
        <f t="shared" si="70"/>
        <v>703.35794502419856</v>
      </c>
      <c r="G314" s="25">
        <f t="shared" si="62"/>
        <v>911.00941227131398</v>
      </c>
      <c r="H314" s="26">
        <f t="shared" si="63"/>
        <v>40.654089222398675</v>
      </c>
      <c r="I314" s="27">
        <f t="shared" si="71"/>
        <v>23251.46627502095</v>
      </c>
      <c r="K314" s="18">
        <f t="shared" si="57"/>
        <v>0.72743908775822341</v>
      </c>
      <c r="L314" s="22">
        <f t="shared" si="65"/>
        <v>1.6999999999999999E-3</v>
      </c>
      <c r="N314" s="13">
        <f t="shared" si="66"/>
        <v>13725.096774193611</v>
      </c>
      <c r="O314" s="13">
        <f t="shared" si="67"/>
        <v>561.17841069055078</v>
      </c>
      <c r="X314" s="1">
        <f t="shared" si="58"/>
        <v>-911.00941227131398</v>
      </c>
    </row>
    <row r="315" spans="1:24" x14ac:dyDescent="0.2">
      <c r="A315" s="7">
        <f t="shared" si="56"/>
        <v>3.1195310720892436E-2</v>
      </c>
      <c r="B315" s="4">
        <f t="shared" si="68"/>
        <v>309</v>
      </c>
      <c r="C315" s="4">
        <f t="shared" si="59"/>
        <v>33</v>
      </c>
      <c r="D315" s="8">
        <f t="shared" si="69"/>
        <v>2.75</v>
      </c>
      <c r="E315" s="23">
        <f t="shared" si="60"/>
        <v>148.42122570475561</v>
      </c>
      <c r="F315" s="24">
        <f t="shared" si="70"/>
        <v>704.58988712184691</v>
      </c>
      <c r="G315" s="25">
        <f t="shared" si="62"/>
        <v>908.01111282660258</v>
      </c>
      <c r="H315" s="26">
        <f t="shared" si="63"/>
        <v>39.527492667535611</v>
      </c>
      <c r="I315" s="27">
        <f t="shared" si="71"/>
        <v>22586.403880566635</v>
      </c>
      <c r="K315" s="18">
        <f t="shared" si="57"/>
        <v>0.73243860681836637</v>
      </c>
      <c r="L315" s="22">
        <f t="shared" si="65"/>
        <v>1.6999999999999999E-3</v>
      </c>
      <c r="N315" s="13">
        <f t="shared" si="66"/>
        <v>13309.184750733199</v>
      </c>
      <c r="O315" s="13">
        <f t="shared" si="67"/>
        <v>558.5235169484879</v>
      </c>
      <c r="X315" s="1">
        <f t="shared" si="58"/>
        <v>-908.01111282660258</v>
      </c>
    </row>
    <row r="316" spans="1:24" x14ac:dyDescent="0.2">
      <c r="A316" s="7">
        <f t="shared" si="56"/>
        <v>3.2201555979184913E-2</v>
      </c>
      <c r="B316" s="4">
        <f t="shared" si="68"/>
        <v>310</v>
      </c>
      <c r="C316" s="4">
        <f t="shared" si="59"/>
        <v>32</v>
      </c>
      <c r="D316" s="8">
        <f t="shared" si="69"/>
        <v>2.6666666666666665</v>
      </c>
      <c r="E316" s="23">
        <f t="shared" si="60"/>
        <v>144.17592888830956</v>
      </c>
      <c r="F316" s="24">
        <f t="shared" si="70"/>
        <v>705.82512126770735</v>
      </c>
      <c r="G316" s="25">
        <f t="shared" si="62"/>
        <v>905.00105015601684</v>
      </c>
      <c r="H316" s="26">
        <f t="shared" si="63"/>
        <v>38.396886596963277</v>
      </c>
      <c r="I316" s="27">
        <f t="shared" si="71"/>
        <v>21918.975645895891</v>
      </c>
      <c r="K316" s="18">
        <f t="shared" si="57"/>
        <v>0.73748890628986929</v>
      </c>
      <c r="L316" s="22">
        <f t="shared" si="65"/>
        <v>1.6999999999999999E-3</v>
      </c>
      <c r="N316" s="13">
        <f t="shared" si="66"/>
        <v>12893.272727272786</v>
      </c>
      <c r="O316" s="13">
        <f t="shared" si="67"/>
        <v>555.86862320642501</v>
      </c>
      <c r="X316" s="1">
        <f t="shared" si="58"/>
        <v>-905.00105015601684</v>
      </c>
    </row>
    <row r="317" spans="1:24" x14ac:dyDescent="0.2">
      <c r="A317" s="7">
        <f t="shared" si="56"/>
        <v>3.3274880459991947E-2</v>
      </c>
      <c r="B317" s="4">
        <f t="shared" si="68"/>
        <v>311</v>
      </c>
      <c r="C317" s="4">
        <f t="shared" si="59"/>
        <v>31</v>
      </c>
      <c r="D317" s="8">
        <f t="shared" si="69"/>
        <v>2.5833333333333335</v>
      </c>
      <c r="E317" s="23">
        <f t="shared" si="60"/>
        <v>139.91553018966002</v>
      </c>
      <c r="F317" s="24">
        <f t="shared" si="70"/>
        <v>707.06373051277069</v>
      </c>
      <c r="G317" s="25">
        <f t="shared" si="62"/>
        <v>901.97926070243068</v>
      </c>
      <c r="H317" s="26">
        <f t="shared" si="63"/>
        <v>37.26225859802301</v>
      </c>
      <c r="I317" s="27">
        <f t="shared" si="71"/>
        <v>21249.174173981144</v>
      </c>
      <c r="K317" s="18">
        <f t="shared" si="57"/>
        <v>0.74259076798853352</v>
      </c>
      <c r="L317" s="22">
        <f t="shared" si="65"/>
        <v>1.6999999999999999E-3</v>
      </c>
      <c r="N317" s="13">
        <f t="shared" si="66"/>
        <v>12477.360703812374</v>
      </c>
      <c r="O317" s="13">
        <f t="shared" si="67"/>
        <v>553.21372946436213</v>
      </c>
      <c r="X317" s="1">
        <f t="shared" si="58"/>
        <v>-901.97926070243068</v>
      </c>
    </row>
    <row r="318" spans="1:24" x14ac:dyDescent="0.2">
      <c r="A318" s="7">
        <f t="shared" si="56"/>
        <v>3.4422222987160515E-2</v>
      </c>
      <c r="B318" s="4">
        <f t="shared" si="68"/>
        <v>312</v>
      </c>
      <c r="C318" s="4">
        <f t="shared" si="59"/>
        <v>30</v>
      </c>
      <c r="D318" s="8">
        <f t="shared" si="69"/>
        <v>2.5</v>
      </c>
      <c r="E318" s="23">
        <f t="shared" si="60"/>
        <v>135.63998239131598</v>
      </c>
      <c r="F318" s="24">
        <f t="shared" si="70"/>
        <v>708.30580579937146</v>
      </c>
      <c r="G318" s="25">
        <f t="shared" si="62"/>
        <v>898.94578819068738</v>
      </c>
      <c r="H318" s="26">
        <f t="shared" si="63"/>
        <v>36.123596095767944</v>
      </c>
      <c r="I318" s="27">
        <f t="shared" si="71"/>
        <v>20576.991964277539</v>
      </c>
      <c r="K318" s="18">
        <f t="shared" si="57"/>
        <v>0.74774499033641162</v>
      </c>
      <c r="L318" s="22">
        <f t="shared" si="65"/>
        <v>1.6999999999999999E-3</v>
      </c>
      <c r="N318" s="13">
        <f t="shared" si="66"/>
        <v>12061.448680351961</v>
      </c>
      <c r="O318" s="13">
        <f t="shared" si="67"/>
        <v>550.55883572229914</v>
      </c>
      <c r="X318" s="1">
        <f t="shared" si="58"/>
        <v>-898.94578819068738</v>
      </c>
    </row>
    <row r="319" spans="1:24" x14ac:dyDescent="0.2">
      <c r="A319" s="7">
        <f t="shared" si="56"/>
        <v>3.5651513585009252E-2</v>
      </c>
      <c r="B319" s="4">
        <f t="shared" si="68"/>
        <v>313</v>
      </c>
      <c r="C319" s="4">
        <f t="shared" si="59"/>
        <v>29</v>
      </c>
      <c r="D319" s="8">
        <f t="shared" si="69"/>
        <v>2.4166666666666665</v>
      </c>
      <c r="E319" s="23">
        <f t="shared" si="60"/>
        <v>131.349237615004</v>
      </c>
      <c r="F319" s="24">
        <f t="shared" si="70"/>
        <v>709.55144704405302</v>
      </c>
      <c r="G319" s="25">
        <f t="shared" si="62"/>
        <v>895.90068465905699</v>
      </c>
      <c r="H319" s="26">
        <f t="shared" si="63"/>
        <v>34.980886339271812</v>
      </c>
      <c r="I319" s="27">
        <f t="shared" si="71"/>
        <v>19902.421403572756</v>
      </c>
      <c r="K319" s="18">
        <f t="shared" si="57"/>
        <v>0.75295238887053095</v>
      </c>
      <c r="L319" s="22">
        <f t="shared" si="65"/>
        <v>1.6999999999999999E-3</v>
      </c>
      <c r="N319" s="13">
        <f t="shared" si="66"/>
        <v>11645.536656891549</v>
      </c>
      <c r="O319" s="13">
        <f t="shared" si="67"/>
        <v>547.90394198023637</v>
      </c>
      <c r="X319" s="1">
        <f t="shared" si="58"/>
        <v>-895.90068465905699</v>
      </c>
    </row>
    <row r="320" spans="1:24" x14ac:dyDescent="0.2">
      <c r="A320" s="7">
        <f t="shared" si="56"/>
        <v>3.6971857022434523E-2</v>
      </c>
      <c r="B320" s="4">
        <f t="shared" si="68"/>
        <v>314</v>
      </c>
      <c r="C320" s="4">
        <f t="shared" si="59"/>
        <v>28</v>
      </c>
      <c r="D320" s="8">
        <f t="shared" si="69"/>
        <v>2.3333333333333335</v>
      </c>
      <c r="E320" s="23">
        <f t="shared" si="60"/>
        <v>127.04324726325972</v>
      </c>
      <c r="F320" s="24">
        <f t="shared" si="70"/>
        <v>710.80076441331278</v>
      </c>
      <c r="G320" s="25">
        <f t="shared" si="62"/>
        <v>892.84401167657245</v>
      </c>
      <c r="H320" s="26">
        <f t="shared" si="63"/>
        <v>33.834116386073681</v>
      </c>
      <c r="I320" s="27">
        <f t="shared" si="71"/>
        <v>19225.454755545517</v>
      </c>
      <c r="K320" s="18">
        <f t="shared" si="57"/>
        <v>0.75821379678185752</v>
      </c>
      <c r="L320" s="22">
        <f t="shared" si="65"/>
        <v>1.6999999999999999E-3</v>
      </c>
      <c r="N320" s="13">
        <f t="shared" si="66"/>
        <v>11229.624633431136</v>
      </c>
      <c r="O320" s="13">
        <f t="shared" si="67"/>
        <v>545.24904823817337</v>
      </c>
      <c r="X320" s="1">
        <f t="shared" si="58"/>
        <v>-892.84401167657245</v>
      </c>
    </row>
    <row r="321" spans="1:24" x14ac:dyDescent="0.2">
      <c r="A321" s="7">
        <f t="shared" si="56"/>
        <v>3.8393758710584008E-2</v>
      </c>
      <c r="B321" s="4">
        <f t="shared" si="68"/>
        <v>315</v>
      </c>
      <c r="C321" s="4">
        <f t="shared" si="59"/>
        <v>27</v>
      </c>
      <c r="D321" s="8">
        <f t="shared" si="69"/>
        <v>2.25</v>
      </c>
      <c r="E321" s="23">
        <f t="shared" si="60"/>
        <v>122.72196195277655</v>
      </c>
      <c r="F321" s="24">
        <f t="shared" si="70"/>
        <v>712.05387983501919</v>
      </c>
      <c r="G321" s="25">
        <f t="shared" si="62"/>
        <v>889.7758417877958</v>
      </c>
      <c r="H321" s="26">
        <f t="shared" si="63"/>
        <v>32.683273084427377</v>
      </c>
      <c r="I321" s="27">
        <f t="shared" si="71"/>
        <v>18546.084148794926</v>
      </c>
      <c r="K321" s="18">
        <f t="shared" si="57"/>
        <v>0.76353006548880442</v>
      </c>
      <c r="L321" s="22">
        <f t="shared" si="65"/>
        <v>1.6999999999999999E-3</v>
      </c>
      <c r="N321" s="13">
        <f t="shared" si="66"/>
        <v>10813.712609970724</v>
      </c>
      <c r="O321" s="13">
        <f t="shared" si="67"/>
        <v>542.59415449611049</v>
      </c>
      <c r="X321" s="1">
        <f t="shared" si="58"/>
        <v>-889.7758417877958</v>
      </c>
    </row>
    <row r="322" spans="1:24" x14ac:dyDescent="0.2">
      <c r="A322" s="7">
        <f t="shared" si="56"/>
        <v>3.9929404812291867E-2</v>
      </c>
      <c r="B322" s="4">
        <f t="shared" si="68"/>
        <v>316</v>
      </c>
      <c r="C322" s="4">
        <f t="shared" si="59"/>
        <v>26</v>
      </c>
      <c r="D322" s="8">
        <f t="shared" si="69"/>
        <v>2.1666666666666665</v>
      </c>
      <c r="E322" s="23">
        <f t="shared" si="60"/>
        <v>118.38533143799344</v>
      </c>
      <c r="F322" s="24">
        <f t="shared" si="70"/>
        <v>713.31092879980486</v>
      </c>
      <c r="G322" s="25">
        <f t="shared" si="62"/>
        <v>886.69626023779824</v>
      </c>
      <c r="H322" s="26">
        <f t="shared" si="63"/>
        <v>31.528343052951371</v>
      </c>
      <c r="I322" s="27">
        <f t="shared" si="71"/>
        <v>17864.301563048073</v>
      </c>
      <c r="K322" s="18">
        <f t="shared" si="57"/>
        <v>0.76890206525063032</v>
      </c>
      <c r="L322" s="22">
        <f t="shared" si="65"/>
        <v>1.6999999999999999E-3</v>
      </c>
      <c r="N322" s="13">
        <f t="shared" si="66"/>
        <v>10397.800586510311</v>
      </c>
      <c r="O322" s="13">
        <f t="shared" si="67"/>
        <v>539.93926075404761</v>
      </c>
      <c r="X322" s="1">
        <f t="shared" si="58"/>
        <v>-886.69626023779824</v>
      </c>
    </row>
    <row r="323" spans="1:24" x14ac:dyDescent="0.2">
      <c r="A323" s="7">
        <f t="shared" si="56"/>
        <v>4.1593012373921177E-2</v>
      </c>
      <c r="B323" s="4">
        <f t="shared" si="68"/>
        <v>317</v>
      </c>
      <c r="C323" s="4">
        <f t="shared" si="59"/>
        <v>25</v>
      </c>
      <c r="D323" s="8">
        <f t="shared" si="69"/>
        <v>2.0833333333333335</v>
      </c>
      <c r="E323" s="23">
        <f t="shared" si="60"/>
        <v>114.03330452305367</v>
      </c>
      <c r="F323" s="24">
        <f t="shared" si="70"/>
        <v>714.57206252192293</v>
      </c>
      <c r="G323" s="25">
        <f t="shared" si="62"/>
        <v>883.60536704497656</v>
      </c>
      <c r="H323" s="26">
        <f t="shared" si="63"/>
        <v>30.369312657181723</v>
      </c>
      <c r="I323" s="27">
        <f t="shared" si="71"/>
        <v>17180.098813183333</v>
      </c>
      <c r="K323" s="18">
        <f t="shared" si="57"/>
        <v>0.77433068582743736</v>
      </c>
      <c r="L323" s="22">
        <f t="shared" si="65"/>
        <v>1.6999999999999999E-3</v>
      </c>
      <c r="N323" s="13">
        <f t="shared" si="66"/>
        <v>9981.8885630498989</v>
      </c>
      <c r="O323" s="13">
        <f t="shared" si="67"/>
        <v>537.28436701198473</v>
      </c>
      <c r="X323" s="1">
        <f t="shared" si="58"/>
        <v>-883.60536704497656</v>
      </c>
    </row>
    <row r="324" spans="1:24" x14ac:dyDescent="0.2">
      <c r="A324" s="7">
        <f t="shared" si="56"/>
        <v>4.3401270789208711E-2</v>
      </c>
      <c r="B324" s="4">
        <f t="shared" si="68"/>
        <v>318</v>
      </c>
      <c r="C324" s="4">
        <f t="shared" si="59"/>
        <v>24</v>
      </c>
      <c r="D324" s="8">
        <f t="shared" si="69"/>
        <v>2</v>
      </c>
      <c r="E324" s="23">
        <f t="shared" si="60"/>
        <v>109.66582895982073</v>
      </c>
      <c r="F324" s="24">
        <f t="shared" si="70"/>
        <v>715.83745054930557</v>
      </c>
      <c r="G324" s="25">
        <f t="shared" si="62"/>
        <v>880.50327950912629</v>
      </c>
      <c r="H324" s="26">
        <f t="shared" si="63"/>
        <v>29.206167982411664</v>
      </c>
      <c r="I324" s="27">
        <f t="shared" si="71"/>
        <v>16493.467530616439</v>
      </c>
      <c r="K324" s="18">
        <f t="shared" si="57"/>
        <v>0.7798168371952976</v>
      </c>
      <c r="L324" s="22">
        <f t="shared" si="65"/>
        <v>1.6999999999999999E-3</v>
      </c>
      <c r="N324" s="13">
        <f t="shared" si="66"/>
        <v>9565.9765395894865</v>
      </c>
      <c r="O324" s="13">
        <f t="shared" si="67"/>
        <v>534.62947326992185</v>
      </c>
      <c r="X324" s="1">
        <f t="shared" si="58"/>
        <v>-880.50327950912629</v>
      </c>
    </row>
    <row r="325" spans="1:24" x14ac:dyDescent="0.2">
      <c r="A325" s="7">
        <f t="shared" si="56"/>
        <v>4.537390365305298E-2</v>
      </c>
      <c r="B325" s="4">
        <f t="shared" si="68"/>
        <v>319</v>
      </c>
      <c r="C325" s="4">
        <f t="shared" si="59"/>
        <v>23</v>
      </c>
      <c r="D325" s="8">
        <f t="shared" si="69"/>
        <v>1.9166666666666667</v>
      </c>
      <c r="E325" s="23">
        <f t="shared" si="60"/>
        <v>105.28285132905989</v>
      </c>
      <c r="F325" s="24">
        <f t="shared" si="70"/>
        <v>717.10728393984516</v>
      </c>
      <c r="G325" s="25">
        <f t="shared" si="62"/>
        <v>877.39013526890506</v>
      </c>
      <c r="H325" s="26">
        <f t="shared" si="63"/>
        <v>28.038894802047945</v>
      </c>
      <c r="I325" s="27">
        <f t="shared" si="71"/>
        <v>15804.399141478641</v>
      </c>
      <c r="K325" s="18">
        <f t="shared" si="57"/>
        <v>0.78536145032746418</v>
      </c>
      <c r="L325" s="22">
        <f t="shared" si="65"/>
        <v>1.6999999999999999E-3</v>
      </c>
      <c r="N325" s="13">
        <f t="shared" si="66"/>
        <v>9150.064516129074</v>
      </c>
      <c r="O325" s="13">
        <f t="shared" si="67"/>
        <v>531.97457952785896</v>
      </c>
      <c r="X325" s="1">
        <f t="shared" si="58"/>
        <v>-877.39013526890506</v>
      </c>
    </row>
    <row r="326" spans="1:24" x14ac:dyDescent="0.2">
      <c r="A326" s="7">
        <f t="shared" si="56"/>
        <v>4.7534391131983988E-2</v>
      </c>
      <c r="B326" s="4">
        <f t="shared" si="68"/>
        <v>320</v>
      </c>
      <c r="C326" s="4">
        <f t="shared" si="59"/>
        <v>22</v>
      </c>
      <c r="D326" s="8">
        <f t="shared" si="69"/>
        <v>1.8333333333333333</v>
      </c>
      <c r="E326" s="23">
        <f t="shared" si="60"/>
        <v>100.88431690114277</v>
      </c>
      <c r="F326" s="24">
        <f t="shared" si="70"/>
        <v>718.38177915812003</v>
      </c>
      <c r="G326" s="25">
        <f t="shared" si="62"/>
        <v>874.26609605926274</v>
      </c>
      <c r="H326" s="26">
        <f t="shared" si="63"/>
        <v>26.867478540513687</v>
      </c>
      <c r="I326" s="27">
        <f t="shared" si="71"/>
        <v>15112.884840861034</v>
      </c>
      <c r="K326" s="18">
        <f t="shared" si="57"/>
        <v>0.79096547805592987</v>
      </c>
      <c r="L326" s="22">
        <f t="shared" si="65"/>
        <v>1.6999999999999999E-3</v>
      </c>
      <c r="N326" s="13">
        <f t="shared" si="66"/>
        <v>8734.1524926686616</v>
      </c>
      <c r="O326" s="13">
        <f t="shared" si="67"/>
        <v>529.31968578579608</v>
      </c>
      <c r="X326" s="1">
        <f t="shared" si="58"/>
        <v>-874.26609605926274</v>
      </c>
    </row>
    <row r="327" spans="1:24" x14ac:dyDescent="0.2">
      <c r="A327" s="7">
        <f t="shared" ref="A327:A390" si="72">F327/I327</f>
        <v>4.9910909027386118E-2</v>
      </c>
      <c r="B327" s="4">
        <f t="shared" si="68"/>
        <v>321</v>
      </c>
      <c r="C327" s="4">
        <f t="shared" si="59"/>
        <v>21</v>
      </c>
      <c r="D327" s="8">
        <f t="shared" si="69"/>
        <v>1.75</v>
      </c>
      <c r="E327" s="23">
        <f t="shared" si="60"/>
        <v>96.470169471640943</v>
      </c>
      <c r="F327" s="24">
        <f t="shared" si="70"/>
        <v>719.66118289814449</v>
      </c>
      <c r="G327" s="25">
        <f t="shared" si="62"/>
        <v>871.13135236978542</v>
      </c>
      <c r="H327" s="26">
        <f t="shared" si="63"/>
        <v>25.691904229463756</v>
      </c>
      <c r="I327" s="27">
        <f t="shared" si="71"/>
        <v>14418.915562192353</v>
      </c>
      <c r="K327" s="18">
        <f t="shared" ref="K327:K390" si="73">IF(C327&lt;1,0,(F327-H327)/G327)</f>
        <v>0.79662989603214129</v>
      </c>
      <c r="L327" s="22">
        <f t="shared" si="65"/>
        <v>1.6999999999999999E-3</v>
      </c>
      <c r="N327" s="13">
        <f t="shared" si="66"/>
        <v>8318.2404692082491</v>
      </c>
      <c r="O327" s="13">
        <f t="shared" si="67"/>
        <v>526.6647920437332</v>
      </c>
      <c r="X327" s="1">
        <f t="shared" ref="X327:X390" si="74">-G327</f>
        <v>-871.13135236978542</v>
      </c>
    </row>
    <row r="328" spans="1:24" x14ac:dyDescent="0.2">
      <c r="A328" s="7">
        <f t="shared" si="72"/>
        <v>5.2537564358516343E-2</v>
      </c>
      <c r="B328" s="4">
        <f t="shared" si="68"/>
        <v>322</v>
      </c>
      <c r="C328" s="4">
        <f t="shared" ref="C328:C367" si="75">IF(C327-1&lt;1,0,C327-1)</f>
        <v>20</v>
      </c>
      <c r="D328" s="8">
        <f t="shared" si="69"/>
        <v>1.6666666666666667</v>
      </c>
      <c r="E328" s="23">
        <f t="shared" ref="E328:E391" si="76">I327*$J$4</f>
        <v>92.040351165855071</v>
      </c>
      <c r="F328" s="24">
        <f t="shared" si="70"/>
        <v>720.94577810961766</v>
      </c>
      <c r="G328" s="25">
        <f t="shared" ref="G328:G391" si="77">IF(C328&lt;1,0,F328+E328+$L$3+$L$4)</f>
        <v>867.98612927547276</v>
      </c>
      <c r="H328" s="26">
        <f t="shared" ref="H328:H391" si="78">I327*L328</f>
        <v>24.512156455726998</v>
      </c>
      <c r="I328" s="27">
        <f t="shared" si="71"/>
        <v>13722.481940538462</v>
      </c>
      <c r="K328" s="18">
        <f t="shared" si="73"/>
        <v>0.80235570381201737</v>
      </c>
      <c r="L328" s="22">
        <f t="shared" ref="L328:L391" si="79">L327</f>
        <v>1.6999999999999999E-3</v>
      </c>
      <c r="N328" s="13">
        <f t="shared" ref="N328:N391" si="80">IF(C328&lt;1,0,N327-(N327/C328))</f>
        <v>7902.3284457478367</v>
      </c>
      <c r="O328" s="13">
        <f t="shared" ref="O328:O391" si="81">IF(C328&lt;1,0,N327/C328+N327*$J$4+$L$3+$L$4)</f>
        <v>524.00989830167032</v>
      </c>
      <c r="X328" s="1">
        <f t="shared" si="74"/>
        <v>-867.98612927547276</v>
      </c>
    </row>
    <row r="329" spans="1:24" x14ac:dyDescent="0.2">
      <c r="A329" s="7">
        <f t="shared" si="72"/>
        <v>5.5456042767700185E-2</v>
      </c>
      <c r="B329" s="4">
        <f t="shared" ref="B329:B392" si="82">B328+1</f>
        <v>323</v>
      </c>
      <c r="C329" s="4">
        <f t="shared" si="75"/>
        <v>19</v>
      </c>
      <c r="D329" s="8">
        <f t="shared" si="69"/>
        <v>1.5833333333333333</v>
      </c>
      <c r="E329" s="23">
        <f t="shared" si="76"/>
        <v>87.594802204544266</v>
      </c>
      <c r="F329" s="24">
        <f t="shared" si="70"/>
        <v>722.2358916072875</v>
      </c>
      <c r="G329" s="25">
        <f t="shared" si="77"/>
        <v>864.83069381183179</v>
      </c>
      <c r="H329" s="26">
        <f t="shared" si="78"/>
        <v>23.328219298915386</v>
      </c>
      <c r="I329" s="27">
        <f t="shared" si="71"/>
        <v>13023.57426823009</v>
      </c>
      <c r="K329" s="18">
        <f t="shared" si="73"/>
        <v>0.80814392609941188</v>
      </c>
      <c r="L329" s="22">
        <f t="shared" si="79"/>
        <v>1.6999999999999999E-3</v>
      </c>
      <c r="N329" s="13">
        <f t="shared" si="80"/>
        <v>7486.4164222874242</v>
      </c>
      <c r="O329" s="13">
        <f t="shared" si="81"/>
        <v>521.35500455960732</v>
      </c>
      <c r="X329" s="1">
        <f t="shared" si="74"/>
        <v>-864.83069381183179</v>
      </c>
    </row>
    <row r="330" spans="1:24" x14ac:dyDescent="0.2">
      <c r="A330" s="7">
        <f t="shared" si="72"/>
        <v>5.8717837304616403E-2</v>
      </c>
      <c r="B330" s="4">
        <f t="shared" si="82"/>
        <v>324</v>
      </c>
      <c r="C330" s="4">
        <f t="shared" si="75"/>
        <v>18</v>
      </c>
      <c r="D330" s="8">
        <f t="shared" si="69"/>
        <v>1.5</v>
      </c>
      <c r="E330" s="23">
        <f t="shared" si="76"/>
        <v>83.133460620684403</v>
      </c>
      <c r="F330" s="24">
        <f t="shared" si="70"/>
        <v>723.53190379056059</v>
      </c>
      <c r="G330" s="25">
        <f t="shared" si="77"/>
        <v>861.66536441124504</v>
      </c>
      <c r="H330" s="26">
        <f t="shared" si="78"/>
        <v>22.140076255991151</v>
      </c>
      <c r="I330" s="27">
        <f t="shared" si="71"/>
        <v>12322.18244069552</v>
      </c>
      <c r="K330" s="18">
        <f t="shared" si="73"/>
        <v>0.81399561419509225</v>
      </c>
      <c r="L330" s="22">
        <f t="shared" si="79"/>
        <v>1.6999999999999999E-3</v>
      </c>
      <c r="N330" s="13">
        <f t="shared" si="80"/>
        <v>7070.5043988270118</v>
      </c>
      <c r="O330" s="13">
        <f t="shared" si="81"/>
        <v>518.70011081754456</v>
      </c>
      <c r="X330" s="1">
        <f t="shared" si="74"/>
        <v>-861.66536441124504</v>
      </c>
    </row>
    <row r="331" spans="1:24" x14ac:dyDescent="0.2">
      <c r="A331" s="7">
        <f t="shared" si="72"/>
        <v>6.2387312916045393E-2</v>
      </c>
      <c r="B331" s="4">
        <f t="shared" si="82"/>
        <v>325</v>
      </c>
      <c r="C331" s="4">
        <f t="shared" si="75"/>
        <v>17</v>
      </c>
      <c r="D331" s="8">
        <f t="shared" ref="D331:D394" si="83">C331/12</f>
        <v>1.4166666666666667</v>
      </c>
      <c r="E331" s="23">
        <f t="shared" si="76"/>
        <v>78.656261913701542</v>
      </c>
      <c r="F331" s="24">
        <f t="shared" si="70"/>
        <v>724.83426121738353</v>
      </c>
      <c r="G331" s="25">
        <f t="shared" si="77"/>
        <v>858.49052313108507</v>
      </c>
      <c r="H331" s="26">
        <f t="shared" si="78"/>
        <v>20.947710149182384</v>
      </c>
      <c r="I331" s="27">
        <f t="shared" si="71"/>
        <v>11618.295889627319</v>
      </c>
      <c r="K331" s="18">
        <f t="shared" si="73"/>
        <v>0.81991184771730197</v>
      </c>
      <c r="L331" s="22">
        <f t="shared" si="79"/>
        <v>1.6999999999999999E-3</v>
      </c>
      <c r="N331" s="13">
        <f t="shared" si="80"/>
        <v>6654.5923753665993</v>
      </c>
      <c r="O331" s="13">
        <f t="shared" si="81"/>
        <v>516.04521707548156</v>
      </c>
      <c r="X331" s="1">
        <f t="shared" si="74"/>
        <v>-858.49052313108507</v>
      </c>
    </row>
    <row r="332" spans="1:24" x14ac:dyDescent="0.2">
      <c r="A332" s="7">
        <f t="shared" si="72"/>
        <v>6.6545996592844978E-2</v>
      </c>
      <c r="B332" s="4">
        <f t="shared" si="82"/>
        <v>326</v>
      </c>
      <c r="C332" s="4">
        <f t="shared" si="75"/>
        <v>16</v>
      </c>
      <c r="D332" s="8">
        <f t="shared" si="83"/>
        <v>1.3333333333333333</v>
      </c>
      <c r="E332" s="23">
        <f t="shared" si="76"/>
        <v>74.163138622854746</v>
      </c>
      <c r="F332" s="24">
        <f t="shared" si="70"/>
        <v>726.14349310170746</v>
      </c>
      <c r="G332" s="25">
        <f t="shared" si="77"/>
        <v>855.30663172456218</v>
      </c>
      <c r="H332" s="26">
        <f t="shared" si="78"/>
        <v>19.751103012366443</v>
      </c>
      <c r="I332" s="27">
        <f t="shared" si="71"/>
        <v>10911.903499537979</v>
      </c>
      <c r="K332" s="18">
        <f t="shared" si="73"/>
        <v>0.82589373668836863</v>
      </c>
      <c r="L332" s="22">
        <f t="shared" si="79"/>
        <v>1.6999999999999999E-3</v>
      </c>
      <c r="N332" s="13">
        <f t="shared" si="80"/>
        <v>6238.6803519061868</v>
      </c>
      <c r="O332" s="13">
        <f t="shared" si="81"/>
        <v>513.39032333341879</v>
      </c>
      <c r="X332" s="1">
        <f t="shared" si="74"/>
        <v>-855.30663172456218</v>
      </c>
    </row>
    <row r="333" spans="1:24" x14ac:dyDescent="0.2">
      <c r="A333" s="7">
        <f t="shared" si="72"/>
        <v>7.1298705928487402E-2</v>
      </c>
      <c r="B333" s="4">
        <f t="shared" si="82"/>
        <v>327</v>
      </c>
      <c r="C333" s="4">
        <f t="shared" si="75"/>
        <v>15</v>
      </c>
      <c r="D333" s="8">
        <f t="shared" si="83"/>
        <v>1.25</v>
      </c>
      <c r="E333" s="23">
        <f t="shared" si="76"/>
        <v>69.654019794585182</v>
      </c>
      <c r="F333" s="24">
        <f t="shared" ref="F333:F396" si="84">IF(C333&lt;1,0,I332/C333)</f>
        <v>727.46023330253195</v>
      </c>
      <c r="G333" s="25">
        <f t="shared" si="77"/>
        <v>852.11425309711717</v>
      </c>
      <c r="H333" s="26">
        <f t="shared" si="78"/>
        <v>18.550235949214564</v>
      </c>
      <c r="I333" s="27">
        <f t="shared" ref="I333:I396" si="85">IF(C333&lt;1,0,I332-F333+H333)</f>
        <v>10202.993502184661</v>
      </c>
      <c r="K333" s="18">
        <f t="shared" si="73"/>
        <v>0.8319424241252793</v>
      </c>
      <c r="L333" s="22">
        <f t="shared" si="79"/>
        <v>1.6999999999999999E-3</v>
      </c>
      <c r="N333" s="13">
        <f t="shared" si="80"/>
        <v>5822.7683284457744</v>
      </c>
      <c r="O333" s="13">
        <f t="shared" si="81"/>
        <v>510.7354295913558</v>
      </c>
      <c r="X333" s="1">
        <f t="shared" si="74"/>
        <v>-852.11425309711717</v>
      </c>
    </row>
    <row r="334" spans="1:24" x14ac:dyDescent="0.2">
      <c r="A334" s="7">
        <f t="shared" si="72"/>
        <v>7.6782505873861692E-2</v>
      </c>
      <c r="B334" s="4">
        <f t="shared" si="82"/>
        <v>328</v>
      </c>
      <c r="C334" s="4">
        <f t="shared" si="75"/>
        <v>14</v>
      </c>
      <c r="D334" s="8">
        <f t="shared" si="83"/>
        <v>1.1666666666666667</v>
      </c>
      <c r="E334" s="23">
        <f t="shared" si="76"/>
        <v>65.12883030859696</v>
      </c>
      <c r="F334" s="24">
        <f t="shared" si="84"/>
        <v>728.78525015604725</v>
      </c>
      <c r="G334" s="25">
        <f t="shared" si="77"/>
        <v>848.91408046464426</v>
      </c>
      <c r="H334" s="26">
        <f t="shared" si="78"/>
        <v>17.345088953713923</v>
      </c>
      <c r="I334" s="27">
        <f t="shared" si="85"/>
        <v>9491.5533409823292</v>
      </c>
      <c r="K334" s="18">
        <f t="shared" si="73"/>
        <v>0.83805908934027107</v>
      </c>
      <c r="L334" s="22">
        <f t="shared" si="79"/>
        <v>1.6999999999999999E-3</v>
      </c>
      <c r="N334" s="13">
        <f t="shared" si="80"/>
        <v>5406.8563049853619</v>
      </c>
      <c r="O334" s="13">
        <f t="shared" si="81"/>
        <v>508.08053584929291</v>
      </c>
      <c r="X334" s="1">
        <f t="shared" si="74"/>
        <v>-848.91408046464426</v>
      </c>
    </row>
    <row r="335" spans="1:24" x14ac:dyDescent="0.2">
      <c r="A335" s="7">
        <f t="shared" si="72"/>
        <v>8.3180143236206663E-2</v>
      </c>
      <c r="B335" s="4">
        <f t="shared" si="82"/>
        <v>329</v>
      </c>
      <c r="C335" s="4">
        <f t="shared" si="75"/>
        <v>13</v>
      </c>
      <c r="D335" s="8">
        <f t="shared" si="83"/>
        <v>1.0833333333333333</v>
      </c>
      <c r="E335" s="23">
        <f t="shared" si="76"/>
        <v>60.587490012364654</v>
      </c>
      <c r="F335" s="24">
        <f t="shared" si="84"/>
        <v>730.11948776787153</v>
      </c>
      <c r="G335" s="25">
        <f t="shared" si="77"/>
        <v>845.70697778023623</v>
      </c>
      <c r="H335" s="26">
        <f t="shared" si="78"/>
        <v>16.135640679669958</v>
      </c>
      <c r="I335" s="27">
        <f t="shared" si="85"/>
        <v>8777.5694938941269</v>
      </c>
      <c r="K335" s="18">
        <f t="shared" si="73"/>
        <v>0.84424495226730423</v>
      </c>
      <c r="L335" s="22">
        <f t="shared" si="79"/>
        <v>1.6999999999999999E-3</v>
      </c>
      <c r="N335" s="13">
        <f t="shared" si="80"/>
        <v>4990.9442815249495</v>
      </c>
      <c r="O335" s="13">
        <f t="shared" si="81"/>
        <v>505.42564210723003</v>
      </c>
      <c r="X335" s="1">
        <f t="shared" si="74"/>
        <v>-845.70697778023623</v>
      </c>
    </row>
    <row r="336" spans="1:24" x14ac:dyDescent="0.2">
      <c r="A336" s="7">
        <f t="shared" si="72"/>
        <v>9.0740807956154051E-2</v>
      </c>
      <c r="B336" s="4">
        <f t="shared" si="82"/>
        <v>330</v>
      </c>
      <c r="C336" s="4">
        <f t="shared" si="75"/>
        <v>12</v>
      </c>
      <c r="D336" s="8">
        <f t="shared" si="83"/>
        <v>1</v>
      </c>
      <c r="E336" s="23">
        <f t="shared" si="76"/>
        <v>56.029912590588388</v>
      </c>
      <c r="F336" s="24">
        <f t="shared" si="84"/>
        <v>731.46412449117724</v>
      </c>
      <c r="G336" s="25">
        <f t="shared" si="77"/>
        <v>842.49403708176567</v>
      </c>
      <c r="H336" s="26">
        <f t="shared" si="78"/>
        <v>14.921868139620015</v>
      </c>
      <c r="I336" s="27">
        <f t="shared" si="85"/>
        <v>8061.0272375425693</v>
      </c>
      <c r="K336" s="18">
        <f t="shared" si="73"/>
        <v>0.85050127931293062</v>
      </c>
      <c r="L336" s="22">
        <f t="shared" si="79"/>
        <v>1.6999999999999999E-3</v>
      </c>
      <c r="N336" s="13">
        <f t="shared" si="80"/>
        <v>4575.032258064537</v>
      </c>
      <c r="O336" s="13">
        <f t="shared" si="81"/>
        <v>502.77074836516715</v>
      </c>
      <c r="X336" s="1">
        <f t="shared" si="74"/>
        <v>-842.49403708176567</v>
      </c>
    </row>
    <row r="337" spans="1:24" x14ac:dyDescent="0.2">
      <c r="A337" s="7">
        <f t="shared" si="72"/>
        <v>9.9813349037300256E-2</v>
      </c>
      <c r="B337" s="4">
        <f t="shared" si="82"/>
        <v>331</v>
      </c>
      <c r="C337" s="4">
        <f t="shared" si="75"/>
        <v>11</v>
      </c>
      <c r="D337" s="8">
        <f t="shared" si="83"/>
        <v>0.91666666666666663</v>
      </c>
      <c r="E337" s="23">
        <f t="shared" si="76"/>
        <v>51.456004059443359</v>
      </c>
      <c r="F337" s="24">
        <f t="shared" si="84"/>
        <v>732.82065795841538</v>
      </c>
      <c r="G337" s="25">
        <f t="shared" si="77"/>
        <v>839.27666201785871</v>
      </c>
      <c r="H337" s="26">
        <f t="shared" si="78"/>
        <v>13.703746303822367</v>
      </c>
      <c r="I337" s="27">
        <f t="shared" si="85"/>
        <v>7341.9103258879759</v>
      </c>
      <c r="K337" s="18">
        <f t="shared" si="73"/>
        <v>0.85682939154489568</v>
      </c>
      <c r="L337" s="22">
        <f t="shared" si="79"/>
        <v>1.6999999999999999E-3</v>
      </c>
      <c r="N337" s="13">
        <f t="shared" si="80"/>
        <v>4159.1202346041246</v>
      </c>
      <c r="O337" s="13">
        <f t="shared" si="81"/>
        <v>500.11585462310427</v>
      </c>
      <c r="X337" s="1">
        <f t="shared" si="74"/>
        <v>-839.27666201785871</v>
      </c>
    </row>
    <row r="338" spans="1:24" x14ac:dyDescent="0.2">
      <c r="A338" s="7">
        <f t="shared" si="72"/>
        <v>0.11090163025396474</v>
      </c>
      <c r="B338" s="4">
        <f t="shared" si="82"/>
        <v>332</v>
      </c>
      <c r="C338" s="4">
        <f t="shared" si="75"/>
        <v>10</v>
      </c>
      <c r="D338" s="8">
        <f t="shared" si="83"/>
        <v>0.83333333333333337</v>
      </c>
      <c r="E338" s="23">
        <f t="shared" si="76"/>
        <v>46.865660715485923</v>
      </c>
      <c r="F338" s="24">
        <f t="shared" si="84"/>
        <v>734.19103258879761</v>
      </c>
      <c r="G338" s="25">
        <f t="shared" si="77"/>
        <v>836.0566933042835</v>
      </c>
      <c r="H338" s="26">
        <f t="shared" si="78"/>
        <v>12.481247554009558</v>
      </c>
      <c r="I338" s="27">
        <f t="shared" si="85"/>
        <v>6620.2005408531877</v>
      </c>
      <c r="K338" s="18">
        <f t="shared" si="73"/>
        <v>0.86323067659733599</v>
      </c>
      <c r="L338" s="22">
        <f t="shared" si="79"/>
        <v>1.6999999999999999E-3</v>
      </c>
      <c r="N338" s="13">
        <f t="shared" si="80"/>
        <v>3743.2082111437121</v>
      </c>
      <c r="O338" s="13">
        <f t="shared" si="81"/>
        <v>497.46096088104139</v>
      </c>
      <c r="X338" s="1">
        <f t="shared" si="74"/>
        <v>-836.0566933042835</v>
      </c>
    </row>
    <row r="339" spans="1:24" x14ac:dyDescent="0.2">
      <c r="A339" s="7">
        <f t="shared" si="72"/>
        <v>0.12476139383429191</v>
      </c>
      <c r="B339" s="4">
        <f t="shared" si="82"/>
        <v>333</v>
      </c>
      <c r="C339" s="4">
        <f t="shared" si="75"/>
        <v>9</v>
      </c>
      <c r="D339" s="8">
        <f t="shared" si="83"/>
        <v>0.75</v>
      </c>
      <c r="E339" s="23">
        <f t="shared" si="76"/>
        <v>42.258766267153653</v>
      </c>
      <c r="F339" s="24">
        <f t="shared" si="84"/>
        <v>735.57783787257642</v>
      </c>
      <c r="G339" s="25">
        <f t="shared" si="77"/>
        <v>832.83660413973007</v>
      </c>
      <c r="H339" s="26">
        <f t="shared" si="78"/>
        <v>11.254340919450419</v>
      </c>
      <c r="I339" s="27">
        <f t="shared" si="85"/>
        <v>5895.8770439000618</v>
      </c>
      <c r="K339" s="18">
        <f t="shared" si="73"/>
        <v>0.86970660673747457</v>
      </c>
      <c r="L339" s="22">
        <f t="shared" si="79"/>
        <v>1.6999999999999999E-3</v>
      </c>
      <c r="N339" s="13">
        <f t="shared" si="80"/>
        <v>3327.2961876832996</v>
      </c>
      <c r="O339" s="13">
        <f t="shared" si="81"/>
        <v>494.80606713897851</v>
      </c>
      <c r="X339" s="1">
        <f t="shared" si="74"/>
        <v>-832.83660413973007</v>
      </c>
    </row>
    <row r="340" spans="1:24" x14ac:dyDescent="0.2">
      <c r="A340" s="7">
        <f t="shared" si="72"/>
        <v>0.14258013003307859</v>
      </c>
      <c r="B340" s="4">
        <f t="shared" si="82"/>
        <v>334</v>
      </c>
      <c r="C340" s="4">
        <f t="shared" si="75"/>
        <v>8</v>
      </c>
      <c r="D340" s="8">
        <f t="shared" si="83"/>
        <v>0.66666666666666663</v>
      </c>
      <c r="E340" s="23">
        <f t="shared" si="76"/>
        <v>37.635187695679633</v>
      </c>
      <c r="F340" s="24">
        <f t="shared" si="84"/>
        <v>736.98463048750773</v>
      </c>
      <c r="G340" s="25">
        <f t="shared" si="77"/>
        <v>829.61981818318736</v>
      </c>
      <c r="H340" s="26">
        <f t="shared" si="78"/>
        <v>10.022990974630105</v>
      </c>
      <c r="I340" s="27">
        <f t="shared" si="85"/>
        <v>5168.915404387184</v>
      </c>
      <c r="K340" s="18">
        <f t="shared" si="73"/>
        <v>0.87625876766646627</v>
      </c>
      <c r="L340" s="22">
        <f t="shared" si="79"/>
        <v>1.6999999999999999E-3</v>
      </c>
      <c r="N340" s="13">
        <f t="shared" si="80"/>
        <v>2911.3841642228872</v>
      </c>
      <c r="O340" s="13">
        <f t="shared" si="81"/>
        <v>492.15117339691557</v>
      </c>
      <c r="X340" s="1">
        <f t="shared" si="74"/>
        <v>-829.61981818318736</v>
      </c>
    </row>
    <row r="341" spans="1:24" x14ac:dyDescent="0.2">
      <c r="A341" s="7">
        <f t="shared" si="72"/>
        <v>0.16633676541525971</v>
      </c>
      <c r="B341" s="4">
        <f t="shared" si="82"/>
        <v>335</v>
      </c>
      <c r="C341" s="4">
        <f t="shared" si="75"/>
        <v>7</v>
      </c>
      <c r="D341" s="8">
        <f t="shared" si="83"/>
        <v>0.58333333333333337</v>
      </c>
      <c r="E341" s="23">
        <f t="shared" si="76"/>
        <v>32.994769052802333</v>
      </c>
      <c r="F341" s="24">
        <f t="shared" si="84"/>
        <v>738.41648634102626</v>
      </c>
      <c r="G341" s="25">
        <f t="shared" si="77"/>
        <v>826.41125539382858</v>
      </c>
      <c r="H341" s="26">
        <f t="shared" si="78"/>
        <v>8.787156187458212</v>
      </c>
      <c r="I341" s="27">
        <f t="shared" si="85"/>
        <v>4439.2860742336161</v>
      </c>
      <c r="K341" s="18">
        <f t="shared" si="73"/>
        <v>0.88288890717716706</v>
      </c>
      <c r="L341" s="22">
        <f t="shared" si="79"/>
        <v>1.6999999999999999E-3</v>
      </c>
      <c r="N341" s="13">
        <f t="shared" si="80"/>
        <v>2495.4721407624747</v>
      </c>
      <c r="O341" s="13">
        <f t="shared" si="81"/>
        <v>489.49627965485269</v>
      </c>
      <c r="X341" s="1">
        <f t="shared" si="74"/>
        <v>-826.41125539382858</v>
      </c>
    </row>
    <row r="342" spans="1:24" x14ac:dyDescent="0.2">
      <c r="A342" s="7">
        <f t="shared" si="72"/>
        <v>0.19959283062552391</v>
      </c>
      <c r="B342" s="4">
        <f t="shared" si="82"/>
        <v>336</v>
      </c>
      <c r="C342" s="4">
        <f t="shared" si="75"/>
        <v>6</v>
      </c>
      <c r="D342" s="8">
        <f t="shared" si="83"/>
        <v>0.5</v>
      </c>
      <c r="E342" s="23">
        <f t="shared" si="76"/>
        <v>28.337321724077476</v>
      </c>
      <c r="F342" s="24">
        <f t="shared" si="84"/>
        <v>739.88101237226931</v>
      </c>
      <c r="G342" s="25">
        <f t="shared" si="77"/>
        <v>823.21833409634678</v>
      </c>
      <c r="H342" s="26">
        <f t="shared" si="78"/>
        <v>7.5467863261971466</v>
      </c>
      <c r="I342" s="27">
        <f t="shared" si="85"/>
        <v>3706.9518481875439</v>
      </c>
      <c r="K342" s="18">
        <f t="shared" si="73"/>
        <v>0.88959902338662222</v>
      </c>
      <c r="L342" s="22">
        <f t="shared" si="79"/>
        <v>1.6999999999999999E-3</v>
      </c>
      <c r="N342" s="13">
        <f t="shared" si="80"/>
        <v>2079.5601173020623</v>
      </c>
      <c r="O342" s="13">
        <f t="shared" si="81"/>
        <v>486.8413859127898</v>
      </c>
      <c r="X342" s="1">
        <f t="shared" si="74"/>
        <v>-823.21833409634678</v>
      </c>
    </row>
    <row r="343" spans="1:24" x14ac:dyDescent="0.2">
      <c r="A343" s="7">
        <f t="shared" si="72"/>
        <v>0.24946987651241112</v>
      </c>
      <c r="B343" s="4">
        <f t="shared" si="82"/>
        <v>337</v>
      </c>
      <c r="C343" s="4">
        <f t="shared" si="75"/>
        <v>5</v>
      </c>
      <c r="D343" s="8">
        <f t="shared" si="83"/>
        <v>0.41666666666666669</v>
      </c>
      <c r="E343" s="23">
        <f t="shared" si="76"/>
        <v>23.662608216995498</v>
      </c>
      <c r="F343" s="24">
        <f t="shared" si="84"/>
        <v>741.3903696375088</v>
      </c>
      <c r="G343" s="25">
        <f t="shared" si="77"/>
        <v>820.05297785450432</v>
      </c>
      <c r="H343" s="26">
        <f t="shared" si="78"/>
        <v>6.3018181419188242</v>
      </c>
      <c r="I343" s="27">
        <f t="shared" si="85"/>
        <v>2971.863296691954</v>
      </c>
      <c r="K343" s="18">
        <f t="shared" si="73"/>
        <v>0.89639153975002217</v>
      </c>
      <c r="L343" s="22">
        <f t="shared" si="79"/>
        <v>1.6999999999999999E-3</v>
      </c>
      <c r="N343" s="13">
        <f t="shared" si="80"/>
        <v>1663.6480938416498</v>
      </c>
      <c r="O343" s="13">
        <f t="shared" si="81"/>
        <v>484.18649217072692</v>
      </c>
      <c r="X343" s="1">
        <f t="shared" si="74"/>
        <v>-820.05297785450432</v>
      </c>
    </row>
    <row r="344" spans="1:24" x14ac:dyDescent="0.2">
      <c r="A344" s="7">
        <f t="shared" si="72"/>
        <v>0.33257948649727287</v>
      </c>
      <c r="B344" s="4">
        <f t="shared" si="82"/>
        <v>338</v>
      </c>
      <c r="C344" s="4">
        <f t="shared" si="75"/>
        <v>4</v>
      </c>
      <c r="D344" s="8">
        <f t="shared" si="83"/>
        <v>0.33333333333333331</v>
      </c>
      <c r="E344" s="23">
        <f t="shared" si="76"/>
        <v>18.970313007565291</v>
      </c>
      <c r="F344" s="24">
        <f t="shared" si="84"/>
        <v>742.9658241729885</v>
      </c>
      <c r="G344" s="25">
        <f t="shared" si="77"/>
        <v>816.93613718055383</v>
      </c>
      <c r="H344" s="26">
        <f t="shared" si="78"/>
        <v>5.0521676043763213</v>
      </c>
      <c r="I344" s="27">
        <f t="shared" si="85"/>
        <v>2233.9496401233419</v>
      </c>
      <c r="K344" s="18">
        <f t="shared" si="73"/>
        <v>0.90326969635023424</v>
      </c>
      <c r="L344" s="22">
        <f t="shared" si="79"/>
        <v>1.6999999999999999E-3</v>
      </c>
      <c r="N344" s="13">
        <f t="shared" si="80"/>
        <v>1247.7360703812374</v>
      </c>
      <c r="O344" s="13">
        <f t="shared" si="81"/>
        <v>481.53159842866404</v>
      </c>
      <c r="X344" s="1">
        <f t="shared" si="74"/>
        <v>-816.93613718055383</v>
      </c>
    </row>
    <row r="345" spans="1:24" x14ac:dyDescent="0.2">
      <c r="A345" s="7">
        <f t="shared" si="72"/>
        <v>0.49872824298040008</v>
      </c>
      <c r="B345" s="4">
        <f t="shared" si="82"/>
        <v>339</v>
      </c>
      <c r="C345" s="4">
        <f t="shared" si="75"/>
        <v>3</v>
      </c>
      <c r="D345" s="8">
        <f t="shared" si="83"/>
        <v>0.25</v>
      </c>
      <c r="E345" s="23">
        <f t="shared" si="76"/>
        <v>14.259984287786828</v>
      </c>
      <c r="F345" s="24">
        <f t="shared" si="84"/>
        <v>744.64988004111399</v>
      </c>
      <c r="G345" s="25">
        <f t="shared" si="77"/>
        <v>813.90986432890077</v>
      </c>
      <c r="H345" s="26">
        <f t="shared" si="78"/>
        <v>3.7977143882096809</v>
      </c>
      <c r="I345" s="27">
        <f t="shared" si="85"/>
        <v>1493.0974744704374</v>
      </c>
      <c r="K345" s="18">
        <f t="shared" si="73"/>
        <v>0.91023858798389767</v>
      </c>
      <c r="L345" s="22">
        <f t="shared" si="79"/>
        <v>1.6999999999999999E-3</v>
      </c>
      <c r="N345" s="13">
        <f t="shared" si="80"/>
        <v>831.82404692082491</v>
      </c>
      <c r="O345" s="13">
        <f t="shared" si="81"/>
        <v>478.8767046866011</v>
      </c>
      <c r="X345" s="1">
        <f t="shared" si="74"/>
        <v>-813.90986432890077</v>
      </c>
    </row>
    <row r="346" spans="1:24" x14ac:dyDescent="0.2">
      <c r="A346" s="7">
        <f t="shared" si="72"/>
        <v>0.99661152082918081</v>
      </c>
      <c r="B346" s="4">
        <f t="shared" si="82"/>
        <v>340</v>
      </c>
      <c r="C346" s="4">
        <f t="shared" si="75"/>
        <v>2</v>
      </c>
      <c r="D346" s="8">
        <f t="shared" si="83"/>
        <v>0.16666666666666666</v>
      </c>
      <c r="E346" s="23">
        <f t="shared" si="76"/>
        <v>9.5308981651471232</v>
      </c>
      <c r="F346" s="24">
        <f t="shared" si="84"/>
        <v>746.54873723521871</v>
      </c>
      <c r="G346" s="25">
        <f t="shared" si="77"/>
        <v>811.07963540036587</v>
      </c>
      <c r="H346" s="26">
        <f t="shared" si="78"/>
        <v>2.5382657065997436</v>
      </c>
      <c r="I346" s="27">
        <f t="shared" si="85"/>
        <v>749.08700294181847</v>
      </c>
      <c r="K346" s="18">
        <f t="shared" si="73"/>
        <v>0.91730878085893475</v>
      </c>
      <c r="L346" s="22">
        <f t="shared" si="79"/>
        <v>1.6999999999999999E-3</v>
      </c>
      <c r="N346" s="13">
        <f t="shared" si="80"/>
        <v>415.91202346041246</v>
      </c>
      <c r="O346" s="13">
        <f t="shared" si="81"/>
        <v>476.22181094453822</v>
      </c>
      <c r="X346" s="1">
        <f t="shared" si="74"/>
        <v>-811.07963540036587</v>
      </c>
    </row>
    <row r="347" spans="1:24" x14ac:dyDescent="0.2">
      <c r="A347" s="7">
        <f t="shared" si="72"/>
        <v>588.23529411764707</v>
      </c>
      <c r="B347" s="4">
        <f t="shared" si="82"/>
        <v>341</v>
      </c>
      <c r="C347" s="4">
        <f t="shared" si="75"/>
        <v>1</v>
      </c>
      <c r="D347" s="8">
        <f t="shared" si="83"/>
        <v>8.3333333333333329E-2</v>
      </c>
      <c r="E347" s="23">
        <f t="shared" si="76"/>
        <v>4.7816516094543111</v>
      </c>
      <c r="F347" s="24">
        <f t="shared" si="84"/>
        <v>749.08700294181847</v>
      </c>
      <c r="G347" s="25">
        <f t="shared" si="77"/>
        <v>808.86865455127281</v>
      </c>
      <c r="H347" s="26">
        <f t="shared" si="78"/>
        <v>1.2734479050010914</v>
      </c>
      <c r="I347" s="27">
        <f t="shared" si="85"/>
        <v>1.2734479050010914</v>
      </c>
      <c r="K347" s="18">
        <f t="shared" si="73"/>
        <v>0.92451790637340714</v>
      </c>
      <c r="L347" s="22">
        <f t="shared" si="79"/>
        <v>1.6999999999999999E-3</v>
      </c>
      <c r="N347" s="13">
        <f t="shared" si="80"/>
        <v>0</v>
      </c>
      <c r="O347" s="13">
        <f t="shared" si="81"/>
        <v>473.56691720247534</v>
      </c>
      <c r="X347" s="1">
        <f t="shared" si="74"/>
        <v>-808.86865455127281</v>
      </c>
    </row>
    <row r="348" spans="1:24" x14ac:dyDescent="0.2">
      <c r="A348" s="7" t="e">
        <f t="shared" si="72"/>
        <v>#DIV/0!</v>
      </c>
      <c r="B348" s="4">
        <f t="shared" si="82"/>
        <v>342</v>
      </c>
      <c r="C348" s="4">
        <f t="shared" si="75"/>
        <v>0</v>
      </c>
      <c r="D348" s="8">
        <f t="shared" si="83"/>
        <v>0</v>
      </c>
      <c r="E348" s="23">
        <f t="shared" si="76"/>
        <v>8.1288077360723299E-3</v>
      </c>
      <c r="F348" s="24">
        <f t="shared" si="84"/>
        <v>0</v>
      </c>
      <c r="G348" s="25">
        <f t="shared" si="77"/>
        <v>0</v>
      </c>
      <c r="H348" s="26">
        <f t="shared" si="78"/>
        <v>2.1648614385018552E-3</v>
      </c>
      <c r="I348" s="27">
        <f t="shared" si="85"/>
        <v>0</v>
      </c>
      <c r="K348" s="18">
        <f t="shared" si="73"/>
        <v>0</v>
      </c>
      <c r="L348" s="22">
        <f t="shared" si="79"/>
        <v>1.6999999999999999E-3</v>
      </c>
      <c r="N348" s="13">
        <f t="shared" si="80"/>
        <v>0</v>
      </c>
      <c r="O348" s="13">
        <f t="shared" si="81"/>
        <v>0</v>
      </c>
      <c r="X348" s="1">
        <f t="shared" si="74"/>
        <v>0</v>
      </c>
    </row>
    <row r="349" spans="1:24" x14ac:dyDescent="0.2">
      <c r="A349" s="7" t="e">
        <f t="shared" si="72"/>
        <v>#DIV/0!</v>
      </c>
      <c r="B349" s="4">
        <f t="shared" si="82"/>
        <v>343</v>
      </c>
      <c r="C349" s="4">
        <f t="shared" si="75"/>
        <v>0</v>
      </c>
      <c r="D349" s="8">
        <f t="shared" si="83"/>
        <v>0</v>
      </c>
      <c r="E349" s="23">
        <f t="shared" si="76"/>
        <v>0</v>
      </c>
      <c r="F349" s="24">
        <f t="shared" si="84"/>
        <v>0</v>
      </c>
      <c r="G349" s="25">
        <f t="shared" si="77"/>
        <v>0</v>
      </c>
      <c r="H349" s="26">
        <f t="shared" si="78"/>
        <v>0</v>
      </c>
      <c r="I349" s="27">
        <f t="shared" si="85"/>
        <v>0</v>
      </c>
      <c r="K349" s="18">
        <f t="shared" si="73"/>
        <v>0</v>
      </c>
      <c r="L349" s="22">
        <f t="shared" si="79"/>
        <v>1.6999999999999999E-3</v>
      </c>
      <c r="N349" s="13">
        <f t="shared" si="80"/>
        <v>0</v>
      </c>
      <c r="O349" s="13">
        <f t="shared" si="81"/>
        <v>0</v>
      </c>
      <c r="X349" s="1">
        <f t="shared" si="74"/>
        <v>0</v>
      </c>
    </row>
    <row r="350" spans="1:24" x14ac:dyDescent="0.2">
      <c r="A350" s="7" t="e">
        <f t="shared" si="72"/>
        <v>#DIV/0!</v>
      </c>
      <c r="B350" s="4">
        <f t="shared" si="82"/>
        <v>344</v>
      </c>
      <c r="C350" s="4">
        <f t="shared" si="75"/>
        <v>0</v>
      </c>
      <c r="D350" s="8">
        <f t="shared" si="83"/>
        <v>0</v>
      </c>
      <c r="E350" s="23">
        <f t="shared" si="76"/>
        <v>0</v>
      </c>
      <c r="F350" s="24">
        <f t="shared" si="84"/>
        <v>0</v>
      </c>
      <c r="G350" s="25">
        <f t="shared" si="77"/>
        <v>0</v>
      </c>
      <c r="H350" s="26">
        <f t="shared" si="78"/>
        <v>0</v>
      </c>
      <c r="I350" s="27">
        <f t="shared" si="85"/>
        <v>0</v>
      </c>
      <c r="K350" s="18">
        <f t="shared" si="73"/>
        <v>0</v>
      </c>
      <c r="L350" s="22">
        <f t="shared" si="79"/>
        <v>1.6999999999999999E-3</v>
      </c>
      <c r="N350" s="13">
        <f t="shared" si="80"/>
        <v>0</v>
      </c>
      <c r="O350" s="13">
        <f t="shared" si="81"/>
        <v>0</v>
      </c>
      <c r="X350" s="1">
        <f t="shared" si="74"/>
        <v>0</v>
      </c>
    </row>
    <row r="351" spans="1:24" x14ac:dyDescent="0.2">
      <c r="A351" s="7" t="e">
        <f t="shared" si="72"/>
        <v>#DIV/0!</v>
      </c>
      <c r="B351" s="4">
        <f t="shared" si="82"/>
        <v>345</v>
      </c>
      <c r="C351" s="4">
        <f t="shared" si="75"/>
        <v>0</v>
      </c>
      <c r="D351" s="8">
        <f t="shared" si="83"/>
        <v>0</v>
      </c>
      <c r="E351" s="23">
        <f t="shared" si="76"/>
        <v>0</v>
      </c>
      <c r="F351" s="24">
        <f t="shared" si="84"/>
        <v>0</v>
      </c>
      <c r="G351" s="25">
        <f t="shared" si="77"/>
        <v>0</v>
      </c>
      <c r="H351" s="26">
        <f t="shared" si="78"/>
        <v>0</v>
      </c>
      <c r="I351" s="27">
        <f t="shared" si="85"/>
        <v>0</v>
      </c>
      <c r="K351" s="18">
        <f t="shared" si="73"/>
        <v>0</v>
      </c>
      <c r="L351" s="22">
        <f t="shared" si="79"/>
        <v>1.6999999999999999E-3</v>
      </c>
      <c r="N351" s="13">
        <f t="shared" si="80"/>
        <v>0</v>
      </c>
      <c r="O351" s="13">
        <f t="shared" si="81"/>
        <v>0</v>
      </c>
      <c r="X351" s="1">
        <f t="shared" si="74"/>
        <v>0</v>
      </c>
    </row>
    <row r="352" spans="1:24" x14ac:dyDescent="0.2">
      <c r="A352" s="7" t="e">
        <f t="shared" si="72"/>
        <v>#DIV/0!</v>
      </c>
      <c r="B352" s="4">
        <f t="shared" si="82"/>
        <v>346</v>
      </c>
      <c r="C352" s="4">
        <f t="shared" si="75"/>
        <v>0</v>
      </c>
      <c r="D352" s="8">
        <f t="shared" si="83"/>
        <v>0</v>
      </c>
      <c r="E352" s="23">
        <f t="shared" si="76"/>
        <v>0</v>
      </c>
      <c r="F352" s="24">
        <f t="shared" si="84"/>
        <v>0</v>
      </c>
      <c r="G352" s="25">
        <f t="shared" si="77"/>
        <v>0</v>
      </c>
      <c r="H352" s="26">
        <f t="shared" si="78"/>
        <v>0</v>
      </c>
      <c r="I352" s="27">
        <f t="shared" si="85"/>
        <v>0</v>
      </c>
      <c r="K352" s="18">
        <f t="shared" si="73"/>
        <v>0</v>
      </c>
      <c r="L352" s="22">
        <f t="shared" si="79"/>
        <v>1.6999999999999999E-3</v>
      </c>
      <c r="N352" s="13">
        <f t="shared" si="80"/>
        <v>0</v>
      </c>
      <c r="O352" s="13">
        <f t="shared" si="81"/>
        <v>0</v>
      </c>
      <c r="X352" s="1">
        <f t="shared" si="74"/>
        <v>0</v>
      </c>
    </row>
    <row r="353" spans="1:24" x14ac:dyDescent="0.2">
      <c r="A353" s="7" t="e">
        <f t="shared" si="72"/>
        <v>#DIV/0!</v>
      </c>
      <c r="B353" s="4">
        <f t="shared" si="82"/>
        <v>347</v>
      </c>
      <c r="C353" s="4">
        <f t="shared" si="75"/>
        <v>0</v>
      </c>
      <c r="D353" s="8">
        <f t="shared" si="83"/>
        <v>0</v>
      </c>
      <c r="E353" s="23">
        <f t="shared" si="76"/>
        <v>0</v>
      </c>
      <c r="F353" s="24">
        <f t="shared" si="84"/>
        <v>0</v>
      </c>
      <c r="G353" s="25">
        <f t="shared" si="77"/>
        <v>0</v>
      </c>
      <c r="H353" s="26">
        <f t="shared" si="78"/>
        <v>0</v>
      </c>
      <c r="I353" s="27">
        <f t="shared" si="85"/>
        <v>0</v>
      </c>
      <c r="K353" s="18">
        <f t="shared" si="73"/>
        <v>0</v>
      </c>
      <c r="L353" s="22">
        <f t="shared" si="79"/>
        <v>1.6999999999999999E-3</v>
      </c>
      <c r="N353" s="13">
        <f t="shared" si="80"/>
        <v>0</v>
      </c>
      <c r="O353" s="13">
        <f t="shared" si="81"/>
        <v>0</v>
      </c>
      <c r="X353" s="1">
        <f t="shared" si="74"/>
        <v>0</v>
      </c>
    </row>
    <row r="354" spans="1:24" x14ac:dyDescent="0.2">
      <c r="A354" s="7" t="e">
        <f t="shared" si="72"/>
        <v>#DIV/0!</v>
      </c>
      <c r="B354" s="4">
        <f t="shared" si="82"/>
        <v>348</v>
      </c>
      <c r="C354" s="4">
        <f t="shared" si="75"/>
        <v>0</v>
      </c>
      <c r="D354" s="8">
        <f t="shared" si="83"/>
        <v>0</v>
      </c>
      <c r="E354" s="23">
        <f t="shared" si="76"/>
        <v>0</v>
      </c>
      <c r="F354" s="24">
        <f t="shared" si="84"/>
        <v>0</v>
      </c>
      <c r="G354" s="25">
        <f t="shared" si="77"/>
        <v>0</v>
      </c>
      <c r="H354" s="26">
        <f t="shared" si="78"/>
        <v>0</v>
      </c>
      <c r="I354" s="27">
        <f t="shared" si="85"/>
        <v>0</v>
      </c>
      <c r="K354" s="18">
        <f t="shared" si="73"/>
        <v>0</v>
      </c>
      <c r="L354" s="22">
        <f t="shared" si="79"/>
        <v>1.6999999999999999E-3</v>
      </c>
      <c r="N354" s="13">
        <f t="shared" si="80"/>
        <v>0</v>
      </c>
      <c r="O354" s="13">
        <f t="shared" si="81"/>
        <v>0</v>
      </c>
      <c r="X354" s="1">
        <f t="shared" si="74"/>
        <v>0</v>
      </c>
    </row>
    <row r="355" spans="1:24" x14ac:dyDescent="0.2">
      <c r="A355" s="7" t="e">
        <f t="shared" si="72"/>
        <v>#DIV/0!</v>
      </c>
      <c r="B355" s="4">
        <f t="shared" si="82"/>
        <v>349</v>
      </c>
      <c r="C355" s="4">
        <f t="shared" si="75"/>
        <v>0</v>
      </c>
      <c r="D355" s="8">
        <f t="shared" si="83"/>
        <v>0</v>
      </c>
      <c r="E355" s="23">
        <f t="shared" si="76"/>
        <v>0</v>
      </c>
      <c r="F355" s="24">
        <f t="shared" si="84"/>
        <v>0</v>
      </c>
      <c r="G355" s="25">
        <f t="shared" si="77"/>
        <v>0</v>
      </c>
      <c r="H355" s="26">
        <f t="shared" si="78"/>
        <v>0</v>
      </c>
      <c r="I355" s="27">
        <f t="shared" si="85"/>
        <v>0</v>
      </c>
      <c r="K355" s="18">
        <f t="shared" si="73"/>
        <v>0</v>
      </c>
      <c r="L355" s="22">
        <f t="shared" si="79"/>
        <v>1.6999999999999999E-3</v>
      </c>
      <c r="N355" s="13">
        <f t="shared" si="80"/>
        <v>0</v>
      </c>
      <c r="O355" s="13">
        <f t="shared" si="81"/>
        <v>0</v>
      </c>
      <c r="X355" s="1">
        <f t="shared" si="74"/>
        <v>0</v>
      </c>
    </row>
    <row r="356" spans="1:24" x14ac:dyDescent="0.2">
      <c r="A356" s="7" t="e">
        <f t="shared" si="72"/>
        <v>#DIV/0!</v>
      </c>
      <c r="B356" s="4">
        <f t="shared" si="82"/>
        <v>350</v>
      </c>
      <c r="C356" s="4">
        <f t="shared" si="75"/>
        <v>0</v>
      </c>
      <c r="D356" s="8">
        <f t="shared" si="83"/>
        <v>0</v>
      </c>
      <c r="E356" s="23">
        <f t="shared" si="76"/>
        <v>0</v>
      </c>
      <c r="F356" s="24">
        <f t="shared" si="84"/>
        <v>0</v>
      </c>
      <c r="G356" s="25">
        <f t="shared" si="77"/>
        <v>0</v>
      </c>
      <c r="H356" s="26">
        <f t="shared" si="78"/>
        <v>0</v>
      </c>
      <c r="I356" s="27">
        <f t="shared" si="85"/>
        <v>0</v>
      </c>
      <c r="K356" s="18">
        <f t="shared" si="73"/>
        <v>0</v>
      </c>
      <c r="L356" s="22">
        <f t="shared" si="79"/>
        <v>1.6999999999999999E-3</v>
      </c>
      <c r="N356" s="13">
        <f t="shared" si="80"/>
        <v>0</v>
      </c>
      <c r="O356" s="13">
        <f t="shared" si="81"/>
        <v>0</v>
      </c>
      <c r="X356" s="1">
        <f t="shared" si="74"/>
        <v>0</v>
      </c>
    </row>
    <row r="357" spans="1:24" x14ac:dyDescent="0.2">
      <c r="A357" s="7" t="e">
        <f t="shared" si="72"/>
        <v>#DIV/0!</v>
      </c>
      <c r="B357" s="4">
        <f t="shared" si="82"/>
        <v>351</v>
      </c>
      <c r="C357" s="4">
        <f t="shared" si="75"/>
        <v>0</v>
      </c>
      <c r="D357" s="8">
        <f t="shared" si="83"/>
        <v>0</v>
      </c>
      <c r="E357" s="23">
        <f t="shared" si="76"/>
        <v>0</v>
      </c>
      <c r="F357" s="24">
        <f t="shared" si="84"/>
        <v>0</v>
      </c>
      <c r="G357" s="25">
        <f t="shared" si="77"/>
        <v>0</v>
      </c>
      <c r="H357" s="26">
        <f t="shared" si="78"/>
        <v>0</v>
      </c>
      <c r="I357" s="27">
        <f t="shared" si="85"/>
        <v>0</v>
      </c>
      <c r="K357" s="18">
        <f t="shared" si="73"/>
        <v>0</v>
      </c>
      <c r="L357" s="22">
        <f t="shared" si="79"/>
        <v>1.6999999999999999E-3</v>
      </c>
      <c r="N357" s="13">
        <f t="shared" si="80"/>
        <v>0</v>
      </c>
      <c r="O357" s="13">
        <f t="shared" si="81"/>
        <v>0</v>
      </c>
      <c r="X357" s="1">
        <f t="shared" si="74"/>
        <v>0</v>
      </c>
    </row>
    <row r="358" spans="1:24" x14ac:dyDescent="0.2">
      <c r="A358" s="7" t="e">
        <f t="shared" si="72"/>
        <v>#DIV/0!</v>
      </c>
      <c r="B358" s="4">
        <f t="shared" si="82"/>
        <v>352</v>
      </c>
      <c r="C358" s="4">
        <f t="shared" si="75"/>
        <v>0</v>
      </c>
      <c r="D358" s="8">
        <f t="shared" si="83"/>
        <v>0</v>
      </c>
      <c r="E358" s="23">
        <f t="shared" si="76"/>
        <v>0</v>
      </c>
      <c r="F358" s="24">
        <f t="shared" si="84"/>
        <v>0</v>
      </c>
      <c r="G358" s="25">
        <f t="shared" si="77"/>
        <v>0</v>
      </c>
      <c r="H358" s="26">
        <f t="shared" si="78"/>
        <v>0</v>
      </c>
      <c r="I358" s="27">
        <f t="shared" si="85"/>
        <v>0</v>
      </c>
      <c r="K358" s="18">
        <f t="shared" si="73"/>
        <v>0</v>
      </c>
      <c r="L358" s="22">
        <f t="shared" si="79"/>
        <v>1.6999999999999999E-3</v>
      </c>
      <c r="N358" s="13">
        <f t="shared" si="80"/>
        <v>0</v>
      </c>
      <c r="O358" s="13">
        <f t="shared" si="81"/>
        <v>0</v>
      </c>
      <c r="X358" s="1">
        <f t="shared" si="74"/>
        <v>0</v>
      </c>
    </row>
    <row r="359" spans="1:24" x14ac:dyDescent="0.2">
      <c r="A359" s="7" t="e">
        <f t="shared" si="72"/>
        <v>#DIV/0!</v>
      </c>
      <c r="B359" s="4">
        <f t="shared" si="82"/>
        <v>353</v>
      </c>
      <c r="C359" s="4">
        <f t="shared" si="75"/>
        <v>0</v>
      </c>
      <c r="D359" s="8">
        <f t="shared" si="83"/>
        <v>0</v>
      </c>
      <c r="E359" s="23">
        <f t="shared" si="76"/>
        <v>0</v>
      </c>
      <c r="F359" s="24">
        <f t="shared" si="84"/>
        <v>0</v>
      </c>
      <c r="G359" s="25">
        <f t="shared" si="77"/>
        <v>0</v>
      </c>
      <c r="H359" s="26">
        <f t="shared" si="78"/>
        <v>0</v>
      </c>
      <c r="I359" s="27">
        <f t="shared" si="85"/>
        <v>0</v>
      </c>
      <c r="K359" s="18">
        <f t="shared" si="73"/>
        <v>0</v>
      </c>
      <c r="L359" s="22">
        <f t="shared" si="79"/>
        <v>1.6999999999999999E-3</v>
      </c>
      <c r="N359" s="13">
        <f t="shared" si="80"/>
        <v>0</v>
      </c>
      <c r="O359" s="13">
        <f t="shared" si="81"/>
        <v>0</v>
      </c>
      <c r="X359" s="1">
        <f t="shared" si="74"/>
        <v>0</v>
      </c>
    </row>
    <row r="360" spans="1:24" x14ac:dyDescent="0.2">
      <c r="A360" s="7" t="e">
        <f t="shared" si="72"/>
        <v>#DIV/0!</v>
      </c>
      <c r="B360" s="4">
        <f t="shared" si="82"/>
        <v>354</v>
      </c>
      <c r="C360" s="4">
        <f t="shared" si="75"/>
        <v>0</v>
      </c>
      <c r="D360" s="8">
        <f t="shared" si="83"/>
        <v>0</v>
      </c>
      <c r="E360" s="23">
        <f t="shared" si="76"/>
        <v>0</v>
      </c>
      <c r="F360" s="24">
        <f t="shared" si="84"/>
        <v>0</v>
      </c>
      <c r="G360" s="25">
        <f t="shared" si="77"/>
        <v>0</v>
      </c>
      <c r="H360" s="26">
        <f t="shared" si="78"/>
        <v>0</v>
      </c>
      <c r="I360" s="27">
        <f t="shared" si="85"/>
        <v>0</v>
      </c>
      <c r="K360" s="18">
        <f t="shared" si="73"/>
        <v>0</v>
      </c>
      <c r="L360" s="22">
        <f t="shared" si="79"/>
        <v>1.6999999999999999E-3</v>
      </c>
      <c r="N360" s="13">
        <f t="shared" si="80"/>
        <v>0</v>
      </c>
      <c r="O360" s="13">
        <f t="shared" si="81"/>
        <v>0</v>
      </c>
      <c r="X360" s="1">
        <f t="shared" si="74"/>
        <v>0</v>
      </c>
    </row>
    <row r="361" spans="1:24" x14ac:dyDescent="0.2">
      <c r="A361" s="7" t="e">
        <f t="shared" si="72"/>
        <v>#DIV/0!</v>
      </c>
      <c r="B361" s="4">
        <f t="shared" si="82"/>
        <v>355</v>
      </c>
      <c r="C361" s="4">
        <f t="shared" si="75"/>
        <v>0</v>
      </c>
      <c r="D361" s="8">
        <f t="shared" si="83"/>
        <v>0</v>
      </c>
      <c r="E361" s="23">
        <f t="shared" si="76"/>
        <v>0</v>
      </c>
      <c r="F361" s="24">
        <f t="shared" si="84"/>
        <v>0</v>
      </c>
      <c r="G361" s="25">
        <f t="shared" si="77"/>
        <v>0</v>
      </c>
      <c r="H361" s="26">
        <f t="shared" si="78"/>
        <v>0</v>
      </c>
      <c r="I361" s="27">
        <f t="shared" si="85"/>
        <v>0</v>
      </c>
      <c r="K361" s="18">
        <f t="shared" si="73"/>
        <v>0</v>
      </c>
      <c r="L361" s="22">
        <f t="shared" si="79"/>
        <v>1.6999999999999999E-3</v>
      </c>
      <c r="N361" s="13">
        <f t="shared" si="80"/>
        <v>0</v>
      </c>
      <c r="O361" s="13">
        <f t="shared" si="81"/>
        <v>0</v>
      </c>
      <c r="X361" s="1">
        <f t="shared" si="74"/>
        <v>0</v>
      </c>
    </row>
    <row r="362" spans="1:24" x14ac:dyDescent="0.2">
      <c r="A362" s="7" t="e">
        <f t="shared" si="72"/>
        <v>#DIV/0!</v>
      </c>
      <c r="B362" s="4">
        <f t="shared" si="82"/>
        <v>356</v>
      </c>
      <c r="C362" s="4">
        <f t="shared" si="75"/>
        <v>0</v>
      </c>
      <c r="D362" s="8">
        <f t="shared" si="83"/>
        <v>0</v>
      </c>
      <c r="E362" s="23">
        <f t="shared" si="76"/>
        <v>0</v>
      </c>
      <c r="F362" s="24">
        <f t="shared" si="84"/>
        <v>0</v>
      </c>
      <c r="G362" s="25">
        <f t="shared" si="77"/>
        <v>0</v>
      </c>
      <c r="H362" s="26">
        <f t="shared" si="78"/>
        <v>0</v>
      </c>
      <c r="I362" s="27">
        <f t="shared" si="85"/>
        <v>0</v>
      </c>
      <c r="K362" s="18">
        <f t="shared" si="73"/>
        <v>0</v>
      </c>
      <c r="L362" s="22">
        <f t="shared" si="79"/>
        <v>1.6999999999999999E-3</v>
      </c>
      <c r="N362" s="13">
        <f t="shared" si="80"/>
        <v>0</v>
      </c>
      <c r="O362" s="13">
        <f t="shared" si="81"/>
        <v>0</v>
      </c>
      <c r="X362" s="1">
        <f t="shared" si="74"/>
        <v>0</v>
      </c>
    </row>
    <row r="363" spans="1:24" x14ac:dyDescent="0.2">
      <c r="A363" s="7" t="e">
        <f t="shared" si="72"/>
        <v>#DIV/0!</v>
      </c>
      <c r="B363" s="4">
        <f t="shared" si="82"/>
        <v>357</v>
      </c>
      <c r="C363" s="4">
        <f t="shared" si="75"/>
        <v>0</v>
      </c>
      <c r="D363" s="8">
        <f t="shared" si="83"/>
        <v>0</v>
      </c>
      <c r="E363" s="23">
        <f t="shared" si="76"/>
        <v>0</v>
      </c>
      <c r="F363" s="24">
        <f t="shared" si="84"/>
        <v>0</v>
      </c>
      <c r="G363" s="25">
        <f t="shared" si="77"/>
        <v>0</v>
      </c>
      <c r="H363" s="26">
        <f t="shared" si="78"/>
        <v>0</v>
      </c>
      <c r="I363" s="27">
        <f t="shared" si="85"/>
        <v>0</v>
      </c>
      <c r="K363" s="18">
        <f t="shared" si="73"/>
        <v>0</v>
      </c>
      <c r="L363" s="22">
        <f t="shared" si="79"/>
        <v>1.6999999999999999E-3</v>
      </c>
      <c r="N363" s="13">
        <f t="shared" si="80"/>
        <v>0</v>
      </c>
      <c r="O363" s="13">
        <f t="shared" si="81"/>
        <v>0</v>
      </c>
      <c r="X363" s="1">
        <f t="shared" si="74"/>
        <v>0</v>
      </c>
    </row>
    <row r="364" spans="1:24" x14ac:dyDescent="0.2">
      <c r="A364" s="7" t="e">
        <f t="shared" si="72"/>
        <v>#DIV/0!</v>
      </c>
      <c r="B364" s="4">
        <f t="shared" si="82"/>
        <v>358</v>
      </c>
      <c r="C364" s="4">
        <f t="shared" si="75"/>
        <v>0</v>
      </c>
      <c r="D364" s="8">
        <f t="shared" si="83"/>
        <v>0</v>
      </c>
      <c r="E364" s="23">
        <f t="shared" si="76"/>
        <v>0</v>
      </c>
      <c r="F364" s="24">
        <f t="shared" si="84"/>
        <v>0</v>
      </c>
      <c r="G364" s="25">
        <f t="shared" si="77"/>
        <v>0</v>
      </c>
      <c r="H364" s="26">
        <f t="shared" si="78"/>
        <v>0</v>
      </c>
      <c r="I364" s="27">
        <f t="shared" si="85"/>
        <v>0</v>
      </c>
      <c r="K364" s="18">
        <f t="shared" si="73"/>
        <v>0</v>
      </c>
      <c r="L364" s="22">
        <f t="shared" si="79"/>
        <v>1.6999999999999999E-3</v>
      </c>
      <c r="N364" s="13">
        <f t="shared" si="80"/>
        <v>0</v>
      </c>
      <c r="O364" s="13">
        <f t="shared" si="81"/>
        <v>0</v>
      </c>
      <c r="X364" s="1">
        <f t="shared" si="74"/>
        <v>0</v>
      </c>
    </row>
    <row r="365" spans="1:24" x14ac:dyDescent="0.2">
      <c r="A365" s="7" t="e">
        <f t="shared" si="72"/>
        <v>#DIV/0!</v>
      </c>
      <c r="B365" s="4">
        <f t="shared" si="82"/>
        <v>359</v>
      </c>
      <c r="C365" s="4">
        <f t="shared" si="75"/>
        <v>0</v>
      </c>
      <c r="D365" s="8">
        <f t="shared" si="83"/>
        <v>0</v>
      </c>
      <c r="E365" s="23">
        <f t="shared" si="76"/>
        <v>0</v>
      </c>
      <c r="F365" s="24">
        <f t="shared" si="84"/>
        <v>0</v>
      </c>
      <c r="G365" s="25">
        <f t="shared" si="77"/>
        <v>0</v>
      </c>
      <c r="H365" s="26">
        <f t="shared" si="78"/>
        <v>0</v>
      </c>
      <c r="I365" s="27">
        <f t="shared" si="85"/>
        <v>0</v>
      </c>
      <c r="K365" s="18">
        <f t="shared" si="73"/>
        <v>0</v>
      </c>
      <c r="L365" s="22">
        <f t="shared" si="79"/>
        <v>1.6999999999999999E-3</v>
      </c>
      <c r="N365" s="13">
        <f t="shared" si="80"/>
        <v>0</v>
      </c>
      <c r="O365" s="13">
        <f t="shared" si="81"/>
        <v>0</v>
      </c>
      <c r="X365" s="1">
        <f t="shared" si="74"/>
        <v>0</v>
      </c>
    </row>
    <row r="366" spans="1:24" x14ac:dyDescent="0.2">
      <c r="A366" s="7" t="e">
        <f t="shared" si="72"/>
        <v>#DIV/0!</v>
      </c>
      <c r="B366" s="4">
        <f t="shared" si="82"/>
        <v>360</v>
      </c>
      <c r="C366" s="4">
        <f t="shared" si="75"/>
        <v>0</v>
      </c>
      <c r="D366" s="8">
        <f t="shared" si="83"/>
        <v>0</v>
      </c>
      <c r="E366" s="23">
        <f t="shared" si="76"/>
        <v>0</v>
      </c>
      <c r="F366" s="24">
        <f t="shared" si="84"/>
        <v>0</v>
      </c>
      <c r="G366" s="25">
        <f t="shared" si="77"/>
        <v>0</v>
      </c>
      <c r="H366" s="26">
        <f t="shared" si="78"/>
        <v>0</v>
      </c>
      <c r="I366" s="27">
        <f t="shared" si="85"/>
        <v>0</v>
      </c>
      <c r="K366" s="18">
        <f t="shared" si="73"/>
        <v>0</v>
      </c>
      <c r="L366" s="22">
        <f t="shared" si="79"/>
        <v>1.6999999999999999E-3</v>
      </c>
      <c r="N366" s="13">
        <f t="shared" si="80"/>
        <v>0</v>
      </c>
      <c r="O366" s="13">
        <f t="shared" si="81"/>
        <v>0</v>
      </c>
      <c r="X366" s="1">
        <f t="shared" si="74"/>
        <v>0</v>
      </c>
    </row>
    <row r="367" spans="1:24" x14ac:dyDescent="0.2">
      <c r="A367" s="7" t="e">
        <f t="shared" si="72"/>
        <v>#DIV/0!</v>
      </c>
      <c r="B367" s="4">
        <f t="shared" si="82"/>
        <v>361</v>
      </c>
      <c r="C367" s="4">
        <f t="shared" si="75"/>
        <v>0</v>
      </c>
      <c r="D367" s="8">
        <f t="shared" si="83"/>
        <v>0</v>
      </c>
      <c r="E367" s="23">
        <f t="shared" si="76"/>
        <v>0</v>
      </c>
      <c r="F367" s="24">
        <f t="shared" si="84"/>
        <v>0</v>
      </c>
      <c r="G367" s="25">
        <f t="shared" si="77"/>
        <v>0</v>
      </c>
      <c r="H367" s="26">
        <f t="shared" si="78"/>
        <v>0</v>
      </c>
      <c r="I367" s="27">
        <f t="shared" si="85"/>
        <v>0</v>
      </c>
      <c r="K367" s="18">
        <f t="shared" si="73"/>
        <v>0</v>
      </c>
      <c r="L367" s="22">
        <f t="shared" si="79"/>
        <v>1.6999999999999999E-3</v>
      </c>
      <c r="N367" s="13">
        <f t="shared" si="80"/>
        <v>0</v>
      </c>
      <c r="O367" s="13">
        <f t="shared" si="81"/>
        <v>0</v>
      </c>
      <c r="X367" s="1">
        <f t="shared" si="74"/>
        <v>0</v>
      </c>
    </row>
    <row r="368" spans="1:24" x14ac:dyDescent="0.2">
      <c r="A368" s="7" t="e">
        <f t="shared" si="72"/>
        <v>#DIV/0!</v>
      </c>
      <c r="B368" s="4">
        <f t="shared" si="82"/>
        <v>362</v>
      </c>
      <c r="C368" s="4">
        <f>IF(C367-1&lt;1,0,C367-1)</f>
        <v>0</v>
      </c>
      <c r="D368" s="8">
        <f t="shared" si="83"/>
        <v>0</v>
      </c>
      <c r="E368" s="23">
        <f t="shared" si="76"/>
        <v>0</v>
      </c>
      <c r="F368" s="24">
        <f t="shared" si="84"/>
        <v>0</v>
      </c>
      <c r="G368" s="25">
        <f t="shared" si="77"/>
        <v>0</v>
      </c>
      <c r="H368" s="26">
        <f t="shared" si="78"/>
        <v>0</v>
      </c>
      <c r="I368" s="27">
        <f t="shared" si="85"/>
        <v>0</v>
      </c>
      <c r="K368" s="18">
        <f t="shared" si="73"/>
        <v>0</v>
      </c>
      <c r="L368" s="22">
        <f t="shared" si="79"/>
        <v>1.6999999999999999E-3</v>
      </c>
      <c r="N368" s="13">
        <f t="shared" si="80"/>
        <v>0</v>
      </c>
      <c r="O368" s="13">
        <f t="shared" si="81"/>
        <v>0</v>
      </c>
      <c r="X368" s="1">
        <f t="shared" si="74"/>
        <v>0</v>
      </c>
    </row>
    <row r="369" spans="1:24" x14ac:dyDescent="0.2">
      <c r="A369" s="7" t="e">
        <f t="shared" si="72"/>
        <v>#DIV/0!</v>
      </c>
      <c r="B369" s="4">
        <f t="shared" si="82"/>
        <v>363</v>
      </c>
      <c r="C369" s="4">
        <f t="shared" ref="C369:C426" si="86">IF(C368-1&lt;1,0,C368-1)</f>
        <v>0</v>
      </c>
      <c r="D369" s="8">
        <f t="shared" si="83"/>
        <v>0</v>
      </c>
      <c r="E369" s="23">
        <f t="shared" si="76"/>
        <v>0</v>
      </c>
      <c r="F369" s="24">
        <f t="shared" si="84"/>
        <v>0</v>
      </c>
      <c r="G369" s="25">
        <f t="shared" si="77"/>
        <v>0</v>
      </c>
      <c r="H369" s="26">
        <f t="shared" si="78"/>
        <v>0</v>
      </c>
      <c r="I369" s="27">
        <f t="shared" si="85"/>
        <v>0</v>
      </c>
      <c r="K369" s="18">
        <f t="shared" si="73"/>
        <v>0</v>
      </c>
      <c r="L369" s="22">
        <f t="shared" si="79"/>
        <v>1.6999999999999999E-3</v>
      </c>
      <c r="N369" s="13">
        <f t="shared" si="80"/>
        <v>0</v>
      </c>
      <c r="O369" s="13">
        <f t="shared" si="81"/>
        <v>0</v>
      </c>
      <c r="X369" s="1">
        <f t="shared" si="74"/>
        <v>0</v>
      </c>
    </row>
    <row r="370" spans="1:24" x14ac:dyDescent="0.2">
      <c r="A370" s="7" t="e">
        <f t="shared" si="72"/>
        <v>#DIV/0!</v>
      </c>
      <c r="B370" s="4">
        <f t="shared" si="82"/>
        <v>364</v>
      </c>
      <c r="C370" s="4">
        <f t="shared" si="86"/>
        <v>0</v>
      </c>
      <c r="D370" s="8">
        <f t="shared" si="83"/>
        <v>0</v>
      </c>
      <c r="E370" s="23">
        <f t="shared" si="76"/>
        <v>0</v>
      </c>
      <c r="F370" s="24">
        <f t="shared" si="84"/>
        <v>0</v>
      </c>
      <c r="G370" s="25">
        <f t="shared" si="77"/>
        <v>0</v>
      </c>
      <c r="H370" s="26">
        <f t="shared" si="78"/>
        <v>0</v>
      </c>
      <c r="I370" s="27">
        <f t="shared" si="85"/>
        <v>0</v>
      </c>
      <c r="K370" s="18">
        <f t="shared" si="73"/>
        <v>0</v>
      </c>
      <c r="L370" s="22">
        <f t="shared" si="79"/>
        <v>1.6999999999999999E-3</v>
      </c>
      <c r="N370" s="13">
        <f t="shared" si="80"/>
        <v>0</v>
      </c>
      <c r="O370" s="13">
        <f t="shared" si="81"/>
        <v>0</v>
      </c>
      <c r="X370" s="1">
        <f t="shared" si="74"/>
        <v>0</v>
      </c>
    </row>
    <row r="371" spans="1:24" x14ac:dyDescent="0.2">
      <c r="A371" s="7" t="e">
        <f t="shared" si="72"/>
        <v>#DIV/0!</v>
      </c>
      <c r="B371" s="4">
        <f t="shared" si="82"/>
        <v>365</v>
      </c>
      <c r="C371" s="4">
        <f t="shared" si="86"/>
        <v>0</v>
      </c>
      <c r="D371" s="8">
        <f t="shared" si="83"/>
        <v>0</v>
      </c>
      <c r="E371" s="23">
        <f t="shared" si="76"/>
        <v>0</v>
      </c>
      <c r="F371" s="24">
        <f t="shared" si="84"/>
        <v>0</v>
      </c>
      <c r="G371" s="25">
        <f t="shared" si="77"/>
        <v>0</v>
      </c>
      <c r="H371" s="26">
        <f t="shared" si="78"/>
        <v>0</v>
      </c>
      <c r="I371" s="27">
        <f t="shared" si="85"/>
        <v>0</v>
      </c>
      <c r="K371" s="18">
        <f t="shared" si="73"/>
        <v>0</v>
      </c>
      <c r="L371" s="22">
        <f t="shared" si="79"/>
        <v>1.6999999999999999E-3</v>
      </c>
      <c r="N371" s="13">
        <f t="shared" si="80"/>
        <v>0</v>
      </c>
      <c r="O371" s="13">
        <f t="shared" si="81"/>
        <v>0</v>
      </c>
      <c r="X371" s="1">
        <f t="shared" si="74"/>
        <v>0</v>
      </c>
    </row>
    <row r="372" spans="1:24" x14ac:dyDescent="0.2">
      <c r="A372" s="7" t="e">
        <f t="shared" si="72"/>
        <v>#DIV/0!</v>
      </c>
      <c r="B372" s="4">
        <f t="shared" si="82"/>
        <v>366</v>
      </c>
      <c r="C372" s="4">
        <f t="shared" si="86"/>
        <v>0</v>
      </c>
      <c r="D372" s="8">
        <f t="shared" si="83"/>
        <v>0</v>
      </c>
      <c r="E372" s="23">
        <f t="shared" si="76"/>
        <v>0</v>
      </c>
      <c r="F372" s="24">
        <f t="shared" si="84"/>
        <v>0</v>
      </c>
      <c r="G372" s="25">
        <f t="shared" si="77"/>
        <v>0</v>
      </c>
      <c r="H372" s="26">
        <f t="shared" si="78"/>
        <v>0</v>
      </c>
      <c r="I372" s="27">
        <f t="shared" si="85"/>
        <v>0</v>
      </c>
      <c r="K372" s="18">
        <f t="shared" si="73"/>
        <v>0</v>
      </c>
      <c r="L372" s="22">
        <f t="shared" si="79"/>
        <v>1.6999999999999999E-3</v>
      </c>
      <c r="N372" s="13">
        <f t="shared" si="80"/>
        <v>0</v>
      </c>
      <c r="O372" s="13">
        <f t="shared" si="81"/>
        <v>0</v>
      </c>
      <c r="X372" s="1">
        <f t="shared" si="74"/>
        <v>0</v>
      </c>
    </row>
    <row r="373" spans="1:24" x14ac:dyDescent="0.2">
      <c r="A373" s="7" t="e">
        <f t="shared" si="72"/>
        <v>#DIV/0!</v>
      </c>
      <c r="B373" s="4">
        <f t="shared" si="82"/>
        <v>367</v>
      </c>
      <c r="C373" s="4">
        <f t="shared" si="86"/>
        <v>0</v>
      </c>
      <c r="D373" s="8">
        <f t="shared" si="83"/>
        <v>0</v>
      </c>
      <c r="E373" s="23">
        <f t="shared" si="76"/>
        <v>0</v>
      </c>
      <c r="F373" s="24">
        <f t="shared" si="84"/>
        <v>0</v>
      </c>
      <c r="G373" s="25">
        <f t="shared" si="77"/>
        <v>0</v>
      </c>
      <c r="H373" s="26">
        <f t="shared" si="78"/>
        <v>0</v>
      </c>
      <c r="I373" s="27">
        <f t="shared" si="85"/>
        <v>0</v>
      </c>
      <c r="K373" s="18">
        <f t="shared" si="73"/>
        <v>0</v>
      </c>
      <c r="L373" s="22">
        <f t="shared" si="79"/>
        <v>1.6999999999999999E-3</v>
      </c>
      <c r="N373" s="13">
        <f t="shared" si="80"/>
        <v>0</v>
      </c>
      <c r="O373" s="13">
        <f t="shared" si="81"/>
        <v>0</v>
      </c>
      <c r="X373" s="1">
        <f t="shared" si="74"/>
        <v>0</v>
      </c>
    </row>
    <row r="374" spans="1:24" x14ac:dyDescent="0.2">
      <c r="A374" s="7" t="e">
        <f t="shared" si="72"/>
        <v>#DIV/0!</v>
      </c>
      <c r="B374" s="4">
        <f t="shared" si="82"/>
        <v>368</v>
      </c>
      <c r="C374" s="4">
        <f t="shared" si="86"/>
        <v>0</v>
      </c>
      <c r="D374" s="8">
        <f t="shared" si="83"/>
        <v>0</v>
      </c>
      <c r="E374" s="23">
        <f t="shared" si="76"/>
        <v>0</v>
      </c>
      <c r="F374" s="24">
        <f t="shared" si="84"/>
        <v>0</v>
      </c>
      <c r="G374" s="25">
        <f t="shared" si="77"/>
        <v>0</v>
      </c>
      <c r="H374" s="26">
        <f t="shared" si="78"/>
        <v>0</v>
      </c>
      <c r="I374" s="27">
        <f t="shared" si="85"/>
        <v>0</v>
      </c>
      <c r="K374" s="18">
        <f t="shared" si="73"/>
        <v>0</v>
      </c>
      <c r="L374" s="22">
        <f t="shared" si="79"/>
        <v>1.6999999999999999E-3</v>
      </c>
      <c r="N374" s="13">
        <f t="shared" si="80"/>
        <v>0</v>
      </c>
      <c r="O374" s="13">
        <f t="shared" si="81"/>
        <v>0</v>
      </c>
      <c r="X374" s="1">
        <f t="shared" si="74"/>
        <v>0</v>
      </c>
    </row>
    <row r="375" spans="1:24" x14ac:dyDescent="0.2">
      <c r="A375" s="7" t="e">
        <f t="shared" si="72"/>
        <v>#DIV/0!</v>
      </c>
      <c r="B375" s="4">
        <f t="shared" si="82"/>
        <v>369</v>
      </c>
      <c r="C375" s="4">
        <f t="shared" si="86"/>
        <v>0</v>
      </c>
      <c r="D375" s="8">
        <f t="shared" si="83"/>
        <v>0</v>
      </c>
      <c r="E375" s="23">
        <f t="shared" si="76"/>
        <v>0</v>
      </c>
      <c r="F375" s="24">
        <f t="shared" si="84"/>
        <v>0</v>
      </c>
      <c r="G375" s="25">
        <f t="shared" si="77"/>
        <v>0</v>
      </c>
      <c r="H375" s="26">
        <f t="shared" si="78"/>
        <v>0</v>
      </c>
      <c r="I375" s="27">
        <f t="shared" si="85"/>
        <v>0</v>
      </c>
      <c r="K375" s="18">
        <f t="shared" si="73"/>
        <v>0</v>
      </c>
      <c r="L375" s="22">
        <f t="shared" si="79"/>
        <v>1.6999999999999999E-3</v>
      </c>
      <c r="N375" s="13">
        <f t="shared" si="80"/>
        <v>0</v>
      </c>
      <c r="O375" s="13">
        <f t="shared" si="81"/>
        <v>0</v>
      </c>
      <c r="X375" s="1">
        <f t="shared" si="74"/>
        <v>0</v>
      </c>
    </row>
    <row r="376" spans="1:24" x14ac:dyDescent="0.2">
      <c r="A376" s="7" t="e">
        <f t="shared" si="72"/>
        <v>#DIV/0!</v>
      </c>
      <c r="B376" s="4">
        <f t="shared" si="82"/>
        <v>370</v>
      </c>
      <c r="C376" s="4">
        <f t="shared" si="86"/>
        <v>0</v>
      </c>
      <c r="D376" s="8">
        <f t="shared" si="83"/>
        <v>0</v>
      </c>
      <c r="E376" s="23">
        <f t="shared" si="76"/>
        <v>0</v>
      </c>
      <c r="F376" s="24">
        <f t="shared" si="84"/>
        <v>0</v>
      </c>
      <c r="G376" s="25">
        <f t="shared" si="77"/>
        <v>0</v>
      </c>
      <c r="H376" s="26">
        <f t="shared" si="78"/>
        <v>0</v>
      </c>
      <c r="I376" s="27">
        <f t="shared" si="85"/>
        <v>0</v>
      </c>
      <c r="K376" s="18">
        <f t="shared" si="73"/>
        <v>0</v>
      </c>
      <c r="L376" s="22">
        <f t="shared" si="79"/>
        <v>1.6999999999999999E-3</v>
      </c>
      <c r="N376" s="13">
        <f t="shared" si="80"/>
        <v>0</v>
      </c>
      <c r="O376" s="13">
        <f t="shared" si="81"/>
        <v>0</v>
      </c>
      <c r="X376" s="1">
        <f t="shared" si="74"/>
        <v>0</v>
      </c>
    </row>
    <row r="377" spans="1:24" x14ac:dyDescent="0.2">
      <c r="A377" s="7" t="e">
        <f t="shared" si="72"/>
        <v>#DIV/0!</v>
      </c>
      <c r="B377" s="4">
        <f t="shared" si="82"/>
        <v>371</v>
      </c>
      <c r="C377" s="4">
        <f t="shared" si="86"/>
        <v>0</v>
      </c>
      <c r="D377" s="8">
        <f t="shared" si="83"/>
        <v>0</v>
      </c>
      <c r="E377" s="23">
        <f t="shared" si="76"/>
        <v>0</v>
      </c>
      <c r="F377" s="24">
        <f t="shared" si="84"/>
        <v>0</v>
      </c>
      <c r="G377" s="25">
        <f t="shared" si="77"/>
        <v>0</v>
      </c>
      <c r="H377" s="26">
        <f t="shared" si="78"/>
        <v>0</v>
      </c>
      <c r="I377" s="27">
        <f t="shared" si="85"/>
        <v>0</v>
      </c>
      <c r="K377" s="18">
        <f t="shared" si="73"/>
        <v>0</v>
      </c>
      <c r="L377" s="22">
        <f t="shared" si="79"/>
        <v>1.6999999999999999E-3</v>
      </c>
      <c r="N377" s="13">
        <f t="shared" si="80"/>
        <v>0</v>
      </c>
      <c r="O377" s="13">
        <f t="shared" si="81"/>
        <v>0</v>
      </c>
      <c r="X377" s="1">
        <f t="shared" si="74"/>
        <v>0</v>
      </c>
    </row>
    <row r="378" spans="1:24" x14ac:dyDescent="0.2">
      <c r="A378" s="7" t="e">
        <f t="shared" si="72"/>
        <v>#DIV/0!</v>
      </c>
      <c r="B378" s="4">
        <f t="shared" si="82"/>
        <v>372</v>
      </c>
      <c r="C378" s="4">
        <f t="shared" si="86"/>
        <v>0</v>
      </c>
      <c r="D378" s="8">
        <f t="shared" si="83"/>
        <v>0</v>
      </c>
      <c r="E378" s="23">
        <f t="shared" si="76"/>
        <v>0</v>
      </c>
      <c r="F378" s="24">
        <f t="shared" si="84"/>
        <v>0</v>
      </c>
      <c r="G378" s="25">
        <f t="shared" si="77"/>
        <v>0</v>
      </c>
      <c r="H378" s="26">
        <f t="shared" si="78"/>
        <v>0</v>
      </c>
      <c r="I378" s="27">
        <f t="shared" si="85"/>
        <v>0</v>
      </c>
      <c r="K378" s="18">
        <f t="shared" si="73"/>
        <v>0</v>
      </c>
      <c r="L378" s="22">
        <f t="shared" si="79"/>
        <v>1.6999999999999999E-3</v>
      </c>
      <c r="N378" s="13">
        <f t="shared" si="80"/>
        <v>0</v>
      </c>
      <c r="O378" s="13">
        <f t="shared" si="81"/>
        <v>0</v>
      </c>
      <c r="X378" s="1">
        <f t="shared" si="74"/>
        <v>0</v>
      </c>
    </row>
    <row r="379" spans="1:24" x14ac:dyDescent="0.2">
      <c r="A379" s="7" t="e">
        <f t="shared" si="72"/>
        <v>#DIV/0!</v>
      </c>
      <c r="B379" s="4">
        <f t="shared" si="82"/>
        <v>373</v>
      </c>
      <c r="C379" s="4">
        <f t="shared" si="86"/>
        <v>0</v>
      </c>
      <c r="D379" s="8">
        <f t="shared" si="83"/>
        <v>0</v>
      </c>
      <c r="E379" s="23">
        <f t="shared" si="76"/>
        <v>0</v>
      </c>
      <c r="F379" s="24">
        <f t="shared" si="84"/>
        <v>0</v>
      </c>
      <c r="G379" s="25">
        <f t="shared" si="77"/>
        <v>0</v>
      </c>
      <c r="H379" s="26">
        <f t="shared" si="78"/>
        <v>0</v>
      </c>
      <c r="I379" s="27">
        <f t="shared" si="85"/>
        <v>0</v>
      </c>
      <c r="K379" s="18">
        <f t="shared" si="73"/>
        <v>0</v>
      </c>
      <c r="L379" s="22">
        <f t="shared" si="79"/>
        <v>1.6999999999999999E-3</v>
      </c>
      <c r="N379" s="13">
        <f t="shared" si="80"/>
        <v>0</v>
      </c>
      <c r="O379" s="13">
        <f t="shared" si="81"/>
        <v>0</v>
      </c>
      <c r="X379" s="1">
        <f t="shared" si="74"/>
        <v>0</v>
      </c>
    </row>
    <row r="380" spans="1:24" x14ac:dyDescent="0.2">
      <c r="A380" s="7" t="e">
        <f t="shared" si="72"/>
        <v>#DIV/0!</v>
      </c>
      <c r="B380" s="4">
        <f t="shared" si="82"/>
        <v>374</v>
      </c>
      <c r="C380" s="4">
        <f t="shared" si="86"/>
        <v>0</v>
      </c>
      <c r="D380" s="8">
        <f t="shared" si="83"/>
        <v>0</v>
      </c>
      <c r="E380" s="23">
        <f t="shared" si="76"/>
        <v>0</v>
      </c>
      <c r="F380" s="24">
        <f t="shared" si="84"/>
        <v>0</v>
      </c>
      <c r="G380" s="25">
        <f t="shared" si="77"/>
        <v>0</v>
      </c>
      <c r="H380" s="26">
        <f t="shared" si="78"/>
        <v>0</v>
      </c>
      <c r="I380" s="27">
        <f t="shared" si="85"/>
        <v>0</v>
      </c>
      <c r="K380" s="18">
        <f t="shared" si="73"/>
        <v>0</v>
      </c>
      <c r="L380" s="22">
        <f t="shared" si="79"/>
        <v>1.6999999999999999E-3</v>
      </c>
      <c r="N380" s="13">
        <f t="shared" si="80"/>
        <v>0</v>
      </c>
      <c r="O380" s="13">
        <f t="shared" si="81"/>
        <v>0</v>
      </c>
      <c r="X380" s="1">
        <f t="shared" si="74"/>
        <v>0</v>
      </c>
    </row>
    <row r="381" spans="1:24" x14ac:dyDescent="0.2">
      <c r="A381" s="7" t="e">
        <f t="shared" si="72"/>
        <v>#DIV/0!</v>
      </c>
      <c r="B381" s="4">
        <f t="shared" si="82"/>
        <v>375</v>
      </c>
      <c r="C381" s="4">
        <f t="shared" si="86"/>
        <v>0</v>
      </c>
      <c r="D381" s="8">
        <f t="shared" si="83"/>
        <v>0</v>
      </c>
      <c r="E381" s="23">
        <f t="shared" si="76"/>
        <v>0</v>
      </c>
      <c r="F381" s="24">
        <f t="shared" si="84"/>
        <v>0</v>
      </c>
      <c r="G381" s="25">
        <f t="shared" si="77"/>
        <v>0</v>
      </c>
      <c r="H381" s="26">
        <f t="shared" si="78"/>
        <v>0</v>
      </c>
      <c r="I381" s="27">
        <f t="shared" si="85"/>
        <v>0</v>
      </c>
      <c r="K381" s="18">
        <f t="shared" si="73"/>
        <v>0</v>
      </c>
      <c r="L381" s="22">
        <f t="shared" si="79"/>
        <v>1.6999999999999999E-3</v>
      </c>
      <c r="N381" s="13">
        <f t="shared" si="80"/>
        <v>0</v>
      </c>
      <c r="O381" s="13">
        <f t="shared" si="81"/>
        <v>0</v>
      </c>
      <c r="X381" s="1">
        <f t="shared" si="74"/>
        <v>0</v>
      </c>
    </row>
    <row r="382" spans="1:24" x14ac:dyDescent="0.2">
      <c r="A382" s="7" t="e">
        <f t="shared" si="72"/>
        <v>#DIV/0!</v>
      </c>
      <c r="B382" s="4">
        <f t="shared" si="82"/>
        <v>376</v>
      </c>
      <c r="C382" s="4">
        <f t="shared" si="86"/>
        <v>0</v>
      </c>
      <c r="D382" s="8">
        <f t="shared" si="83"/>
        <v>0</v>
      </c>
      <c r="E382" s="23">
        <f t="shared" si="76"/>
        <v>0</v>
      </c>
      <c r="F382" s="24">
        <f t="shared" si="84"/>
        <v>0</v>
      </c>
      <c r="G382" s="25">
        <f t="shared" si="77"/>
        <v>0</v>
      </c>
      <c r="H382" s="26">
        <f t="shared" si="78"/>
        <v>0</v>
      </c>
      <c r="I382" s="27">
        <f t="shared" si="85"/>
        <v>0</v>
      </c>
      <c r="K382" s="18">
        <f t="shared" si="73"/>
        <v>0</v>
      </c>
      <c r="L382" s="22">
        <f t="shared" si="79"/>
        <v>1.6999999999999999E-3</v>
      </c>
      <c r="N382" s="13">
        <f t="shared" si="80"/>
        <v>0</v>
      </c>
      <c r="O382" s="13">
        <f t="shared" si="81"/>
        <v>0</v>
      </c>
      <c r="X382" s="1">
        <f t="shared" si="74"/>
        <v>0</v>
      </c>
    </row>
    <row r="383" spans="1:24" x14ac:dyDescent="0.2">
      <c r="A383" s="7" t="e">
        <f t="shared" si="72"/>
        <v>#DIV/0!</v>
      </c>
      <c r="B383" s="4">
        <f t="shared" si="82"/>
        <v>377</v>
      </c>
      <c r="C383" s="4">
        <f t="shared" si="86"/>
        <v>0</v>
      </c>
      <c r="D383" s="8">
        <f t="shared" si="83"/>
        <v>0</v>
      </c>
      <c r="E383" s="23">
        <f t="shared" si="76"/>
        <v>0</v>
      </c>
      <c r="F383" s="24">
        <f t="shared" si="84"/>
        <v>0</v>
      </c>
      <c r="G383" s="25">
        <f t="shared" si="77"/>
        <v>0</v>
      </c>
      <c r="H383" s="26">
        <f t="shared" si="78"/>
        <v>0</v>
      </c>
      <c r="I383" s="27">
        <f t="shared" si="85"/>
        <v>0</v>
      </c>
      <c r="K383" s="18">
        <f t="shared" si="73"/>
        <v>0</v>
      </c>
      <c r="L383" s="22">
        <f t="shared" si="79"/>
        <v>1.6999999999999999E-3</v>
      </c>
      <c r="N383" s="13">
        <f t="shared" si="80"/>
        <v>0</v>
      </c>
      <c r="O383" s="13">
        <f t="shared" si="81"/>
        <v>0</v>
      </c>
      <c r="X383" s="1">
        <f t="shared" si="74"/>
        <v>0</v>
      </c>
    </row>
    <row r="384" spans="1:24" x14ac:dyDescent="0.2">
      <c r="A384" s="7" t="e">
        <f t="shared" si="72"/>
        <v>#DIV/0!</v>
      </c>
      <c r="B384" s="4">
        <f t="shared" si="82"/>
        <v>378</v>
      </c>
      <c r="C384" s="4">
        <f t="shared" si="86"/>
        <v>0</v>
      </c>
      <c r="D384" s="8">
        <f t="shared" si="83"/>
        <v>0</v>
      </c>
      <c r="E384" s="23">
        <f t="shared" si="76"/>
        <v>0</v>
      </c>
      <c r="F384" s="24">
        <f t="shared" si="84"/>
        <v>0</v>
      </c>
      <c r="G384" s="25">
        <f t="shared" si="77"/>
        <v>0</v>
      </c>
      <c r="H384" s="26">
        <f t="shared" si="78"/>
        <v>0</v>
      </c>
      <c r="I384" s="27">
        <f t="shared" si="85"/>
        <v>0</v>
      </c>
      <c r="K384" s="18">
        <f t="shared" si="73"/>
        <v>0</v>
      </c>
      <c r="L384" s="22">
        <f t="shared" si="79"/>
        <v>1.6999999999999999E-3</v>
      </c>
      <c r="N384" s="13">
        <f t="shared" si="80"/>
        <v>0</v>
      </c>
      <c r="O384" s="13">
        <f t="shared" si="81"/>
        <v>0</v>
      </c>
      <c r="X384" s="1">
        <f t="shared" si="74"/>
        <v>0</v>
      </c>
    </row>
    <row r="385" spans="1:24" x14ac:dyDescent="0.2">
      <c r="A385" s="7" t="e">
        <f t="shared" si="72"/>
        <v>#DIV/0!</v>
      </c>
      <c r="B385" s="4">
        <f t="shared" si="82"/>
        <v>379</v>
      </c>
      <c r="C385" s="4">
        <f t="shared" si="86"/>
        <v>0</v>
      </c>
      <c r="D385" s="8">
        <f t="shared" si="83"/>
        <v>0</v>
      </c>
      <c r="E385" s="23">
        <f t="shared" si="76"/>
        <v>0</v>
      </c>
      <c r="F385" s="24">
        <f t="shared" si="84"/>
        <v>0</v>
      </c>
      <c r="G385" s="25">
        <f t="shared" si="77"/>
        <v>0</v>
      </c>
      <c r="H385" s="26">
        <f t="shared" si="78"/>
        <v>0</v>
      </c>
      <c r="I385" s="27">
        <f t="shared" si="85"/>
        <v>0</v>
      </c>
      <c r="K385" s="18">
        <f t="shared" si="73"/>
        <v>0</v>
      </c>
      <c r="L385" s="22">
        <f t="shared" si="79"/>
        <v>1.6999999999999999E-3</v>
      </c>
      <c r="N385" s="13">
        <f t="shared" si="80"/>
        <v>0</v>
      </c>
      <c r="O385" s="13">
        <f t="shared" si="81"/>
        <v>0</v>
      </c>
      <c r="X385" s="1">
        <f t="shared" si="74"/>
        <v>0</v>
      </c>
    </row>
    <row r="386" spans="1:24" x14ac:dyDescent="0.2">
      <c r="A386" s="7" t="e">
        <f t="shared" si="72"/>
        <v>#DIV/0!</v>
      </c>
      <c r="B386" s="4">
        <f t="shared" si="82"/>
        <v>380</v>
      </c>
      <c r="C386" s="4">
        <f t="shared" si="86"/>
        <v>0</v>
      </c>
      <c r="D386" s="8">
        <f t="shared" si="83"/>
        <v>0</v>
      </c>
      <c r="E386" s="23">
        <f t="shared" si="76"/>
        <v>0</v>
      </c>
      <c r="F386" s="24">
        <f t="shared" si="84"/>
        <v>0</v>
      </c>
      <c r="G386" s="25">
        <f t="shared" si="77"/>
        <v>0</v>
      </c>
      <c r="H386" s="26">
        <f t="shared" si="78"/>
        <v>0</v>
      </c>
      <c r="I386" s="27">
        <f t="shared" si="85"/>
        <v>0</v>
      </c>
      <c r="K386" s="18">
        <f t="shared" si="73"/>
        <v>0</v>
      </c>
      <c r="L386" s="22">
        <f t="shared" si="79"/>
        <v>1.6999999999999999E-3</v>
      </c>
      <c r="N386" s="13">
        <f t="shared" si="80"/>
        <v>0</v>
      </c>
      <c r="O386" s="13">
        <f t="shared" si="81"/>
        <v>0</v>
      </c>
      <c r="X386" s="1">
        <f t="shared" si="74"/>
        <v>0</v>
      </c>
    </row>
    <row r="387" spans="1:24" x14ac:dyDescent="0.2">
      <c r="A387" s="7" t="e">
        <f t="shared" si="72"/>
        <v>#DIV/0!</v>
      </c>
      <c r="B387" s="4">
        <f t="shared" si="82"/>
        <v>381</v>
      </c>
      <c r="C387" s="4">
        <f t="shared" si="86"/>
        <v>0</v>
      </c>
      <c r="D387" s="8">
        <f t="shared" si="83"/>
        <v>0</v>
      </c>
      <c r="E387" s="23">
        <f t="shared" si="76"/>
        <v>0</v>
      </c>
      <c r="F387" s="24">
        <f t="shared" si="84"/>
        <v>0</v>
      </c>
      <c r="G387" s="25">
        <f t="shared" si="77"/>
        <v>0</v>
      </c>
      <c r="H387" s="26">
        <f t="shared" si="78"/>
        <v>0</v>
      </c>
      <c r="I387" s="27">
        <f t="shared" si="85"/>
        <v>0</v>
      </c>
      <c r="K387" s="18">
        <f t="shared" si="73"/>
        <v>0</v>
      </c>
      <c r="L387" s="22">
        <f t="shared" si="79"/>
        <v>1.6999999999999999E-3</v>
      </c>
      <c r="N387" s="13">
        <f t="shared" si="80"/>
        <v>0</v>
      </c>
      <c r="O387" s="13">
        <f t="shared" si="81"/>
        <v>0</v>
      </c>
      <c r="X387" s="1">
        <f t="shared" si="74"/>
        <v>0</v>
      </c>
    </row>
    <row r="388" spans="1:24" x14ac:dyDescent="0.2">
      <c r="A388" s="7" t="e">
        <f t="shared" si="72"/>
        <v>#DIV/0!</v>
      </c>
      <c r="B388" s="4">
        <f t="shared" si="82"/>
        <v>382</v>
      </c>
      <c r="C388" s="4">
        <f t="shared" si="86"/>
        <v>0</v>
      </c>
      <c r="D388" s="8">
        <f t="shared" si="83"/>
        <v>0</v>
      </c>
      <c r="E388" s="23">
        <f t="shared" si="76"/>
        <v>0</v>
      </c>
      <c r="F388" s="24">
        <f t="shared" si="84"/>
        <v>0</v>
      </c>
      <c r="G388" s="25">
        <f t="shared" si="77"/>
        <v>0</v>
      </c>
      <c r="H388" s="26">
        <f t="shared" si="78"/>
        <v>0</v>
      </c>
      <c r="I388" s="27">
        <f t="shared" si="85"/>
        <v>0</v>
      </c>
      <c r="K388" s="18">
        <f t="shared" si="73"/>
        <v>0</v>
      </c>
      <c r="L388" s="22">
        <f t="shared" si="79"/>
        <v>1.6999999999999999E-3</v>
      </c>
      <c r="N388" s="13">
        <f t="shared" si="80"/>
        <v>0</v>
      </c>
      <c r="O388" s="13">
        <f t="shared" si="81"/>
        <v>0</v>
      </c>
      <c r="X388" s="1">
        <f t="shared" si="74"/>
        <v>0</v>
      </c>
    </row>
    <row r="389" spans="1:24" x14ac:dyDescent="0.2">
      <c r="A389" s="7" t="e">
        <f t="shared" si="72"/>
        <v>#DIV/0!</v>
      </c>
      <c r="B389" s="4">
        <f t="shared" si="82"/>
        <v>383</v>
      </c>
      <c r="C389" s="4">
        <f t="shared" si="86"/>
        <v>0</v>
      </c>
      <c r="D389" s="8">
        <f t="shared" si="83"/>
        <v>0</v>
      </c>
      <c r="E389" s="23">
        <f t="shared" si="76"/>
        <v>0</v>
      </c>
      <c r="F389" s="24">
        <f t="shared" si="84"/>
        <v>0</v>
      </c>
      <c r="G389" s="25">
        <f t="shared" si="77"/>
        <v>0</v>
      </c>
      <c r="H389" s="26">
        <f t="shared" si="78"/>
        <v>0</v>
      </c>
      <c r="I389" s="27">
        <f t="shared" si="85"/>
        <v>0</v>
      </c>
      <c r="K389" s="18">
        <f t="shared" si="73"/>
        <v>0</v>
      </c>
      <c r="L389" s="22">
        <f t="shared" si="79"/>
        <v>1.6999999999999999E-3</v>
      </c>
      <c r="N389" s="13">
        <f t="shared" si="80"/>
        <v>0</v>
      </c>
      <c r="O389" s="13">
        <f t="shared" si="81"/>
        <v>0</v>
      </c>
      <c r="X389" s="1">
        <f t="shared" si="74"/>
        <v>0</v>
      </c>
    </row>
    <row r="390" spans="1:24" x14ac:dyDescent="0.2">
      <c r="A390" s="7" t="e">
        <f t="shared" si="72"/>
        <v>#DIV/0!</v>
      </c>
      <c r="B390" s="4">
        <f t="shared" si="82"/>
        <v>384</v>
      </c>
      <c r="C390" s="4">
        <f t="shared" si="86"/>
        <v>0</v>
      </c>
      <c r="D390" s="8">
        <f t="shared" si="83"/>
        <v>0</v>
      </c>
      <c r="E390" s="23">
        <f t="shared" si="76"/>
        <v>0</v>
      </c>
      <c r="F390" s="24">
        <f t="shared" si="84"/>
        <v>0</v>
      </c>
      <c r="G390" s="25">
        <f t="shared" si="77"/>
        <v>0</v>
      </c>
      <c r="H390" s="26">
        <f t="shared" si="78"/>
        <v>0</v>
      </c>
      <c r="I390" s="27">
        <f t="shared" si="85"/>
        <v>0</v>
      </c>
      <c r="K390" s="18">
        <f t="shared" si="73"/>
        <v>0</v>
      </c>
      <c r="L390" s="22">
        <f t="shared" si="79"/>
        <v>1.6999999999999999E-3</v>
      </c>
      <c r="N390" s="13">
        <f t="shared" si="80"/>
        <v>0</v>
      </c>
      <c r="O390" s="13">
        <f t="shared" si="81"/>
        <v>0</v>
      </c>
      <c r="X390" s="1">
        <f t="shared" si="74"/>
        <v>0</v>
      </c>
    </row>
    <row r="391" spans="1:24" x14ac:dyDescent="0.2">
      <c r="A391" s="7" t="e">
        <f t="shared" ref="A391:A426" si="87">F391/I391</f>
        <v>#DIV/0!</v>
      </c>
      <c r="B391" s="4">
        <f t="shared" si="82"/>
        <v>385</v>
      </c>
      <c r="C391" s="4">
        <f t="shared" si="86"/>
        <v>0</v>
      </c>
      <c r="D391" s="8">
        <f t="shared" si="83"/>
        <v>0</v>
      </c>
      <c r="E391" s="23">
        <f t="shared" si="76"/>
        <v>0</v>
      </c>
      <c r="F391" s="24">
        <f t="shared" si="84"/>
        <v>0</v>
      </c>
      <c r="G391" s="25">
        <f t="shared" si="77"/>
        <v>0</v>
      </c>
      <c r="H391" s="26">
        <f t="shared" si="78"/>
        <v>0</v>
      </c>
      <c r="I391" s="27">
        <f t="shared" si="85"/>
        <v>0</v>
      </c>
      <c r="K391" s="18">
        <f t="shared" ref="K391:K426" si="88">IF(C391&lt;1,0,(F391-H391)/G391)</f>
        <v>0</v>
      </c>
      <c r="L391" s="22">
        <f t="shared" si="79"/>
        <v>1.6999999999999999E-3</v>
      </c>
      <c r="N391" s="13">
        <f t="shared" si="80"/>
        <v>0</v>
      </c>
      <c r="O391" s="13">
        <f t="shared" si="81"/>
        <v>0</v>
      </c>
      <c r="X391" s="1">
        <f t="shared" ref="X391:X398" si="89">-G391</f>
        <v>0</v>
      </c>
    </row>
    <row r="392" spans="1:24" x14ac:dyDescent="0.2">
      <c r="A392" s="7" t="e">
        <f t="shared" si="87"/>
        <v>#DIV/0!</v>
      </c>
      <c r="B392" s="4">
        <f t="shared" si="82"/>
        <v>386</v>
      </c>
      <c r="C392" s="4">
        <f t="shared" si="86"/>
        <v>0</v>
      </c>
      <c r="D392" s="8">
        <f t="shared" si="83"/>
        <v>0</v>
      </c>
      <c r="E392" s="23">
        <f t="shared" ref="E392:E426" si="90">I391*$J$4</f>
        <v>0</v>
      </c>
      <c r="F392" s="24">
        <f t="shared" si="84"/>
        <v>0</v>
      </c>
      <c r="G392" s="25">
        <f t="shared" ref="G392:G426" si="91">IF(C392&lt;1,0,F392+E392+$L$3+$L$4)</f>
        <v>0</v>
      </c>
      <c r="H392" s="26">
        <f t="shared" ref="H392:H426" si="92">I391*L392</f>
        <v>0</v>
      </c>
      <c r="I392" s="27">
        <f t="shared" si="85"/>
        <v>0</v>
      </c>
      <c r="K392" s="18">
        <f t="shared" si="88"/>
        <v>0</v>
      </c>
      <c r="L392" s="22">
        <f t="shared" ref="L392:L426" si="93">L391</f>
        <v>1.6999999999999999E-3</v>
      </c>
      <c r="N392" s="13">
        <f t="shared" ref="N392:N426" si="94">IF(C392&lt;1,0,N391-(N391/C392))</f>
        <v>0</v>
      </c>
      <c r="O392" s="13">
        <f t="shared" ref="O392:O426" si="95">IF(C392&lt;1,0,N391/C392+N391*$J$4+$L$3+$L$4)</f>
        <v>0</v>
      </c>
      <c r="X392" s="1">
        <f t="shared" si="89"/>
        <v>0</v>
      </c>
    </row>
    <row r="393" spans="1:24" x14ac:dyDescent="0.2">
      <c r="A393" s="7" t="e">
        <f t="shared" si="87"/>
        <v>#DIV/0!</v>
      </c>
      <c r="B393" s="4">
        <f t="shared" ref="B393:B426" si="96">B392+1</f>
        <v>387</v>
      </c>
      <c r="C393" s="4">
        <f t="shared" si="86"/>
        <v>0</v>
      </c>
      <c r="D393" s="8">
        <f t="shared" si="83"/>
        <v>0</v>
      </c>
      <c r="E393" s="23">
        <f t="shared" si="90"/>
        <v>0</v>
      </c>
      <c r="F393" s="24">
        <f t="shared" si="84"/>
        <v>0</v>
      </c>
      <c r="G393" s="25">
        <f t="shared" si="91"/>
        <v>0</v>
      </c>
      <c r="H393" s="26">
        <f t="shared" si="92"/>
        <v>0</v>
      </c>
      <c r="I393" s="27">
        <f t="shared" si="85"/>
        <v>0</v>
      </c>
      <c r="K393" s="18">
        <f t="shared" si="88"/>
        <v>0</v>
      </c>
      <c r="L393" s="22">
        <f t="shared" si="93"/>
        <v>1.6999999999999999E-3</v>
      </c>
      <c r="N393" s="13">
        <f t="shared" si="94"/>
        <v>0</v>
      </c>
      <c r="O393" s="13">
        <f t="shared" si="95"/>
        <v>0</v>
      </c>
      <c r="X393" s="1">
        <f t="shared" si="89"/>
        <v>0</v>
      </c>
    </row>
    <row r="394" spans="1:24" x14ac:dyDescent="0.2">
      <c r="A394" s="7" t="e">
        <f t="shared" si="87"/>
        <v>#DIV/0!</v>
      </c>
      <c r="B394" s="4">
        <f t="shared" si="96"/>
        <v>388</v>
      </c>
      <c r="C394" s="4">
        <f t="shared" si="86"/>
        <v>0</v>
      </c>
      <c r="D394" s="8">
        <f t="shared" si="83"/>
        <v>0</v>
      </c>
      <c r="E394" s="23">
        <f t="shared" si="90"/>
        <v>0</v>
      </c>
      <c r="F394" s="24">
        <f t="shared" si="84"/>
        <v>0</v>
      </c>
      <c r="G394" s="25">
        <f t="shared" si="91"/>
        <v>0</v>
      </c>
      <c r="H394" s="26">
        <f t="shared" si="92"/>
        <v>0</v>
      </c>
      <c r="I394" s="27">
        <f t="shared" si="85"/>
        <v>0</v>
      </c>
      <c r="K394" s="18">
        <f t="shared" si="88"/>
        <v>0</v>
      </c>
      <c r="L394" s="22">
        <f t="shared" si="93"/>
        <v>1.6999999999999999E-3</v>
      </c>
      <c r="N394" s="13">
        <f t="shared" si="94"/>
        <v>0</v>
      </c>
      <c r="O394" s="13">
        <f t="shared" si="95"/>
        <v>0</v>
      </c>
      <c r="X394" s="1">
        <f t="shared" si="89"/>
        <v>0</v>
      </c>
    </row>
    <row r="395" spans="1:24" x14ac:dyDescent="0.2">
      <c r="A395" s="7" t="e">
        <f t="shared" si="87"/>
        <v>#DIV/0!</v>
      </c>
      <c r="B395" s="4">
        <f t="shared" si="96"/>
        <v>389</v>
      </c>
      <c r="C395" s="4">
        <f t="shared" si="86"/>
        <v>0</v>
      </c>
      <c r="D395" s="8">
        <f t="shared" ref="D395:D426" si="97">C395/12</f>
        <v>0</v>
      </c>
      <c r="E395" s="23">
        <f t="shared" si="90"/>
        <v>0</v>
      </c>
      <c r="F395" s="24">
        <f t="shared" si="84"/>
        <v>0</v>
      </c>
      <c r="G395" s="25">
        <f t="shared" si="91"/>
        <v>0</v>
      </c>
      <c r="H395" s="26">
        <f t="shared" si="92"/>
        <v>0</v>
      </c>
      <c r="I395" s="27">
        <f t="shared" si="85"/>
        <v>0</v>
      </c>
      <c r="K395" s="18">
        <f t="shared" si="88"/>
        <v>0</v>
      </c>
      <c r="L395" s="22">
        <f t="shared" si="93"/>
        <v>1.6999999999999999E-3</v>
      </c>
      <c r="N395" s="13">
        <f t="shared" si="94"/>
        <v>0</v>
      </c>
      <c r="O395" s="13">
        <f t="shared" si="95"/>
        <v>0</v>
      </c>
      <c r="X395" s="1">
        <f t="shared" si="89"/>
        <v>0</v>
      </c>
    </row>
    <row r="396" spans="1:24" x14ac:dyDescent="0.2">
      <c r="A396" s="7" t="e">
        <f t="shared" si="87"/>
        <v>#DIV/0!</v>
      </c>
      <c r="B396" s="4">
        <f t="shared" si="96"/>
        <v>390</v>
      </c>
      <c r="C396" s="4">
        <f t="shared" si="86"/>
        <v>0</v>
      </c>
      <c r="D396" s="8">
        <f t="shared" si="97"/>
        <v>0</v>
      </c>
      <c r="E396" s="23">
        <f t="shared" si="90"/>
        <v>0</v>
      </c>
      <c r="F396" s="24">
        <f t="shared" si="84"/>
        <v>0</v>
      </c>
      <c r="G396" s="25">
        <f t="shared" si="91"/>
        <v>0</v>
      </c>
      <c r="H396" s="26">
        <f t="shared" si="92"/>
        <v>0</v>
      </c>
      <c r="I396" s="27">
        <f t="shared" si="85"/>
        <v>0</v>
      </c>
      <c r="K396" s="18">
        <f t="shared" si="88"/>
        <v>0</v>
      </c>
      <c r="L396" s="22">
        <f t="shared" si="93"/>
        <v>1.6999999999999999E-3</v>
      </c>
      <c r="N396" s="13">
        <f t="shared" si="94"/>
        <v>0</v>
      </c>
      <c r="O396" s="13">
        <f t="shared" si="95"/>
        <v>0</v>
      </c>
      <c r="X396" s="1">
        <f t="shared" si="89"/>
        <v>0</v>
      </c>
    </row>
    <row r="397" spans="1:24" x14ac:dyDescent="0.2">
      <c r="A397" s="7" t="e">
        <f t="shared" si="87"/>
        <v>#DIV/0!</v>
      </c>
      <c r="B397" s="4">
        <f t="shared" si="96"/>
        <v>391</v>
      </c>
      <c r="C397" s="4">
        <f t="shared" si="86"/>
        <v>0</v>
      </c>
      <c r="D397" s="8">
        <f t="shared" si="97"/>
        <v>0</v>
      </c>
      <c r="E397" s="23">
        <f t="shared" si="90"/>
        <v>0</v>
      </c>
      <c r="F397" s="24">
        <f t="shared" ref="F397:F426" si="98">IF(C397&lt;1,0,I396/C397)</f>
        <v>0</v>
      </c>
      <c r="G397" s="25">
        <f t="shared" si="91"/>
        <v>0</v>
      </c>
      <c r="H397" s="26">
        <f t="shared" si="92"/>
        <v>0</v>
      </c>
      <c r="I397" s="27">
        <f t="shared" ref="I397:I426" si="99">IF(C397&lt;1,0,I396-F397+H397)</f>
        <v>0</v>
      </c>
      <c r="K397" s="18">
        <f t="shared" si="88"/>
        <v>0</v>
      </c>
      <c r="L397" s="22">
        <f t="shared" si="93"/>
        <v>1.6999999999999999E-3</v>
      </c>
      <c r="N397" s="13">
        <f t="shared" si="94"/>
        <v>0</v>
      </c>
      <c r="O397" s="13">
        <f t="shared" si="95"/>
        <v>0</v>
      </c>
      <c r="X397" s="1">
        <f t="shared" si="89"/>
        <v>0</v>
      </c>
    </row>
    <row r="398" spans="1:24" x14ac:dyDescent="0.2">
      <c r="A398" s="7" t="e">
        <f t="shared" si="87"/>
        <v>#DIV/0!</v>
      </c>
      <c r="B398" s="4">
        <f t="shared" si="96"/>
        <v>392</v>
      </c>
      <c r="C398" s="4">
        <f t="shared" si="86"/>
        <v>0</v>
      </c>
      <c r="D398" s="8">
        <f t="shared" si="97"/>
        <v>0</v>
      </c>
      <c r="E398" s="23">
        <f t="shared" si="90"/>
        <v>0</v>
      </c>
      <c r="F398" s="24">
        <f t="shared" si="98"/>
        <v>0</v>
      </c>
      <c r="G398" s="25">
        <f t="shared" si="91"/>
        <v>0</v>
      </c>
      <c r="H398" s="26">
        <f t="shared" si="92"/>
        <v>0</v>
      </c>
      <c r="I398" s="27">
        <f t="shared" si="99"/>
        <v>0</v>
      </c>
      <c r="K398" s="18">
        <f t="shared" si="88"/>
        <v>0</v>
      </c>
      <c r="L398" s="22">
        <f t="shared" si="93"/>
        <v>1.6999999999999999E-3</v>
      </c>
      <c r="N398" s="13">
        <f t="shared" si="94"/>
        <v>0</v>
      </c>
      <c r="O398" s="13">
        <f t="shared" si="95"/>
        <v>0</v>
      </c>
      <c r="X398" s="1">
        <f t="shared" si="89"/>
        <v>0</v>
      </c>
    </row>
    <row r="399" spans="1:24" x14ac:dyDescent="0.2">
      <c r="A399" s="7" t="e">
        <f t="shared" si="87"/>
        <v>#DIV/0!</v>
      </c>
      <c r="B399" s="4">
        <f t="shared" si="96"/>
        <v>393</v>
      </c>
      <c r="C399" s="4">
        <f t="shared" si="86"/>
        <v>0</v>
      </c>
      <c r="D399" s="8">
        <f t="shared" si="97"/>
        <v>0</v>
      </c>
      <c r="E399" s="23">
        <f t="shared" si="90"/>
        <v>0</v>
      </c>
      <c r="F399" s="24">
        <f t="shared" si="98"/>
        <v>0</v>
      </c>
      <c r="G399" s="25">
        <f t="shared" si="91"/>
        <v>0</v>
      </c>
      <c r="H399" s="26">
        <f t="shared" si="92"/>
        <v>0</v>
      </c>
      <c r="I399" s="27">
        <f t="shared" si="99"/>
        <v>0</v>
      </c>
      <c r="K399" s="18">
        <f t="shared" si="88"/>
        <v>0</v>
      </c>
      <c r="L399" s="22">
        <f t="shared" si="93"/>
        <v>1.6999999999999999E-3</v>
      </c>
      <c r="N399" s="13">
        <f t="shared" si="94"/>
        <v>0</v>
      </c>
      <c r="O399" s="13">
        <f t="shared" si="95"/>
        <v>0</v>
      </c>
      <c r="X399" s="1">
        <f t="shared" ref="X399:X430" si="100">-G399</f>
        <v>0</v>
      </c>
    </row>
    <row r="400" spans="1:24" x14ac:dyDescent="0.2">
      <c r="A400" s="7" t="e">
        <f t="shared" si="87"/>
        <v>#DIV/0!</v>
      </c>
      <c r="B400" s="4">
        <f t="shared" si="96"/>
        <v>394</v>
      </c>
      <c r="C400" s="4">
        <f t="shared" si="86"/>
        <v>0</v>
      </c>
      <c r="D400" s="8">
        <f t="shared" si="97"/>
        <v>0</v>
      </c>
      <c r="E400" s="23">
        <f t="shared" si="90"/>
        <v>0</v>
      </c>
      <c r="F400" s="24">
        <f t="shared" si="98"/>
        <v>0</v>
      </c>
      <c r="G400" s="25">
        <f t="shared" si="91"/>
        <v>0</v>
      </c>
      <c r="H400" s="26">
        <f t="shared" si="92"/>
        <v>0</v>
      </c>
      <c r="I400" s="27">
        <f t="shared" si="99"/>
        <v>0</v>
      </c>
      <c r="K400" s="18">
        <f t="shared" si="88"/>
        <v>0</v>
      </c>
      <c r="L400" s="22">
        <f t="shared" si="93"/>
        <v>1.6999999999999999E-3</v>
      </c>
      <c r="N400" s="13">
        <f t="shared" si="94"/>
        <v>0</v>
      </c>
      <c r="O400" s="13">
        <f t="shared" si="95"/>
        <v>0</v>
      </c>
      <c r="X400" s="1">
        <f t="shared" si="100"/>
        <v>0</v>
      </c>
    </row>
    <row r="401" spans="1:24" x14ac:dyDescent="0.2">
      <c r="A401" s="7" t="e">
        <f t="shared" si="87"/>
        <v>#DIV/0!</v>
      </c>
      <c r="B401" s="4">
        <f t="shared" si="96"/>
        <v>395</v>
      </c>
      <c r="C401" s="4">
        <f t="shared" si="86"/>
        <v>0</v>
      </c>
      <c r="D401" s="8">
        <f t="shared" si="97"/>
        <v>0</v>
      </c>
      <c r="E401" s="23">
        <f t="shared" si="90"/>
        <v>0</v>
      </c>
      <c r="F401" s="24">
        <f t="shared" si="98"/>
        <v>0</v>
      </c>
      <c r="G401" s="25">
        <f t="shared" si="91"/>
        <v>0</v>
      </c>
      <c r="H401" s="26">
        <f t="shared" si="92"/>
        <v>0</v>
      </c>
      <c r="I401" s="27">
        <f t="shared" si="99"/>
        <v>0</v>
      </c>
      <c r="K401" s="18">
        <f t="shared" si="88"/>
        <v>0</v>
      </c>
      <c r="L401" s="22">
        <f t="shared" si="93"/>
        <v>1.6999999999999999E-3</v>
      </c>
      <c r="N401" s="13">
        <f t="shared" si="94"/>
        <v>0</v>
      </c>
      <c r="O401" s="13">
        <f t="shared" si="95"/>
        <v>0</v>
      </c>
      <c r="X401" s="1">
        <f t="shared" si="100"/>
        <v>0</v>
      </c>
    </row>
    <row r="402" spans="1:24" x14ac:dyDescent="0.2">
      <c r="A402" s="7" t="e">
        <f t="shared" si="87"/>
        <v>#DIV/0!</v>
      </c>
      <c r="B402" s="4">
        <f t="shared" si="96"/>
        <v>396</v>
      </c>
      <c r="C402" s="4">
        <f t="shared" si="86"/>
        <v>0</v>
      </c>
      <c r="D402" s="8">
        <f t="shared" si="97"/>
        <v>0</v>
      </c>
      <c r="E402" s="23">
        <f t="shared" si="90"/>
        <v>0</v>
      </c>
      <c r="F402" s="24">
        <f t="shared" si="98"/>
        <v>0</v>
      </c>
      <c r="G402" s="25">
        <f t="shared" si="91"/>
        <v>0</v>
      </c>
      <c r="H402" s="26">
        <f t="shared" si="92"/>
        <v>0</v>
      </c>
      <c r="I402" s="27">
        <f t="shared" si="99"/>
        <v>0</v>
      </c>
      <c r="K402" s="18">
        <f t="shared" si="88"/>
        <v>0</v>
      </c>
      <c r="L402" s="22">
        <f t="shared" si="93"/>
        <v>1.6999999999999999E-3</v>
      </c>
      <c r="N402" s="13">
        <f t="shared" si="94"/>
        <v>0</v>
      </c>
      <c r="O402" s="13">
        <f t="shared" si="95"/>
        <v>0</v>
      </c>
      <c r="X402" s="1">
        <f t="shared" si="100"/>
        <v>0</v>
      </c>
    </row>
    <row r="403" spans="1:24" x14ac:dyDescent="0.2">
      <c r="A403" s="7" t="e">
        <f t="shared" si="87"/>
        <v>#DIV/0!</v>
      </c>
      <c r="B403" s="4">
        <f t="shared" si="96"/>
        <v>397</v>
      </c>
      <c r="C403" s="4">
        <f t="shared" si="86"/>
        <v>0</v>
      </c>
      <c r="D403" s="8">
        <f t="shared" si="97"/>
        <v>0</v>
      </c>
      <c r="E403" s="23">
        <f t="shared" si="90"/>
        <v>0</v>
      </c>
      <c r="F403" s="24">
        <f t="shared" si="98"/>
        <v>0</v>
      </c>
      <c r="G403" s="25">
        <f t="shared" si="91"/>
        <v>0</v>
      </c>
      <c r="H403" s="26">
        <f t="shared" si="92"/>
        <v>0</v>
      </c>
      <c r="I403" s="27">
        <f t="shared" si="99"/>
        <v>0</v>
      </c>
      <c r="K403" s="18">
        <f t="shared" si="88"/>
        <v>0</v>
      </c>
      <c r="L403" s="22">
        <f t="shared" si="93"/>
        <v>1.6999999999999999E-3</v>
      </c>
      <c r="N403" s="13">
        <f t="shared" si="94"/>
        <v>0</v>
      </c>
      <c r="O403" s="13">
        <f t="shared" si="95"/>
        <v>0</v>
      </c>
      <c r="X403" s="1">
        <f t="shared" si="100"/>
        <v>0</v>
      </c>
    </row>
    <row r="404" spans="1:24" x14ac:dyDescent="0.2">
      <c r="A404" s="7" t="e">
        <f t="shared" si="87"/>
        <v>#DIV/0!</v>
      </c>
      <c r="B404" s="4">
        <f t="shared" si="96"/>
        <v>398</v>
      </c>
      <c r="C404" s="4">
        <f t="shared" si="86"/>
        <v>0</v>
      </c>
      <c r="D404" s="8">
        <f t="shared" si="97"/>
        <v>0</v>
      </c>
      <c r="E404" s="23">
        <f t="shared" si="90"/>
        <v>0</v>
      </c>
      <c r="F404" s="24">
        <f t="shared" si="98"/>
        <v>0</v>
      </c>
      <c r="G404" s="25">
        <f t="shared" si="91"/>
        <v>0</v>
      </c>
      <c r="H404" s="26">
        <f t="shared" si="92"/>
        <v>0</v>
      </c>
      <c r="I404" s="27">
        <f t="shared" si="99"/>
        <v>0</v>
      </c>
      <c r="K404" s="18">
        <f t="shared" si="88"/>
        <v>0</v>
      </c>
      <c r="L404" s="22">
        <f t="shared" si="93"/>
        <v>1.6999999999999999E-3</v>
      </c>
      <c r="N404" s="13">
        <f t="shared" si="94"/>
        <v>0</v>
      </c>
      <c r="O404" s="13">
        <f t="shared" si="95"/>
        <v>0</v>
      </c>
      <c r="X404" s="1">
        <f t="shared" si="100"/>
        <v>0</v>
      </c>
    </row>
    <row r="405" spans="1:24" x14ac:dyDescent="0.2">
      <c r="A405" s="7" t="e">
        <f t="shared" si="87"/>
        <v>#DIV/0!</v>
      </c>
      <c r="B405" s="4">
        <f t="shared" si="96"/>
        <v>399</v>
      </c>
      <c r="C405" s="4">
        <f t="shared" si="86"/>
        <v>0</v>
      </c>
      <c r="D405" s="8">
        <f t="shared" si="97"/>
        <v>0</v>
      </c>
      <c r="E405" s="23">
        <f t="shared" si="90"/>
        <v>0</v>
      </c>
      <c r="F405" s="24">
        <f t="shared" si="98"/>
        <v>0</v>
      </c>
      <c r="G405" s="25">
        <f t="shared" si="91"/>
        <v>0</v>
      </c>
      <c r="H405" s="26">
        <f t="shared" si="92"/>
        <v>0</v>
      </c>
      <c r="I405" s="27">
        <f t="shared" si="99"/>
        <v>0</v>
      </c>
      <c r="K405" s="18">
        <f t="shared" si="88"/>
        <v>0</v>
      </c>
      <c r="L405" s="22">
        <f t="shared" si="93"/>
        <v>1.6999999999999999E-3</v>
      </c>
      <c r="N405" s="13">
        <f t="shared" si="94"/>
        <v>0</v>
      </c>
      <c r="O405" s="13">
        <f t="shared" si="95"/>
        <v>0</v>
      </c>
      <c r="X405" s="1">
        <f t="shared" si="100"/>
        <v>0</v>
      </c>
    </row>
    <row r="406" spans="1:24" x14ac:dyDescent="0.2">
      <c r="A406" s="7" t="e">
        <f t="shared" si="87"/>
        <v>#DIV/0!</v>
      </c>
      <c r="B406" s="4">
        <f t="shared" si="96"/>
        <v>400</v>
      </c>
      <c r="C406" s="4">
        <f t="shared" si="86"/>
        <v>0</v>
      </c>
      <c r="D406" s="8">
        <f t="shared" si="97"/>
        <v>0</v>
      </c>
      <c r="E406" s="23">
        <f t="shared" si="90"/>
        <v>0</v>
      </c>
      <c r="F406" s="24">
        <f t="shared" si="98"/>
        <v>0</v>
      </c>
      <c r="G406" s="25">
        <f t="shared" si="91"/>
        <v>0</v>
      </c>
      <c r="H406" s="26">
        <f t="shared" si="92"/>
        <v>0</v>
      </c>
      <c r="I406" s="27">
        <f t="shared" si="99"/>
        <v>0</v>
      </c>
      <c r="K406" s="18">
        <f t="shared" si="88"/>
        <v>0</v>
      </c>
      <c r="L406" s="22">
        <f t="shared" si="93"/>
        <v>1.6999999999999999E-3</v>
      </c>
      <c r="N406" s="13">
        <f t="shared" si="94"/>
        <v>0</v>
      </c>
      <c r="O406" s="13">
        <f t="shared" si="95"/>
        <v>0</v>
      </c>
      <c r="X406" s="1">
        <f t="shared" si="100"/>
        <v>0</v>
      </c>
    </row>
    <row r="407" spans="1:24" x14ac:dyDescent="0.2">
      <c r="A407" s="7" t="e">
        <f t="shared" si="87"/>
        <v>#DIV/0!</v>
      </c>
      <c r="B407" s="4">
        <f t="shared" si="96"/>
        <v>401</v>
      </c>
      <c r="C407" s="4">
        <f t="shared" si="86"/>
        <v>0</v>
      </c>
      <c r="D407" s="8">
        <f t="shared" si="97"/>
        <v>0</v>
      </c>
      <c r="E407" s="23">
        <f t="shared" si="90"/>
        <v>0</v>
      </c>
      <c r="F407" s="24">
        <f t="shared" si="98"/>
        <v>0</v>
      </c>
      <c r="G407" s="25">
        <f t="shared" si="91"/>
        <v>0</v>
      </c>
      <c r="H407" s="26">
        <f t="shared" si="92"/>
        <v>0</v>
      </c>
      <c r="I407" s="27">
        <f t="shared" si="99"/>
        <v>0</v>
      </c>
      <c r="K407" s="18">
        <f t="shared" si="88"/>
        <v>0</v>
      </c>
      <c r="L407" s="22">
        <f t="shared" si="93"/>
        <v>1.6999999999999999E-3</v>
      </c>
      <c r="N407" s="13">
        <f t="shared" si="94"/>
        <v>0</v>
      </c>
      <c r="O407" s="13">
        <f t="shared" si="95"/>
        <v>0</v>
      </c>
      <c r="X407" s="1">
        <f t="shared" si="100"/>
        <v>0</v>
      </c>
    </row>
    <row r="408" spans="1:24" x14ac:dyDescent="0.2">
      <c r="A408" s="7" t="e">
        <f t="shared" si="87"/>
        <v>#DIV/0!</v>
      </c>
      <c r="B408" s="4">
        <f t="shared" si="96"/>
        <v>402</v>
      </c>
      <c r="C408" s="4">
        <f t="shared" si="86"/>
        <v>0</v>
      </c>
      <c r="D408" s="8">
        <f t="shared" si="97"/>
        <v>0</v>
      </c>
      <c r="E408" s="23">
        <f t="shared" si="90"/>
        <v>0</v>
      </c>
      <c r="F408" s="24">
        <f t="shared" si="98"/>
        <v>0</v>
      </c>
      <c r="G408" s="25">
        <f t="shared" si="91"/>
        <v>0</v>
      </c>
      <c r="H408" s="26">
        <f t="shared" si="92"/>
        <v>0</v>
      </c>
      <c r="I408" s="27">
        <f t="shared" si="99"/>
        <v>0</v>
      </c>
      <c r="K408" s="18">
        <f t="shared" si="88"/>
        <v>0</v>
      </c>
      <c r="L408" s="22">
        <f t="shared" si="93"/>
        <v>1.6999999999999999E-3</v>
      </c>
      <c r="N408" s="13">
        <f t="shared" si="94"/>
        <v>0</v>
      </c>
      <c r="O408" s="13">
        <f t="shared" si="95"/>
        <v>0</v>
      </c>
      <c r="X408" s="1">
        <f t="shared" si="100"/>
        <v>0</v>
      </c>
    </row>
    <row r="409" spans="1:24" x14ac:dyDescent="0.2">
      <c r="A409" s="7" t="e">
        <f t="shared" si="87"/>
        <v>#DIV/0!</v>
      </c>
      <c r="B409" s="4">
        <f t="shared" si="96"/>
        <v>403</v>
      </c>
      <c r="C409" s="4">
        <f t="shared" si="86"/>
        <v>0</v>
      </c>
      <c r="D409" s="8">
        <f t="shared" si="97"/>
        <v>0</v>
      </c>
      <c r="E409" s="23">
        <f t="shared" si="90"/>
        <v>0</v>
      </c>
      <c r="F409" s="24">
        <f t="shared" si="98"/>
        <v>0</v>
      </c>
      <c r="G409" s="25">
        <f t="shared" si="91"/>
        <v>0</v>
      </c>
      <c r="H409" s="26">
        <f t="shared" si="92"/>
        <v>0</v>
      </c>
      <c r="I409" s="27">
        <f t="shared" si="99"/>
        <v>0</v>
      </c>
      <c r="K409" s="18">
        <f t="shared" si="88"/>
        <v>0</v>
      </c>
      <c r="L409" s="22">
        <f t="shared" si="93"/>
        <v>1.6999999999999999E-3</v>
      </c>
      <c r="N409" s="13">
        <f t="shared" si="94"/>
        <v>0</v>
      </c>
      <c r="O409" s="13">
        <f t="shared" si="95"/>
        <v>0</v>
      </c>
      <c r="X409" s="1">
        <f t="shared" si="100"/>
        <v>0</v>
      </c>
    </row>
    <row r="410" spans="1:24" x14ac:dyDescent="0.2">
      <c r="A410" s="7" t="e">
        <f t="shared" si="87"/>
        <v>#DIV/0!</v>
      </c>
      <c r="B410" s="4">
        <f t="shared" si="96"/>
        <v>404</v>
      </c>
      <c r="C410" s="4">
        <f t="shared" si="86"/>
        <v>0</v>
      </c>
      <c r="D410" s="8">
        <f t="shared" si="97"/>
        <v>0</v>
      </c>
      <c r="E410" s="23">
        <f t="shared" si="90"/>
        <v>0</v>
      </c>
      <c r="F410" s="24">
        <f t="shared" si="98"/>
        <v>0</v>
      </c>
      <c r="G410" s="25">
        <f t="shared" si="91"/>
        <v>0</v>
      </c>
      <c r="H410" s="26">
        <f t="shared" si="92"/>
        <v>0</v>
      </c>
      <c r="I410" s="27">
        <f t="shared" si="99"/>
        <v>0</v>
      </c>
      <c r="K410" s="18">
        <f t="shared" si="88"/>
        <v>0</v>
      </c>
      <c r="L410" s="22">
        <f t="shared" si="93"/>
        <v>1.6999999999999999E-3</v>
      </c>
      <c r="N410" s="13">
        <f t="shared" si="94"/>
        <v>0</v>
      </c>
      <c r="O410" s="13">
        <f t="shared" si="95"/>
        <v>0</v>
      </c>
      <c r="X410" s="1">
        <f t="shared" si="100"/>
        <v>0</v>
      </c>
    </row>
    <row r="411" spans="1:24" x14ac:dyDescent="0.2">
      <c r="A411" s="7" t="e">
        <f t="shared" si="87"/>
        <v>#DIV/0!</v>
      </c>
      <c r="B411" s="4">
        <f t="shared" si="96"/>
        <v>405</v>
      </c>
      <c r="C411" s="4">
        <f t="shared" si="86"/>
        <v>0</v>
      </c>
      <c r="D411" s="8">
        <f t="shared" si="97"/>
        <v>0</v>
      </c>
      <c r="E411" s="23">
        <f t="shared" si="90"/>
        <v>0</v>
      </c>
      <c r="F411" s="24">
        <f t="shared" si="98"/>
        <v>0</v>
      </c>
      <c r="G411" s="25">
        <f t="shared" si="91"/>
        <v>0</v>
      </c>
      <c r="H411" s="26">
        <f t="shared" si="92"/>
        <v>0</v>
      </c>
      <c r="I411" s="27">
        <f t="shared" si="99"/>
        <v>0</v>
      </c>
      <c r="K411" s="18">
        <f t="shared" si="88"/>
        <v>0</v>
      </c>
      <c r="L411" s="22">
        <f t="shared" si="93"/>
        <v>1.6999999999999999E-3</v>
      </c>
      <c r="N411" s="13">
        <f t="shared" si="94"/>
        <v>0</v>
      </c>
      <c r="O411" s="13">
        <f t="shared" si="95"/>
        <v>0</v>
      </c>
      <c r="X411" s="1">
        <f t="shared" si="100"/>
        <v>0</v>
      </c>
    </row>
    <row r="412" spans="1:24" x14ac:dyDescent="0.2">
      <c r="A412" s="7" t="e">
        <f t="shared" si="87"/>
        <v>#DIV/0!</v>
      </c>
      <c r="B412" s="4">
        <f t="shared" si="96"/>
        <v>406</v>
      </c>
      <c r="C412" s="4">
        <f t="shared" si="86"/>
        <v>0</v>
      </c>
      <c r="D412" s="8">
        <f t="shared" si="97"/>
        <v>0</v>
      </c>
      <c r="E412" s="23">
        <f t="shared" si="90"/>
        <v>0</v>
      </c>
      <c r="F412" s="24">
        <f t="shared" si="98"/>
        <v>0</v>
      </c>
      <c r="G412" s="25">
        <f t="shared" si="91"/>
        <v>0</v>
      </c>
      <c r="H412" s="26">
        <f t="shared" si="92"/>
        <v>0</v>
      </c>
      <c r="I412" s="27">
        <f t="shared" si="99"/>
        <v>0</v>
      </c>
      <c r="K412" s="18">
        <f t="shared" si="88"/>
        <v>0</v>
      </c>
      <c r="L412" s="22">
        <f t="shared" si="93"/>
        <v>1.6999999999999999E-3</v>
      </c>
      <c r="N412" s="13">
        <f t="shared" si="94"/>
        <v>0</v>
      </c>
      <c r="O412" s="13">
        <f t="shared" si="95"/>
        <v>0</v>
      </c>
      <c r="X412" s="1">
        <f t="shared" si="100"/>
        <v>0</v>
      </c>
    </row>
    <row r="413" spans="1:24" x14ac:dyDescent="0.2">
      <c r="A413" s="7" t="e">
        <f t="shared" si="87"/>
        <v>#DIV/0!</v>
      </c>
      <c r="B413" s="4">
        <f t="shared" si="96"/>
        <v>407</v>
      </c>
      <c r="C413" s="4">
        <f t="shared" si="86"/>
        <v>0</v>
      </c>
      <c r="D413" s="8">
        <f t="shared" si="97"/>
        <v>0</v>
      </c>
      <c r="E413" s="23">
        <f t="shared" si="90"/>
        <v>0</v>
      </c>
      <c r="F413" s="24">
        <f t="shared" si="98"/>
        <v>0</v>
      </c>
      <c r="G413" s="25">
        <f t="shared" si="91"/>
        <v>0</v>
      </c>
      <c r="H413" s="26">
        <f t="shared" si="92"/>
        <v>0</v>
      </c>
      <c r="I413" s="27">
        <f t="shared" si="99"/>
        <v>0</v>
      </c>
      <c r="K413" s="18">
        <f t="shared" si="88"/>
        <v>0</v>
      </c>
      <c r="L413" s="22">
        <f t="shared" si="93"/>
        <v>1.6999999999999999E-3</v>
      </c>
      <c r="N413" s="13">
        <f t="shared" si="94"/>
        <v>0</v>
      </c>
      <c r="O413" s="13">
        <f t="shared" si="95"/>
        <v>0</v>
      </c>
      <c r="X413" s="1">
        <f t="shared" si="100"/>
        <v>0</v>
      </c>
    </row>
    <row r="414" spans="1:24" x14ac:dyDescent="0.2">
      <c r="A414" s="7" t="e">
        <f t="shared" si="87"/>
        <v>#DIV/0!</v>
      </c>
      <c r="B414" s="4">
        <f t="shared" si="96"/>
        <v>408</v>
      </c>
      <c r="C414" s="4">
        <f t="shared" si="86"/>
        <v>0</v>
      </c>
      <c r="D414" s="8">
        <f t="shared" si="97"/>
        <v>0</v>
      </c>
      <c r="E414" s="23">
        <f t="shared" si="90"/>
        <v>0</v>
      </c>
      <c r="F414" s="24">
        <f t="shared" si="98"/>
        <v>0</v>
      </c>
      <c r="G414" s="25">
        <f t="shared" si="91"/>
        <v>0</v>
      </c>
      <c r="H414" s="26">
        <f t="shared" si="92"/>
        <v>0</v>
      </c>
      <c r="I414" s="27">
        <f t="shared" si="99"/>
        <v>0</v>
      </c>
      <c r="K414" s="18">
        <f t="shared" si="88"/>
        <v>0</v>
      </c>
      <c r="L414" s="22">
        <f t="shared" si="93"/>
        <v>1.6999999999999999E-3</v>
      </c>
      <c r="N414" s="13">
        <f t="shared" si="94"/>
        <v>0</v>
      </c>
      <c r="O414" s="13">
        <f t="shared" si="95"/>
        <v>0</v>
      </c>
      <c r="X414" s="1">
        <f t="shared" si="100"/>
        <v>0</v>
      </c>
    </row>
    <row r="415" spans="1:24" x14ac:dyDescent="0.2">
      <c r="A415" s="7" t="e">
        <f t="shared" si="87"/>
        <v>#DIV/0!</v>
      </c>
      <c r="B415" s="4">
        <f t="shared" si="96"/>
        <v>409</v>
      </c>
      <c r="C415" s="4">
        <f t="shared" si="86"/>
        <v>0</v>
      </c>
      <c r="D415" s="8">
        <f t="shared" si="97"/>
        <v>0</v>
      </c>
      <c r="E415" s="23">
        <f t="shared" si="90"/>
        <v>0</v>
      </c>
      <c r="F415" s="24">
        <f t="shared" si="98"/>
        <v>0</v>
      </c>
      <c r="G415" s="25">
        <f t="shared" si="91"/>
        <v>0</v>
      </c>
      <c r="H415" s="26">
        <f t="shared" si="92"/>
        <v>0</v>
      </c>
      <c r="I415" s="27">
        <f t="shared" si="99"/>
        <v>0</v>
      </c>
      <c r="K415" s="18">
        <f t="shared" si="88"/>
        <v>0</v>
      </c>
      <c r="L415" s="22">
        <f t="shared" si="93"/>
        <v>1.6999999999999999E-3</v>
      </c>
      <c r="N415" s="13">
        <f t="shared" si="94"/>
        <v>0</v>
      </c>
      <c r="O415" s="13">
        <f t="shared" si="95"/>
        <v>0</v>
      </c>
      <c r="X415" s="1">
        <f t="shared" si="100"/>
        <v>0</v>
      </c>
    </row>
    <row r="416" spans="1:24" x14ac:dyDescent="0.2">
      <c r="A416" s="7" t="e">
        <f t="shared" si="87"/>
        <v>#DIV/0!</v>
      </c>
      <c r="B416" s="4">
        <f t="shared" si="96"/>
        <v>410</v>
      </c>
      <c r="C416" s="4">
        <f t="shared" si="86"/>
        <v>0</v>
      </c>
      <c r="D416" s="8">
        <f t="shared" si="97"/>
        <v>0</v>
      </c>
      <c r="E416" s="23">
        <f t="shared" si="90"/>
        <v>0</v>
      </c>
      <c r="F416" s="24">
        <f t="shared" si="98"/>
        <v>0</v>
      </c>
      <c r="G416" s="25">
        <f t="shared" si="91"/>
        <v>0</v>
      </c>
      <c r="H416" s="26">
        <f t="shared" si="92"/>
        <v>0</v>
      </c>
      <c r="I416" s="27">
        <f t="shared" si="99"/>
        <v>0</v>
      </c>
      <c r="K416" s="18">
        <f t="shared" si="88"/>
        <v>0</v>
      </c>
      <c r="L416" s="22">
        <f t="shared" si="93"/>
        <v>1.6999999999999999E-3</v>
      </c>
      <c r="N416" s="13">
        <f t="shared" si="94"/>
        <v>0</v>
      </c>
      <c r="O416" s="13">
        <f t="shared" si="95"/>
        <v>0</v>
      </c>
      <c r="X416" s="1">
        <f t="shared" si="100"/>
        <v>0</v>
      </c>
    </row>
    <row r="417" spans="1:24" x14ac:dyDescent="0.2">
      <c r="A417" s="7" t="e">
        <f t="shared" si="87"/>
        <v>#DIV/0!</v>
      </c>
      <c r="B417" s="4">
        <f t="shared" si="96"/>
        <v>411</v>
      </c>
      <c r="C417" s="4">
        <f t="shared" si="86"/>
        <v>0</v>
      </c>
      <c r="D417" s="8">
        <f t="shared" si="97"/>
        <v>0</v>
      </c>
      <c r="E417" s="23">
        <f t="shared" si="90"/>
        <v>0</v>
      </c>
      <c r="F417" s="24">
        <f t="shared" si="98"/>
        <v>0</v>
      </c>
      <c r="G417" s="25">
        <f t="shared" si="91"/>
        <v>0</v>
      </c>
      <c r="H417" s="26">
        <f t="shared" si="92"/>
        <v>0</v>
      </c>
      <c r="I417" s="27">
        <f t="shared" si="99"/>
        <v>0</v>
      </c>
      <c r="K417" s="18">
        <f t="shared" si="88"/>
        <v>0</v>
      </c>
      <c r="L417" s="22">
        <f t="shared" si="93"/>
        <v>1.6999999999999999E-3</v>
      </c>
      <c r="N417" s="13">
        <f t="shared" si="94"/>
        <v>0</v>
      </c>
      <c r="O417" s="13">
        <f t="shared" si="95"/>
        <v>0</v>
      </c>
      <c r="X417" s="1">
        <f t="shared" si="100"/>
        <v>0</v>
      </c>
    </row>
    <row r="418" spans="1:24" x14ac:dyDescent="0.2">
      <c r="A418" s="7" t="e">
        <f t="shared" si="87"/>
        <v>#DIV/0!</v>
      </c>
      <c r="B418" s="4">
        <f t="shared" si="96"/>
        <v>412</v>
      </c>
      <c r="C418" s="4">
        <f t="shared" si="86"/>
        <v>0</v>
      </c>
      <c r="D418" s="8">
        <f t="shared" si="97"/>
        <v>0</v>
      </c>
      <c r="E418" s="23">
        <f t="shared" si="90"/>
        <v>0</v>
      </c>
      <c r="F418" s="24">
        <f t="shared" si="98"/>
        <v>0</v>
      </c>
      <c r="G418" s="25">
        <f t="shared" si="91"/>
        <v>0</v>
      </c>
      <c r="H418" s="26">
        <f t="shared" si="92"/>
        <v>0</v>
      </c>
      <c r="I418" s="27">
        <f t="shared" si="99"/>
        <v>0</v>
      </c>
      <c r="K418" s="18">
        <f t="shared" si="88"/>
        <v>0</v>
      </c>
      <c r="L418" s="22">
        <f t="shared" si="93"/>
        <v>1.6999999999999999E-3</v>
      </c>
      <c r="N418" s="13">
        <f t="shared" si="94"/>
        <v>0</v>
      </c>
      <c r="O418" s="13">
        <f t="shared" si="95"/>
        <v>0</v>
      </c>
      <c r="X418" s="1">
        <f t="shared" si="100"/>
        <v>0</v>
      </c>
    </row>
    <row r="419" spans="1:24" x14ac:dyDescent="0.2">
      <c r="A419" s="7" t="e">
        <f t="shared" si="87"/>
        <v>#DIV/0!</v>
      </c>
      <c r="B419" s="4">
        <f t="shared" si="96"/>
        <v>413</v>
      </c>
      <c r="C419" s="4">
        <f t="shared" si="86"/>
        <v>0</v>
      </c>
      <c r="D419" s="8">
        <f t="shared" si="97"/>
        <v>0</v>
      </c>
      <c r="E419" s="23">
        <f t="shared" si="90"/>
        <v>0</v>
      </c>
      <c r="F419" s="24">
        <f t="shared" si="98"/>
        <v>0</v>
      </c>
      <c r="G419" s="25">
        <f t="shared" si="91"/>
        <v>0</v>
      </c>
      <c r="H419" s="26">
        <f t="shared" si="92"/>
        <v>0</v>
      </c>
      <c r="I419" s="27">
        <f t="shared" si="99"/>
        <v>0</v>
      </c>
      <c r="K419" s="18">
        <f t="shared" si="88"/>
        <v>0</v>
      </c>
      <c r="L419" s="22">
        <f t="shared" si="93"/>
        <v>1.6999999999999999E-3</v>
      </c>
      <c r="N419" s="13">
        <f t="shared" si="94"/>
        <v>0</v>
      </c>
      <c r="O419" s="13">
        <f t="shared" si="95"/>
        <v>0</v>
      </c>
      <c r="X419" s="1">
        <f t="shared" si="100"/>
        <v>0</v>
      </c>
    </row>
    <row r="420" spans="1:24" x14ac:dyDescent="0.2">
      <c r="A420" s="7" t="e">
        <f t="shared" si="87"/>
        <v>#DIV/0!</v>
      </c>
      <c r="B420" s="4">
        <f t="shared" si="96"/>
        <v>414</v>
      </c>
      <c r="C420" s="4">
        <f t="shared" si="86"/>
        <v>0</v>
      </c>
      <c r="D420" s="8">
        <f t="shared" si="97"/>
        <v>0</v>
      </c>
      <c r="E420" s="23">
        <f t="shared" si="90"/>
        <v>0</v>
      </c>
      <c r="F420" s="24">
        <f t="shared" si="98"/>
        <v>0</v>
      </c>
      <c r="G420" s="25">
        <f t="shared" si="91"/>
        <v>0</v>
      </c>
      <c r="H420" s="26">
        <f t="shared" si="92"/>
        <v>0</v>
      </c>
      <c r="I420" s="27">
        <f t="shared" si="99"/>
        <v>0</v>
      </c>
      <c r="K420" s="18">
        <f t="shared" si="88"/>
        <v>0</v>
      </c>
      <c r="L420" s="22">
        <f t="shared" si="93"/>
        <v>1.6999999999999999E-3</v>
      </c>
      <c r="N420" s="13">
        <f t="shared" si="94"/>
        <v>0</v>
      </c>
      <c r="O420" s="13">
        <f t="shared" si="95"/>
        <v>0</v>
      </c>
      <c r="X420" s="1">
        <f t="shared" si="100"/>
        <v>0</v>
      </c>
    </row>
    <row r="421" spans="1:24" x14ac:dyDescent="0.2">
      <c r="A421" s="7" t="e">
        <f t="shared" si="87"/>
        <v>#DIV/0!</v>
      </c>
      <c r="B421" s="4">
        <f t="shared" si="96"/>
        <v>415</v>
      </c>
      <c r="C421" s="4">
        <f t="shared" si="86"/>
        <v>0</v>
      </c>
      <c r="D421" s="8">
        <f t="shared" si="97"/>
        <v>0</v>
      </c>
      <c r="E421" s="23">
        <f t="shared" si="90"/>
        <v>0</v>
      </c>
      <c r="F421" s="24">
        <f t="shared" si="98"/>
        <v>0</v>
      </c>
      <c r="G421" s="25">
        <f t="shared" si="91"/>
        <v>0</v>
      </c>
      <c r="H421" s="26">
        <f t="shared" si="92"/>
        <v>0</v>
      </c>
      <c r="I421" s="27">
        <f t="shared" si="99"/>
        <v>0</v>
      </c>
      <c r="K421" s="18">
        <f t="shared" si="88"/>
        <v>0</v>
      </c>
      <c r="L421" s="22">
        <f t="shared" si="93"/>
        <v>1.6999999999999999E-3</v>
      </c>
      <c r="N421" s="13">
        <f t="shared" si="94"/>
        <v>0</v>
      </c>
      <c r="O421" s="13">
        <f t="shared" si="95"/>
        <v>0</v>
      </c>
      <c r="X421" s="1">
        <f t="shared" si="100"/>
        <v>0</v>
      </c>
    </row>
    <row r="422" spans="1:24" x14ac:dyDescent="0.2">
      <c r="A422" s="7" t="e">
        <f t="shared" si="87"/>
        <v>#DIV/0!</v>
      </c>
      <c r="B422" s="4">
        <f t="shared" si="96"/>
        <v>416</v>
      </c>
      <c r="C422" s="4">
        <f t="shared" si="86"/>
        <v>0</v>
      </c>
      <c r="D422" s="8">
        <f t="shared" si="97"/>
        <v>0</v>
      </c>
      <c r="E422" s="23">
        <f t="shared" si="90"/>
        <v>0</v>
      </c>
      <c r="F422" s="24">
        <f t="shared" si="98"/>
        <v>0</v>
      </c>
      <c r="G422" s="25">
        <f t="shared" si="91"/>
        <v>0</v>
      </c>
      <c r="H422" s="26">
        <f t="shared" si="92"/>
        <v>0</v>
      </c>
      <c r="I422" s="27">
        <f t="shared" si="99"/>
        <v>0</v>
      </c>
      <c r="K422" s="18">
        <f t="shared" si="88"/>
        <v>0</v>
      </c>
      <c r="L422" s="22">
        <f t="shared" si="93"/>
        <v>1.6999999999999999E-3</v>
      </c>
      <c r="N422" s="13">
        <f t="shared" si="94"/>
        <v>0</v>
      </c>
      <c r="O422" s="13">
        <f t="shared" si="95"/>
        <v>0</v>
      </c>
      <c r="X422" s="1">
        <f t="shared" si="100"/>
        <v>0</v>
      </c>
    </row>
    <row r="423" spans="1:24" x14ac:dyDescent="0.2">
      <c r="A423" s="7" t="e">
        <f t="shared" si="87"/>
        <v>#DIV/0!</v>
      </c>
      <c r="B423" s="4">
        <f t="shared" si="96"/>
        <v>417</v>
      </c>
      <c r="C423" s="4">
        <f t="shared" si="86"/>
        <v>0</v>
      </c>
      <c r="D423" s="8">
        <f t="shared" si="97"/>
        <v>0</v>
      </c>
      <c r="E423" s="23">
        <f t="shared" si="90"/>
        <v>0</v>
      </c>
      <c r="F423" s="24">
        <f t="shared" si="98"/>
        <v>0</v>
      </c>
      <c r="G423" s="25">
        <f t="shared" si="91"/>
        <v>0</v>
      </c>
      <c r="H423" s="26">
        <f t="shared" si="92"/>
        <v>0</v>
      </c>
      <c r="I423" s="27">
        <f t="shared" si="99"/>
        <v>0</v>
      </c>
      <c r="K423" s="18">
        <f t="shared" si="88"/>
        <v>0</v>
      </c>
      <c r="L423" s="22">
        <f t="shared" si="93"/>
        <v>1.6999999999999999E-3</v>
      </c>
      <c r="N423" s="13">
        <f t="shared" si="94"/>
        <v>0</v>
      </c>
      <c r="O423" s="13">
        <f t="shared" si="95"/>
        <v>0</v>
      </c>
      <c r="X423" s="1">
        <f t="shared" si="100"/>
        <v>0</v>
      </c>
    </row>
    <row r="424" spans="1:24" x14ac:dyDescent="0.2">
      <c r="A424" s="7" t="e">
        <f t="shared" si="87"/>
        <v>#DIV/0!</v>
      </c>
      <c r="B424" s="4">
        <f t="shared" si="96"/>
        <v>418</v>
      </c>
      <c r="C424" s="4">
        <f t="shared" si="86"/>
        <v>0</v>
      </c>
      <c r="D424" s="8">
        <f t="shared" si="97"/>
        <v>0</v>
      </c>
      <c r="E424" s="23">
        <f t="shared" si="90"/>
        <v>0</v>
      </c>
      <c r="F424" s="24">
        <f t="shared" si="98"/>
        <v>0</v>
      </c>
      <c r="G424" s="25">
        <f t="shared" si="91"/>
        <v>0</v>
      </c>
      <c r="H424" s="26">
        <f t="shared" si="92"/>
        <v>0</v>
      </c>
      <c r="I424" s="27">
        <f t="shared" si="99"/>
        <v>0</v>
      </c>
      <c r="K424" s="18">
        <f t="shared" si="88"/>
        <v>0</v>
      </c>
      <c r="L424" s="22">
        <f t="shared" si="93"/>
        <v>1.6999999999999999E-3</v>
      </c>
      <c r="N424" s="13">
        <f t="shared" si="94"/>
        <v>0</v>
      </c>
      <c r="O424" s="13">
        <f t="shared" si="95"/>
        <v>0</v>
      </c>
      <c r="X424" s="1">
        <f t="shared" si="100"/>
        <v>0</v>
      </c>
    </row>
    <row r="425" spans="1:24" x14ac:dyDescent="0.2">
      <c r="A425" s="7" t="e">
        <f t="shared" si="87"/>
        <v>#DIV/0!</v>
      </c>
      <c r="B425" s="4">
        <f t="shared" si="96"/>
        <v>419</v>
      </c>
      <c r="C425" s="4">
        <f t="shared" si="86"/>
        <v>0</v>
      </c>
      <c r="D425" s="8">
        <f t="shared" si="97"/>
        <v>0</v>
      </c>
      <c r="E425" s="23">
        <f t="shared" si="90"/>
        <v>0</v>
      </c>
      <c r="F425" s="24">
        <f t="shared" si="98"/>
        <v>0</v>
      </c>
      <c r="G425" s="25">
        <f t="shared" si="91"/>
        <v>0</v>
      </c>
      <c r="H425" s="26">
        <f t="shared" si="92"/>
        <v>0</v>
      </c>
      <c r="I425" s="27">
        <f t="shared" si="99"/>
        <v>0</v>
      </c>
      <c r="K425" s="18">
        <f t="shared" si="88"/>
        <v>0</v>
      </c>
      <c r="L425" s="22">
        <f t="shared" si="93"/>
        <v>1.6999999999999999E-3</v>
      </c>
      <c r="N425" s="13">
        <f t="shared" si="94"/>
        <v>0</v>
      </c>
      <c r="O425" s="13">
        <f t="shared" si="95"/>
        <v>0</v>
      </c>
      <c r="X425" s="1">
        <f t="shared" si="100"/>
        <v>0</v>
      </c>
    </row>
    <row r="426" spans="1:24" x14ac:dyDescent="0.2">
      <c r="A426" s="7" t="e">
        <f t="shared" si="87"/>
        <v>#DIV/0!</v>
      </c>
      <c r="B426" s="4">
        <f t="shared" si="96"/>
        <v>420</v>
      </c>
      <c r="C426" s="4">
        <f t="shared" si="86"/>
        <v>0</v>
      </c>
      <c r="D426" s="8">
        <f t="shared" si="97"/>
        <v>0</v>
      </c>
      <c r="E426" s="23">
        <f t="shared" si="90"/>
        <v>0</v>
      </c>
      <c r="F426" s="24">
        <f t="shared" si="98"/>
        <v>0</v>
      </c>
      <c r="G426" s="25">
        <f t="shared" si="91"/>
        <v>0</v>
      </c>
      <c r="H426" s="26">
        <f t="shared" si="92"/>
        <v>0</v>
      </c>
      <c r="I426" s="27">
        <f t="shared" si="99"/>
        <v>0</v>
      </c>
      <c r="K426" s="18">
        <f t="shared" si="88"/>
        <v>0</v>
      </c>
      <c r="L426" s="22">
        <f t="shared" si="93"/>
        <v>1.6999999999999999E-3</v>
      </c>
      <c r="N426" s="13">
        <f t="shared" si="94"/>
        <v>0</v>
      </c>
      <c r="O426" s="13">
        <f t="shared" si="95"/>
        <v>0</v>
      </c>
      <c r="X426" s="1">
        <f t="shared" si="100"/>
        <v>0</v>
      </c>
    </row>
    <row r="427" spans="1:24" x14ac:dyDescent="0.2">
      <c r="X427" s="1">
        <f t="shared" si="100"/>
        <v>0</v>
      </c>
    </row>
    <row r="428" spans="1:24" x14ac:dyDescent="0.2">
      <c r="X428" s="1">
        <f t="shared" si="100"/>
        <v>0</v>
      </c>
    </row>
    <row r="429" spans="1:24" x14ac:dyDescent="0.2">
      <c r="X429" s="1">
        <f t="shared" si="100"/>
        <v>0</v>
      </c>
    </row>
    <row r="430" spans="1:24" x14ac:dyDescent="0.2">
      <c r="X430" s="1">
        <f t="shared" si="100"/>
        <v>0</v>
      </c>
    </row>
  </sheetData>
  <conditionalFormatting sqref="K7:K426">
    <cfRule type="iconSet" priority="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hyperlinks>
    <hyperlink ref="P3" r:id="rId1" display="https://www.instagram.com/amigodopairico/" xr:uid="{D64A522F-FB22-D748-A3B9-8EEA885B545C}"/>
    <hyperlink ref="P4" r:id="rId2" display="https://youtube.com/amigodopairico" xr:uid="{A2062986-A0E3-9F4F-BEBE-E87C958D0A8A}"/>
    <hyperlink ref="I1" r:id="rId3" xr:uid="{0961CB48-7D6E-2344-AD33-ABC0BDDC9886}"/>
    <hyperlink ref="A1" r:id="rId4" xr:uid="{AAB79B8A-A2FD-C243-BA6A-D7276834E43D}"/>
    <hyperlink ref="L1" r:id="rId5" xr:uid="{4C823B3F-6D72-2B47-8CA9-C723B8E624EA}"/>
  </hyperlinks>
  <pageMargins left="0.511811024" right="0.511811024" top="0.78740157499999996" bottom="0.78740157499999996" header="0.31496062000000002" footer="0.31496062000000002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30B13-D6F5-4D44-BCF7-6C53686B6387}">
  <sheetPr codeName="Planilha4">
    <tabColor theme="7" tint="0.39997558519241921"/>
  </sheetPr>
  <dimension ref="A2:D25"/>
  <sheetViews>
    <sheetView showGridLines="0" zoomScale="140" zoomScaleNormal="140" workbookViewId="0"/>
  </sheetViews>
  <sheetFormatPr baseColWidth="10" defaultColWidth="10.83203125" defaultRowHeight="16" x14ac:dyDescent="0.2"/>
  <sheetData>
    <row r="2" spans="1:4" x14ac:dyDescent="0.2">
      <c r="A2" s="28" t="s">
        <v>33</v>
      </c>
      <c r="C2" t="s">
        <v>35</v>
      </c>
      <c r="D2" s="29">
        <v>0.04</v>
      </c>
    </row>
    <row r="4" spans="1:4" x14ac:dyDescent="0.2">
      <c r="C4" t="s">
        <v>37</v>
      </c>
    </row>
    <row r="5" spans="1:4" x14ac:dyDescent="0.2">
      <c r="A5" s="30" t="s">
        <v>34</v>
      </c>
      <c r="C5" t="s">
        <v>38</v>
      </c>
    </row>
    <row r="6" spans="1:4" x14ac:dyDescent="0.2">
      <c r="A6">
        <v>1</v>
      </c>
      <c r="B6" s="1"/>
      <c r="C6" s="1">
        <f>'PRICE @amigodopairico'!I18</f>
        <v>143268.22697888067</v>
      </c>
    </row>
    <row r="7" spans="1:4" x14ac:dyDescent="0.2">
      <c r="A7">
        <f>A6+1</f>
        <v>2</v>
      </c>
      <c r="B7" s="1"/>
    </row>
    <row r="8" spans="1:4" x14ac:dyDescent="0.2">
      <c r="A8">
        <f t="shared" ref="A8:A25" si="0">A7+1</f>
        <v>3</v>
      </c>
      <c r="B8" s="1"/>
    </row>
    <row r="9" spans="1:4" x14ac:dyDescent="0.2">
      <c r="A9">
        <f t="shared" si="0"/>
        <v>4</v>
      </c>
      <c r="B9" s="1"/>
    </row>
    <row r="10" spans="1:4" x14ac:dyDescent="0.2">
      <c r="A10">
        <f t="shared" si="0"/>
        <v>5</v>
      </c>
      <c r="B10" s="1"/>
    </row>
    <row r="11" spans="1:4" x14ac:dyDescent="0.2">
      <c r="A11">
        <f t="shared" si="0"/>
        <v>6</v>
      </c>
      <c r="B11" s="1"/>
    </row>
    <row r="12" spans="1:4" x14ac:dyDescent="0.2">
      <c r="A12">
        <f t="shared" si="0"/>
        <v>7</v>
      </c>
      <c r="B12" s="1"/>
    </row>
    <row r="13" spans="1:4" x14ac:dyDescent="0.2">
      <c r="A13">
        <f t="shared" si="0"/>
        <v>8</v>
      </c>
      <c r="B13" s="1"/>
    </row>
    <row r="14" spans="1:4" x14ac:dyDescent="0.2">
      <c r="A14">
        <f t="shared" si="0"/>
        <v>9</v>
      </c>
      <c r="B14" s="1"/>
    </row>
    <row r="15" spans="1:4" x14ac:dyDescent="0.2">
      <c r="A15">
        <f t="shared" si="0"/>
        <v>10</v>
      </c>
      <c r="B15" s="1"/>
    </row>
    <row r="16" spans="1:4" x14ac:dyDescent="0.2">
      <c r="A16">
        <f t="shared" si="0"/>
        <v>11</v>
      </c>
      <c r="B16" s="1"/>
    </row>
    <row r="17" spans="1:2" x14ac:dyDescent="0.2">
      <c r="A17">
        <f t="shared" si="0"/>
        <v>12</v>
      </c>
      <c r="B17" s="1"/>
    </row>
    <row r="18" spans="1:2" x14ac:dyDescent="0.2">
      <c r="A18">
        <f t="shared" si="0"/>
        <v>13</v>
      </c>
      <c r="B18" s="1"/>
    </row>
    <row r="19" spans="1:2" x14ac:dyDescent="0.2">
      <c r="A19">
        <f t="shared" si="0"/>
        <v>14</v>
      </c>
      <c r="B19" s="1"/>
    </row>
    <row r="20" spans="1:2" x14ac:dyDescent="0.2">
      <c r="A20">
        <f t="shared" si="0"/>
        <v>15</v>
      </c>
      <c r="B20" s="1"/>
    </row>
    <row r="21" spans="1:2" x14ac:dyDescent="0.2">
      <c r="A21">
        <f t="shared" si="0"/>
        <v>16</v>
      </c>
      <c r="B21" s="1"/>
    </row>
    <row r="22" spans="1:2" x14ac:dyDescent="0.2">
      <c r="A22">
        <f t="shared" si="0"/>
        <v>17</v>
      </c>
      <c r="B22" s="1"/>
    </row>
    <row r="23" spans="1:2" x14ac:dyDescent="0.2">
      <c r="A23">
        <f t="shared" si="0"/>
        <v>18</v>
      </c>
      <c r="B23" s="1"/>
    </row>
    <row r="24" spans="1:2" x14ac:dyDescent="0.2">
      <c r="A24">
        <f t="shared" si="0"/>
        <v>19</v>
      </c>
      <c r="B24" s="1"/>
    </row>
    <row r="25" spans="1:2" x14ac:dyDescent="0.2">
      <c r="A25">
        <f t="shared" si="0"/>
        <v>20</v>
      </c>
      <c r="B2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BC333-8D73-6F41-A473-7C6A143446FA}">
  <sheetPr codeName="Planilha5"/>
  <dimension ref="A1:A2"/>
  <sheetViews>
    <sheetView showGridLines="0" zoomScale="150" zoomScaleNormal="150" workbookViewId="0"/>
  </sheetViews>
  <sheetFormatPr baseColWidth="10" defaultColWidth="10.83203125" defaultRowHeight="16" x14ac:dyDescent="0.2"/>
  <sheetData>
    <row r="1" spans="1:1" x14ac:dyDescent="0.2">
      <c r="A1" t="s">
        <v>17</v>
      </c>
    </row>
    <row r="2" spans="1:1" x14ac:dyDescent="0.2">
      <c r="A2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A0EB1-287B-DA45-B1F8-B525280DACFA}">
  <sheetPr codeName="Planilha6"/>
  <dimension ref="A1:A6"/>
  <sheetViews>
    <sheetView showGridLines="0" zoomScale="190" zoomScaleNormal="190" workbookViewId="0"/>
  </sheetViews>
  <sheetFormatPr baseColWidth="10" defaultColWidth="10.83203125" defaultRowHeight="16" x14ac:dyDescent="0.2"/>
  <sheetData>
    <row r="1" spans="1:1" x14ac:dyDescent="0.2">
      <c r="A1" t="s">
        <v>24</v>
      </c>
    </row>
    <row r="2" spans="1:1" x14ac:dyDescent="0.2">
      <c r="A2" t="s">
        <v>25</v>
      </c>
    </row>
    <row r="3" spans="1:1" x14ac:dyDescent="0.2">
      <c r="A3" t="s">
        <v>26</v>
      </c>
    </row>
    <row r="4" spans="1:1" x14ac:dyDescent="0.2">
      <c r="A4" t="s">
        <v>27</v>
      </c>
    </row>
    <row r="5" spans="1:1" x14ac:dyDescent="0.2">
      <c r="A5" t="s">
        <v>28</v>
      </c>
    </row>
    <row r="6" spans="1:1" x14ac:dyDescent="0.2">
      <c r="A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RAIO X DO SEU FINANCIAMENTO</vt:lpstr>
      <vt:lpstr>PRICE @amigodopairico</vt:lpstr>
      <vt:lpstr>SAC @amigodopairico</vt:lpstr>
      <vt:lpstr>Dados FGTS</vt:lpstr>
      <vt:lpstr>Data Tipo Finan</vt:lpstr>
      <vt:lpstr>Data Bancos</vt:lpstr>
      <vt:lpstr>Juros_SAC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 Gon</dc:creator>
  <cp:lastModifiedBy>Ale Gon</cp:lastModifiedBy>
  <dcterms:created xsi:type="dcterms:W3CDTF">2023-11-26T21:05:17Z</dcterms:created>
  <dcterms:modified xsi:type="dcterms:W3CDTF">2026-03-04T00:21:18Z</dcterms:modified>
</cp:coreProperties>
</file>
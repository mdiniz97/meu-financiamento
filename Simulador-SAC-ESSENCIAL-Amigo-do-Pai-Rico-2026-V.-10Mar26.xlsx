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alessandrogon/Library/Mobile Documents/com~apple~CloudDocs/AMPR/_Planilhas de Trabalho/"/>
    </mc:Choice>
  </mc:AlternateContent>
  <xr:revisionPtr revIDLastSave="0" documentId="13_ncr:1_{6A7B0108-20B7-4246-A680-66025CDCFE82}" xr6:coauthVersionLast="47" xr6:coauthVersionMax="47" xr10:uidLastSave="{00000000-0000-0000-0000-000000000000}"/>
  <bookViews>
    <workbookView xWindow="5560" yWindow="39060" windowWidth="29400" windowHeight="18460" xr2:uid="{C9738A85-120F-1C40-A9AB-6FDF8D5FA85A}"/>
  </bookViews>
  <sheets>
    <sheet name="BASE SAC @amigodopairico" sheetId="1" r:id="rId1"/>
    <sheet name="Painel de Acompanhamento SAC" sheetId="6" r:id="rId2"/>
    <sheet name="Configurações" sheetId="10" state="hidden" r:id="rId3"/>
  </sheets>
  <definedNames>
    <definedName name="_xlnm._FilterDatabase" localSheetId="2" hidden="1">Configurações!$A$1:$A$6</definedName>
    <definedName name="JUROS">'BASE SAC @amigodopairico'!$F$13:$F$374</definedName>
    <definedName name="SAC">'BASE SAC @amigodopairico'!#REF!</definedName>
    <definedName name="SAC_Adiantamento">'BASE SAC @amigodopairico'!$N$15:$N$434</definedName>
    <definedName name="SAC_Amortizacao">'BASE SAC @amigodopairico'!$G$15:$G$434</definedName>
    <definedName name="SAC_AtualizacaoMonetaria">'BASE SAC @amigodopairico'!$S$15:$S$434</definedName>
    <definedName name="SAC_Juros">'BASE SAC @amigodopairico'!$F$15:$F$434</definedName>
    <definedName name="SAC_Parcela">'BASE SAC @amigodopairico'!$L$15:$L$434</definedName>
    <definedName name="SAC_PrevisaoAtualizacaoMonetaria">'BASE SAC @amigodopairico'!$S$15:$S$434</definedName>
    <definedName name="SAC_QuedaSaldoDevedor">'BASE SAC @amigodopairico'!$J$15:$J$434</definedName>
    <definedName name="SAC_Trienio">'BASE SAC @amigodopairico'!$A$15:$T$434</definedName>
    <definedName name="SALDO_DEVEDOR">'BASE SAC @amigodopairico'!$M$13:$M$374</definedName>
    <definedName name="solver_adj" localSheetId="0" hidden="1">'BASE SAC @amigodopairico'!#REF!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'BASE SAC @amigodopairico'!#REF!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360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C24" i="6" a="1"/>
  <c r="C24" i="6" s="1"/>
  <c r="AT15" i="1"/>
  <c r="AS15" i="1"/>
  <c r="AR15" i="1"/>
  <c r="AY7" i="1"/>
  <c r="BI15" i="1" s="1"/>
  <c r="AU11" i="1"/>
  <c r="AU9" i="1"/>
  <c r="BK15" i="1" s="1"/>
  <c r="AU8" i="1"/>
  <c r="AU7" i="1"/>
  <c r="AV7" i="1" s="1"/>
  <c r="BH434" i="1"/>
  <c r="BG434" i="1"/>
  <c r="BH433" i="1"/>
  <c r="BG433" i="1"/>
  <c r="BH432" i="1"/>
  <c r="BG432" i="1"/>
  <c r="BH431" i="1"/>
  <c r="BG431" i="1"/>
  <c r="BH430" i="1"/>
  <c r="BG430" i="1"/>
  <c r="BH429" i="1"/>
  <c r="BG429" i="1"/>
  <c r="BH428" i="1"/>
  <c r="BG428" i="1"/>
  <c r="BH427" i="1"/>
  <c r="BG427" i="1"/>
  <c r="BH426" i="1"/>
  <c r="BG426" i="1"/>
  <c r="BH425" i="1"/>
  <c r="BG425" i="1"/>
  <c r="BH424" i="1"/>
  <c r="BG424" i="1"/>
  <c r="BH423" i="1"/>
  <c r="BG423" i="1"/>
  <c r="BH422" i="1"/>
  <c r="BG422" i="1"/>
  <c r="BH421" i="1"/>
  <c r="BG421" i="1"/>
  <c r="BH420" i="1"/>
  <c r="BG420" i="1"/>
  <c r="BH419" i="1"/>
  <c r="BG419" i="1"/>
  <c r="BH418" i="1"/>
  <c r="BG418" i="1"/>
  <c r="BH417" i="1"/>
  <c r="BG417" i="1"/>
  <c r="BH416" i="1"/>
  <c r="BG416" i="1"/>
  <c r="BH415" i="1"/>
  <c r="BG415" i="1"/>
  <c r="BH414" i="1"/>
  <c r="BG414" i="1"/>
  <c r="BH413" i="1"/>
  <c r="BG413" i="1"/>
  <c r="BH412" i="1"/>
  <c r="BG412" i="1"/>
  <c r="BH411" i="1"/>
  <c r="BG411" i="1"/>
  <c r="BH410" i="1"/>
  <c r="BG410" i="1"/>
  <c r="BH409" i="1"/>
  <c r="BG409" i="1"/>
  <c r="BH408" i="1"/>
  <c r="BG408" i="1"/>
  <c r="BH407" i="1"/>
  <c r="BG407" i="1"/>
  <c r="BH406" i="1"/>
  <c r="BG406" i="1"/>
  <c r="BH405" i="1"/>
  <c r="BG405" i="1"/>
  <c r="BH404" i="1"/>
  <c r="BG404" i="1"/>
  <c r="BH403" i="1"/>
  <c r="BG403" i="1"/>
  <c r="BH402" i="1"/>
  <c r="BG402" i="1"/>
  <c r="BH401" i="1"/>
  <c r="BG401" i="1"/>
  <c r="BH400" i="1"/>
  <c r="BG400" i="1"/>
  <c r="BH399" i="1"/>
  <c r="BG399" i="1"/>
  <c r="BH398" i="1"/>
  <c r="BG398" i="1"/>
  <c r="BH397" i="1"/>
  <c r="BG397" i="1"/>
  <c r="BH396" i="1"/>
  <c r="BG396" i="1"/>
  <c r="BH395" i="1"/>
  <c r="BG395" i="1"/>
  <c r="BH394" i="1"/>
  <c r="BG394" i="1"/>
  <c r="BH393" i="1"/>
  <c r="BG393" i="1"/>
  <c r="BH392" i="1"/>
  <c r="BG392" i="1"/>
  <c r="BH391" i="1"/>
  <c r="BG391" i="1"/>
  <c r="BH390" i="1"/>
  <c r="BG390" i="1"/>
  <c r="BH389" i="1"/>
  <c r="BG389" i="1"/>
  <c r="BH388" i="1"/>
  <c r="BG388" i="1"/>
  <c r="BH387" i="1"/>
  <c r="BG387" i="1"/>
  <c r="BH386" i="1"/>
  <c r="BG386" i="1"/>
  <c r="BH385" i="1"/>
  <c r="BG385" i="1"/>
  <c r="BH384" i="1"/>
  <c r="BG384" i="1"/>
  <c r="BH383" i="1"/>
  <c r="BG383" i="1"/>
  <c r="BH382" i="1"/>
  <c r="BG382" i="1"/>
  <c r="BH381" i="1"/>
  <c r="BG381" i="1"/>
  <c r="BH380" i="1"/>
  <c r="BG380" i="1"/>
  <c r="BH379" i="1"/>
  <c r="BG379" i="1"/>
  <c r="BH378" i="1"/>
  <c r="BG378" i="1"/>
  <c r="BH377" i="1"/>
  <c r="BG377" i="1"/>
  <c r="BH376" i="1"/>
  <c r="BG376" i="1"/>
  <c r="BH375" i="1"/>
  <c r="BG375" i="1"/>
  <c r="BH374" i="1"/>
  <c r="BG374" i="1"/>
  <c r="BH373" i="1"/>
  <c r="BG373" i="1"/>
  <c r="BH372" i="1"/>
  <c r="BG372" i="1"/>
  <c r="BH371" i="1"/>
  <c r="BG371" i="1"/>
  <c r="BH370" i="1"/>
  <c r="BG370" i="1"/>
  <c r="BH369" i="1"/>
  <c r="BG369" i="1"/>
  <c r="BH368" i="1"/>
  <c r="BG368" i="1"/>
  <c r="BH367" i="1"/>
  <c r="BG367" i="1"/>
  <c r="BH366" i="1"/>
  <c r="BG366" i="1"/>
  <c r="BH365" i="1"/>
  <c r="BG365" i="1"/>
  <c r="BH364" i="1"/>
  <c r="BG364" i="1"/>
  <c r="BH363" i="1"/>
  <c r="BG363" i="1"/>
  <c r="BH362" i="1"/>
  <c r="BG362" i="1"/>
  <c r="BH361" i="1"/>
  <c r="BG361" i="1"/>
  <c r="BH360" i="1"/>
  <c r="BG360" i="1"/>
  <c r="BH359" i="1"/>
  <c r="BG359" i="1"/>
  <c r="BH358" i="1"/>
  <c r="BG358" i="1"/>
  <c r="BH357" i="1"/>
  <c r="BG357" i="1"/>
  <c r="BH356" i="1"/>
  <c r="BG356" i="1"/>
  <c r="BH355" i="1"/>
  <c r="BG355" i="1"/>
  <c r="BH354" i="1"/>
  <c r="BG354" i="1"/>
  <c r="BH353" i="1"/>
  <c r="BG353" i="1"/>
  <c r="BH352" i="1"/>
  <c r="BG352" i="1"/>
  <c r="BH351" i="1"/>
  <c r="BG351" i="1"/>
  <c r="BH350" i="1"/>
  <c r="BG350" i="1"/>
  <c r="BH349" i="1"/>
  <c r="BG349" i="1"/>
  <c r="BH348" i="1"/>
  <c r="BG348" i="1"/>
  <c r="BH347" i="1"/>
  <c r="BG347" i="1"/>
  <c r="BH346" i="1"/>
  <c r="BG346" i="1"/>
  <c r="BH345" i="1"/>
  <c r="BG345" i="1"/>
  <c r="BH344" i="1"/>
  <c r="BG344" i="1"/>
  <c r="BH343" i="1"/>
  <c r="BG343" i="1"/>
  <c r="BH342" i="1"/>
  <c r="BG342" i="1"/>
  <c r="BH341" i="1"/>
  <c r="BG341" i="1"/>
  <c r="BH340" i="1"/>
  <c r="BG340" i="1"/>
  <c r="BH339" i="1"/>
  <c r="BG339" i="1"/>
  <c r="BH338" i="1"/>
  <c r="BG338" i="1"/>
  <c r="BH337" i="1"/>
  <c r="BG337" i="1"/>
  <c r="BH336" i="1"/>
  <c r="BG336" i="1"/>
  <c r="BH335" i="1"/>
  <c r="BG335" i="1"/>
  <c r="BH334" i="1"/>
  <c r="BG334" i="1"/>
  <c r="BH333" i="1"/>
  <c r="BG333" i="1"/>
  <c r="BH332" i="1"/>
  <c r="BG332" i="1"/>
  <c r="BH331" i="1"/>
  <c r="BG331" i="1"/>
  <c r="BH330" i="1"/>
  <c r="BG330" i="1"/>
  <c r="BH329" i="1"/>
  <c r="BG329" i="1"/>
  <c r="BH328" i="1"/>
  <c r="BG328" i="1"/>
  <c r="BH327" i="1"/>
  <c r="BG327" i="1"/>
  <c r="BH326" i="1"/>
  <c r="BG326" i="1"/>
  <c r="BH325" i="1"/>
  <c r="BG325" i="1"/>
  <c r="BH324" i="1"/>
  <c r="BG324" i="1"/>
  <c r="BH323" i="1"/>
  <c r="BG323" i="1"/>
  <c r="BH322" i="1"/>
  <c r="BG322" i="1"/>
  <c r="BH321" i="1"/>
  <c r="BG321" i="1"/>
  <c r="BH320" i="1"/>
  <c r="BG320" i="1"/>
  <c r="BH319" i="1"/>
  <c r="BG319" i="1"/>
  <c r="BH318" i="1"/>
  <c r="BG318" i="1"/>
  <c r="BH317" i="1"/>
  <c r="BG317" i="1"/>
  <c r="BH316" i="1"/>
  <c r="BG316" i="1"/>
  <c r="BH315" i="1"/>
  <c r="BG315" i="1"/>
  <c r="BH314" i="1"/>
  <c r="BG314" i="1"/>
  <c r="BH313" i="1"/>
  <c r="BG313" i="1"/>
  <c r="BH312" i="1"/>
  <c r="BG312" i="1"/>
  <c r="BH311" i="1"/>
  <c r="BG311" i="1"/>
  <c r="BH310" i="1"/>
  <c r="BG310" i="1"/>
  <c r="BH309" i="1"/>
  <c r="BG309" i="1"/>
  <c r="BH308" i="1"/>
  <c r="BG308" i="1"/>
  <c r="BH307" i="1"/>
  <c r="BG307" i="1"/>
  <c r="BH306" i="1"/>
  <c r="BG306" i="1"/>
  <c r="BH305" i="1"/>
  <c r="BG305" i="1"/>
  <c r="BH304" i="1"/>
  <c r="BG304" i="1"/>
  <c r="BH303" i="1"/>
  <c r="BG303" i="1"/>
  <c r="BH302" i="1"/>
  <c r="BG302" i="1"/>
  <c r="BH301" i="1"/>
  <c r="BG301" i="1"/>
  <c r="BH300" i="1"/>
  <c r="BG300" i="1"/>
  <c r="BH299" i="1"/>
  <c r="BG299" i="1"/>
  <c r="BH298" i="1"/>
  <c r="BG298" i="1"/>
  <c r="BH297" i="1"/>
  <c r="BG297" i="1"/>
  <c r="BH296" i="1"/>
  <c r="BG296" i="1"/>
  <c r="BH295" i="1"/>
  <c r="BG295" i="1"/>
  <c r="BH294" i="1"/>
  <c r="BG294" i="1"/>
  <c r="BH293" i="1"/>
  <c r="BG293" i="1"/>
  <c r="BH292" i="1"/>
  <c r="BG292" i="1"/>
  <c r="BH291" i="1"/>
  <c r="BG291" i="1"/>
  <c r="BH290" i="1"/>
  <c r="BG290" i="1"/>
  <c r="BH289" i="1"/>
  <c r="BG289" i="1"/>
  <c r="BH288" i="1"/>
  <c r="BG288" i="1"/>
  <c r="BH287" i="1"/>
  <c r="BG287" i="1"/>
  <c r="BH286" i="1"/>
  <c r="BG286" i="1"/>
  <c r="BH285" i="1"/>
  <c r="BG285" i="1"/>
  <c r="BH284" i="1"/>
  <c r="BG284" i="1"/>
  <c r="BH283" i="1"/>
  <c r="BG283" i="1"/>
  <c r="BH282" i="1"/>
  <c r="BG282" i="1"/>
  <c r="BH281" i="1"/>
  <c r="BG281" i="1"/>
  <c r="BH280" i="1"/>
  <c r="BG280" i="1"/>
  <c r="BH279" i="1"/>
  <c r="BG279" i="1"/>
  <c r="BH278" i="1"/>
  <c r="BG278" i="1"/>
  <c r="BH277" i="1"/>
  <c r="BG277" i="1"/>
  <c r="BH276" i="1"/>
  <c r="BG276" i="1"/>
  <c r="BH275" i="1"/>
  <c r="BG275" i="1"/>
  <c r="BH274" i="1"/>
  <c r="BG274" i="1"/>
  <c r="BH273" i="1"/>
  <c r="BG273" i="1"/>
  <c r="BH272" i="1"/>
  <c r="BG272" i="1"/>
  <c r="BH271" i="1"/>
  <c r="BG271" i="1"/>
  <c r="BH270" i="1"/>
  <c r="BG270" i="1"/>
  <c r="BH269" i="1"/>
  <c r="BG269" i="1"/>
  <c r="BH268" i="1"/>
  <c r="BG268" i="1"/>
  <c r="BH267" i="1"/>
  <c r="BG267" i="1"/>
  <c r="BH266" i="1"/>
  <c r="BG266" i="1"/>
  <c r="BH265" i="1"/>
  <c r="BG265" i="1"/>
  <c r="BH264" i="1"/>
  <c r="BG264" i="1"/>
  <c r="BH263" i="1"/>
  <c r="BG263" i="1"/>
  <c r="BH262" i="1"/>
  <c r="BG262" i="1"/>
  <c r="BH261" i="1"/>
  <c r="BG261" i="1"/>
  <c r="BH260" i="1"/>
  <c r="BG260" i="1"/>
  <c r="BH259" i="1"/>
  <c r="BG259" i="1"/>
  <c r="BH258" i="1"/>
  <c r="BG258" i="1"/>
  <c r="BH257" i="1"/>
  <c r="BG257" i="1"/>
  <c r="BH256" i="1"/>
  <c r="BG256" i="1"/>
  <c r="BH255" i="1"/>
  <c r="BG255" i="1"/>
  <c r="BH254" i="1"/>
  <c r="BG254" i="1"/>
  <c r="BH253" i="1"/>
  <c r="BG253" i="1"/>
  <c r="BH252" i="1"/>
  <c r="BG252" i="1"/>
  <c r="BH251" i="1"/>
  <c r="BG251" i="1"/>
  <c r="BH250" i="1"/>
  <c r="BG250" i="1"/>
  <c r="BH249" i="1"/>
  <c r="BG249" i="1"/>
  <c r="BH248" i="1"/>
  <c r="BG248" i="1"/>
  <c r="BH247" i="1"/>
  <c r="BG247" i="1"/>
  <c r="BH246" i="1"/>
  <c r="BG246" i="1"/>
  <c r="BH245" i="1"/>
  <c r="BG245" i="1"/>
  <c r="BH244" i="1"/>
  <c r="BG244" i="1"/>
  <c r="BH243" i="1"/>
  <c r="BG243" i="1"/>
  <c r="BH242" i="1"/>
  <c r="BG242" i="1"/>
  <c r="BH241" i="1"/>
  <c r="BG241" i="1"/>
  <c r="BH240" i="1"/>
  <c r="BG240" i="1"/>
  <c r="BH239" i="1"/>
  <c r="BG239" i="1"/>
  <c r="BH238" i="1"/>
  <c r="BG238" i="1"/>
  <c r="BH237" i="1"/>
  <c r="BG237" i="1"/>
  <c r="BH236" i="1"/>
  <c r="BG236" i="1"/>
  <c r="BH235" i="1"/>
  <c r="BG235" i="1"/>
  <c r="BH234" i="1"/>
  <c r="BG234" i="1"/>
  <c r="BH233" i="1"/>
  <c r="BG233" i="1"/>
  <c r="BH232" i="1"/>
  <c r="BG232" i="1"/>
  <c r="BH231" i="1"/>
  <c r="BG231" i="1"/>
  <c r="BH230" i="1"/>
  <c r="BG230" i="1"/>
  <c r="BH229" i="1"/>
  <c r="BG229" i="1"/>
  <c r="BH228" i="1"/>
  <c r="BG228" i="1"/>
  <c r="BH227" i="1"/>
  <c r="BG227" i="1"/>
  <c r="BH226" i="1"/>
  <c r="BG226" i="1"/>
  <c r="BH225" i="1"/>
  <c r="BG225" i="1"/>
  <c r="BH224" i="1"/>
  <c r="BG224" i="1"/>
  <c r="BH223" i="1"/>
  <c r="BG223" i="1"/>
  <c r="BH222" i="1"/>
  <c r="BG222" i="1"/>
  <c r="BH221" i="1"/>
  <c r="BG221" i="1"/>
  <c r="BH220" i="1"/>
  <c r="BG220" i="1"/>
  <c r="BH219" i="1"/>
  <c r="BG219" i="1"/>
  <c r="BH218" i="1"/>
  <c r="BG218" i="1"/>
  <c r="BH217" i="1"/>
  <c r="BG217" i="1"/>
  <c r="BH216" i="1"/>
  <c r="BG216" i="1"/>
  <c r="BH215" i="1"/>
  <c r="BG215" i="1"/>
  <c r="BH214" i="1"/>
  <c r="BG214" i="1"/>
  <c r="BH213" i="1"/>
  <c r="BG213" i="1"/>
  <c r="BH212" i="1"/>
  <c r="BG212" i="1"/>
  <c r="BH211" i="1"/>
  <c r="BG211" i="1"/>
  <c r="BH210" i="1"/>
  <c r="BG210" i="1"/>
  <c r="BH209" i="1"/>
  <c r="BG209" i="1"/>
  <c r="BH208" i="1"/>
  <c r="BG208" i="1"/>
  <c r="BH207" i="1"/>
  <c r="BG207" i="1"/>
  <c r="BH206" i="1"/>
  <c r="BG206" i="1"/>
  <c r="BH205" i="1"/>
  <c r="BG205" i="1"/>
  <c r="BH204" i="1"/>
  <c r="BG204" i="1"/>
  <c r="BH203" i="1"/>
  <c r="BG203" i="1"/>
  <c r="BH202" i="1"/>
  <c r="BG202" i="1"/>
  <c r="BH201" i="1"/>
  <c r="BG201" i="1"/>
  <c r="BH200" i="1"/>
  <c r="BG200" i="1"/>
  <c r="BH199" i="1"/>
  <c r="BG199" i="1"/>
  <c r="BH198" i="1"/>
  <c r="BG198" i="1"/>
  <c r="BH197" i="1"/>
  <c r="BG197" i="1"/>
  <c r="BH196" i="1"/>
  <c r="BG196" i="1"/>
  <c r="BH195" i="1"/>
  <c r="BG195" i="1"/>
  <c r="BH194" i="1"/>
  <c r="BG194" i="1"/>
  <c r="BH193" i="1"/>
  <c r="BG193" i="1"/>
  <c r="BH192" i="1"/>
  <c r="BG192" i="1"/>
  <c r="BH191" i="1"/>
  <c r="BG191" i="1"/>
  <c r="BH190" i="1"/>
  <c r="BG190" i="1"/>
  <c r="BH189" i="1"/>
  <c r="BG189" i="1"/>
  <c r="BH188" i="1"/>
  <c r="BG188" i="1"/>
  <c r="BH187" i="1"/>
  <c r="BG187" i="1"/>
  <c r="BH186" i="1"/>
  <c r="BG186" i="1"/>
  <c r="BH185" i="1"/>
  <c r="BG185" i="1"/>
  <c r="BH184" i="1"/>
  <c r="BG184" i="1"/>
  <c r="BH183" i="1"/>
  <c r="BG183" i="1"/>
  <c r="BH182" i="1"/>
  <c r="BG182" i="1"/>
  <c r="BH181" i="1"/>
  <c r="BG181" i="1"/>
  <c r="BH180" i="1"/>
  <c r="BG180" i="1"/>
  <c r="BH179" i="1"/>
  <c r="BG179" i="1"/>
  <c r="BH178" i="1"/>
  <c r="BG178" i="1"/>
  <c r="BH177" i="1"/>
  <c r="BG177" i="1"/>
  <c r="BH176" i="1"/>
  <c r="BG176" i="1"/>
  <c r="BH175" i="1"/>
  <c r="BG175" i="1"/>
  <c r="BH174" i="1"/>
  <c r="BG174" i="1"/>
  <c r="BH173" i="1"/>
  <c r="BG173" i="1"/>
  <c r="BH172" i="1"/>
  <c r="BG172" i="1"/>
  <c r="BH171" i="1"/>
  <c r="BG171" i="1"/>
  <c r="BH170" i="1"/>
  <c r="BG170" i="1"/>
  <c r="BH169" i="1"/>
  <c r="BG169" i="1"/>
  <c r="BH168" i="1"/>
  <c r="BG168" i="1"/>
  <c r="BH167" i="1"/>
  <c r="BG167" i="1"/>
  <c r="BH166" i="1"/>
  <c r="BG166" i="1"/>
  <c r="BH165" i="1"/>
  <c r="BG165" i="1"/>
  <c r="BH164" i="1"/>
  <c r="BG164" i="1"/>
  <c r="BH163" i="1"/>
  <c r="BG163" i="1"/>
  <c r="BH162" i="1"/>
  <c r="BG162" i="1"/>
  <c r="BH161" i="1"/>
  <c r="BG161" i="1"/>
  <c r="BH160" i="1"/>
  <c r="BG160" i="1"/>
  <c r="BH159" i="1"/>
  <c r="BG159" i="1"/>
  <c r="BH158" i="1"/>
  <c r="BG158" i="1"/>
  <c r="BH157" i="1"/>
  <c r="BG157" i="1"/>
  <c r="BH156" i="1"/>
  <c r="BG156" i="1"/>
  <c r="BH155" i="1"/>
  <c r="BG155" i="1"/>
  <c r="BH154" i="1"/>
  <c r="BG154" i="1"/>
  <c r="BH153" i="1"/>
  <c r="BG153" i="1"/>
  <c r="BH152" i="1"/>
  <c r="BG152" i="1"/>
  <c r="BH151" i="1"/>
  <c r="BG151" i="1"/>
  <c r="BH150" i="1"/>
  <c r="BG150" i="1"/>
  <c r="BH149" i="1"/>
  <c r="BG149" i="1"/>
  <c r="BH148" i="1"/>
  <c r="BG148" i="1"/>
  <c r="BH147" i="1"/>
  <c r="BG147" i="1"/>
  <c r="BH146" i="1"/>
  <c r="BG146" i="1"/>
  <c r="BH145" i="1"/>
  <c r="BG145" i="1"/>
  <c r="BH144" i="1"/>
  <c r="BG144" i="1"/>
  <c r="BH143" i="1"/>
  <c r="BG143" i="1"/>
  <c r="BH142" i="1"/>
  <c r="BG142" i="1"/>
  <c r="BH141" i="1"/>
  <c r="BG141" i="1"/>
  <c r="BH140" i="1"/>
  <c r="BG140" i="1"/>
  <c r="BH139" i="1"/>
  <c r="BG139" i="1"/>
  <c r="BH138" i="1"/>
  <c r="BG138" i="1"/>
  <c r="BH137" i="1"/>
  <c r="BG137" i="1"/>
  <c r="BH136" i="1"/>
  <c r="BG136" i="1"/>
  <c r="BH135" i="1"/>
  <c r="BG135" i="1"/>
  <c r="BH134" i="1"/>
  <c r="BG134" i="1"/>
  <c r="BH133" i="1"/>
  <c r="BG133" i="1"/>
  <c r="BH132" i="1"/>
  <c r="BG132" i="1"/>
  <c r="BH131" i="1"/>
  <c r="BG131" i="1"/>
  <c r="BH130" i="1"/>
  <c r="BG130" i="1"/>
  <c r="BH129" i="1"/>
  <c r="BG129" i="1"/>
  <c r="BH128" i="1"/>
  <c r="BG128" i="1"/>
  <c r="BH127" i="1"/>
  <c r="BG127" i="1"/>
  <c r="BH126" i="1"/>
  <c r="BG126" i="1"/>
  <c r="BH125" i="1"/>
  <c r="BG125" i="1"/>
  <c r="BH124" i="1"/>
  <c r="BG124" i="1"/>
  <c r="BH123" i="1"/>
  <c r="BG123" i="1"/>
  <c r="BH122" i="1"/>
  <c r="BG122" i="1"/>
  <c r="BH121" i="1"/>
  <c r="BG121" i="1"/>
  <c r="BH120" i="1"/>
  <c r="BG120" i="1"/>
  <c r="BH119" i="1"/>
  <c r="BG119" i="1"/>
  <c r="BH118" i="1"/>
  <c r="BG118" i="1"/>
  <c r="BH117" i="1"/>
  <c r="BG117" i="1"/>
  <c r="BH116" i="1"/>
  <c r="BG116" i="1"/>
  <c r="BH115" i="1"/>
  <c r="BG115" i="1"/>
  <c r="BH114" i="1"/>
  <c r="BG114" i="1"/>
  <c r="BH113" i="1"/>
  <c r="BG113" i="1"/>
  <c r="BH112" i="1"/>
  <c r="BG112" i="1"/>
  <c r="BH111" i="1"/>
  <c r="BG111" i="1"/>
  <c r="BH110" i="1"/>
  <c r="BG110" i="1"/>
  <c r="BH109" i="1"/>
  <c r="BG109" i="1"/>
  <c r="BH108" i="1"/>
  <c r="BG108" i="1"/>
  <c r="BH107" i="1"/>
  <c r="BG107" i="1"/>
  <c r="BH106" i="1"/>
  <c r="BG106" i="1"/>
  <c r="BH105" i="1"/>
  <c r="BG105" i="1"/>
  <c r="BH104" i="1"/>
  <c r="BG104" i="1"/>
  <c r="BH103" i="1"/>
  <c r="BG103" i="1"/>
  <c r="BH102" i="1"/>
  <c r="BG102" i="1"/>
  <c r="BH101" i="1"/>
  <c r="BG101" i="1"/>
  <c r="BH100" i="1"/>
  <c r="BG100" i="1"/>
  <c r="BH99" i="1"/>
  <c r="BG99" i="1"/>
  <c r="BH98" i="1"/>
  <c r="BG98" i="1"/>
  <c r="BH97" i="1"/>
  <c r="BG97" i="1"/>
  <c r="BH96" i="1"/>
  <c r="BG96" i="1"/>
  <c r="BH95" i="1"/>
  <c r="BG95" i="1"/>
  <c r="BH94" i="1"/>
  <c r="BG94" i="1"/>
  <c r="BH93" i="1"/>
  <c r="BG93" i="1"/>
  <c r="BH92" i="1"/>
  <c r="BG92" i="1"/>
  <c r="BH91" i="1"/>
  <c r="BG91" i="1"/>
  <c r="BH90" i="1"/>
  <c r="BG90" i="1"/>
  <c r="BH89" i="1"/>
  <c r="BG89" i="1"/>
  <c r="BH88" i="1"/>
  <c r="BG88" i="1"/>
  <c r="BH87" i="1"/>
  <c r="BG87" i="1"/>
  <c r="BH86" i="1"/>
  <c r="BG86" i="1"/>
  <c r="BH85" i="1"/>
  <c r="BG85" i="1"/>
  <c r="BH84" i="1"/>
  <c r="BG84" i="1"/>
  <c r="BH83" i="1"/>
  <c r="BG83" i="1"/>
  <c r="BH82" i="1"/>
  <c r="BG82" i="1"/>
  <c r="BH81" i="1"/>
  <c r="BG81" i="1"/>
  <c r="BH80" i="1"/>
  <c r="BG80" i="1"/>
  <c r="BH79" i="1"/>
  <c r="BG79" i="1"/>
  <c r="BH78" i="1"/>
  <c r="BG78" i="1"/>
  <c r="BH77" i="1"/>
  <c r="BG77" i="1"/>
  <c r="BH76" i="1"/>
  <c r="BG76" i="1"/>
  <c r="BH75" i="1"/>
  <c r="BG75" i="1"/>
  <c r="BH74" i="1"/>
  <c r="BG74" i="1"/>
  <c r="BH73" i="1"/>
  <c r="BG73" i="1"/>
  <c r="BH72" i="1"/>
  <c r="BG72" i="1"/>
  <c r="BH71" i="1"/>
  <c r="BG71" i="1"/>
  <c r="BH70" i="1"/>
  <c r="BG70" i="1"/>
  <c r="BH69" i="1"/>
  <c r="BG69" i="1"/>
  <c r="BH68" i="1"/>
  <c r="BG68" i="1"/>
  <c r="BH67" i="1"/>
  <c r="BG67" i="1"/>
  <c r="BH66" i="1"/>
  <c r="BG66" i="1"/>
  <c r="BH65" i="1"/>
  <c r="BG65" i="1"/>
  <c r="BH64" i="1"/>
  <c r="BG64" i="1"/>
  <c r="BH63" i="1"/>
  <c r="BG63" i="1"/>
  <c r="BH62" i="1"/>
  <c r="BG62" i="1"/>
  <c r="BH61" i="1"/>
  <c r="BG61" i="1"/>
  <c r="BH60" i="1"/>
  <c r="BG60" i="1"/>
  <c r="BH59" i="1"/>
  <c r="BG59" i="1"/>
  <c r="BH58" i="1"/>
  <c r="BG58" i="1"/>
  <c r="BH57" i="1"/>
  <c r="BG57" i="1"/>
  <c r="BH56" i="1"/>
  <c r="BG56" i="1"/>
  <c r="BH55" i="1"/>
  <c r="BG55" i="1"/>
  <c r="BH54" i="1"/>
  <c r="BG54" i="1"/>
  <c r="BH53" i="1"/>
  <c r="BG53" i="1"/>
  <c r="BH52" i="1"/>
  <c r="BG52" i="1"/>
  <c r="BH51" i="1"/>
  <c r="BG51" i="1"/>
  <c r="BH50" i="1"/>
  <c r="BG50" i="1"/>
  <c r="BH49" i="1"/>
  <c r="BG49" i="1"/>
  <c r="BH48" i="1"/>
  <c r="BG48" i="1"/>
  <c r="BH47" i="1"/>
  <c r="BG47" i="1"/>
  <c r="BH46" i="1"/>
  <c r="BG46" i="1"/>
  <c r="BH45" i="1"/>
  <c r="BG45" i="1"/>
  <c r="BH44" i="1"/>
  <c r="BG44" i="1"/>
  <c r="BH43" i="1"/>
  <c r="BG43" i="1"/>
  <c r="BH42" i="1"/>
  <c r="BG42" i="1"/>
  <c r="BH41" i="1"/>
  <c r="BG41" i="1"/>
  <c r="BH40" i="1"/>
  <c r="BG40" i="1"/>
  <c r="BH39" i="1"/>
  <c r="BG39" i="1"/>
  <c r="BH38" i="1"/>
  <c r="BG38" i="1"/>
  <c r="BH37" i="1"/>
  <c r="BG37" i="1"/>
  <c r="BH36" i="1"/>
  <c r="BG36" i="1"/>
  <c r="BH35" i="1"/>
  <c r="BG35" i="1"/>
  <c r="BH34" i="1"/>
  <c r="BG34" i="1"/>
  <c r="BH33" i="1"/>
  <c r="BG33" i="1"/>
  <c r="BH32" i="1"/>
  <c r="BG32" i="1"/>
  <c r="BH31" i="1"/>
  <c r="BG31" i="1"/>
  <c r="BH30" i="1"/>
  <c r="BG30" i="1"/>
  <c r="BH29" i="1"/>
  <c r="BG29" i="1"/>
  <c r="BH28" i="1"/>
  <c r="BG28" i="1"/>
  <c r="BH27" i="1"/>
  <c r="BG27" i="1"/>
  <c r="BH26" i="1"/>
  <c r="BG26" i="1"/>
  <c r="BH25" i="1"/>
  <c r="BG25" i="1"/>
  <c r="BH24" i="1"/>
  <c r="BG24" i="1"/>
  <c r="BH23" i="1"/>
  <c r="BG23" i="1"/>
  <c r="BH22" i="1"/>
  <c r="BG22" i="1"/>
  <c r="BH21" i="1"/>
  <c r="BG21" i="1"/>
  <c r="BH20" i="1"/>
  <c r="BG20" i="1"/>
  <c r="BH19" i="1"/>
  <c r="BH18" i="1"/>
  <c r="BG18" i="1"/>
  <c r="BH17" i="1"/>
  <c r="BG17" i="1"/>
  <c r="BH16" i="1"/>
  <c r="BG16" i="1"/>
  <c r="AV16" i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V98" i="1" s="1"/>
  <c r="AV99" i="1" s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V112" i="1" s="1"/>
  <c r="AV113" i="1" s="1"/>
  <c r="AV114" i="1" s="1"/>
  <c r="AV115" i="1" s="1"/>
  <c r="AV116" i="1" s="1"/>
  <c r="AV117" i="1" s="1"/>
  <c r="AV118" i="1" s="1"/>
  <c r="AV119" i="1" s="1"/>
  <c r="AV120" i="1" s="1"/>
  <c r="AV121" i="1" s="1"/>
  <c r="AV122" i="1" s="1"/>
  <c r="AV123" i="1" s="1"/>
  <c r="AV124" i="1" s="1"/>
  <c r="AV125" i="1" s="1"/>
  <c r="AV126" i="1" s="1"/>
  <c r="AV127" i="1" s="1"/>
  <c r="AV128" i="1" s="1"/>
  <c r="AV129" i="1" s="1"/>
  <c r="AV130" i="1" s="1"/>
  <c r="AV131" i="1" s="1"/>
  <c r="AV132" i="1" s="1"/>
  <c r="AV133" i="1" s="1"/>
  <c r="AV134" i="1" s="1"/>
  <c r="AV135" i="1" s="1"/>
  <c r="AV136" i="1" s="1"/>
  <c r="AV137" i="1" s="1"/>
  <c r="AV138" i="1" s="1"/>
  <c r="AV139" i="1" s="1"/>
  <c r="AV140" i="1" s="1"/>
  <c r="AV141" i="1" s="1"/>
  <c r="AV142" i="1" s="1"/>
  <c r="AV143" i="1" s="1"/>
  <c r="AV144" i="1" s="1"/>
  <c r="AV145" i="1" s="1"/>
  <c r="AV146" i="1" s="1"/>
  <c r="AV147" i="1" s="1"/>
  <c r="AV148" i="1" s="1"/>
  <c r="AV149" i="1" s="1"/>
  <c r="AV150" i="1" s="1"/>
  <c r="AV151" i="1" s="1"/>
  <c r="AV152" i="1" s="1"/>
  <c r="AV153" i="1" s="1"/>
  <c r="AV154" i="1" s="1"/>
  <c r="AV155" i="1" s="1"/>
  <c r="AV156" i="1" s="1"/>
  <c r="AV157" i="1" s="1"/>
  <c r="AV158" i="1" s="1"/>
  <c r="AV159" i="1" s="1"/>
  <c r="AV160" i="1" s="1"/>
  <c r="AV161" i="1" s="1"/>
  <c r="AV162" i="1" s="1"/>
  <c r="AV163" i="1" s="1"/>
  <c r="AV164" i="1" s="1"/>
  <c r="AV165" i="1" s="1"/>
  <c r="AV166" i="1" s="1"/>
  <c r="AV167" i="1" s="1"/>
  <c r="AV168" i="1" s="1"/>
  <c r="AV169" i="1" s="1"/>
  <c r="AV170" i="1" s="1"/>
  <c r="AV171" i="1" s="1"/>
  <c r="AV172" i="1" s="1"/>
  <c r="AV173" i="1" s="1"/>
  <c r="AV174" i="1" s="1"/>
  <c r="AV175" i="1" s="1"/>
  <c r="AV176" i="1" s="1"/>
  <c r="AV177" i="1" s="1"/>
  <c r="AV178" i="1" s="1"/>
  <c r="AV179" i="1" s="1"/>
  <c r="AV180" i="1" s="1"/>
  <c r="AV181" i="1" s="1"/>
  <c r="AV182" i="1" s="1"/>
  <c r="AV183" i="1" s="1"/>
  <c r="AV184" i="1" s="1"/>
  <c r="AV185" i="1" s="1"/>
  <c r="AV186" i="1" s="1"/>
  <c r="AV187" i="1" s="1"/>
  <c r="AV188" i="1" s="1"/>
  <c r="AV189" i="1" s="1"/>
  <c r="AV190" i="1" s="1"/>
  <c r="AV191" i="1" s="1"/>
  <c r="AV192" i="1" s="1"/>
  <c r="AV193" i="1" s="1"/>
  <c r="AV194" i="1" s="1"/>
  <c r="AV195" i="1" s="1"/>
  <c r="AV196" i="1" s="1"/>
  <c r="AV197" i="1" s="1"/>
  <c r="AV198" i="1" s="1"/>
  <c r="AV199" i="1" s="1"/>
  <c r="AV200" i="1" s="1"/>
  <c r="AV201" i="1" s="1"/>
  <c r="AV202" i="1" s="1"/>
  <c r="AV203" i="1" s="1"/>
  <c r="AV204" i="1" s="1"/>
  <c r="AV205" i="1" s="1"/>
  <c r="AV206" i="1" s="1"/>
  <c r="AV207" i="1" s="1"/>
  <c r="AV208" i="1" s="1"/>
  <c r="AV209" i="1" s="1"/>
  <c r="AV210" i="1" s="1"/>
  <c r="AV211" i="1" s="1"/>
  <c r="AV212" i="1" s="1"/>
  <c r="AV213" i="1" s="1"/>
  <c r="AV214" i="1" s="1"/>
  <c r="AV215" i="1" s="1"/>
  <c r="AV216" i="1" s="1"/>
  <c r="AV217" i="1" s="1"/>
  <c r="AV218" i="1" s="1"/>
  <c r="AV219" i="1" s="1"/>
  <c r="AV220" i="1" s="1"/>
  <c r="AV221" i="1" s="1"/>
  <c r="AV222" i="1" s="1"/>
  <c r="AV223" i="1" s="1"/>
  <c r="AV224" i="1" s="1"/>
  <c r="AV225" i="1" s="1"/>
  <c r="AV226" i="1" s="1"/>
  <c r="AV227" i="1" s="1"/>
  <c r="AV228" i="1" s="1"/>
  <c r="AV229" i="1" s="1"/>
  <c r="AV230" i="1" s="1"/>
  <c r="AV231" i="1" s="1"/>
  <c r="AV232" i="1" s="1"/>
  <c r="AV233" i="1" s="1"/>
  <c r="AV234" i="1" s="1"/>
  <c r="AV235" i="1" s="1"/>
  <c r="AV236" i="1" s="1"/>
  <c r="AV237" i="1" s="1"/>
  <c r="AV238" i="1" s="1"/>
  <c r="AV239" i="1" s="1"/>
  <c r="AV240" i="1" s="1"/>
  <c r="AV241" i="1" s="1"/>
  <c r="AV242" i="1" s="1"/>
  <c r="AV243" i="1" s="1"/>
  <c r="AV244" i="1" s="1"/>
  <c r="AV245" i="1" s="1"/>
  <c r="AV246" i="1" s="1"/>
  <c r="AV247" i="1" s="1"/>
  <c r="AV248" i="1" s="1"/>
  <c r="AV249" i="1" s="1"/>
  <c r="AV250" i="1" s="1"/>
  <c r="AV251" i="1" s="1"/>
  <c r="AV252" i="1" s="1"/>
  <c r="AV253" i="1" s="1"/>
  <c r="AV254" i="1" s="1"/>
  <c r="AV255" i="1" s="1"/>
  <c r="AV256" i="1" s="1"/>
  <c r="AV257" i="1" s="1"/>
  <c r="AV258" i="1" s="1"/>
  <c r="AV259" i="1" s="1"/>
  <c r="AV260" i="1" s="1"/>
  <c r="AV261" i="1" s="1"/>
  <c r="AV262" i="1" s="1"/>
  <c r="AV263" i="1" s="1"/>
  <c r="AV264" i="1" s="1"/>
  <c r="AV265" i="1" s="1"/>
  <c r="AV266" i="1" s="1"/>
  <c r="AV267" i="1" s="1"/>
  <c r="AV268" i="1" s="1"/>
  <c r="AV269" i="1" s="1"/>
  <c r="AV270" i="1" s="1"/>
  <c r="AV271" i="1" s="1"/>
  <c r="AV272" i="1" s="1"/>
  <c r="AV273" i="1" s="1"/>
  <c r="AV274" i="1" s="1"/>
  <c r="AV275" i="1" s="1"/>
  <c r="AV276" i="1" s="1"/>
  <c r="AV277" i="1" s="1"/>
  <c r="AV278" i="1" s="1"/>
  <c r="AV279" i="1" s="1"/>
  <c r="AV280" i="1" s="1"/>
  <c r="AV281" i="1" s="1"/>
  <c r="AV282" i="1" s="1"/>
  <c r="AV283" i="1" s="1"/>
  <c r="AV284" i="1" s="1"/>
  <c r="AV285" i="1" s="1"/>
  <c r="AV286" i="1" s="1"/>
  <c r="AV287" i="1" s="1"/>
  <c r="AV288" i="1" s="1"/>
  <c r="AV289" i="1" s="1"/>
  <c r="AV290" i="1" s="1"/>
  <c r="AV291" i="1" s="1"/>
  <c r="AV292" i="1" s="1"/>
  <c r="AV293" i="1" s="1"/>
  <c r="AV294" i="1" s="1"/>
  <c r="AV295" i="1" s="1"/>
  <c r="AV296" i="1" s="1"/>
  <c r="AV297" i="1" s="1"/>
  <c r="AV298" i="1" s="1"/>
  <c r="AV299" i="1" s="1"/>
  <c r="AV300" i="1" s="1"/>
  <c r="AV301" i="1" s="1"/>
  <c r="AV302" i="1" s="1"/>
  <c r="AV303" i="1" s="1"/>
  <c r="AV304" i="1" s="1"/>
  <c r="AV305" i="1" s="1"/>
  <c r="AV306" i="1" s="1"/>
  <c r="AV307" i="1" s="1"/>
  <c r="AV308" i="1" s="1"/>
  <c r="AV309" i="1" s="1"/>
  <c r="AV310" i="1" s="1"/>
  <c r="AV311" i="1" s="1"/>
  <c r="AV312" i="1" s="1"/>
  <c r="AV313" i="1" s="1"/>
  <c r="AV314" i="1" s="1"/>
  <c r="AV315" i="1" s="1"/>
  <c r="AV316" i="1" s="1"/>
  <c r="AV317" i="1" s="1"/>
  <c r="AV318" i="1" s="1"/>
  <c r="AV319" i="1" s="1"/>
  <c r="AV320" i="1" s="1"/>
  <c r="AV321" i="1" s="1"/>
  <c r="AV322" i="1" s="1"/>
  <c r="AV323" i="1" s="1"/>
  <c r="AV324" i="1" s="1"/>
  <c r="AV325" i="1" s="1"/>
  <c r="AV326" i="1" s="1"/>
  <c r="AV327" i="1" s="1"/>
  <c r="AV328" i="1" s="1"/>
  <c r="AV329" i="1" s="1"/>
  <c r="AV330" i="1" s="1"/>
  <c r="AV331" i="1" s="1"/>
  <c r="AV332" i="1" s="1"/>
  <c r="AV333" i="1" s="1"/>
  <c r="AV334" i="1" s="1"/>
  <c r="AV335" i="1" s="1"/>
  <c r="AV336" i="1" s="1"/>
  <c r="AV337" i="1" s="1"/>
  <c r="AV338" i="1" s="1"/>
  <c r="AV339" i="1" s="1"/>
  <c r="AV340" i="1" s="1"/>
  <c r="AV341" i="1" s="1"/>
  <c r="AV342" i="1" s="1"/>
  <c r="AV343" i="1" s="1"/>
  <c r="AV344" i="1" s="1"/>
  <c r="AV345" i="1" s="1"/>
  <c r="AV346" i="1" s="1"/>
  <c r="AV347" i="1" s="1"/>
  <c r="AV348" i="1" s="1"/>
  <c r="AV349" i="1" s="1"/>
  <c r="AV350" i="1" s="1"/>
  <c r="AV351" i="1" s="1"/>
  <c r="AV352" i="1" s="1"/>
  <c r="AV353" i="1" s="1"/>
  <c r="AV354" i="1" s="1"/>
  <c r="AV355" i="1" s="1"/>
  <c r="AV356" i="1" s="1"/>
  <c r="AV357" i="1" s="1"/>
  <c r="AV358" i="1" s="1"/>
  <c r="AV359" i="1" s="1"/>
  <c r="AV360" i="1" s="1"/>
  <c r="AV361" i="1" s="1"/>
  <c r="AV362" i="1" s="1"/>
  <c r="AV363" i="1" s="1"/>
  <c r="AV364" i="1" s="1"/>
  <c r="AV365" i="1" s="1"/>
  <c r="AV366" i="1" s="1"/>
  <c r="AV367" i="1" s="1"/>
  <c r="AV368" i="1" s="1"/>
  <c r="AV369" i="1" s="1"/>
  <c r="AV370" i="1" s="1"/>
  <c r="AV371" i="1" s="1"/>
  <c r="AV372" i="1" s="1"/>
  <c r="AV373" i="1" s="1"/>
  <c r="AV374" i="1" s="1"/>
  <c r="AV375" i="1" s="1"/>
  <c r="AV376" i="1" s="1"/>
  <c r="AV377" i="1" s="1"/>
  <c r="AV378" i="1" s="1"/>
  <c r="AV379" i="1" s="1"/>
  <c r="AV380" i="1" s="1"/>
  <c r="AV381" i="1" s="1"/>
  <c r="AV382" i="1" s="1"/>
  <c r="AV383" i="1" s="1"/>
  <c r="AV384" i="1" s="1"/>
  <c r="AV385" i="1" s="1"/>
  <c r="AV386" i="1" s="1"/>
  <c r="AV387" i="1" s="1"/>
  <c r="AV388" i="1" s="1"/>
  <c r="AV389" i="1" s="1"/>
  <c r="AV390" i="1" s="1"/>
  <c r="AV391" i="1" s="1"/>
  <c r="AV392" i="1" s="1"/>
  <c r="AV393" i="1" s="1"/>
  <c r="AV394" i="1" s="1"/>
  <c r="AV395" i="1" s="1"/>
  <c r="AV396" i="1" s="1"/>
  <c r="AV397" i="1" s="1"/>
  <c r="AV398" i="1" s="1"/>
  <c r="AV399" i="1" s="1"/>
  <c r="AV400" i="1" s="1"/>
  <c r="AV401" i="1" s="1"/>
  <c r="AV402" i="1" s="1"/>
  <c r="AV403" i="1" s="1"/>
  <c r="AV404" i="1" s="1"/>
  <c r="AV405" i="1" s="1"/>
  <c r="AV406" i="1" s="1"/>
  <c r="AV407" i="1" s="1"/>
  <c r="AV408" i="1" s="1"/>
  <c r="AV409" i="1" s="1"/>
  <c r="AV410" i="1" s="1"/>
  <c r="AV411" i="1" s="1"/>
  <c r="AV412" i="1" s="1"/>
  <c r="AV413" i="1" s="1"/>
  <c r="AV414" i="1" s="1"/>
  <c r="AV415" i="1" s="1"/>
  <c r="AV416" i="1" s="1"/>
  <c r="AV417" i="1" s="1"/>
  <c r="AV418" i="1" s="1"/>
  <c r="AV419" i="1" s="1"/>
  <c r="AV420" i="1" s="1"/>
  <c r="AV421" i="1" s="1"/>
  <c r="AV422" i="1" s="1"/>
  <c r="AV423" i="1" s="1"/>
  <c r="AV424" i="1" s="1"/>
  <c r="AV425" i="1" s="1"/>
  <c r="AV426" i="1" s="1"/>
  <c r="AV427" i="1" s="1"/>
  <c r="AV428" i="1" s="1"/>
  <c r="AV429" i="1" s="1"/>
  <c r="AV430" i="1" s="1"/>
  <c r="AV431" i="1" s="1"/>
  <c r="AV432" i="1" s="1"/>
  <c r="AV433" i="1" s="1"/>
  <c r="AV434" i="1" s="1"/>
  <c r="BH15" i="1"/>
  <c r="BA10" i="1"/>
  <c r="AY10" i="1"/>
  <c r="BA9" i="1"/>
  <c r="AY9" i="1"/>
  <c r="BA8" i="1"/>
  <c r="BE5" i="1"/>
  <c r="C14" i="1"/>
  <c r="AK14" i="1" s="1"/>
  <c r="T15" i="1"/>
  <c r="S15" i="1" s="1"/>
  <c r="AA14" i="1"/>
  <c r="AH15" i="1"/>
  <c r="E16" i="1"/>
  <c r="R15" i="1"/>
  <c r="G15" i="1" s="1"/>
  <c r="AK15" i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AK434" i="1" s="1"/>
  <c r="E7" i="1"/>
  <c r="Y8" i="1"/>
  <c r="Y9" i="1" s="1"/>
  <c r="H3" i="6"/>
  <c r="B7" i="6"/>
  <c r="B8" i="6"/>
  <c r="B9" i="6"/>
  <c r="B10" i="6" s="1"/>
  <c r="B11" i="6" s="1"/>
  <c r="B12" i="6" s="1"/>
  <c r="B13" i="6" s="1"/>
  <c r="B14" i="6" s="1"/>
  <c r="Q158" i="1"/>
  <c r="P159" i="1"/>
  <c r="Q159" i="1"/>
  <c r="P160" i="1"/>
  <c r="Q160" i="1"/>
  <c r="P161" i="1"/>
  <c r="Q161" i="1"/>
  <c r="P162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Q201" i="1"/>
  <c r="P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Q296" i="1"/>
  <c r="P297" i="1"/>
  <c r="P229" i="1"/>
  <c r="P298" i="1"/>
  <c r="Q297" i="1"/>
  <c r="Q229" i="1"/>
  <c r="Q298" i="1"/>
  <c r="P299" i="1"/>
  <c r="Q299" i="1"/>
  <c r="P300" i="1"/>
  <c r="P230" i="1"/>
  <c r="Q230" i="1"/>
  <c r="P301" i="1"/>
  <c r="Q300" i="1"/>
  <c r="Q301" i="1"/>
  <c r="P302" i="1"/>
  <c r="P231" i="1"/>
  <c r="Q302" i="1"/>
  <c r="P303" i="1"/>
  <c r="Q231" i="1"/>
  <c r="P304" i="1"/>
  <c r="Q303" i="1"/>
  <c r="P305" i="1"/>
  <c r="Q304" i="1"/>
  <c r="P232" i="1"/>
  <c r="Q232" i="1"/>
  <c r="Q305" i="1"/>
  <c r="P306" i="1"/>
  <c r="Q306" i="1"/>
  <c r="P307" i="1"/>
  <c r="P233" i="1"/>
  <c r="Q307" i="1"/>
  <c r="P308" i="1"/>
  <c r="Q233" i="1"/>
  <c r="Q308" i="1"/>
  <c r="P309" i="1"/>
  <c r="Q309" i="1"/>
  <c r="P310" i="1"/>
  <c r="P234" i="1"/>
  <c r="Q234" i="1"/>
  <c r="P311" i="1"/>
  <c r="Q310" i="1"/>
  <c r="Q311" i="1"/>
  <c r="P312" i="1"/>
  <c r="P235" i="1"/>
  <c r="P313" i="1"/>
  <c r="Q312" i="1"/>
  <c r="Q235" i="1"/>
  <c r="Q313" i="1"/>
  <c r="P314" i="1"/>
  <c r="P315" i="1"/>
  <c r="Q314" i="1"/>
  <c r="P236" i="1"/>
  <c r="Q236" i="1"/>
  <c r="P316" i="1"/>
  <c r="Q315" i="1"/>
  <c r="Q316" i="1"/>
  <c r="P317" i="1"/>
  <c r="P237" i="1"/>
  <c r="Q317" i="1"/>
  <c r="P318" i="1"/>
  <c r="Q237" i="1"/>
  <c r="P319" i="1"/>
  <c r="Q318" i="1"/>
  <c r="Q319" i="1"/>
  <c r="P320" i="1"/>
  <c r="P238" i="1"/>
  <c r="Q320" i="1"/>
  <c r="P321" i="1"/>
  <c r="Q238" i="1"/>
  <c r="Q321" i="1"/>
  <c r="P322" i="1"/>
  <c r="Q322" i="1"/>
  <c r="P323" i="1"/>
  <c r="P239" i="1"/>
  <c r="Q239" i="1"/>
  <c r="Q323" i="1"/>
  <c r="P324" i="1"/>
  <c r="Q324" i="1"/>
  <c r="P325" i="1"/>
  <c r="P240" i="1"/>
  <c r="P326" i="1"/>
  <c r="Q325" i="1"/>
  <c r="Q240" i="1"/>
  <c r="P327" i="1"/>
  <c r="Q326" i="1"/>
  <c r="P241" i="1"/>
  <c r="P328" i="1"/>
  <c r="Q327" i="1"/>
  <c r="Q241" i="1"/>
  <c r="P329" i="1"/>
  <c r="Q328" i="1"/>
  <c r="P242" i="1"/>
  <c r="P330" i="1"/>
  <c r="Q329" i="1"/>
  <c r="Q242" i="1"/>
  <c r="P331" i="1"/>
  <c r="Q330" i="1"/>
  <c r="P332" i="1"/>
  <c r="Q331" i="1"/>
  <c r="P243" i="1"/>
  <c r="Q243" i="1"/>
  <c r="Q332" i="1"/>
  <c r="P333" i="1"/>
  <c r="P334" i="1"/>
  <c r="Q333" i="1"/>
  <c r="P244" i="1"/>
  <c r="P335" i="1"/>
  <c r="Q334" i="1"/>
  <c r="Q244" i="1"/>
  <c r="P336" i="1"/>
  <c r="Q335" i="1"/>
  <c r="P337" i="1"/>
  <c r="Q336" i="1"/>
  <c r="P245" i="1"/>
  <c r="Q337" i="1"/>
  <c r="P338" i="1"/>
  <c r="Q245" i="1"/>
  <c r="P339" i="1"/>
  <c r="Q338" i="1"/>
  <c r="P340" i="1"/>
  <c r="Q339" i="1"/>
  <c r="P246" i="1"/>
  <c r="Q246" i="1"/>
  <c r="P341" i="1"/>
  <c r="Q340" i="1"/>
  <c r="P342" i="1"/>
  <c r="Q341" i="1"/>
  <c r="P247" i="1"/>
  <c r="Q247" i="1"/>
  <c r="P343" i="1"/>
  <c r="Q342" i="1"/>
  <c r="Q343" i="1"/>
  <c r="P344" i="1"/>
  <c r="P248" i="1"/>
  <c r="Q248" i="1"/>
  <c r="P345" i="1"/>
  <c r="Q344" i="1"/>
  <c r="P346" i="1"/>
  <c r="Q345" i="1"/>
  <c r="P249" i="1"/>
  <c r="P347" i="1"/>
  <c r="Q346" i="1"/>
  <c r="Q249" i="1"/>
  <c r="P348" i="1"/>
  <c r="Q347" i="1"/>
  <c r="P349" i="1"/>
  <c r="Q348" i="1"/>
  <c r="P250" i="1"/>
  <c r="Q250" i="1"/>
  <c r="P350" i="1"/>
  <c r="Q349" i="1"/>
  <c r="P351" i="1"/>
  <c r="Q350" i="1"/>
  <c r="P251" i="1"/>
  <c r="Q351" i="1"/>
  <c r="P352" i="1"/>
  <c r="Q251" i="1"/>
  <c r="P353" i="1"/>
  <c r="Q352" i="1"/>
  <c r="P354" i="1"/>
  <c r="Q353" i="1"/>
  <c r="P252" i="1"/>
  <c r="Q252" i="1"/>
  <c r="Q354" i="1"/>
  <c r="P355" i="1"/>
  <c r="Q355" i="1"/>
  <c r="P356" i="1"/>
  <c r="P253" i="1"/>
  <c r="P357" i="1"/>
  <c r="Q356" i="1"/>
  <c r="Q253" i="1"/>
  <c r="Q357" i="1"/>
  <c r="P358" i="1"/>
  <c r="P359" i="1"/>
  <c r="Q358" i="1"/>
  <c r="P254" i="1"/>
  <c r="Q254" i="1"/>
  <c r="Q359" i="1"/>
  <c r="P360" i="1"/>
  <c r="P361" i="1"/>
  <c r="Q360" i="1"/>
  <c r="P255" i="1"/>
  <c r="P362" i="1"/>
  <c r="Q361" i="1"/>
  <c r="Q255" i="1"/>
  <c r="Q362" i="1"/>
  <c r="P363" i="1"/>
  <c r="P364" i="1"/>
  <c r="Q363" i="1"/>
  <c r="P256" i="1"/>
  <c r="Q256" i="1"/>
  <c r="P365" i="1"/>
  <c r="Q364" i="1"/>
  <c r="Q365" i="1"/>
  <c r="P366" i="1"/>
  <c r="Q257" i="1"/>
  <c r="P257" i="1"/>
  <c r="P367" i="1"/>
  <c r="Q366" i="1"/>
  <c r="P368" i="1"/>
  <c r="Q367" i="1"/>
  <c r="P258" i="1"/>
  <c r="Q258" i="1"/>
  <c r="P369" i="1"/>
  <c r="Q368" i="1"/>
  <c r="P370" i="1"/>
  <c r="Q369" i="1"/>
  <c r="P259" i="1"/>
  <c r="P371" i="1"/>
  <c r="Q370" i="1"/>
  <c r="Q259" i="1"/>
  <c r="Q371" i="1"/>
  <c r="P372" i="1"/>
  <c r="P373" i="1"/>
  <c r="Q372" i="1"/>
  <c r="P260" i="1"/>
  <c r="Q260" i="1"/>
  <c r="P374" i="1"/>
  <c r="Q373" i="1"/>
  <c r="P375" i="1"/>
  <c r="Q374" i="1"/>
  <c r="P261" i="1"/>
  <c r="Q261" i="1"/>
  <c r="P376" i="1"/>
  <c r="Q375" i="1"/>
  <c r="P377" i="1"/>
  <c r="Q376" i="1"/>
  <c r="P262" i="1"/>
  <c r="Q262" i="1"/>
  <c r="P378" i="1"/>
  <c r="Q377" i="1"/>
  <c r="Q378" i="1"/>
  <c r="P379" i="1"/>
  <c r="P263" i="1"/>
  <c r="P380" i="1"/>
  <c r="Q379" i="1"/>
  <c r="Q263" i="1"/>
  <c r="Q380" i="1"/>
  <c r="P381" i="1"/>
  <c r="P264" i="1"/>
  <c r="Q264" i="1"/>
  <c r="Q381" i="1"/>
  <c r="P382" i="1"/>
  <c r="Q382" i="1"/>
  <c r="P383" i="1"/>
  <c r="P265" i="1"/>
  <c r="Q265" i="1"/>
  <c r="Q383" i="1"/>
  <c r="P384" i="1"/>
  <c r="P385" i="1"/>
  <c r="Q384" i="1"/>
  <c r="P266" i="1"/>
  <c r="P386" i="1"/>
  <c r="Q385" i="1"/>
  <c r="Q266" i="1"/>
  <c r="P387" i="1"/>
  <c r="Q386" i="1"/>
  <c r="P267" i="1"/>
  <c r="P388" i="1"/>
  <c r="Q387" i="1"/>
  <c r="Q267" i="1"/>
  <c r="P389" i="1"/>
  <c r="Q388" i="1"/>
  <c r="P268" i="1"/>
  <c r="Q268" i="1"/>
  <c r="P390" i="1"/>
  <c r="Q389" i="1"/>
  <c r="P269" i="1"/>
  <c r="P391" i="1"/>
  <c r="Q390" i="1"/>
  <c r="Q269" i="1"/>
  <c r="P392" i="1"/>
  <c r="Q391" i="1"/>
  <c r="P270" i="1"/>
  <c r="Q392" i="1"/>
  <c r="P393" i="1"/>
  <c r="Q270" i="1"/>
  <c r="P394" i="1"/>
  <c r="Q393" i="1"/>
  <c r="P395" i="1"/>
  <c r="Q394" i="1"/>
  <c r="P271" i="1"/>
  <c r="Q271" i="1"/>
  <c r="P396" i="1"/>
  <c r="Q395" i="1"/>
  <c r="P397" i="1"/>
  <c r="Q396" i="1"/>
  <c r="P272" i="1"/>
  <c r="Q272" i="1"/>
  <c r="P398" i="1"/>
  <c r="Q397" i="1"/>
  <c r="P399" i="1"/>
  <c r="Q398" i="1"/>
  <c r="P273" i="1"/>
  <c r="P400" i="1"/>
  <c r="Q399" i="1"/>
  <c r="Q273" i="1"/>
  <c r="P401" i="1"/>
  <c r="Q400" i="1"/>
  <c r="P402" i="1"/>
  <c r="Q401" i="1"/>
  <c r="P274" i="1"/>
  <c r="Q274" i="1"/>
  <c r="P403" i="1"/>
  <c r="Q402" i="1"/>
  <c r="P404" i="1"/>
  <c r="Q403" i="1"/>
  <c r="P275" i="1"/>
  <c r="P405" i="1"/>
  <c r="Q404" i="1"/>
  <c r="Q275" i="1"/>
  <c r="Q405" i="1"/>
  <c r="P406" i="1"/>
  <c r="Q406" i="1"/>
  <c r="P407" i="1"/>
  <c r="P276" i="1"/>
  <c r="Q276" i="1"/>
  <c r="P408" i="1"/>
  <c r="Q407" i="1"/>
  <c r="P409" i="1"/>
  <c r="Q408" i="1"/>
  <c r="P277" i="1"/>
  <c r="Q277" i="1"/>
  <c r="P410" i="1"/>
  <c r="Q409" i="1"/>
  <c r="P411" i="1"/>
  <c r="Q410" i="1"/>
  <c r="P278" i="1"/>
  <c r="P412" i="1"/>
  <c r="Q411" i="1"/>
  <c r="Q278" i="1"/>
  <c r="P413" i="1"/>
  <c r="Q412" i="1"/>
  <c r="P414" i="1"/>
  <c r="Q413" i="1"/>
  <c r="P279" i="1"/>
  <c r="Q279" i="1"/>
  <c r="P415" i="1"/>
  <c r="Q414" i="1"/>
  <c r="P280" i="1"/>
  <c r="P416" i="1"/>
  <c r="Q415" i="1"/>
  <c r="Q280" i="1"/>
  <c r="P417" i="1"/>
  <c r="Q416" i="1"/>
  <c r="P281" i="1"/>
  <c r="Q281" i="1"/>
  <c r="P418" i="1"/>
  <c r="Q417" i="1"/>
  <c r="P282" i="1"/>
  <c r="Q418" i="1"/>
  <c r="P419" i="1"/>
  <c r="Q282" i="1"/>
  <c r="P420" i="1"/>
  <c r="Q419" i="1"/>
  <c r="P283" i="1"/>
  <c r="Q283" i="1"/>
  <c r="Q420" i="1"/>
  <c r="P421" i="1"/>
  <c r="P284" i="1"/>
  <c r="P422" i="1"/>
  <c r="Q421" i="1"/>
  <c r="Q284" i="1"/>
  <c r="P423" i="1"/>
  <c r="Q422" i="1"/>
  <c r="P285" i="1"/>
  <c r="Q285" i="1"/>
  <c r="P424" i="1"/>
  <c r="Q423" i="1"/>
  <c r="P286" i="1"/>
  <c r="P425" i="1"/>
  <c r="Q424" i="1"/>
  <c r="Q286" i="1"/>
  <c r="P426" i="1"/>
  <c r="Q425" i="1"/>
  <c r="Q426" i="1"/>
  <c r="P287" i="1"/>
  <c r="P427" i="1"/>
  <c r="Q287" i="1"/>
  <c r="Q427" i="1"/>
  <c r="P428" i="1"/>
  <c r="P288" i="1"/>
  <c r="Q288" i="1"/>
  <c r="P429" i="1"/>
  <c r="Q428" i="1"/>
  <c r="P289" i="1"/>
  <c r="Q289" i="1"/>
  <c r="P430" i="1"/>
  <c r="Q429" i="1"/>
  <c r="P290" i="1"/>
  <c r="P431" i="1"/>
  <c r="Q430" i="1"/>
  <c r="Q290" i="1"/>
  <c r="P432" i="1"/>
  <c r="Q431" i="1"/>
  <c r="P291" i="1"/>
  <c r="P433" i="1"/>
  <c r="Q291" i="1"/>
  <c r="Q432" i="1"/>
  <c r="P292" i="1"/>
  <c r="P434" i="1"/>
  <c r="Q433" i="1"/>
  <c r="Q292" i="1"/>
  <c r="Q434" i="1"/>
  <c r="P293" i="1"/>
  <c r="Q293" i="1"/>
  <c r="P294" i="1"/>
  <c r="Q294" i="1"/>
  <c r="P295" i="1"/>
  <c r="Q295" i="1"/>
  <c r="P296" i="1"/>
  <c r="BJ15" i="1" l="1"/>
  <c r="AT16" i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T117" i="1" s="1"/>
  <c r="AT118" i="1" s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T130" i="1" s="1"/>
  <c r="AT131" i="1" s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T152" i="1" s="1"/>
  <c r="AT153" i="1" s="1"/>
  <c r="AT154" i="1" s="1"/>
  <c r="AT155" i="1" s="1"/>
  <c r="AT156" i="1" s="1"/>
  <c r="AT157" i="1" s="1"/>
  <c r="AT158" i="1" s="1"/>
  <c r="AT159" i="1" s="1"/>
  <c r="AT160" i="1" s="1"/>
  <c r="AT161" i="1" s="1"/>
  <c r="AT162" i="1" s="1"/>
  <c r="AT163" i="1" s="1"/>
  <c r="AT164" i="1" s="1"/>
  <c r="AT165" i="1" s="1"/>
  <c r="AT166" i="1" s="1"/>
  <c r="AT167" i="1" s="1"/>
  <c r="AT168" i="1" s="1"/>
  <c r="AT169" i="1" s="1"/>
  <c r="AT170" i="1" s="1"/>
  <c r="AT171" i="1" s="1"/>
  <c r="AT172" i="1" s="1"/>
  <c r="AT173" i="1" s="1"/>
  <c r="AT174" i="1" s="1"/>
  <c r="AT175" i="1" s="1"/>
  <c r="AT176" i="1" s="1"/>
  <c r="AT177" i="1" s="1"/>
  <c r="AT178" i="1" s="1"/>
  <c r="AT179" i="1" s="1"/>
  <c r="AT180" i="1" s="1"/>
  <c r="AT181" i="1" s="1"/>
  <c r="AT182" i="1" s="1"/>
  <c r="AT183" i="1" s="1"/>
  <c r="AT184" i="1" s="1"/>
  <c r="AT185" i="1" s="1"/>
  <c r="AT186" i="1" s="1"/>
  <c r="AT187" i="1" s="1"/>
  <c r="AT188" i="1" s="1"/>
  <c r="AT189" i="1" s="1"/>
  <c r="AT190" i="1" s="1"/>
  <c r="AT191" i="1" s="1"/>
  <c r="AT192" i="1" s="1"/>
  <c r="AT193" i="1" s="1"/>
  <c r="AT194" i="1" s="1"/>
  <c r="AT195" i="1" s="1"/>
  <c r="AT196" i="1" s="1"/>
  <c r="AT197" i="1" s="1"/>
  <c r="AT198" i="1" s="1"/>
  <c r="AT199" i="1" s="1"/>
  <c r="AT200" i="1" s="1"/>
  <c r="AT201" i="1" s="1"/>
  <c r="AT202" i="1" s="1"/>
  <c r="AT203" i="1" s="1"/>
  <c r="AT204" i="1" s="1"/>
  <c r="AT205" i="1" s="1"/>
  <c r="AT206" i="1" s="1"/>
  <c r="AT207" i="1" s="1"/>
  <c r="AT208" i="1" s="1"/>
  <c r="AT209" i="1" s="1"/>
  <c r="AT210" i="1" s="1"/>
  <c r="AT211" i="1" s="1"/>
  <c r="AT212" i="1" s="1"/>
  <c r="AT213" i="1" s="1"/>
  <c r="AT214" i="1" s="1"/>
  <c r="AT215" i="1" s="1"/>
  <c r="AT216" i="1" s="1"/>
  <c r="AT217" i="1" s="1"/>
  <c r="AT218" i="1" s="1"/>
  <c r="AT219" i="1" s="1"/>
  <c r="AT220" i="1" s="1"/>
  <c r="AT221" i="1" s="1"/>
  <c r="AT222" i="1" s="1"/>
  <c r="AT223" i="1" s="1"/>
  <c r="AT224" i="1" s="1"/>
  <c r="AT225" i="1" s="1"/>
  <c r="AT226" i="1" s="1"/>
  <c r="AT227" i="1" s="1"/>
  <c r="AT228" i="1" s="1"/>
  <c r="AT229" i="1" s="1"/>
  <c r="AT230" i="1" s="1"/>
  <c r="AT231" i="1" s="1"/>
  <c r="AT232" i="1" s="1"/>
  <c r="AT233" i="1" s="1"/>
  <c r="AT234" i="1" s="1"/>
  <c r="AT235" i="1" s="1"/>
  <c r="AT236" i="1" s="1"/>
  <c r="AT237" i="1" s="1"/>
  <c r="AT238" i="1" s="1"/>
  <c r="AT239" i="1" s="1"/>
  <c r="AT240" i="1" s="1"/>
  <c r="AT241" i="1" s="1"/>
  <c r="AT242" i="1" s="1"/>
  <c r="AT243" i="1" s="1"/>
  <c r="AT244" i="1" s="1"/>
  <c r="AT245" i="1" s="1"/>
  <c r="AT246" i="1" s="1"/>
  <c r="AT247" i="1" s="1"/>
  <c r="AT248" i="1" s="1"/>
  <c r="AT249" i="1" s="1"/>
  <c r="AT250" i="1" s="1"/>
  <c r="AT251" i="1" s="1"/>
  <c r="AT252" i="1" s="1"/>
  <c r="AT253" i="1" s="1"/>
  <c r="AT254" i="1" s="1"/>
  <c r="AT255" i="1" s="1"/>
  <c r="AT256" i="1" s="1"/>
  <c r="AT257" i="1" s="1"/>
  <c r="AT258" i="1" s="1"/>
  <c r="AT259" i="1" s="1"/>
  <c r="AT260" i="1" s="1"/>
  <c r="AT261" i="1" s="1"/>
  <c r="AT262" i="1" s="1"/>
  <c r="AT263" i="1" s="1"/>
  <c r="AT264" i="1" s="1"/>
  <c r="AT265" i="1" s="1"/>
  <c r="AT266" i="1" s="1"/>
  <c r="AT267" i="1" s="1"/>
  <c r="AT268" i="1" s="1"/>
  <c r="AT269" i="1" s="1"/>
  <c r="AT270" i="1" s="1"/>
  <c r="AT271" i="1" s="1"/>
  <c r="AT272" i="1" s="1"/>
  <c r="AT273" i="1" s="1"/>
  <c r="AT274" i="1" s="1"/>
  <c r="AT275" i="1" s="1"/>
  <c r="AT276" i="1" s="1"/>
  <c r="AT277" i="1" s="1"/>
  <c r="AT278" i="1" s="1"/>
  <c r="AT279" i="1" s="1"/>
  <c r="AT280" i="1" s="1"/>
  <c r="AT281" i="1" s="1"/>
  <c r="AT282" i="1" s="1"/>
  <c r="AT283" i="1" s="1"/>
  <c r="AT284" i="1" s="1"/>
  <c r="AT285" i="1" s="1"/>
  <c r="AT286" i="1" s="1"/>
  <c r="AT287" i="1" s="1"/>
  <c r="AT288" i="1" s="1"/>
  <c r="AT289" i="1" s="1"/>
  <c r="AT290" i="1" s="1"/>
  <c r="AT291" i="1" s="1"/>
  <c r="AT292" i="1" s="1"/>
  <c r="AT293" i="1" s="1"/>
  <c r="AT294" i="1" s="1"/>
  <c r="AT295" i="1" s="1"/>
  <c r="AT296" i="1" s="1"/>
  <c r="AT297" i="1" s="1"/>
  <c r="AT298" i="1" s="1"/>
  <c r="AT299" i="1" s="1"/>
  <c r="AT300" i="1" s="1"/>
  <c r="AT301" i="1" s="1"/>
  <c r="AT302" i="1" s="1"/>
  <c r="AT303" i="1" s="1"/>
  <c r="AT304" i="1" s="1"/>
  <c r="AT305" i="1" s="1"/>
  <c r="AT306" i="1" s="1"/>
  <c r="AT307" i="1" s="1"/>
  <c r="AT308" i="1" s="1"/>
  <c r="AT309" i="1" s="1"/>
  <c r="AT310" i="1" s="1"/>
  <c r="AT311" i="1" s="1"/>
  <c r="AT312" i="1" s="1"/>
  <c r="AT313" i="1" s="1"/>
  <c r="AT314" i="1" s="1"/>
  <c r="AT315" i="1" s="1"/>
  <c r="AT316" i="1" s="1"/>
  <c r="AT317" i="1" s="1"/>
  <c r="AT318" i="1" s="1"/>
  <c r="AT319" i="1" s="1"/>
  <c r="AT320" i="1" s="1"/>
  <c r="AT321" i="1" s="1"/>
  <c r="AT322" i="1" s="1"/>
  <c r="AT323" i="1" s="1"/>
  <c r="AT324" i="1" s="1"/>
  <c r="AT325" i="1" s="1"/>
  <c r="AT326" i="1" s="1"/>
  <c r="AT327" i="1" s="1"/>
  <c r="AT328" i="1" s="1"/>
  <c r="AT329" i="1" s="1"/>
  <c r="AT330" i="1" s="1"/>
  <c r="AT331" i="1" s="1"/>
  <c r="AT332" i="1" s="1"/>
  <c r="AT333" i="1" s="1"/>
  <c r="AT334" i="1" s="1"/>
  <c r="AT335" i="1" s="1"/>
  <c r="AT336" i="1" s="1"/>
  <c r="AT337" i="1" s="1"/>
  <c r="AT338" i="1" s="1"/>
  <c r="AT339" i="1" s="1"/>
  <c r="AT340" i="1" s="1"/>
  <c r="AT341" i="1" s="1"/>
  <c r="AT342" i="1" s="1"/>
  <c r="AT343" i="1" s="1"/>
  <c r="AT344" i="1" s="1"/>
  <c r="AT345" i="1" s="1"/>
  <c r="AT346" i="1" s="1"/>
  <c r="AT347" i="1" s="1"/>
  <c r="AT348" i="1" s="1"/>
  <c r="AT349" i="1" s="1"/>
  <c r="AT350" i="1" s="1"/>
  <c r="AT351" i="1" s="1"/>
  <c r="AT352" i="1" s="1"/>
  <c r="AT353" i="1" s="1"/>
  <c r="AT354" i="1" s="1"/>
  <c r="AT355" i="1" s="1"/>
  <c r="AT356" i="1" s="1"/>
  <c r="AT357" i="1" s="1"/>
  <c r="AT358" i="1" s="1"/>
  <c r="AT359" i="1" s="1"/>
  <c r="AT360" i="1" s="1"/>
  <c r="AT361" i="1" s="1"/>
  <c r="AT362" i="1" s="1"/>
  <c r="AT363" i="1" s="1"/>
  <c r="AT364" i="1" s="1"/>
  <c r="AT365" i="1" s="1"/>
  <c r="AT366" i="1" s="1"/>
  <c r="AT367" i="1" s="1"/>
  <c r="AT368" i="1" s="1"/>
  <c r="AT369" i="1" s="1"/>
  <c r="AT370" i="1" s="1"/>
  <c r="AT371" i="1" s="1"/>
  <c r="AT372" i="1" s="1"/>
  <c r="AT373" i="1" s="1"/>
  <c r="AT374" i="1" s="1"/>
  <c r="AT375" i="1" s="1"/>
  <c r="AT376" i="1" s="1"/>
  <c r="AT377" i="1" s="1"/>
  <c r="AT378" i="1" s="1"/>
  <c r="AT379" i="1" s="1"/>
  <c r="AT380" i="1" s="1"/>
  <c r="AT381" i="1" s="1"/>
  <c r="AT382" i="1" s="1"/>
  <c r="AT383" i="1" s="1"/>
  <c r="AT384" i="1" s="1"/>
  <c r="AT385" i="1" s="1"/>
  <c r="AT386" i="1" s="1"/>
  <c r="AT387" i="1" s="1"/>
  <c r="AT388" i="1" s="1"/>
  <c r="AT389" i="1" s="1"/>
  <c r="AT390" i="1" s="1"/>
  <c r="AT391" i="1" s="1"/>
  <c r="AT392" i="1" s="1"/>
  <c r="AT393" i="1" s="1"/>
  <c r="AT394" i="1" s="1"/>
  <c r="AT395" i="1" s="1"/>
  <c r="AT396" i="1" s="1"/>
  <c r="AT397" i="1" s="1"/>
  <c r="AT398" i="1" s="1"/>
  <c r="AT399" i="1" s="1"/>
  <c r="AT400" i="1" s="1"/>
  <c r="AT401" i="1" s="1"/>
  <c r="AT402" i="1" s="1"/>
  <c r="AT403" i="1" s="1"/>
  <c r="AT404" i="1" s="1"/>
  <c r="AT405" i="1" s="1"/>
  <c r="AT406" i="1" s="1"/>
  <c r="AT407" i="1" s="1"/>
  <c r="AT408" i="1" s="1"/>
  <c r="AT409" i="1" s="1"/>
  <c r="AT410" i="1" s="1"/>
  <c r="AT411" i="1" s="1"/>
  <c r="AT412" i="1" s="1"/>
  <c r="AT413" i="1" s="1"/>
  <c r="AT414" i="1" s="1"/>
  <c r="AT415" i="1" s="1"/>
  <c r="AT416" i="1" s="1"/>
  <c r="AT417" i="1" s="1"/>
  <c r="AT418" i="1" s="1"/>
  <c r="AT419" i="1" s="1"/>
  <c r="AT420" i="1" s="1"/>
  <c r="AT421" i="1" s="1"/>
  <c r="AT422" i="1" s="1"/>
  <c r="AT423" i="1" s="1"/>
  <c r="AT424" i="1" s="1"/>
  <c r="AT425" i="1" s="1"/>
  <c r="AT426" i="1" s="1"/>
  <c r="AT427" i="1" s="1"/>
  <c r="AT428" i="1" s="1"/>
  <c r="AT429" i="1" s="1"/>
  <c r="AT430" i="1" s="1"/>
  <c r="AT431" i="1" s="1"/>
  <c r="AT432" i="1" s="1"/>
  <c r="AT433" i="1" s="1"/>
  <c r="AT434" i="1" s="1"/>
  <c r="AT14" i="1"/>
  <c r="F15" i="1"/>
  <c r="AW15" i="1"/>
  <c r="AX15" i="1"/>
  <c r="BF15" i="1"/>
  <c r="D15" i="1"/>
  <c r="E17" i="1"/>
  <c r="AH16" i="1"/>
  <c r="AI15" i="1"/>
  <c r="M15" i="1"/>
  <c r="AK16" i="1"/>
  <c r="AK20" i="1"/>
  <c r="AK28" i="1"/>
  <c r="AK36" i="1"/>
  <c r="AK44" i="1"/>
  <c r="AK52" i="1"/>
  <c r="AK60" i="1"/>
  <c r="AK68" i="1"/>
  <c r="AK76" i="1"/>
  <c r="AK84" i="1"/>
  <c r="AK92" i="1"/>
  <c r="AK100" i="1"/>
  <c r="AK108" i="1"/>
  <c r="AK116" i="1"/>
  <c r="AK124" i="1"/>
  <c r="AK132" i="1"/>
  <c r="AK140" i="1"/>
  <c r="AK148" i="1"/>
  <c r="AK156" i="1"/>
  <c r="AK164" i="1"/>
  <c r="AK172" i="1"/>
  <c r="AK180" i="1"/>
  <c r="AK188" i="1"/>
  <c r="AK196" i="1"/>
  <c r="AK204" i="1"/>
  <c r="AK212" i="1"/>
  <c r="AK220" i="1"/>
  <c r="AK228" i="1"/>
  <c r="AK236" i="1"/>
  <c r="AK244" i="1"/>
  <c r="AK252" i="1"/>
  <c r="AK260" i="1"/>
  <c r="AK268" i="1"/>
  <c r="AK276" i="1"/>
  <c r="AK284" i="1"/>
  <c r="AK292" i="1"/>
  <c r="AK300" i="1"/>
  <c r="AK308" i="1"/>
  <c r="AK316" i="1"/>
  <c r="AK324" i="1"/>
  <c r="AK332" i="1"/>
  <c r="AK340" i="1"/>
  <c r="AK348" i="1"/>
  <c r="AK356" i="1"/>
  <c r="AK364" i="1"/>
  <c r="AK372" i="1"/>
  <c r="AK380" i="1"/>
  <c r="AK388" i="1"/>
  <c r="AK396" i="1"/>
  <c r="AK404" i="1"/>
  <c r="AK412" i="1"/>
  <c r="AK420" i="1"/>
  <c r="AK428" i="1"/>
  <c r="AK21" i="1"/>
  <c r="AK29" i="1"/>
  <c r="AK37" i="1"/>
  <c r="AK45" i="1"/>
  <c r="AK53" i="1"/>
  <c r="AK61" i="1"/>
  <c r="AK69" i="1"/>
  <c r="AK77" i="1"/>
  <c r="AK85" i="1"/>
  <c r="AK93" i="1"/>
  <c r="AK101" i="1"/>
  <c r="AK109" i="1"/>
  <c r="AK117" i="1"/>
  <c r="AK125" i="1"/>
  <c r="AK133" i="1"/>
  <c r="AK141" i="1"/>
  <c r="AK149" i="1"/>
  <c r="AK157" i="1"/>
  <c r="AK165" i="1"/>
  <c r="AK173" i="1"/>
  <c r="AK181" i="1"/>
  <c r="AK189" i="1"/>
  <c r="AK197" i="1"/>
  <c r="AK205" i="1"/>
  <c r="AK213" i="1"/>
  <c r="AK221" i="1"/>
  <c r="AK229" i="1"/>
  <c r="AK237" i="1"/>
  <c r="AK245" i="1"/>
  <c r="AK253" i="1"/>
  <c r="AK261" i="1"/>
  <c r="AK269" i="1"/>
  <c r="AK277" i="1"/>
  <c r="AK285" i="1"/>
  <c r="AK293" i="1"/>
  <c r="AK301" i="1"/>
  <c r="AK309" i="1"/>
  <c r="AK317" i="1"/>
  <c r="AK325" i="1"/>
  <c r="AK333" i="1"/>
  <c r="AK341" i="1"/>
  <c r="AK349" i="1"/>
  <c r="AK357" i="1"/>
  <c r="AK365" i="1"/>
  <c r="AK373" i="1"/>
  <c r="AK381" i="1"/>
  <c r="AK389" i="1"/>
  <c r="AK397" i="1"/>
  <c r="AK405" i="1"/>
  <c r="AK413" i="1"/>
  <c r="AK421" i="1"/>
  <c r="AK429" i="1"/>
  <c r="AK22" i="1"/>
  <c r="AK30" i="1"/>
  <c r="AK38" i="1"/>
  <c r="AK46" i="1"/>
  <c r="AK54" i="1"/>
  <c r="AK62" i="1"/>
  <c r="AK70" i="1"/>
  <c r="AK78" i="1"/>
  <c r="AK86" i="1"/>
  <c r="AK94" i="1"/>
  <c r="AK102" i="1"/>
  <c r="AK110" i="1"/>
  <c r="AK118" i="1"/>
  <c r="AK126" i="1"/>
  <c r="AK134" i="1"/>
  <c r="AK142" i="1"/>
  <c r="AK150" i="1"/>
  <c r="AK158" i="1"/>
  <c r="AK166" i="1"/>
  <c r="AK174" i="1"/>
  <c r="AK182" i="1"/>
  <c r="AK190" i="1"/>
  <c r="AK198" i="1"/>
  <c r="AK206" i="1"/>
  <c r="AK214" i="1"/>
  <c r="AK222" i="1"/>
  <c r="AK230" i="1"/>
  <c r="AK238" i="1"/>
  <c r="AK246" i="1"/>
  <c r="AK254" i="1"/>
  <c r="AK262" i="1"/>
  <c r="AK270" i="1"/>
  <c r="AK278" i="1"/>
  <c r="AK286" i="1"/>
  <c r="AK294" i="1"/>
  <c r="AK302" i="1"/>
  <c r="AK310" i="1"/>
  <c r="AK318" i="1"/>
  <c r="AK326" i="1"/>
  <c r="AK334" i="1"/>
  <c r="AK342" i="1"/>
  <c r="AK350" i="1"/>
  <c r="AK358" i="1"/>
  <c r="AK366" i="1"/>
  <c r="AK374" i="1"/>
  <c r="AK382" i="1"/>
  <c r="AK390" i="1"/>
  <c r="AK398" i="1"/>
  <c r="AK406" i="1"/>
  <c r="AK414" i="1"/>
  <c r="AK422" i="1"/>
  <c r="AK430" i="1"/>
  <c r="AK23" i="1"/>
  <c r="AK31" i="1"/>
  <c r="AK39" i="1"/>
  <c r="AK47" i="1"/>
  <c r="AK55" i="1"/>
  <c r="AK63" i="1"/>
  <c r="AK71" i="1"/>
  <c r="AK79" i="1"/>
  <c r="AK87" i="1"/>
  <c r="AK95" i="1"/>
  <c r="AK103" i="1"/>
  <c r="AK111" i="1"/>
  <c r="AK119" i="1"/>
  <c r="AK127" i="1"/>
  <c r="AK135" i="1"/>
  <c r="AK143" i="1"/>
  <c r="AK151" i="1"/>
  <c r="AK159" i="1"/>
  <c r="AK167" i="1"/>
  <c r="AK175" i="1"/>
  <c r="AK183" i="1"/>
  <c r="AK191" i="1"/>
  <c r="AK199" i="1"/>
  <c r="AK207" i="1"/>
  <c r="AK215" i="1"/>
  <c r="AK223" i="1"/>
  <c r="AK231" i="1"/>
  <c r="AK239" i="1"/>
  <c r="AK247" i="1"/>
  <c r="AK255" i="1"/>
  <c r="AK263" i="1"/>
  <c r="AK271" i="1"/>
  <c r="AK279" i="1"/>
  <c r="AK287" i="1"/>
  <c r="AK295" i="1"/>
  <c r="AK303" i="1"/>
  <c r="AK311" i="1"/>
  <c r="AK319" i="1"/>
  <c r="AK327" i="1"/>
  <c r="AK335" i="1"/>
  <c r="AK343" i="1"/>
  <c r="AK351" i="1"/>
  <c r="AK359" i="1"/>
  <c r="AK367" i="1"/>
  <c r="AK375" i="1"/>
  <c r="AK383" i="1"/>
  <c r="AK391" i="1"/>
  <c r="AK399" i="1"/>
  <c r="AK407" i="1"/>
  <c r="AK415" i="1"/>
  <c r="AK423" i="1"/>
  <c r="AK431" i="1"/>
  <c r="AK24" i="1"/>
  <c r="AK32" i="1"/>
  <c r="AK40" i="1"/>
  <c r="AK48" i="1"/>
  <c r="AK56" i="1"/>
  <c r="AK64" i="1"/>
  <c r="AK72" i="1"/>
  <c r="AK80" i="1"/>
  <c r="AK88" i="1"/>
  <c r="AK96" i="1"/>
  <c r="AK104" i="1"/>
  <c r="AK112" i="1"/>
  <c r="AK120" i="1"/>
  <c r="AK128" i="1"/>
  <c r="AK136" i="1"/>
  <c r="AK144" i="1"/>
  <c r="AK152" i="1"/>
  <c r="AK160" i="1"/>
  <c r="AK168" i="1"/>
  <c r="AK176" i="1"/>
  <c r="AK184" i="1"/>
  <c r="AK192" i="1"/>
  <c r="AK200" i="1"/>
  <c r="AK208" i="1"/>
  <c r="AK216" i="1"/>
  <c r="AK224" i="1"/>
  <c r="AK232" i="1"/>
  <c r="AK240" i="1"/>
  <c r="AK248" i="1"/>
  <c r="AK256" i="1"/>
  <c r="AK264" i="1"/>
  <c r="AK272" i="1"/>
  <c r="AK280" i="1"/>
  <c r="AK288" i="1"/>
  <c r="AK296" i="1"/>
  <c r="AK304" i="1"/>
  <c r="AK312" i="1"/>
  <c r="AK320" i="1"/>
  <c r="AK328" i="1"/>
  <c r="AK336" i="1"/>
  <c r="AK344" i="1"/>
  <c r="AK352" i="1"/>
  <c r="AK360" i="1"/>
  <c r="AK368" i="1"/>
  <c r="AK376" i="1"/>
  <c r="AK384" i="1"/>
  <c r="AK392" i="1"/>
  <c r="AK400" i="1"/>
  <c r="AK408" i="1"/>
  <c r="AK416" i="1"/>
  <c r="AK424" i="1"/>
  <c r="AK432" i="1"/>
  <c r="AK17" i="1"/>
  <c r="AK25" i="1"/>
  <c r="AK33" i="1"/>
  <c r="AK41" i="1"/>
  <c r="AK49" i="1"/>
  <c r="AK57" i="1"/>
  <c r="AK65" i="1"/>
  <c r="AK73" i="1"/>
  <c r="AK81" i="1"/>
  <c r="AK89" i="1"/>
  <c r="AK97" i="1"/>
  <c r="AK105" i="1"/>
  <c r="AK113" i="1"/>
  <c r="AK121" i="1"/>
  <c r="AK129" i="1"/>
  <c r="AK137" i="1"/>
  <c r="AK145" i="1"/>
  <c r="AK153" i="1"/>
  <c r="AK161" i="1"/>
  <c r="AK169" i="1"/>
  <c r="AK177" i="1"/>
  <c r="AK185" i="1"/>
  <c r="AK193" i="1"/>
  <c r="AK201" i="1"/>
  <c r="AK209" i="1"/>
  <c r="AK217" i="1"/>
  <c r="AK225" i="1"/>
  <c r="AK233" i="1"/>
  <c r="AK241" i="1"/>
  <c r="AK249" i="1"/>
  <c r="AK257" i="1"/>
  <c r="AK265" i="1"/>
  <c r="AK273" i="1"/>
  <c r="AK281" i="1"/>
  <c r="AK289" i="1"/>
  <c r="AK297" i="1"/>
  <c r="AK305" i="1"/>
  <c r="AK313" i="1"/>
  <c r="AK321" i="1"/>
  <c r="AK329" i="1"/>
  <c r="AK337" i="1"/>
  <c r="AK345" i="1"/>
  <c r="AK353" i="1"/>
  <c r="AK361" i="1"/>
  <c r="AK369" i="1"/>
  <c r="AK377" i="1"/>
  <c r="AK385" i="1"/>
  <c r="AK393" i="1"/>
  <c r="AK401" i="1"/>
  <c r="AK409" i="1"/>
  <c r="AK417" i="1"/>
  <c r="AK425" i="1"/>
  <c r="AK433" i="1"/>
  <c r="AK18" i="1"/>
  <c r="AK26" i="1"/>
  <c r="AK34" i="1"/>
  <c r="AK42" i="1"/>
  <c r="AK50" i="1"/>
  <c r="AK58" i="1"/>
  <c r="AK66" i="1"/>
  <c r="AK74" i="1"/>
  <c r="AK82" i="1"/>
  <c r="AK90" i="1"/>
  <c r="AK98" i="1"/>
  <c r="AK106" i="1"/>
  <c r="AK114" i="1"/>
  <c r="AK122" i="1"/>
  <c r="AK130" i="1"/>
  <c r="AK138" i="1"/>
  <c r="AK146" i="1"/>
  <c r="AK154" i="1"/>
  <c r="AK162" i="1"/>
  <c r="AK170" i="1"/>
  <c r="AK178" i="1"/>
  <c r="AK186" i="1"/>
  <c r="AK194" i="1"/>
  <c r="AK202" i="1"/>
  <c r="AK210" i="1"/>
  <c r="AK218" i="1"/>
  <c r="AK226" i="1"/>
  <c r="AK234" i="1"/>
  <c r="AK242" i="1"/>
  <c r="AK250" i="1"/>
  <c r="AK258" i="1"/>
  <c r="AK266" i="1"/>
  <c r="AK274" i="1"/>
  <c r="AK282" i="1"/>
  <c r="AK290" i="1"/>
  <c r="AK298" i="1"/>
  <c r="AK306" i="1"/>
  <c r="AK314" i="1"/>
  <c r="AK322" i="1"/>
  <c r="AK330" i="1"/>
  <c r="AK338" i="1"/>
  <c r="AK346" i="1"/>
  <c r="AK354" i="1"/>
  <c r="AK362" i="1"/>
  <c r="AK370" i="1"/>
  <c r="AK378" i="1"/>
  <c r="AK386" i="1"/>
  <c r="AK394" i="1"/>
  <c r="AK402" i="1"/>
  <c r="AK410" i="1"/>
  <c r="AK418" i="1"/>
  <c r="AK426" i="1"/>
  <c r="AK19" i="1"/>
  <c r="AK27" i="1"/>
  <c r="AK35" i="1"/>
  <c r="AK43" i="1"/>
  <c r="AK51" i="1"/>
  <c r="AK59" i="1"/>
  <c r="AK67" i="1"/>
  <c r="AK75" i="1"/>
  <c r="AK83" i="1"/>
  <c r="AK91" i="1"/>
  <c r="AK99" i="1"/>
  <c r="AK107" i="1"/>
  <c r="AK115" i="1"/>
  <c r="AK123" i="1"/>
  <c r="AK131" i="1"/>
  <c r="AK139" i="1"/>
  <c r="AK147" i="1"/>
  <c r="AK155" i="1"/>
  <c r="AK163" i="1"/>
  <c r="AK171" i="1"/>
  <c r="AK179" i="1"/>
  <c r="AK187" i="1"/>
  <c r="AK195" i="1"/>
  <c r="AK203" i="1"/>
  <c r="AK211" i="1"/>
  <c r="AK219" i="1"/>
  <c r="AK227" i="1"/>
  <c r="AK235" i="1"/>
  <c r="AK243" i="1"/>
  <c r="AK251" i="1"/>
  <c r="AK259" i="1"/>
  <c r="AK267" i="1"/>
  <c r="AK275" i="1"/>
  <c r="AK283" i="1"/>
  <c r="AK291" i="1"/>
  <c r="AK299" i="1"/>
  <c r="AK307" i="1"/>
  <c r="AK315" i="1"/>
  <c r="AK323" i="1"/>
  <c r="AK331" i="1"/>
  <c r="AK339" i="1"/>
  <c r="AK347" i="1"/>
  <c r="AK355" i="1"/>
  <c r="AK363" i="1"/>
  <c r="AK371" i="1"/>
  <c r="AK379" i="1"/>
  <c r="AK387" i="1"/>
  <c r="AK395" i="1"/>
  <c r="AK403" i="1"/>
  <c r="AK411" i="1"/>
  <c r="AK419" i="1"/>
  <c r="AK427" i="1"/>
  <c r="AJ15" i="1"/>
  <c r="BA15" i="1" l="1"/>
  <c r="BC15" i="1"/>
  <c r="L15" i="1"/>
  <c r="AU15" i="1"/>
  <c r="BD15" i="1"/>
  <c r="AH17" i="1"/>
  <c r="E18" i="1"/>
  <c r="AJ16" i="1"/>
  <c r="AI16" i="1"/>
  <c r="BJ16" i="1" l="1"/>
  <c r="BI16" i="1"/>
  <c r="AW16" i="1"/>
  <c r="BK16" i="1"/>
  <c r="AZ15" i="1"/>
  <c r="BB15" i="1"/>
  <c r="AY15" i="1"/>
  <c r="AH18" i="1"/>
  <c r="E19" i="1"/>
  <c r="T16" i="1"/>
  <c r="AI17" i="1"/>
  <c r="AJ17" i="1"/>
  <c r="AX16" i="1" l="1"/>
  <c r="BF16" i="1"/>
  <c r="AR16" i="1"/>
  <c r="AS16" i="1"/>
  <c r="S16" i="1"/>
  <c r="AH19" i="1"/>
  <c r="E20" i="1"/>
  <c r="AJ18" i="1"/>
  <c r="AI18" i="1"/>
  <c r="N5" i="1" l="1"/>
  <c r="BD16" i="1"/>
  <c r="BC16" i="1"/>
  <c r="BA16" i="1"/>
  <c r="AU16" i="1"/>
  <c r="AH20" i="1"/>
  <c r="E21" i="1"/>
  <c r="AJ19" i="1"/>
  <c r="AI19" i="1"/>
  <c r="BB16" i="1" l="1"/>
  <c r="BJ17" i="1"/>
  <c r="AW17" i="1"/>
  <c r="BK17" i="1"/>
  <c r="BI17" i="1"/>
  <c r="AY16" i="1"/>
  <c r="AZ16" i="1"/>
  <c r="AH21" i="1"/>
  <c r="E22" i="1"/>
  <c r="AJ20" i="1"/>
  <c r="AI20" i="1"/>
  <c r="AS17" i="1" l="1"/>
  <c r="AR17" i="1"/>
  <c r="BF17" i="1"/>
  <c r="AX17" i="1"/>
  <c r="AH22" i="1"/>
  <c r="E23" i="1"/>
  <c r="AJ21" i="1"/>
  <c r="AI21" i="1"/>
  <c r="BC17" i="1" l="1"/>
  <c r="AY17" i="1" s="1"/>
  <c r="AU17" i="1"/>
  <c r="AH23" i="1"/>
  <c r="E24" i="1"/>
  <c r="AI22" i="1"/>
  <c r="AJ22" i="1"/>
  <c r="AH24" i="1" l="1"/>
  <c r="E25" i="1"/>
  <c r="AI23" i="1"/>
  <c r="AJ23" i="1"/>
  <c r="AH25" i="1" l="1"/>
  <c r="E26" i="1"/>
  <c r="AJ24" i="1"/>
  <c r="AI24" i="1"/>
  <c r="AH26" i="1" l="1"/>
  <c r="E27" i="1"/>
  <c r="AJ25" i="1"/>
  <c r="AI25" i="1"/>
  <c r="AH27" i="1" l="1"/>
  <c r="E28" i="1"/>
  <c r="AJ26" i="1"/>
  <c r="AI26" i="1"/>
  <c r="AH28" i="1" l="1"/>
  <c r="E29" i="1"/>
  <c r="AI27" i="1"/>
  <c r="AJ27" i="1"/>
  <c r="AH29" i="1" l="1"/>
  <c r="E30" i="1"/>
  <c r="AI28" i="1"/>
  <c r="AJ28" i="1"/>
  <c r="AH30" i="1" l="1"/>
  <c r="E31" i="1"/>
  <c r="AJ29" i="1"/>
  <c r="AI29" i="1"/>
  <c r="AH31" i="1" l="1"/>
  <c r="E32" i="1"/>
  <c r="AI30" i="1"/>
  <c r="AJ30" i="1"/>
  <c r="AH32" i="1" l="1"/>
  <c r="E33" i="1"/>
  <c r="AJ31" i="1"/>
  <c r="AI31" i="1"/>
  <c r="AH33" i="1" l="1"/>
  <c r="E34" i="1"/>
  <c r="AJ32" i="1"/>
  <c r="AI32" i="1"/>
  <c r="AH34" i="1" l="1"/>
  <c r="E35" i="1"/>
  <c r="AJ33" i="1"/>
  <c r="AI33" i="1"/>
  <c r="AH35" i="1" l="1"/>
  <c r="E36" i="1"/>
  <c r="AI34" i="1"/>
  <c r="AJ34" i="1"/>
  <c r="AH36" i="1" l="1"/>
  <c r="E37" i="1"/>
  <c r="AJ35" i="1"/>
  <c r="AI35" i="1"/>
  <c r="AH37" i="1" l="1"/>
  <c r="E38" i="1"/>
  <c r="AI36" i="1"/>
  <c r="AJ36" i="1"/>
  <c r="AH38" i="1" l="1"/>
  <c r="E39" i="1"/>
  <c r="AI37" i="1"/>
  <c r="AJ37" i="1"/>
  <c r="AH39" i="1" l="1"/>
  <c r="E40" i="1"/>
  <c r="AI38" i="1"/>
  <c r="AJ38" i="1"/>
  <c r="AH40" i="1" l="1"/>
  <c r="E41" i="1"/>
  <c r="AI39" i="1"/>
  <c r="AJ39" i="1"/>
  <c r="AH41" i="1" l="1"/>
  <c r="E42" i="1"/>
  <c r="AJ40" i="1"/>
  <c r="AI40" i="1"/>
  <c r="AH42" i="1" l="1"/>
  <c r="E43" i="1"/>
  <c r="AI41" i="1"/>
  <c r="AJ41" i="1"/>
  <c r="AH43" i="1" l="1"/>
  <c r="E44" i="1"/>
  <c r="AJ42" i="1"/>
  <c r="AI42" i="1"/>
  <c r="AH44" i="1" l="1"/>
  <c r="E45" i="1"/>
  <c r="AI43" i="1"/>
  <c r="AJ43" i="1"/>
  <c r="AH45" i="1" l="1"/>
  <c r="E46" i="1"/>
  <c r="AJ44" i="1"/>
  <c r="AI44" i="1"/>
  <c r="AH46" i="1" l="1"/>
  <c r="E47" i="1"/>
  <c r="AI45" i="1"/>
  <c r="AJ45" i="1"/>
  <c r="AH47" i="1" l="1"/>
  <c r="E48" i="1"/>
  <c r="AI46" i="1"/>
  <c r="AJ46" i="1"/>
  <c r="AH48" i="1" l="1"/>
  <c r="E49" i="1"/>
  <c r="AI47" i="1"/>
  <c r="AJ47" i="1"/>
  <c r="AH49" i="1" l="1"/>
  <c r="E50" i="1"/>
  <c r="AJ48" i="1"/>
  <c r="AI48" i="1"/>
  <c r="AH50" i="1" l="1"/>
  <c r="E51" i="1"/>
  <c r="AI49" i="1"/>
  <c r="AJ49" i="1"/>
  <c r="AH51" i="1" l="1"/>
  <c r="E52" i="1"/>
  <c r="AI50" i="1"/>
  <c r="AJ50" i="1"/>
  <c r="AH52" i="1" l="1"/>
  <c r="E53" i="1"/>
  <c r="AJ51" i="1"/>
  <c r="AI51" i="1"/>
  <c r="AH53" i="1" l="1"/>
  <c r="E54" i="1"/>
  <c r="AI52" i="1"/>
  <c r="AJ52" i="1"/>
  <c r="AH54" i="1" l="1"/>
  <c r="E55" i="1"/>
  <c r="AJ53" i="1"/>
  <c r="AI53" i="1"/>
  <c r="AH55" i="1" l="1"/>
  <c r="E56" i="1"/>
  <c r="AJ54" i="1"/>
  <c r="AI54" i="1"/>
  <c r="AH56" i="1" l="1"/>
  <c r="E57" i="1"/>
  <c r="AJ55" i="1"/>
  <c r="AI55" i="1"/>
  <c r="AH57" i="1" l="1"/>
  <c r="E58" i="1"/>
  <c r="AJ56" i="1"/>
  <c r="AI56" i="1"/>
  <c r="AH58" i="1" l="1"/>
  <c r="E59" i="1"/>
  <c r="AJ57" i="1"/>
  <c r="AI57" i="1"/>
  <c r="AH59" i="1" l="1"/>
  <c r="E60" i="1"/>
  <c r="AJ58" i="1"/>
  <c r="AI58" i="1"/>
  <c r="AH60" i="1" l="1"/>
  <c r="E61" i="1"/>
  <c r="AI59" i="1"/>
  <c r="AJ59" i="1"/>
  <c r="AH61" i="1" l="1"/>
  <c r="E62" i="1"/>
  <c r="AJ60" i="1"/>
  <c r="AI60" i="1"/>
  <c r="AH62" i="1" l="1"/>
  <c r="E63" i="1"/>
  <c r="AI61" i="1"/>
  <c r="AJ61" i="1"/>
  <c r="AH63" i="1" l="1"/>
  <c r="E64" i="1"/>
  <c r="AI62" i="1"/>
  <c r="AJ62" i="1"/>
  <c r="AH64" i="1" l="1"/>
  <c r="E65" i="1"/>
  <c r="AI63" i="1"/>
  <c r="AJ63" i="1"/>
  <c r="AH65" i="1" l="1"/>
  <c r="E66" i="1"/>
  <c r="AI64" i="1"/>
  <c r="AJ64" i="1"/>
  <c r="AH66" i="1" l="1"/>
  <c r="E67" i="1"/>
  <c r="AJ65" i="1"/>
  <c r="AI65" i="1"/>
  <c r="AH67" i="1" l="1"/>
  <c r="E68" i="1"/>
  <c r="AJ66" i="1"/>
  <c r="AI66" i="1"/>
  <c r="AH68" i="1" l="1"/>
  <c r="E69" i="1"/>
  <c r="AJ67" i="1"/>
  <c r="AI67" i="1"/>
  <c r="AH69" i="1" l="1"/>
  <c r="E70" i="1"/>
  <c r="AJ68" i="1"/>
  <c r="AI68" i="1"/>
  <c r="AH70" i="1" l="1"/>
  <c r="E71" i="1"/>
  <c r="AJ69" i="1"/>
  <c r="AI69" i="1"/>
  <c r="AH71" i="1" l="1"/>
  <c r="E72" i="1"/>
  <c r="AJ70" i="1"/>
  <c r="AI70" i="1"/>
  <c r="AH72" i="1" l="1"/>
  <c r="E73" i="1"/>
  <c r="AJ71" i="1"/>
  <c r="AI71" i="1"/>
  <c r="AH73" i="1" l="1"/>
  <c r="E74" i="1"/>
  <c r="AJ72" i="1"/>
  <c r="AI72" i="1"/>
  <c r="AH74" i="1" l="1"/>
  <c r="E75" i="1"/>
  <c r="AI73" i="1"/>
  <c r="AJ73" i="1"/>
  <c r="AH75" i="1" l="1"/>
  <c r="E76" i="1"/>
  <c r="AI74" i="1"/>
  <c r="AJ74" i="1"/>
  <c r="AH76" i="1" l="1"/>
  <c r="E77" i="1"/>
  <c r="AJ75" i="1"/>
  <c r="AI75" i="1"/>
  <c r="AH77" i="1" l="1"/>
  <c r="E78" i="1"/>
  <c r="AI76" i="1"/>
  <c r="AJ76" i="1"/>
  <c r="AH78" i="1" l="1"/>
  <c r="E79" i="1"/>
  <c r="AJ77" i="1"/>
  <c r="AI77" i="1"/>
  <c r="AH79" i="1" l="1"/>
  <c r="E80" i="1"/>
  <c r="AJ78" i="1"/>
  <c r="AI78" i="1"/>
  <c r="AH80" i="1" l="1"/>
  <c r="E81" i="1"/>
  <c r="AJ79" i="1"/>
  <c r="AI79" i="1"/>
  <c r="AH81" i="1" l="1"/>
  <c r="E82" i="1"/>
  <c r="AJ80" i="1"/>
  <c r="AI80" i="1"/>
  <c r="AH82" i="1" l="1"/>
  <c r="E83" i="1"/>
  <c r="AJ81" i="1"/>
  <c r="AI81" i="1"/>
  <c r="AH83" i="1" l="1"/>
  <c r="E84" i="1"/>
  <c r="AJ82" i="1"/>
  <c r="AI82" i="1"/>
  <c r="AH84" i="1" l="1"/>
  <c r="E85" i="1"/>
  <c r="AI83" i="1"/>
  <c r="AJ83" i="1"/>
  <c r="AH85" i="1" l="1"/>
  <c r="E86" i="1"/>
  <c r="AI84" i="1"/>
  <c r="AJ84" i="1"/>
  <c r="AH86" i="1" l="1"/>
  <c r="E87" i="1"/>
  <c r="AI85" i="1"/>
  <c r="AJ85" i="1"/>
  <c r="AH87" i="1" l="1"/>
  <c r="E88" i="1"/>
  <c r="AJ86" i="1"/>
  <c r="AI86" i="1"/>
  <c r="AH88" i="1" l="1"/>
  <c r="E89" i="1"/>
  <c r="AI87" i="1"/>
  <c r="AJ87" i="1"/>
  <c r="AH89" i="1" l="1"/>
  <c r="E90" i="1"/>
  <c r="AI88" i="1"/>
  <c r="AJ88" i="1"/>
  <c r="AH90" i="1" l="1"/>
  <c r="E91" i="1"/>
  <c r="AJ89" i="1"/>
  <c r="AI89" i="1"/>
  <c r="AH91" i="1" l="1"/>
  <c r="E92" i="1"/>
  <c r="AI90" i="1"/>
  <c r="AJ90" i="1"/>
  <c r="AH92" i="1" l="1"/>
  <c r="E93" i="1"/>
  <c r="AI91" i="1"/>
  <c r="AJ91" i="1"/>
  <c r="AH93" i="1" l="1"/>
  <c r="E94" i="1"/>
  <c r="AJ92" i="1"/>
  <c r="AI92" i="1"/>
  <c r="AH94" i="1" l="1"/>
  <c r="E95" i="1"/>
  <c r="AJ93" i="1"/>
  <c r="AI93" i="1"/>
  <c r="AH95" i="1" l="1"/>
  <c r="E96" i="1"/>
  <c r="AJ94" i="1"/>
  <c r="AI94" i="1"/>
  <c r="AH96" i="1" l="1"/>
  <c r="E97" i="1"/>
  <c r="AJ95" i="1"/>
  <c r="AI95" i="1"/>
  <c r="AH97" i="1" l="1"/>
  <c r="E98" i="1"/>
  <c r="AJ96" i="1"/>
  <c r="AI96" i="1"/>
  <c r="AH98" i="1" l="1"/>
  <c r="E99" i="1"/>
  <c r="AI97" i="1"/>
  <c r="AJ97" i="1"/>
  <c r="AH99" i="1" l="1"/>
  <c r="E100" i="1"/>
  <c r="AI98" i="1"/>
  <c r="AJ98" i="1"/>
  <c r="AH100" i="1" l="1"/>
  <c r="E101" i="1"/>
  <c r="AJ99" i="1"/>
  <c r="AI99" i="1"/>
  <c r="AH101" i="1" l="1"/>
  <c r="E102" i="1"/>
  <c r="AJ100" i="1"/>
  <c r="AI100" i="1"/>
  <c r="AH102" i="1" l="1"/>
  <c r="E103" i="1"/>
  <c r="AJ101" i="1"/>
  <c r="AI101" i="1"/>
  <c r="AH103" i="1" l="1"/>
  <c r="E104" i="1"/>
  <c r="AI102" i="1"/>
  <c r="AJ102" i="1"/>
  <c r="AH104" i="1" l="1"/>
  <c r="E105" i="1"/>
  <c r="AI103" i="1"/>
  <c r="AJ103" i="1"/>
  <c r="AJ104" i="1"/>
  <c r="AI104" i="1"/>
  <c r="AH105" i="1" l="1"/>
  <c r="E106" i="1"/>
  <c r="AJ105" i="1"/>
  <c r="AI105" i="1"/>
  <c r="AH106" i="1" l="1"/>
  <c r="E107" i="1"/>
  <c r="AJ106" i="1"/>
  <c r="AI106" i="1"/>
  <c r="AH107" i="1" l="1"/>
  <c r="E108" i="1"/>
  <c r="AJ107" i="1"/>
  <c r="AI107" i="1"/>
  <c r="AH108" i="1" l="1"/>
  <c r="E109" i="1"/>
  <c r="AI108" i="1"/>
  <c r="AJ108" i="1"/>
  <c r="AH109" i="1" l="1"/>
  <c r="E110" i="1"/>
  <c r="AJ109" i="1"/>
  <c r="AI109" i="1"/>
  <c r="AH110" i="1" l="1"/>
  <c r="E111" i="1"/>
  <c r="AJ110" i="1"/>
  <c r="AI110" i="1"/>
  <c r="AH111" i="1" l="1"/>
  <c r="E112" i="1"/>
  <c r="AJ111" i="1"/>
  <c r="AI111" i="1"/>
  <c r="AH112" i="1" l="1"/>
  <c r="E113" i="1"/>
  <c r="AJ112" i="1"/>
  <c r="AI112" i="1"/>
  <c r="AH113" i="1" l="1"/>
  <c r="E114" i="1"/>
  <c r="AI113" i="1"/>
  <c r="AJ113" i="1"/>
  <c r="AH114" i="1" l="1"/>
  <c r="E115" i="1"/>
  <c r="AI114" i="1"/>
  <c r="AJ114" i="1"/>
  <c r="AH115" i="1" l="1"/>
  <c r="E116" i="1"/>
  <c r="AI115" i="1"/>
  <c r="AJ115" i="1"/>
  <c r="AH116" i="1" l="1"/>
  <c r="E117" i="1"/>
  <c r="AI116" i="1"/>
  <c r="AJ116" i="1"/>
  <c r="AH117" i="1" l="1"/>
  <c r="E118" i="1"/>
  <c r="AI117" i="1"/>
  <c r="AJ117" i="1"/>
  <c r="AH118" i="1" l="1"/>
  <c r="E119" i="1"/>
  <c r="AJ118" i="1"/>
  <c r="AI118" i="1"/>
  <c r="AH119" i="1" l="1"/>
  <c r="E120" i="1"/>
  <c r="AJ119" i="1"/>
  <c r="AI119" i="1"/>
  <c r="AH120" i="1" l="1"/>
  <c r="E121" i="1"/>
  <c r="AI120" i="1"/>
  <c r="AJ120" i="1"/>
  <c r="AH121" i="1" l="1"/>
  <c r="E122" i="1"/>
  <c r="AI121" i="1"/>
  <c r="AJ121" i="1"/>
  <c r="AH122" i="1" l="1"/>
  <c r="E123" i="1"/>
  <c r="AI122" i="1"/>
  <c r="AJ122" i="1"/>
  <c r="AH123" i="1" l="1"/>
  <c r="E124" i="1"/>
  <c r="AJ123" i="1"/>
  <c r="AI123" i="1"/>
  <c r="AH124" i="1" l="1"/>
  <c r="E125" i="1"/>
  <c r="AJ124" i="1"/>
  <c r="AI124" i="1"/>
  <c r="AH125" i="1" l="1"/>
  <c r="E126" i="1"/>
  <c r="AJ125" i="1"/>
  <c r="AI125" i="1"/>
  <c r="AH126" i="1" l="1"/>
  <c r="E127" i="1"/>
  <c r="AI126" i="1"/>
  <c r="AJ126" i="1"/>
  <c r="AH127" i="1" l="1"/>
  <c r="E128" i="1"/>
  <c r="AI127" i="1"/>
  <c r="AJ127" i="1"/>
  <c r="AH128" i="1" l="1"/>
  <c r="E129" i="1"/>
  <c r="AI128" i="1"/>
  <c r="AJ128" i="1"/>
  <c r="AH129" i="1" l="1"/>
  <c r="E130" i="1"/>
  <c r="AI129" i="1"/>
  <c r="AJ129" i="1"/>
  <c r="AH130" i="1" l="1"/>
  <c r="E131" i="1"/>
  <c r="AJ130" i="1"/>
  <c r="AI130" i="1"/>
  <c r="AH131" i="1" l="1"/>
  <c r="E132" i="1"/>
  <c r="AJ131" i="1"/>
  <c r="AI131" i="1"/>
  <c r="AH132" i="1" l="1"/>
  <c r="E133" i="1"/>
  <c r="AJ132" i="1"/>
  <c r="AI132" i="1"/>
  <c r="AH133" i="1" l="1"/>
  <c r="E134" i="1"/>
  <c r="AJ133" i="1"/>
  <c r="AI133" i="1"/>
  <c r="AH134" i="1" l="1"/>
  <c r="E135" i="1"/>
  <c r="AI134" i="1"/>
  <c r="AJ134" i="1"/>
  <c r="AH135" i="1" l="1"/>
  <c r="E136" i="1"/>
  <c r="AI135" i="1"/>
  <c r="AJ135" i="1"/>
  <c r="AH136" i="1" l="1"/>
  <c r="E137" i="1"/>
  <c r="AJ136" i="1"/>
  <c r="AI136" i="1"/>
  <c r="AH137" i="1" l="1"/>
  <c r="E138" i="1"/>
  <c r="AJ137" i="1"/>
  <c r="AI137" i="1"/>
  <c r="AH138" i="1" l="1"/>
  <c r="E139" i="1"/>
  <c r="AI138" i="1"/>
  <c r="AJ138" i="1"/>
  <c r="AH139" i="1" l="1"/>
  <c r="E140" i="1"/>
  <c r="AJ139" i="1"/>
  <c r="AI139" i="1"/>
  <c r="AH140" i="1" l="1"/>
  <c r="E141" i="1"/>
  <c r="AJ140" i="1"/>
  <c r="AI140" i="1"/>
  <c r="AH141" i="1" l="1"/>
  <c r="E142" i="1"/>
  <c r="AI141" i="1"/>
  <c r="AJ141" i="1"/>
  <c r="AH142" i="1" l="1"/>
  <c r="E143" i="1"/>
  <c r="AJ142" i="1"/>
  <c r="AI142" i="1"/>
  <c r="AH143" i="1" l="1"/>
  <c r="E144" i="1"/>
  <c r="AJ143" i="1"/>
  <c r="AI143" i="1"/>
  <c r="AH144" i="1" l="1"/>
  <c r="E145" i="1"/>
  <c r="AI144" i="1"/>
  <c r="AJ144" i="1"/>
  <c r="AH145" i="1" l="1"/>
  <c r="E146" i="1"/>
  <c r="AJ145" i="1"/>
  <c r="AI145" i="1"/>
  <c r="AH146" i="1" l="1"/>
  <c r="E147" i="1"/>
  <c r="AI146" i="1"/>
  <c r="AJ146" i="1"/>
  <c r="AH147" i="1" l="1"/>
  <c r="E148" i="1"/>
  <c r="AI147" i="1"/>
  <c r="AJ147" i="1"/>
  <c r="AH148" i="1" l="1"/>
  <c r="E149" i="1"/>
  <c r="AI148" i="1"/>
  <c r="AJ148" i="1"/>
  <c r="AH149" i="1" l="1"/>
  <c r="E150" i="1"/>
  <c r="AJ149" i="1"/>
  <c r="AI149" i="1"/>
  <c r="AH150" i="1" l="1"/>
  <c r="E151" i="1"/>
  <c r="AJ150" i="1"/>
  <c r="AI150" i="1"/>
  <c r="AH151" i="1" l="1"/>
  <c r="E152" i="1"/>
  <c r="AI151" i="1"/>
  <c r="AJ151" i="1"/>
  <c r="AH152" i="1" l="1"/>
  <c r="E153" i="1"/>
  <c r="AI152" i="1"/>
  <c r="AJ152" i="1"/>
  <c r="AH153" i="1" l="1"/>
  <c r="E154" i="1"/>
  <c r="AI153" i="1"/>
  <c r="AJ153" i="1"/>
  <c r="AH154" i="1" l="1"/>
  <c r="E155" i="1"/>
  <c r="AI154" i="1"/>
  <c r="AJ154" i="1"/>
  <c r="AH155" i="1" l="1"/>
  <c r="E156" i="1"/>
  <c r="AJ155" i="1"/>
  <c r="AI155" i="1"/>
  <c r="AH156" i="1" l="1"/>
  <c r="E157" i="1"/>
  <c r="AJ156" i="1"/>
  <c r="AI156" i="1"/>
  <c r="AH157" i="1" l="1"/>
  <c r="E158" i="1"/>
  <c r="AI157" i="1"/>
  <c r="AJ157" i="1"/>
  <c r="AH158" i="1" l="1"/>
  <c r="E159" i="1"/>
  <c r="AI158" i="1"/>
  <c r="AJ158" i="1"/>
  <c r="AH159" i="1" l="1"/>
  <c r="E160" i="1"/>
  <c r="AJ159" i="1"/>
  <c r="AI159" i="1"/>
  <c r="AH160" i="1" l="1"/>
  <c r="E161" i="1"/>
  <c r="AJ160" i="1"/>
  <c r="AI160" i="1"/>
  <c r="AH161" i="1" l="1"/>
  <c r="E162" i="1"/>
  <c r="AJ161" i="1"/>
  <c r="AI161" i="1"/>
  <c r="AH162" i="1" l="1"/>
  <c r="E163" i="1"/>
  <c r="AJ162" i="1"/>
  <c r="AI162" i="1"/>
  <c r="AH163" i="1" l="1"/>
  <c r="E164" i="1"/>
  <c r="AI163" i="1"/>
  <c r="AJ163" i="1"/>
  <c r="AH164" i="1" l="1"/>
  <c r="E165" i="1"/>
  <c r="AI164" i="1"/>
  <c r="AJ164" i="1"/>
  <c r="AH165" i="1" l="1"/>
  <c r="E166" i="1"/>
  <c r="AI165" i="1"/>
  <c r="AJ165" i="1"/>
  <c r="AH166" i="1" l="1"/>
  <c r="E167" i="1"/>
  <c r="AJ166" i="1"/>
  <c r="AI166" i="1"/>
  <c r="AH167" i="1" l="1"/>
  <c r="E168" i="1"/>
  <c r="AI167" i="1"/>
  <c r="AJ167" i="1"/>
  <c r="AH168" i="1" l="1"/>
  <c r="E169" i="1"/>
  <c r="AJ168" i="1"/>
  <c r="AI168" i="1"/>
  <c r="AH169" i="1" l="1"/>
  <c r="E170" i="1"/>
  <c r="AI169" i="1"/>
  <c r="AJ169" i="1"/>
  <c r="AH170" i="1" l="1"/>
  <c r="E171" i="1"/>
  <c r="AI170" i="1"/>
  <c r="AJ170" i="1"/>
  <c r="AH171" i="1" l="1"/>
  <c r="E172" i="1"/>
  <c r="AJ171" i="1"/>
  <c r="AI171" i="1"/>
  <c r="AH172" i="1" l="1"/>
  <c r="E173" i="1"/>
  <c r="AJ172" i="1"/>
  <c r="AI172" i="1"/>
  <c r="AH173" i="1" l="1"/>
  <c r="E174" i="1"/>
  <c r="AJ173" i="1"/>
  <c r="AI173" i="1"/>
  <c r="AH174" i="1" l="1"/>
  <c r="E175" i="1"/>
  <c r="AI174" i="1"/>
  <c r="AJ174" i="1"/>
  <c r="AH175" i="1" l="1"/>
  <c r="E176" i="1"/>
  <c r="AI175" i="1"/>
  <c r="AJ175" i="1"/>
  <c r="AH176" i="1" l="1"/>
  <c r="E177" i="1"/>
  <c r="AI176" i="1"/>
  <c r="AJ176" i="1"/>
  <c r="AH177" i="1" l="1"/>
  <c r="E178" i="1"/>
  <c r="AI177" i="1"/>
  <c r="AJ177" i="1"/>
  <c r="AH178" i="1" l="1"/>
  <c r="E179" i="1"/>
  <c r="AJ178" i="1"/>
  <c r="AI178" i="1"/>
  <c r="AH179" i="1" l="1"/>
  <c r="E180" i="1"/>
  <c r="AI179" i="1"/>
  <c r="AJ179" i="1"/>
  <c r="AH180" i="1" l="1"/>
  <c r="E181" i="1"/>
  <c r="AJ180" i="1"/>
  <c r="AI180" i="1"/>
  <c r="AH181" i="1" l="1"/>
  <c r="E182" i="1"/>
  <c r="AI181" i="1"/>
  <c r="AJ181" i="1"/>
  <c r="AH182" i="1" l="1"/>
  <c r="E183" i="1"/>
  <c r="AJ182" i="1"/>
  <c r="AI182" i="1"/>
  <c r="AH183" i="1" l="1"/>
  <c r="E184" i="1"/>
  <c r="AI183" i="1"/>
  <c r="AJ183" i="1"/>
  <c r="AH184" i="1" l="1"/>
  <c r="E185" i="1"/>
  <c r="AI184" i="1"/>
  <c r="AJ184" i="1"/>
  <c r="AH185" i="1" l="1"/>
  <c r="E186" i="1"/>
  <c r="AJ185" i="1"/>
  <c r="AI185" i="1"/>
  <c r="AH186" i="1" l="1"/>
  <c r="E187" i="1"/>
  <c r="AJ186" i="1"/>
  <c r="AI186" i="1"/>
  <c r="AH187" i="1" l="1"/>
  <c r="E188" i="1"/>
  <c r="AJ187" i="1"/>
  <c r="AI187" i="1"/>
  <c r="AH188" i="1" l="1"/>
  <c r="E189" i="1"/>
  <c r="AJ188" i="1"/>
  <c r="AI188" i="1"/>
  <c r="AH189" i="1" l="1"/>
  <c r="E190" i="1"/>
  <c r="AJ189" i="1"/>
  <c r="AI189" i="1"/>
  <c r="AH190" i="1" l="1"/>
  <c r="E191" i="1"/>
  <c r="AJ190" i="1"/>
  <c r="AI190" i="1"/>
  <c r="AH191" i="1" l="1"/>
  <c r="E192" i="1"/>
  <c r="AI191" i="1"/>
  <c r="AJ191" i="1"/>
  <c r="AH192" i="1" l="1"/>
  <c r="E193" i="1"/>
  <c r="AI192" i="1"/>
  <c r="AJ192" i="1"/>
  <c r="AH193" i="1" l="1"/>
  <c r="E194" i="1"/>
  <c r="AI193" i="1"/>
  <c r="AJ193" i="1"/>
  <c r="AH194" i="1" l="1"/>
  <c r="E195" i="1"/>
  <c r="AI194" i="1"/>
  <c r="AJ194" i="1"/>
  <c r="AH195" i="1" l="1"/>
  <c r="E196" i="1"/>
  <c r="AJ195" i="1"/>
  <c r="AI195" i="1"/>
  <c r="AH196" i="1" l="1"/>
  <c r="E197" i="1"/>
  <c r="AI196" i="1"/>
  <c r="AJ196" i="1"/>
  <c r="AH197" i="1" l="1"/>
  <c r="E198" i="1"/>
  <c r="AI197" i="1"/>
  <c r="AJ197" i="1"/>
  <c r="AH198" i="1" l="1"/>
  <c r="E199" i="1"/>
  <c r="AJ198" i="1"/>
  <c r="AI198" i="1"/>
  <c r="AH199" i="1" l="1"/>
  <c r="E200" i="1"/>
  <c r="AJ199" i="1"/>
  <c r="AI199" i="1"/>
  <c r="AH200" i="1" l="1"/>
  <c r="E201" i="1"/>
  <c r="AI200" i="1"/>
  <c r="AJ200" i="1"/>
  <c r="AH201" i="1" l="1"/>
  <c r="E202" i="1"/>
  <c r="AI201" i="1"/>
  <c r="AJ201" i="1"/>
  <c r="AH202" i="1" l="1"/>
  <c r="E203" i="1"/>
  <c r="AJ202" i="1"/>
  <c r="AI202" i="1"/>
  <c r="AH203" i="1" l="1"/>
  <c r="E204" i="1"/>
  <c r="AJ203" i="1"/>
  <c r="AI203" i="1"/>
  <c r="AH204" i="1" l="1"/>
  <c r="E205" i="1"/>
  <c r="AI204" i="1"/>
  <c r="AJ204" i="1"/>
  <c r="AH205" i="1" l="1"/>
  <c r="E206" i="1"/>
  <c r="AJ205" i="1"/>
  <c r="AI205" i="1"/>
  <c r="AH206" i="1" l="1"/>
  <c r="E207" i="1"/>
  <c r="AI206" i="1"/>
  <c r="AJ206" i="1"/>
  <c r="AH207" i="1" l="1"/>
  <c r="E208" i="1"/>
  <c r="AI207" i="1"/>
  <c r="AJ207" i="1"/>
  <c r="AH208" i="1" l="1"/>
  <c r="E209" i="1"/>
  <c r="AJ208" i="1"/>
  <c r="AI208" i="1"/>
  <c r="AH209" i="1" l="1"/>
  <c r="E210" i="1"/>
  <c r="AI209" i="1"/>
  <c r="AJ209" i="1"/>
  <c r="AH210" i="1" l="1"/>
  <c r="E211" i="1"/>
  <c r="AI210" i="1"/>
  <c r="AJ210" i="1"/>
  <c r="AH211" i="1" l="1"/>
  <c r="E212" i="1"/>
  <c r="AJ211" i="1"/>
  <c r="AI211" i="1"/>
  <c r="AH212" i="1" l="1"/>
  <c r="E213" i="1"/>
  <c r="AI212" i="1"/>
  <c r="AJ212" i="1"/>
  <c r="AH213" i="1" l="1"/>
  <c r="E214" i="1"/>
  <c r="AJ213" i="1"/>
  <c r="AI213" i="1"/>
  <c r="AH214" i="1" l="1"/>
  <c r="E215" i="1"/>
  <c r="AJ214" i="1"/>
  <c r="AI214" i="1"/>
  <c r="AH215" i="1" l="1"/>
  <c r="E216" i="1"/>
  <c r="AI215" i="1"/>
  <c r="AJ215" i="1"/>
  <c r="AH216" i="1" l="1"/>
  <c r="E217" i="1"/>
  <c r="AI216" i="1"/>
  <c r="AJ216" i="1"/>
  <c r="AH217" i="1" l="1"/>
  <c r="E218" i="1"/>
  <c r="AJ217" i="1"/>
  <c r="AI217" i="1"/>
  <c r="AH218" i="1" l="1"/>
  <c r="E219" i="1"/>
  <c r="AJ218" i="1"/>
  <c r="AI218" i="1"/>
  <c r="AH219" i="1" l="1"/>
  <c r="E220" i="1"/>
  <c r="AJ219" i="1"/>
  <c r="AI219" i="1"/>
  <c r="AH220" i="1" l="1"/>
  <c r="E221" i="1"/>
  <c r="AI220" i="1"/>
  <c r="AJ220" i="1"/>
  <c r="AH221" i="1" l="1"/>
  <c r="E222" i="1"/>
  <c r="AI221" i="1"/>
  <c r="AJ221" i="1"/>
  <c r="AH222" i="1" l="1"/>
  <c r="E223" i="1"/>
  <c r="AJ222" i="1"/>
  <c r="AI222" i="1"/>
  <c r="AH223" i="1" l="1"/>
  <c r="E224" i="1"/>
  <c r="AI223" i="1"/>
  <c r="AJ223" i="1"/>
  <c r="AH224" i="1" l="1"/>
  <c r="E225" i="1"/>
  <c r="AI224" i="1"/>
  <c r="AJ224" i="1"/>
  <c r="AH225" i="1" l="1"/>
  <c r="E226" i="1"/>
  <c r="AI225" i="1"/>
  <c r="AJ225" i="1"/>
  <c r="AH226" i="1" l="1"/>
  <c r="E227" i="1"/>
  <c r="AJ226" i="1"/>
  <c r="AI226" i="1"/>
  <c r="AH227" i="1" l="1"/>
  <c r="E228" i="1"/>
  <c r="AJ227" i="1"/>
  <c r="AI227" i="1"/>
  <c r="AH228" i="1" l="1"/>
  <c r="E229" i="1"/>
  <c r="AI228" i="1"/>
  <c r="AJ228" i="1"/>
  <c r="AH229" i="1" l="1"/>
  <c r="E230" i="1"/>
  <c r="AJ229" i="1"/>
  <c r="AI229" i="1"/>
  <c r="AH230" i="1" l="1"/>
  <c r="E231" i="1"/>
  <c r="AJ230" i="1"/>
  <c r="AI230" i="1"/>
  <c r="AH231" i="1" l="1"/>
  <c r="E232" i="1"/>
  <c r="AJ231" i="1"/>
  <c r="AI231" i="1"/>
  <c r="AH232" i="1" l="1"/>
  <c r="E233" i="1"/>
  <c r="AJ232" i="1"/>
  <c r="AI232" i="1"/>
  <c r="AH233" i="1" l="1"/>
  <c r="E234" i="1"/>
  <c r="AJ233" i="1"/>
  <c r="AI233" i="1"/>
  <c r="AH234" i="1" l="1"/>
  <c r="E235" i="1"/>
  <c r="AJ234" i="1"/>
  <c r="AI234" i="1"/>
  <c r="AH235" i="1" l="1"/>
  <c r="E236" i="1"/>
  <c r="AJ235" i="1"/>
  <c r="AI235" i="1"/>
  <c r="AH236" i="1" l="1"/>
  <c r="E237" i="1"/>
  <c r="AJ236" i="1"/>
  <c r="AI236" i="1"/>
  <c r="AH237" i="1" l="1"/>
  <c r="E238" i="1"/>
  <c r="AI237" i="1"/>
  <c r="AJ237" i="1"/>
  <c r="AH238" i="1" l="1"/>
  <c r="E239" i="1"/>
  <c r="AJ238" i="1"/>
  <c r="AI238" i="1"/>
  <c r="AH239" i="1" l="1"/>
  <c r="E240" i="1"/>
  <c r="AJ239" i="1"/>
  <c r="AI239" i="1"/>
  <c r="AH240" i="1" l="1"/>
  <c r="E241" i="1"/>
  <c r="AJ240" i="1"/>
  <c r="AI240" i="1"/>
  <c r="AH241" i="1" l="1"/>
  <c r="E242" i="1"/>
  <c r="AI241" i="1"/>
  <c r="AJ241" i="1"/>
  <c r="AH242" i="1" l="1"/>
  <c r="E243" i="1"/>
  <c r="AJ242" i="1"/>
  <c r="AI242" i="1"/>
  <c r="AH243" i="1" l="1"/>
  <c r="E244" i="1"/>
  <c r="AJ243" i="1"/>
  <c r="AI243" i="1"/>
  <c r="AH244" i="1" l="1"/>
  <c r="E245" i="1"/>
  <c r="AI244" i="1"/>
  <c r="AJ244" i="1"/>
  <c r="AH245" i="1" l="1"/>
  <c r="E246" i="1"/>
  <c r="AI245" i="1"/>
  <c r="AJ245" i="1"/>
  <c r="AH246" i="1" l="1"/>
  <c r="E247" i="1"/>
  <c r="AI246" i="1"/>
  <c r="AJ246" i="1"/>
  <c r="AH247" i="1" l="1"/>
  <c r="E248" i="1"/>
  <c r="AJ247" i="1"/>
  <c r="AI247" i="1"/>
  <c r="AH248" i="1" l="1"/>
  <c r="E249" i="1"/>
  <c r="AJ248" i="1"/>
  <c r="AI248" i="1"/>
  <c r="AH249" i="1" l="1"/>
  <c r="E250" i="1"/>
  <c r="AI249" i="1"/>
  <c r="AJ249" i="1"/>
  <c r="AH250" i="1" l="1"/>
  <c r="E251" i="1"/>
  <c r="AI250" i="1"/>
  <c r="AJ250" i="1"/>
  <c r="AH251" i="1" l="1"/>
  <c r="E252" i="1"/>
  <c r="AI251" i="1"/>
  <c r="AJ251" i="1"/>
  <c r="AH252" i="1" l="1"/>
  <c r="E253" i="1"/>
  <c r="AI252" i="1"/>
  <c r="AJ252" i="1"/>
  <c r="AH253" i="1" l="1"/>
  <c r="E254" i="1"/>
  <c r="AI253" i="1"/>
  <c r="AJ253" i="1"/>
  <c r="AH254" i="1" l="1"/>
  <c r="E255" i="1"/>
  <c r="AJ254" i="1"/>
  <c r="AI254" i="1"/>
  <c r="AH255" i="1" l="1"/>
  <c r="E256" i="1"/>
  <c r="AJ255" i="1"/>
  <c r="AI255" i="1"/>
  <c r="AH256" i="1" l="1"/>
  <c r="E257" i="1"/>
  <c r="AJ256" i="1"/>
  <c r="AI256" i="1"/>
  <c r="AH257" i="1" l="1"/>
  <c r="E258" i="1"/>
  <c r="AJ257" i="1"/>
  <c r="AI257" i="1"/>
  <c r="AH258" i="1" l="1"/>
  <c r="E259" i="1"/>
  <c r="AJ258" i="1"/>
  <c r="AI258" i="1"/>
  <c r="AH259" i="1" l="1"/>
  <c r="E260" i="1"/>
  <c r="AJ259" i="1"/>
  <c r="AI259" i="1"/>
  <c r="AH260" i="1" l="1"/>
  <c r="E261" i="1"/>
  <c r="AJ260" i="1"/>
  <c r="AI260" i="1"/>
  <c r="AH261" i="1" l="1"/>
  <c r="E262" i="1"/>
  <c r="AI261" i="1"/>
  <c r="AJ261" i="1"/>
  <c r="AH262" i="1" l="1"/>
  <c r="E263" i="1"/>
  <c r="AI262" i="1"/>
  <c r="AJ262" i="1"/>
  <c r="AH263" i="1" l="1"/>
  <c r="E264" i="1"/>
  <c r="AI263" i="1"/>
  <c r="AJ263" i="1"/>
  <c r="AH264" i="1" l="1"/>
  <c r="E265" i="1"/>
  <c r="AJ264" i="1"/>
  <c r="AI264" i="1"/>
  <c r="AH265" i="1" l="1"/>
  <c r="E266" i="1"/>
  <c r="AJ265" i="1"/>
  <c r="AI265" i="1"/>
  <c r="AH266" i="1" l="1"/>
  <c r="E267" i="1"/>
  <c r="AJ266" i="1"/>
  <c r="AI266" i="1"/>
  <c r="AH267" i="1" l="1"/>
  <c r="E268" i="1"/>
  <c r="AJ267" i="1"/>
  <c r="AI267" i="1"/>
  <c r="AH268" i="1" l="1"/>
  <c r="E269" i="1"/>
  <c r="AI268" i="1"/>
  <c r="AJ268" i="1"/>
  <c r="AH269" i="1" l="1"/>
  <c r="E270" i="1"/>
  <c r="AJ269" i="1"/>
  <c r="AI269" i="1"/>
  <c r="AH270" i="1" l="1"/>
  <c r="E271" i="1"/>
  <c r="AI270" i="1"/>
  <c r="AJ270" i="1"/>
  <c r="AH271" i="1" l="1"/>
  <c r="E272" i="1"/>
  <c r="AJ271" i="1"/>
  <c r="AI271" i="1"/>
  <c r="AH272" i="1" l="1"/>
  <c r="E273" i="1"/>
  <c r="AJ272" i="1"/>
  <c r="AI272" i="1"/>
  <c r="AH273" i="1" l="1"/>
  <c r="E274" i="1"/>
  <c r="AI273" i="1"/>
  <c r="AJ273" i="1"/>
  <c r="AH274" i="1" l="1"/>
  <c r="E275" i="1"/>
  <c r="AI274" i="1"/>
  <c r="AJ274" i="1"/>
  <c r="AH275" i="1" l="1"/>
  <c r="E276" i="1"/>
  <c r="AI275" i="1"/>
  <c r="AJ275" i="1"/>
  <c r="AH276" i="1" l="1"/>
  <c r="E277" i="1"/>
  <c r="AJ276" i="1"/>
  <c r="AI276" i="1"/>
  <c r="AH277" i="1" l="1"/>
  <c r="E278" i="1"/>
  <c r="AI277" i="1"/>
  <c r="AJ277" i="1"/>
  <c r="AH278" i="1" l="1"/>
  <c r="E279" i="1"/>
  <c r="AI278" i="1"/>
  <c r="AJ278" i="1"/>
  <c r="AH279" i="1" l="1"/>
  <c r="E280" i="1"/>
  <c r="AJ279" i="1"/>
  <c r="AI279" i="1"/>
  <c r="AH280" i="1" l="1"/>
  <c r="E281" i="1"/>
  <c r="AJ280" i="1"/>
  <c r="AI280" i="1"/>
  <c r="AH281" i="1" l="1"/>
  <c r="E282" i="1"/>
  <c r="AI281" i="1"/>
  <c r="AJ281" i="1"/>
  <c r="AH282" i="1" l="1"/>
  <c r="E283" i="1"/>
  <c r="AI282" i="1"/>
  <c r="AJ282" i="1"/>
  <c r="AH283" i="1" l="1"/>
  <c r="E284" i="1"/>
  <c r="AJ283" i="1"/>
  <c r="AI283" i="1"/>
  <c r="AH284" i="1" l="1"/>
  <c r="E285" i="1"/>
  <c r="AI284" i="1"/>
  <c r="AJ284" i="1"/>
  <c r="AH285" i="1" l="1"/>
  <c r="E286" i="1"/>
  <c r="AJ285" i="1"/>
  <c r="AI285" i="1"/>
  <c r="AH286" i="1" l="1"/>
  <c r="E287" i="1"/>
  <c r="AI286" i="1"/>
  <c r="AJ286" i="1"/>
  <c r="AH287" i="1" l="1"/>
  <c r="E288" i="1"/>
  <c r="AJ287" i="1"/>
  <c r="AI287" i="1"/>
  <c r="AH288" i="1" l="1"/>
  <c r="E289" i="1"/>
  <c r="AJ288" i="1"/>
  <c r="AI288" i="1"/>
  <c r="AH289" i="1" l="1"/>
  <c r="E290" i="1"/>
  <c r="AJ289" i="1"/>
  <c r="AI289" i="1"/>
  <c r="AH290" i="1" l="1"/>
  <c r="E291" i="1"/>
  <c r="AJ290" i="1"/>
  <c r="AI290" i="1"/>
  <c r="AH291" i="1" l="1"/>
  <c r="E292" i="1"/>
  <c r="AI291" i="1"/>
  <c r="AJ291" i="1"/>
  <c r="AH292" i="1" l="1"/>
  <c r="E293" i="1"/>
  <c r="AJ292" i="1"/>
  <c r="AI292" i="1"/>
  <c r="AH293" i="1" l="1"/>
  <c r="E294" i="1"/>
  <c r="AI293" i="1"/>
  <c r="AJ293" i="1"/>
  <c r="AH294" i="1" l="1"/>
  <c r="E295" i="1"/>
  <c r="AJ294" i="1"/>
  <c r="AI294" i="1"/>
  <c r="AH295" i="1" l="1"/>
  <c r="E296" i="1"/>
  <c r="AI295" i="1"/>
  <c r="AJ295" i="1"/>
  <c r="AH296" i="1" l="1"/>
  <c r="E297" i="1"/>
  <c r="AI296" i="1"/>
  <c r="AJ296" i="1"/>
  <c r="AH297" i="1" l="1"/>
  <c r="E298" i="1"/>
  <c r="AJ297" i="1"/>
  <c r="AI297" i="1"/>
  <c r="AH298" i="1" l="1"/>
  <c r="E299" i="1"/>
  <c r="AI298" i="1"/>
  <c r="AJ298" i="1"/>
  <c r="AH299" i="1" l="1"/>
  <c r="E300" i="1"/>
  <c r="AI299" i="1"/>
  <c r="AJ299" i="1"/>
  <c r="AH300" i="1" l="1"/>
  <c r="E301" i="1"/>
  <c r="AJ300" i="1"/>
  <c r="AI300" i="1"/>
  <c r="AH301" i="1" l="1"/>
  <c r="E302" i="1"/>
  <c r="AJ301" i="1"/>
  <c r="AI301" i="1"/>
  <c r="AH302" i="1" l="1"/>
  <c r="E303" i="1"/>
  <c r="AJ302" i="1"/>
  <c r="AI302" i="1"/>
  <c r="AH303" i="1" l="1"/>
  <c r="E304" i="1"/>
  <c r="AI303" i="1"/>
  <c r="AJ303" i="1"/>
  <c r="AH304" i="1" l="1"/>
  <c r="E305" i="1"/>
  <c r="AI304" i="1"/>
  <c r="AJ304" i="1"/>
  <c r="AH305" i="1" l="1"/>
  <c r="E306" i="1"/>
  <c r="AI305" i="1"/>
  <c r="AJ305" i="1"/>
  <c r="AH306" i="1" l="1"/>
  <c r="E307" i="1"/>
  <c r="AI306" i="1"/>
  <c r="AJ306" i="1"/>
  <c r="AH307" i="1" l="1"/>
  <c r="E308" i="1"/>
  <c r="AJ307" i="1"/>
  <c r="AI307" i="1"/>
  <c r="AH308" i="1" l="1"/>
  <c r="E309" i="1"/>
  <c r="AI308" i="1"/>
  <c r="AJ308" i="1"/>
  <c r="AH309" i="1" l="1"/>
  <c r="E310" i="1"/>
  <c r="AI309" i="1"/>
  <c r="AJ309" i="1"/>
  <c r="AH310" i="1" l="1"/>
  <c r="E311" i="1"/>
  <c r="AI310" i="1"/>
  <c r="AJ310" i="1"/>
  <c r="AH311" i="1" l="1"/>
  <c r="E312" i="1"/>
  <c r="AJ311" i="1"/>
  <c r="AI311" i="1"/>
  <c r="AH312" i="1" l="1"/>
  <c r="E313" i="1"/>
  <c r="AJ312" i="1"/>
  <c r="AI312" i="1"/>
  <c r="AH313" i="1" l="1"/>
  <c r="E314" i="1"/>
  <c r="AI313" i="1"/>
  <c r="AJ313" i="1"/>
  <c r="AH314" i="1" l="1"/>
  <c r="E315" i="1"/>
  <c r="AJ314" i="1"/>
  <c r="AI314" i="1"/>
  <c r="AH315" i="1" l="1"/>
  <c r="E316" i="1"/>
  <c r="AI315" i="1"/>
  <c r="AJ315" i="1"/>
  <c r="AH316" i="1" l="1"/>
  <c r="E317" i="1"/>
  <c r="AJ316" i="1"/>
  <c r="AI316" i="1"/>
  <c r="AH317" i="1" l="1"/>
  <c r="E318" i="1"/>
  <c r="AJ317" i="1"/>
  <c r="AI317" i="1"/>
  <c r="AH318" i="1" l="1"/>
  <c r="E319" i="1"/>
  <c r="AI318" i="1"/>
  <c r="AJ318" i="1"/>
  <c r="AH319" i="1" l="1"/>
  <c r="E320" i="1"/>
  <c r="AI319" i="1"/>
  <c r="AJ319" i="1"/>
  <c r="AH320" i="1" l="1"/>
  <c r="E321" i="1"/>
  <c r="AI320" i="1"/>
  <c r="AJ320" i="1"/>
  <c r="AH321" i="1" l="1"/>
  <c r="E322" i="1"/>
  <c r="AI321" i="1"/>
  <c r="AJ321" i="1"/>
  <c r="AH322" i="1" l="1"/>
  <c r="E323" i="1"/>
  <c r="AI322" i="1"/>
  <c r="AJ322" i="1"/>
  <c r="AH323" i="1" l="1"/>
  <c r="E324" i="1"/>
  <c r="AI323" i="1"/>
  <c r="AJ323" i="1"/>
  <c r="AH324" i="1" l="1"/>
  <c r="E325" i="1"/>
  <c r="AJ324" i="1"/>
  <c r="AI324" i="1"/>
  <c r="AH325" i="1" l="1"/>
  <c r="E326" i="1"/>
  <c r="AI325" i="1"/>
  <c r="AJ325" i="1"/>
  <c r="AH326" i="1" l="1"/>
  <c r="E327" i="1"/>
  <c r="AI326" i="1"/>
  <c r="AJ326" i="1"/>
  <c r="AH327" i="1" l="1"/>
  <c r="E328" i="1"/>
  <c r="AI327" i="1"/>
  <c r="AJ327" i="1"/>
  <c r="AH328" i="1" l="1"/>
  <c r="E329" i="1"/>
  <c r="AJ328" i="1"/>
  <c r="AI328" i="1"/>
  <c r="AH329" i="1" l="1"/>
  <c r="E330" i="1"/>
  <c r="AJ329" i="1"/>
  <c r="AI329" i="1"/>
  <c r="AH330" i="1" l="1"/>
  <c r="E331" i="1"/>
  <c r="AI330" i="1"/>
  <c r="AJ330" i="1"/>
  <c r="AH331" i="1" l="1"/>
  <c r="E332" i="1"/>
  <c r="AJ331" i="1"/>
  <c r="AI331" i="1"/>
  <c r="AH332" i="1" l="1"/>
  <c r="E333" i="1"/>
  <c r="AJ332" i="1"/>
  <c r="AI332" i="1"/>
  <c r="AH333" i="1" l="1"/>
  <c r="E334" i="1"/>
  <c r="AI333" i="1"/>
  <c r="AJ333" i="1"/>
  <c r="AH334" i="1" l="1"/>
  <c r="E335" i="1"/>
  <c r="AJ334" i="1"/>
  <c r="AI334" i="1"/>
  <c r="AH335" i="1" l="1"/>
  <c r="E336" i="1"/>
  <c r="AI335" i="1"/>
  <c r="AJ335" i="1"/>
  <c r="AH336" i="1" l="1"/>
  <c r="E337" i="1"/>
  <c r="AJ336" i="1"/>
  <c r="AI336" i="1"/>
  <c r="AH337" i="1" l="1"/>
  <c r="E338" i="1"/>
  <c r="AI337" i="1"/>
  <c r="AJ337" i="1"/>
  <c r="AH338" i="1" l="1"/>
  <c r="E339" i="1"/>
  <c r="AJ338" i="1"/>
  <c r="AI338" i="1"/>
  <c r="AH339" i="1" l="1"/>
  <c r="E340" i="1"/>
  <c r="AJ339" i="1"/>
  <c r="AI339" i="1"/>
  <c r="AH340" i="1" l="1"/>
  <c r="E341" i="1"/>
  <c r="AI340" i="1"/>
  <c r="AJ340" i="1"/>
  <c r="AH341" i="1" l="1"/>
  <c r="E342" i="1"/>
  <c r="AI341" i="1"/>
  <c r="AJ341" i="1"/>
  <c r="AH342" i="1" l="1"/>
  <c r="E343" i="1"/>
  <c r="AI342" i="1"/>
  <c r="AJ342" i="1"/>
  <c r="AH343" i="1" l="1"/>
  <c r="E344" i="1"/>
  <c r="AI343" i="1"/>
  <c r="AJ343" i="1"/>
  <c r="AH344" i="1" l="1"/>
  <c r="E345" i="1"/>
  <c r="AJ344" i="1"/>
  <c r="AI344" i="1"/>
  <c r="AH345" i="1" l="1"/>
  <c r="E346" i="1"/>
  <c r="AI345" i="1"/>
  <c r="AJ345" i="1"/>
  <c r="AH346" i="1" l="1"/>
  <c r="E347" i="1"/>
  <c r="AI346" i="1"/>
  <c r="AJ346" i="1"/>
  <c r="AH347" i="1" l="1"/>
  <c r="E348" i="1"/>
  <c r="AJ347" i="1"/>
  <c r="AI347" i="1"/>
  <c r="AH348" i="1" l="1"/>
  <c r="E349" i="1"/>
  <c r="AJ348" i="1"/>
  <c r="AI348" i="1"/>
  <c r="AH349" i="1" l="1"/>
  <c r="E350" i="1"/>
  <c r="AJ349" i="1"/>
  <c r="AI349" i="1"/>
  <c r="AH350" i="1" l="1"/>
  <c r="E351" i="1"/>
  <c r="AI350" i="1"/>
  <c r="AJ350" i="1"/>
  <c r="AH351" i="1" l="1"/>
  <c r="E352" i="1"/>
  <c r="AI351" i="1"/>
  <c r="AJ351" i="1"/>
  <c r="AH352" i="1" l="1"/>
  <c r="E353" i="1"/>
  <c r="AI352" i="1"/>
  <c r="AJ352" i="1"/>
  <c r="AH353" i="1" l="1"/>
  <c r="E354" i="1"/>
  <c r="AJ353" i="1"/>
  <c r="AI353" i="1"/>
  <c r="AH354" i="1" l="1"/>
  <c r="E355" i="1"/>
  <c r="AJ354" i="1"/>
  <c r="AI354" i="1"/>
  <c r="AH355" i="1" l="1"/>
  <c r="E356" i="1"/>
  <c r="AJ355" i="1"/>
  <c r="AI355" i="1"/>
  <c r="AH356" i="1" l="1"/>
  <c r="E357" i="1"/>
  <c r="AJ356" i="1"/>
  <c r="AI356" i="1"/>
  <c r="AH357" i="1" l="1"/>
  <c r="E358" i="1"/>
  <c r="AJ357" i="1"/>
  <c r="AI357" i="1"/>
  <c r="AH358" i="1" l="1"/>
  <c r="E359" i="1"/>
  <c r="AJ358" i="1"/>
  <c r="AI358" i="1"/>
  <c r="AH359" i="1" l="1"/>
  <c r="E360" i="1"/>
  <c r="AJ359" i="1"/>
  <c r="AI359" i="1"/>
  <c r="AH360" i="1" l="1"/>
  <c r="E361" i="1"/>
  <c r="AJ360" i="1"/>
  <c r="AI360" i="1"/>
  <c r="AH361" i="1" l="1"/>
  <c r="E362" i="1"/>
  <c r="AI361" i="1"/>
  <c r="AJ361" i="1"/>
  <c r="AH362" i="1" l="1"/>
  <c r="E363" i="1"/>
  <c r="AJ362" i="1"/>
  <c r="AI362" i="1"/>
  <c r="AH363" i="1" l="1"/>
  <c r="E364" i="1"/>
  <c r="AJ363" i="1"/>
  <c r="AI363" i="1"/>
  <c r="AH364" i="1" l="1"/>
  <c r="E365" i="1"/>
  <c r="AJ364" i="1"/>
  <c r="AI364" i="1"/>
  <c r="AH365" i="1" l="1"/>
  <c r="E366" i="1"/>
  <c r="AJ365" i="1"/>
  <c r="AI365" i="1"/>
  <c r="AH366" i="1" l="1"/>
  <c r="E367" i="1"/>
  <c r="AJ366" i="1"/>
  <c r="AI366" i="1"/>
  <c r="AH367" i="1" l="1"/>
  <c r="E368" i="1"/>
  <c r="AJ367" i="1"/>
  <c r="AI367" i="1"/>
  <c r="AH368" i="1" l="1"/>
  <c r="E369" i="1"/>
  <c r="AI368" i="1"/>
  <c r="AJ368" i="1"/>
  <c r="AH369" i="1" l="1"/>
  <c r="E370" i="1"/>
  <c r="AJ369" i="1"/>
  <c r="AI369" i="1"/>
  <c r="AH370" i="1" l="1"/>
  <c r="E371" i="1"/>
  <c r="AJ370" i="1"/>
  <c r="AI370" i="1"/>
  <c r="AH371" i="1" l="1"/>
  <c r="E372" i="1"/>
  <c r="AJ371" i="1"/>
  <c r="AI371" i="1"/>
  <c r="AH372" i="1" l="1"/>
  <c r="E373" i="1"/>
  <c r="AI372" i="1"/>
  <c r="AJ372" i="1"/>
  <c r="AH373" i="1" l="1"/>
  <c r="E374" i="1"/>
  <c r="AJ373" i="1"/>
  <c r="AI373" i="1"/>
  <c r="AH374" i="1" l="1"/>
  <c r="E375" i="1"/>
  <c r="AI374" i="1"/>
  <c r="AJ374" i="1"/>
  <c r="AH375" i="1" l="1"/>
  <c r="E376" i="1"/>
  <c r="AJ375" i="1"/>
  <c r="AI375" i="1"/>
  <c r="AH376" i="1" l="1"/>
  <c r="E377" i="1"/>
  <c r="AJ376" i="1"/>
  <c r="AI376" i="1"/>
  <c r="AH377" i="1" l="1"/>
  <c r="E378" i="1"/>
  <c r="AI377" i="1"/>
  <c r="AJ377" i="1"/>
  <c r="AH378" i="1" l="1"/>
  <c r="E379" i="1"/>
  <c r="AJ378" i="1"/>
  <c r="AI378" i="1"/>
  <c r="AH379" i="1" l="1"/>
  <c r="E380" i="1"/>
  <c r="AI379" i="1"/>
  <c r="AJ379" i="1"/>
  <c r="AH380" i="1" l="1"/>
  <c r="E381" i="1"/>
  <c r="AI380" i="1"/>
  <c r="AJ380" i="1"/>
  <c r="AH381" i="1" l="1"/>
  <c r="E382" i="1"/>
  <c r="AJ381" i="1"/>
  <c r="AI381" i="1"/>
  <c r="AH382" i="1" l="1"/>
  <c r="E383" i="1"/>
  <c r="AJ382" i="1"/>
  <c r="AI382" i="1"/>
  <c r="AH383" i="1" l="1"/>
  <c r="E384" i="1"/>
  <c r="AI383" i="1"/>
  <c r="AJ383" i="1"/>
  <c r="AH384" i="1" l="1"/>
  <c r="E385" i="1"/>
  <c r="AJ384" i="1"/>
  <c r="AI384" i="1"/>
  <c r="AH385" i="1" l="1"/>
  <c r="E386" i="1"/>
  <c r="AI385" i="1"/>
  <c r="AJ385" i="1"/>
  <c r="AH386" i="1" l="1"/>
  <c r="E387" i="1"/>
  <c r="AI386" i="1"/>
  <c r="AJ386" i="1"/>
  <c r="AH387" i="1" l="1"/>
  <c r="E388" i="1"/>
  <c r="AI387" i="1"/>
  <c r="AJ387" i="1"/>
  <c r="AH388" i="1" l="1"/>
  <c r="E389" i="1"/>
  <c r="AJ388" i="1"/>
  <c r="AI388" i="1"/>
  <c r="AH389" i="1" l="1"/>
  <c r="E390" i="1"/>
  <c r="AI389" i="1"/>
  <c r="AJ389" i="1"/>
  <c r="AH390" i="1" l="1"/>
  <c r="E391" i="1"/>
  <c r="AI390" i="1"/>
  <c r="AJ390" i="1"/>
  <c r="AH391" i="1" l="1"/>
  <c r="E392" i="1"/>
  <c r="AJ391" i="1"/>
  <c r="AI391" i="1"/>
  <c r="AH392" i="1" l="1"/>
  <c r="E393" i="1"/>
  <c r="AJ392" i="1"/>
  <c r="AI392" i="1"/>
  <c r="AH393" i="1" l="1"/>
  <c r="E394" i="1"/>
  <c r="AI393" i="1"/>
  <c r="AJ393" i="1"/>
  <c r="AH394" i="1" l="1"/>
  <c r="E395" i="1"/>
  <c r="AI394" i="1"/>
  <c r="AJ394" i="1"/>
  <c r="AH395" i="1" l="1"/>
  <c r="E396" i="1"/>
  <c r="AI395" i="1"/>
  <c r="AJ395" i="1"/>
  <c r="AH396" i="1" l="1"/>
  <c r="E397" i="1"/>
  <c r="AI396" i="1"/>
  <c r="AJ396" i="1"/>
  <c r="AH397" i="1" l="1"/>
  <c r="E398" i="1"/>
  <c r="AJ397" i="1"/>
  <c r="AI397" i="1"/>
  <c r="AH398" i="1" l="1"/>
  <c r="E399" i="1"/>
  <c r="AI398" i="1"/>
  <c r="AJ398" i="1"/>
  <c r="AH399" i="1" l="1"/>
  <c r="E400" i="1"/>
  <c r="AJ399" i="1"/>
  <c r="AI399" i="1"/>
  <c r="AH400" i="1" l="1"/>
  <c r="E401" i="1"/>
  <c r="AJ400" i="1"/>
  <c r="AI400" i="1"/>
  <c r="AH401" i="1" l="1"/>
  <c r="E402" i="1"/>
  <c r="AJ401" i="1"/>
  <c r="AI401" i="1"/>
  <c r="AH402" i="1" l="1"/>
  <c r="E403" i="1"/>
  <c r="AI402" i="1"/>
  <c r="AJ402" i="1"/>
  <c r="AH403" i="1" l="1"/>
  <c r="E404" i="1"/>
  <c r="AI403" i="1"/>
  <c r="AJ403" i="1"/>
  <c r="AH404" i="1" l="1"/>
  <c r="E405" i="1"/>
  <c r="AI404" i="1"/>
  <c r="AJ404" i="1"/>
  <c r="AH405" i="1" l="1"/>
  <c r="E406" i="1"/>
  <c r="AI405" i="1"/>
  <c r="AJ405" i="1"/>
  <c r="AH406" i="1" l="1"/>
  <c r="E407" i="1"/>
  <c r="AI406" i="1"/>
  <c r="AJ406" i="1"/>
  <c r="AH407" i="1" l="1"/>
  <c r="E408" i="1"/>
  <c r="AI407" i="1"/>
  <c r="AJ407" i="1"/>
  <c r="AH408" i="1" l="1"/>
  <c r="E409" i="1"/>
  <c r="AI408" i="1"/>
  <c r="AJ408" i="1"/>
  <c r="AH409" i="1" l="1"/>
  <c r="E410" i="1"/>
  <c r="AI409" i="1"/>
  <c r="AJ409" i="1"/>
  <c r="AH410" i="1" l="1"/>
  <c r="E411" i="1"/>
  <c r="AJ410" i="1"/>
  <c r="AI410" i="1"/>
  <c r="AH411" i="1" l="1"/>
  <c r="E412" i="1"/>
  <c r="AI411" i="1"/>
  <c r="AJ411" i="1"/>
  <c r="AH412" i="1" l="1"/>
  <c r="E413" i="1"/>
  <c r="AI412" i="1"/>
  <c r="AJ412" i="1"/>
  <c r="AH413" i="1" l="1"/>
  <c r="E414" i="1"/>
  <c r="AI413" i="1"/>
  <c r="AJ413" i="1"/>
  <c r="AH414" i="1" l="1"/>
  <c r="E415" i="1"/>
  <c r="AJ414" i="1"/>
  <c r="AI414" i="1"/>
  <c r="AH415" i="1" l="1"/>
  <c r="E416" i="1"/>
  <c r="AI415" i="1"/>
  <c r="AJ415" i="1"/>
  <c r="AH416" i="1" l="1"/>
  <c r="E417" i="1"/>
  <c r="AJ416" i="1"/>
  <c r="AI416" i="1"/>
  <c r="AH417" i="1" l="1"/>
  <c r="E418" i="1"/>
  <c r="AI417" i="1"/>
  <c r="AJ417" i="1"/>
  <c r="AH418" i="1" l="1"/>
  <c r="E419" i="1"/>
  <c r="AI418" i="1"/>
  <c r="AJ418" i="1"/>
  <c r="AH419" i="1" l="1"/>
  <c r="E420" i="1"/>
  <c r="AI419" i="1"/>
  <c r="AJ419" i="1"/>
  <c r="AH420" i="1" l="1"/>
  <c r="E421" i="1"/>
  <c r="AJ420" i="1"/>
  <c r="AI420" i="1"/>
  <c r="AH421" i="1" l="1"/>
  <c r="E422" i="1"/>
  <c r="AJ421" i="1"/>
  <c r="AI421" i="1"/>
  <c r="AH422" i="1" l="1"/>
  <c r="E423" i="1"/>
  <c r="AJ422" i="1"/>
  <c r="AI422" i="1"/>
  <c r="AH423" i="1" l="1"/>
  <c r="E424" i="1"/>
  <c r="AJ423" i="1"/>
  <c r="AI423" i="1"/>
  <c r="AH424" i="1" l="1"/>
  <c r="E425" i="1"/>
  <c r="AJ424" i="1"/>
  <c r="AI424" i="1"/>
  <c r="AH425" i="1" l="1"/>
  <c r="E426" i="1"/>
  <c r="AJ425" i="1"/>
  <c r="AI425" i="1"/>
  <c r="AH426" i="1" l="1"/>
  <c r="E427" i="1"/>
  <c r="AJ426" i="1"/>
  <c r="AI426" i="1"/>
  <c r="AH427" i="1" l="1"/>
  <c r="E428" i="1"/>
  <c r="AJ427" i="1"/>
  <c r="AI427" i="1"/>
  <c r="AH428" i="1" l="1"/>
  <c r="E429" i="1"/>
  <c r="AJ428" i="1"/>
  <c r="AI428" i="1"/>
  <c r="AH429" i="1" l="1"/>
  <c r="E430" i="1"/>
  <c r="AI429" i="1"/>
  <c r="AJ429" i="1"/>
  <c r="AH430" i="1" l="1"/>
  <c r="E431" i="1"/>
  <c r="AI430" i="1"/>
  <c r="AJ430" i="1"/>
  <c r="AH431" i="1" l="1"/>
  <c r="E432" i="1"/>
  <c r="AJ431" i="1"/>
  <c r="AI431" i="1"/>
  <c r="AH432" i="1" l="1"/>
  <c r="E433" i="1"/>
  <c r="AJ432" i="1"/>
  <c r="AI432" i="1"/>
  <c r="AH433" i="1" l="1"/>
  <c r="E434" i="1"/>
  <c r="AJ433" i="1"/>
  <c r="AI433" i="1"/>
  <c r="AH434" i="1" l="1"/>
  <c r="AI434" i="1"/>
  <c r="AJ434" i="1"/>
  <c r="H12" i="6" l="1"/>
  <c r="H9" i="6"/>
  <c r="H10" i="6"/>
  <c r="H6" i="6"/>
  <c r="H14" i="6"/>
  <c r="H16" i="6"/>
  <c r="H13" i="6"/>
  <c r="H11" i="6"/>
  <c r="H7" i="6"/>
  <c r="H17" i="6"/>
  <c r="H8" i="6"/>
  <c r="H15" i="6"/>
  <c r="Q162" i="1" l="1"/>
  <c r="P163" i="1" l="1"/>
  <c r="Q186" i="1" l="1"/>
  <c r="P187" i="1" l="1"/>
  <c r="F16" i="1" l="1"/>
  <c r="J15" i="1"/>
  <c r="Q15" i="1"/>
  <c r="O15" i="1"/>
  <c r="I15" i="1"/>
  <c r="J2" i="6"/>
  <c r="H15" i="1"/>
  <c r="AA15" i="1"/>
  <c r="K15" i="1" l="1"/>
  <c r="B16" i="1"/>
  <c r="A16" i="1"/>
  <c r="R16" i="1" l="1"/>
  <c r="G16" i="1" s="1"/>
  <c r="M16" i="1" l="1"/>
  <c r="T17" i="1" s="1"/>
  <c r="L16" i="1"/>
  <c r="D16" i="1"/>
  <c r="S17" i="1" l="1"/>
  <c r="P16" i="1"/>
  <c r="H16" i="1"/>
  <c r="AZ17" i="1" l="1"/>
  <c r="BA17" i="1"/>
  <c r="BB17" i="1" s="1"/>
  <c r="BD17" i="1"/>
  <c r="BJ18" i="1" s="1"/>
  <c r="J16" i="1"/>
  <c r="I16" i="1"/>
  <c r="F17" i="1"/>
  <c r="Q16" i="1"/>
  <c r="O16" i="1"/>
  <c r="AA16" i="1"/>
  <c r="K16" i="1" l="1"/>
  <c r="BK18" i="1"/>
  <c r="BI18" i="1"/>
  <c r="AW18" i="1"/>
  <c r="A17" i="1"/>
  <c r="B17" i="1"/>
  <c r="R17" i="1" l="1"/>
  <c r="G17" i="1" s="1"/>
  <c r="BF18" i="1"/>
  <c r="AX18" i="1"/>
  <c r="AS18" i="1"/>
  <c r="AR18" i="1"/>
  <c r="AU18" i="1" l="1"/>
  <c r="BC18" i="1"/>
  <c r="AY18" i="1" s="1"/>
  <c r="M17" i="1"/>
  <c r="D17" i="1"/>
  <c r="L17" i="1"/>
  <c r="T18" i="1" l="1"/>
  <c r="S18" i="1" s="1"/>
  <c r="H17" i="1"/>
  <c r="P17" i="1"/>
  <c r="AZ18" i="1" l="1"/>
  <c r="BD18" i="1"/>
  <c r="BJ19" i="1" s="1"/>
  <c r="BA18" i="1"/>
  <c r="BB18" i="1" s="1"/>
  <c r="J17" i="1"/>
  <c r="F18" i="1"/>
  <c r="I17" i="1"/>
  <c r="Q17" i="1"/>
  <c r="O17" i="1"/>
  <c r="AA17" i="1"/>
  <c r="K17" i="1" l="1"/>
  <c r="AW19" i="1"/>
  <c r="BK19" i="1"/>
  <c r="A18" i="1"/>
  <c r="R18" i="1" s="1"/>
  <c r="G18" i="1" s="1"/>
  <c r="B18" i="1"/>
  <c r="AS19" i="1" l="1"/>
  <c r="AR19" i="1"/>
  <c r="BI19" i="1" s="1"/>
  <c r="AX19" i="1" l="1"/>
  <c r="BF19" i="1"/>
  <c r="M18" i="1"/>
  <c r="L18" i="1"/>
  <c r="D18" i="1"/>
  <c r="T19" i="1" l="1"/>
  <c r="S19" i="1" s="1"/>
  <c r="F19" i="1"/>
  <c r="BC19" i="1"/>
  <c r="AU19" i="1"/>
  <c r="H18" i="1"/>
  <c r="P18" i="1"/>
  <c r="BG19" i="1" l="1"/>
  <c r="AY19" i="1"/>
  <c r="BD19" i="1"/>
  <c r="BJ20" i="1" s="1"/>
  <c r="BA19" i="1"/>
  <c r="BB19" i="1" s="1"/>
  <c r="AZ19" i="1"/>
  <c r="J18" i="1"/>
  <c r="K18" i="1" s="1"/>
  <c r="I18" i="1"/>
  <c r="Q18" i="1"/>
  <c r="O18" i="1"/>
  <c r="AA18" i="1"/>
  <c r="BI20" i="1" l="1"/>
  <c r="AW20" i="1"/>
  <c r="BK20" i="1"/>
  <c r="B19" i="1"/>
  <c r="A19" i="1"/>
  <c r="BF20" i="1" l="1"/>
  <c r="AX20" i="1"/>
  <c r="AR20" i="1"/>
  <c r="AS20" i="1"/>
  <c r="R19" i="1"/>
  <c r="G19" i="1" s="1"/>
  <c r="BC20" i="1" l="1"/>
  <c r="AY20" i="1" s="1"/>
  <c r="AU20" i="1"/>
  <c r="M19" i="1"/>
  <c r="T20" i="1" s="1"/>
  <c r="L19" i="1"/>
  <c r="D19" i="1"/>
  <c r="S20" i="1" l="1"/>
  <c r="P19" i="1"/>
  <c r="H19" i="1"/>
  <c r="BA20" i="1" l="1"/>
  <c r="BB20" i="1" s="1"/>
  <c r="AZ20" i="1"/>
  <c r="BD20" i="1"/>
  <c r="BJ21" i="1" s="1"/>
  <c r="F20" i="1"/>
  <c r="I19" i="1"/>
  <c r="J19" i="1"/>
  <c r="K19" i="1" s="1"/>
  <c r="Q19" i="1"/>
  <c r="O19" i="1"/>
  <c r="AA19" i="1"/>
  <c r="AW21" i="1" l="1"/>
  <c r="BK21" i="1"/>
  <c r="BI21" i="1"/>
  <c r="A20" i="1"/>
  <c r="B20" i="1"/>
  <c r="AS21" i="1" l="1"/>
  <c r="AR21" i="1"/>
  <c r="BF21" i="1"/>
  <c r="AX21" i="1"/>
  <c r="R20" i="1"/>
  <c r="G20" i="1" s="1"/>
  <c r="BC21" i="1" l="1"/>
  <c r="AY21" i="1" s="1"/>
  <c r="AU21" i="1"/>
  <c r="M20" i="1"/>
  <c r="T21" i="1" s="1"/>
  <c r="L20" i="1"/>
  <c r="D20" i="1"/>
  <c r="S21" i="1" l="1"/>
  <c r="P20" i="1"/>
  <c r="H20" i="1"/>
  <c r="BA21" i="1" l="1"/>
  <c r="BB21" i="1" s="1"/>
  <c r="AZ21" i="1"/>
  <c r="BD21" i="1"/>
  <c r="BJ22" i="1" s="1"/>
  <c r="J20" i="1"/>
  <c r="K20" i="1" s="1"/>
  <c r="I20" i="1"/>
  <c r="F21" i="1"/>
  <c r="O20" i="1"/>
  <c r="Q20" i="1"/>
  <c r="AA20" i="1"/>
  <c r="BK22" i="1" l="1"/>
  <c r="BI22" i="1"/>
  <c r="AW22" i="1"/>
  <c r="A21" i="1"/>
  <c r="B21" i="1"/>
  <c r="AX22" i="1" l="1"/>
  <c r="BF22" i="1"/>
  <c r="AR22" i="1"/>
  <c r="AS22" i="1"/>
  <c r="R21" i="1"/>
  <c r="G21" i="1" s="1"/>
  <c r="BC22" i="1" l="1"/>
  <c r="AY22" i="1" s="1"/>
  <c r="AU22" i="1"/>
  <c r="M21" i="1"/>
  <c r="T22" i="1" s="1"/>
  <c r="L21" i="1"/>
  <c r="D21" i="1"/>
  <c r="S22" i="1" l="1"/>
  <c r="P21" i="1"/>
  <c r="H21" i="1"/>
  <c r="BA22" i="1" l="1"/>
  <c r="BB22" i="1" s="1"/>
  <c r="AZ22" i="1"/>
  <c r="BD22" i="1"/>
  <c r="BJ23" i="1" s="1"/>
  <c r="F22" i="1"/>
  <c r="I21" i="1"/>
  <c r="J21" i="1"/>
  <c r="K21" i="1" s="1"/>
  <c r="Q21" i="1"/>
  <c r="O21" i="1"/>
  <c r="AA21" i="1"/>
  <c r="AW23" i="1" l="1"/>
  <c r="BK23" i="1"/>
  <c r="BI23" i="1"/>
  <c r="B22" i="1"/>
  <c r="A22" i="1"/>
  <c r="R22" i="1" l="1"/>
  <c r="G22" i="1" s="1"/>
  <c r="L22" i="1" s="1"/>
  <c r="AS23" i="1"/>
  <c r="AR23" i="1"/>
  <c r="BF23" i="1"/>
  <c r="AX23" i="1"/>
  <c r="AU23" i="1" l="1"/>
  <c r="BC23" i="1"/>
  <c r="AY23" i="1" s="1"/>
  <c r="M22" i="1"/>
  <c r="T23" i="1" s="1"/>
  <c r="D22" i="1"/>
  <c r="S23" i="1" l="1"/>
  <c r="P22" i="1"/>
  <c r="I22" i="1"/>
  <c r="H22" i="1"/>
  <c r="BA23" i="1" l="1"/>
  <c r="BB23" i="1" s="1"/>
  <c r="AZ23" i="1"/>
  <c r="BD23" i="1"/>
  <c r="BJ24" i="1" s="1"/>
  <c r="J22" i="1"/>
  <c r="K22" i="1" s="1"/>
  <c r="F23" i="1"/>
  <c r="Q22" i="1"/>
  <c r="O22" i="1"/>
  <c r="AA22" i="1"/>
  <c r="BI24" i="1" l="1"/>
  <c r="BK24" i="1"/>
  <c r="AW24" i="1"/>
  <c r="B23" i="1"/>
  <c r="A23" i="1"/>
  <c r="R23" i="1" l="1"/>
  <c r="G23" i="1" s="1"/>
  <c r="BF24" i="1"/>
  <c r="AX24" i="1"/>
  <c r="AS24" i="1"/>
  <c r="AR24" i="1"/>
  <c r="BC24" i="1" l="1"/>
  <c r="AY24" i="1" s="1"/>
  <c r="AU24" i="1"/>
  <c r="D23" i="1"/>
  <c r="L23" i="1"/>
  <c r="P23" i="1" s="1"/>
  <c r="M23" i="1"/>
  <c r="H23" i="1" l="1"/>
  <c r="AA23" i="1"/>
  <c r="T24" i="1"/>
  <c r="F24" i="1"/>
  <c r="J23" i="1"/>
  <c r="K23" i="1" s="1"/>
  <c r="I23" i="1"/>
  <c r="O23" i="1"/>
  <c r="Q23" i="1"/>
  <c r="S24" i="1" l="1"/>
  <c r="B24" i="1"/>
  <c r="A24" i="1"/>
  <c r="R24" i="1" l="1"/>
  <c r="G24" i="1" s="1"/>
  <c r="BA24" i="1"/>
  <c r="BB24" i="1" s="1"/>
  <c r="AZ24" i="1"/>
  <c r="BD24" i="1"/>
  <c r="BJ25" i="1" s="1"/>
  <c r="AW25" i="1" l="1"/>
  <c r="BK25" i="1"/>
  <c r="BI25" i="1"/>
  <c r="M24" i="1"/>
  <c r="T25" i="1" s="1"/>
  <c r="L24" i="1"/>
  <c r="D24" i="1"/>
  <c r="AS25" i="1" l="1"/>
  <c r="AR25" i="1"/>
  <c r="BF25" i="1"/>
  <c r="AX25" i="1"/>
  <c r="S25" i="1"/>
  <c r="H24" i="1"/>
  <c r="P24" i="1"/>
  <c r="BD25" i="1" l="1"/>
  <c r="BJ26" i="1" s="1"/>
  <c r="AU25" i="1"/>
  <c r="BA25" i="1"/>
  <c r="BC25" i="1"/>
  <c r="I24" i="1"/>
  <c r="F25" i="1"/>
  <c r="J24" i="1"/>
  <c r="K24" i="1" s="1"/>
  <c r="O24" i="1"/>
  <c r="Q24" i="1"/>
  <c r="AA24" i="1"/>
  <c r="BK26" i="1" l="1"/>
  <c r="BI26" i="1"/>
  <c r="AW26" i="1"/>
  <c r="BB25" i="1"/>
  <c r="AY25" i="1"/>
  <c r="AZ25" i="1"/>
  <c r="B25" i="1"/>
  <c r="A25" i="1"/>
  <c r="R25" i="1" l="1"/>
  <c r="G25" i="1" s="1"/>
  <c r="BF26" i="1"/>
  <c r="AX26" i="1"/>
  <c r="AU26" i="1" s="1"/>
  <c r="AS26" i="1"/>
  <c r="AR26" i="1"/>
  <c r="BC26" i="1" l="1"/>
  <c r="AY26" i="1" s="1"/>
  <c r="M25" i="1"/>
  <c r="T26" i="1" s="1"/>
  <c r="D25" i="1"/>
  <c r="L25" i="1"/>
  <c r="S26" i="1" l="1"/>
  <c r="P25" i="1"/>
  <c r="H25" i="1"/>
  <c r="BA26" i="1" l="1"/>
  <c r="BB26" i="1" s="1"/>
  <c r="AZ26" i="1"/>
  <c r="BD26" i="1"/>
  <c r="BJ27" i="1" s="1"/>
  <c r="I25" i="1"/>
  <c r="J25" i="1"/>
  <c r="K25" i="1" s="1"/>
  <c r="F26" i="1"/>
  <c r="O25" i="1"/>
  <c r="Q25" i="1"/>
  <c r="AA25" i="1"/>
  <c r="BK27" i="1" l="1"/>
  <c r="BI27" i="1"/>
  <c r="AW27" i="1"/>
  <c r="B26" i="1"/>
  <c r="A26" i="1"/>
  <c r="R26" i="1" s="1"/>
  <c r="BF27" i="1" l="1"/>
  <c r="AX27" i="1"/>
  <c r="AR27" i="1"/>
  <c r="AS27" i="1"/>
  <c r="G26" i="1"/>
  <c r="AU27" i="1" l="1"/>
  <c r="BC27" i="1"/>
  <c r="AY27" i="1" s="1"/>
  <c r="M26" i="1"/>
  <c r="T27" i="1" s="1"/>
  <c r="D26" i="1"/>
  <c r="L26" i="1"/>
  <c r="S27" i="1" l="1"/>
  <c r="P26" i="1"/>
  <c r="AA26" i="1"/>
  <c r="H26" i="1"/>
  <c r="BA27" i="1" l="1"/>
  <c r="BB27" i="1" s="1"/>
  <c r="AZ27" i="1"/>
  <c r="BD27" i="1"/>
  <c r="BJ28" i="1" s="1"/>
  <c r="I26" i="1"/>
  <c r="J26" i="1"/>
  <c r="K26" i="1" s="1"/>
  <c r="F27" i="1"/>
  <c r="Q26" i="1"/>
  <c r="O26" i="1"/>
  <c r="BK28" i="1" l="1"/>
  <c r="BI28" i="1"/>
  <c r="AW28" i="1"/>
  <c r="B27" i="1"/>
  <c r="A27" i="1"/>
  <c r="R27" i="1" l="1"/>
  <c r="AX28" i="1"/>
  <c r="BF28" i="1"/>
  <c r="AS28" i="1"/>
  <c r="AR28" i="1"/>
  <c r="G27" i="1" l="1"/>
  <c r="O27" i="1"/>
  <c r="BC28" i="1"/>
  <c r="AY28" i="1" s="1"/>
  <c r="AU28" i="1"/>
  <c r="M27" i="1" l="1"/>
  <c r="F28" i="1" s="1"/>
  <c r="D27" i="1"/>
  <c r="J27" i="1"/>
  <c r="L27" i="1"/>
  <c r="I27" i="1" s="1"/>
  <c r="P27" i="1"/>
  <c r="K27" i="1" l="1"/>
  <c r="H27" i="1"/>
  <c r="AA27" i="1"/>
  <c r="Q27" i="1"/>
  <c r="T28" i="1"/>
  <c r="S28" i="1" s="1"/>
  <c r="A28" i="1"/>
  <c r="B28" i="1"/>
  <c r="R28" i="1" l="1"/>
  <c r="G28" i="1" s="1"/>
  <c r="L28" i="1" s="1"/>
  <c r="AZ28" i="1"/>
  <c r="BA28" i="1"/>
  <c r="BB28" i="1" s="1"/>
  <c r="BD28" i="1"/>
  <c r="BJ29" i="1" s="1"/>
  <c r="M28" i="1" l="1"/>
  <c r="T29" i="1" s="1"/>
  <c r="S29" i="1" s="1"/>
  <c r="D28" i="1"/>
  <c r="BI29" i="1"/>
  <c r="BK29" i="1"/>
  <c r="AW29" i="1"/>
  <c r="H28" i="1"/>
  <c r="P28" i="1"/>
  <c r="BF29" i="1" l="1"/>
  <c r="AX29" i="1"/>
  <c r="BD29" i="1" s="1"/>
  <c r="BJ30" i="1" s="1"/>
  <c r="AS29" i="1"/>
  <c r="AR29" i="1"/>
  <c r="F29" i="1"/>
  <c r="J28" i="1"/>
  <c r="K28" i="1" s="1"/>
  <c r="I28" i="1"/>
  <c r="O28" i="1"/>
  <c r="Q28" i="1"/>
  <c r="AA28" i="1"/>
  <c r="AW30" i="1" l="1"/>
  <c r="BI30" i="1"/>
  <c r="BK30" i="1"/>
  <c r="AU29" i="1"/>
  <c r="BA29" i="1"/>
  <c r="BC29" i="1"/>
  <c r="B29" i="1"/>
  <c r="A29" i="1"/>
  <c r="R29" i="1" s="1"/>
  <c r="BB29" i="1" l="1"/>
  <c r="AS30" i="1"/>
  <c r="AR30" i="1"/>
  <c r="BF30" i="1"/>
  <c r="AX30" i="1"/>
  <c r="AZ29" i="1"/>
  <c r="AY29" i="1"/>
  <c r="G29" i="1"/>
  <c r="BC30" i="1" l="1"/>
  <c r="AY30" i="1" s="1"/>
  <c r="AU30" i="1"/>
  <c r="M29" i="1"/>
  <c r="T30" i="1" s="1"/>
  <c r="D29" i="1"/>
  <c r="L29" i="1"/>
  <c r="S30" i="1" l="1"/>
  <c r="H29" i="1"/>
  <c r="P29" i="1"/>
  <c r="BA30" i="1" l="1"/>
  <c r="BB30" i="1" s="1"/>
  <c r="AZ30" i="1"/>
  <c r="BD30" i="1"/>
  <c r="BJ31" i="1" s="1"/>
  <c r="J29" i="1"/>
  <c r="K29" i="1" s="1"/>
  <c r="F30" i="1"/>
  <c r="I29" i="1"/>
  <c r="O29" i="1"/>
  <c r="Q29" i="1"/>
  <c r="AA29" i="1"/>
  <c r="BK31" i="1" l="1"/>
  <c r="AW31" i="1"/>
  <c r="BI31" i="1"/>
  <c r="B30" i="1"/>
  <c r="A30" i="1"/>
  <c r="R30" i="1" s="1"/>
  <c r="AR31" i="1" l="1"/>
  <c r="AS31" i="1"/>
  <c r="AX31" i="1"/>
  <c r="BF31" i="1"/>
  <c r="G30" i="1"/>
  <c r="BC31" i="1" l="1"/>
  <c r="AY31" i="1" s="1"/>
  <c r="AU31" i="1"/>
  <c r="M30" i="1"/>
  <c r="T31" i="1" s="1"/>
  <c r="D30" i="1"/>
  <c r="L30" i="1"/>
  <c r="S31" i="1" l="1"/>
  <c r="H30" i="1"/>
  <c r="P30" i="1"/>
  <c r="BA31" i="1" l="1"/>
  <c r="BB31" i="1" s="1"/>
  <c r="AZ31" i="1"/>
  <c r="BD31" i="1"/>
  <c r="BJ32" i="1" s="1"/>
  <c r="F31" i="1"/>
  <c r="J30" i="1"/>
  <c r="K30" i="1" s="1"/>
  <c r="I30" i="1"/>
  <c r="O30" i="1"/>
  <c r="Q30" i="1"/>
  <c r="AA30" i="1"/>
  <c r="BK32" i="1" l="1"/>
  <c r="BI32" i="1"/>
  <c r="AW32" i="1"/>
  <c r="A31" i="1"/>
  <c r="R31" i="1" s="1"/>
  <c r="B31" i="1"/>
  <c r="AX32" i="1" l="1"/>
  <c r="BF32" i="1"/>
  <c r="AR32" i="1"/>
  <c r="AS32" i="1"/>
  <c r="G31" i="1"/>
  <c r="AU32" i="1" l="1"/>
  <c r="BC32" i="1"/>
  <c r="AY32" i="1" s="1"/>
  <c r="M31" i="1"/>
  <c r="T32" i="1" s="1"/>
  <c r="L31" i="1"/>
  <c r="D31" i="1"/>
  <c r="S32" i="1" l="1"/>
  <c r="H31" i="1"/>
  <c r="AA31" i="1"/>
  <c r="P31" i="1"/>
  <c r="BA32" i="1" l="1"/>
  <c r="BB32" i="1" s="1"/>
  <c r="AZ32" i="1"/>
  <c r="BD32" i="1"/>
  <c r="BJ33" i="1" s="1"/>
  <c r="I31" i="1"/>
  <c r="J31" i="1"/>
  <c r="K31" i="1" s="1"/>
  <c r="F32" i="1"/>
  <c r="O31" i="1"/>
  <c r="Q31" i="1"/>
  <c r="BI33" i="1" l="1"/>
  <c r="BK33" i="1"/>
  <c r="AW33" i="1"/>
  <c r="A32" i="1"/>
  <c r="R32" i="1" s="1"/>
  <c r="B32" i="1"/>
  <c r="AX33" i="1" l="1"/>
  <c r="BF33" i="1"/>
  <c r="AR33" i="1"/>
  <c r="AS33" i="1"/>
  <c r="G32" i="1"/>
  <c r="BC33" i="1" l="1"/>
  <c r="AY33" i="1" s="1"/>
  <c r="AU33" i="1"/>
  <c r="M32" i="1"/>
  <c r="T33" i="1" s="1"/>
  <c r="L32" i="1"/>
  <c r="D32" i="1"/>
  <c r="S33" i="1" l="1"/>
  <c r="H32" i="1"/>
  <c r="P32" i="1"/>
  <c r="BA33" i="1" l="1"/>
  <c r="BB33" i="1" s="1"/>
  <c r="AZ33" i="1"/>
  <c r="BD33" i="1"/>
  <c r="BJ34" i="1" s="1"/>
  <c r="J32" i="1"/>
  <c r="K32" i="1" s="1"/>
  <c r="I32" i="1"/>
  <c r="F33" i="1"/>
  <c r="O32" i="1"/>
  <c r="Q32" i="1"/>
  <c r="AA32" i="1"/>
  <c r="BK34" i="1" l="1"/>
  <c r="BI34" i="1"/>
  <c r="AW34" i="1"/>
  <c r="B33" i="1"/>
  <c r="A33" i="1"/>
  <c r="R33" i="1" s="1"/>
  <c r="AX34" i="1" l="1"/>
  <c r="BF34" i="1"/>
  <c r="AR34" i="1"/>
  <c r="AS34" i="1"/>
  <c r="G33" i="1"/>
  <c r="BC34" i="1" l="1"/>
  <c r="AY34" i="1" s="1"/>
  <c r="AU34" i="1"/>
  <c r="M33" i="1"/>
  <c r="T34" i="1" s="1"/>
  <c r="L33" i="1"/>
  <c r="D33" i="1"/>
  <c r="S34" i="1" l="1"/>
  <c r="H33" i="1"/>
  <c r="P33" i="1"/>
  <c r="BA34" i="1" l="1"/>
  <c r="BB34" i="1" s="1"/>
  <c r="AZ34" i="1"/>
  <c r="BD34" i="1"/>
  <c r="BJ35" i="1" s="1"/>
  <c r="J33" i="1"/>
  <c r="K33" i="1" s="1"/>
  <c r="I33" i="1"/>
  <c r="F34" i="1"/>
  <c r="O33" i="1"/>
  <c r="Q33" i="1"/>
  <c r="AA33" i="1"/>
  <c r="BK35" i="1" l="1"/>
  <c r="BI35" i="1"/>
  <c r="AW35" i="1"/>
  <c r="B34" i="1"/>
  <c r="A34" i="1"/>
  <c r="R34" i="1" s="1"/>
  <c r="AX35" i="1" l="1"/>
  <c r="BF35" i="1"/>
  <c r="AR35" i="1"/>
  <c r="AS35" i="1"/>
  <c r="G34" i="1"/>
  <c r="BC35" i="1" l="1"/>
  <c r="AY35" i="1" s="1"/>
  <c r="AU35" i="1"/>
  <c r="M34" i="1"/>
  <c r="T35" i="1" s="1"/>
  <c r="D34" i="1"/>
  <c r="L34" i="1"/>
  <c r="S35" i="1" l="1"/>
  <c r="AA34" i="1"/>
  <c r="P34" i="1"/>
  <c r="H34" i="1"/>
  <c r="BA35" i="1" l="1"/>
  <c r="BB35" i="1" s="1"/>
  <c r="AZ35" i="1"/>
  <c r="BD35" i="1"/>
  <c r="BJ36" i="1" s="1"/>
  <c r="J34" i="1"/>
  <c r="K34" i="1" s="1"/>
  <c r="I34" i="1"/>
  <c r="F35" i="1"/>
  <c r="Q34" i="1"/>
  <c r="O34" i="1"/>
  <c r="BK36" i="1" l="1"/>
  <c r="BI36" i="1"/>
  <c r="AW36" i="1"/>
  <c r="B35" i="1"/>
  <c r="A35" i="1"/>
  <c r="R35" i="1" s="1"/>
  <c r="AX36" i="1" l="1"/>
  <c r="BF36" i="1"/>
  <c r="AR36" i="1"/>
  <c r="AS36" i="1"/>
  <c r="G35" i="1"/>
  <c r="AU36" i="1" l="1"/>
  <c r="BC36" i="1"/>
  <c r="AY36" i="1" s="1"/>
  <c r="M35" i="1"/>
  <c r="T36" i="1" s="1"/>
  <c r="D35" i="1"/>
  <c r="L35" i="1"/>
  <c r="H35" i="1" s="1"/>
  <c r="S36" i="1" l="1"/>
  <c r="P35" i="1"/>
  <c r="BA36" i="1" l="1"/>
  <c r="BB36" i="1" s="1"/>
  <c r="AZ36" i="1"/>
  <c r="BD36" i="1"/>
  <c r="BJ37" i="1" s="1"/>
  <c r="F36" i="1"/>
  <c r="J35" i="1"/>
  <c r="K35" i="1" s="1"/>
  <c r="I35" i="1"/>
  <c r="Q35" i="1"/>
  <c r="O35" i="1"/>
  <c r="AA35" i="1"/>
  <c r="BK37" i="1" l="1"/>
  <c r="BI37" i="1"/>
  <c r="AW37" i="1"/>
  <c r="B36" i="1"/>
  <c r="A36" i="1"/>
  <c r="R36" i="1" s="1"/>
  <c r="G36" i="1" l="1"/>
  <c r="AX37" i="1"/>
  <c r="BF37" i="1"/>
  <c r="AR37" i="1"/>
  <c r="AS37" i="1"/>
  <c r="L36" i="1" l="1"/>
  <c r="D36" i="1"/>
  <c r="M36" i="1"/>
  <c r="BC37" i="1"/>
  <c r="AY37" i="1" s="1"/>
  <c r="AU37" i="1"/>
  <c r="H36" i="1" l="1"/>
  <c r="P36" i="1"/>
  <c r="AA36" i="1"/>
  <c r="F37" i="1"/>
  <c r="T37" i="1"/>
  <c r="S37" i="1" s="1"/>
  <c r="J36" i="1"/>
  <c r="K36" i="1" s="1"/>
  <c r="I36" i="1"/>
  <c r="Q36" i="1"/>
  <c r="O36" i="1"/>
  <c r="B37" i="1" l="1"/>
  <c r="A37" i="1"/>
  <c r="R37" i="1"/>
  <c r="G37" i="1" s="1"/>
  <c r="BA37" i="1"/>
  <c r="BB37" i="1" s="1"/>
  <c r="AZ37" i="1"/>
  <c r="BD37" i="1"/>
  <c r="BJ38" i="1" s="1"/>
  <c r="BK38" i="1" l="1"/>
  <c r="BI38" i="1"/>
  <c r="AW38" i="1"/>
  <c r="M37" i="1"/>
  <c r="D37" i="1"/>
  <c r="L37" i="1"/>
  <c r="H37" i="1" s="1"/>
  <c r="AX38" i="1" l="1"/>
  <c r="BF38" i="1"/>
  <c r="AR38" i="1"/>
  <c r="AS38" i="1"/>
  <c r="F38" i="1"/>
  <c r="T38" i="1"/>
  <c r="P37" i="1"/>
  <c r="BC38" i="1" l="1"/>
  <c r="AY38" i="1" s="1"/>
  <c r="AU38" i="1"/>
  <c r="S38" i="1"/>
  <c r="B38" i="1"/>
  <c r="A38" i="1"/>
  <c r="J37" i="1"/>
  <c r="K37" i="1" s="1"/>
  <c r="I37" i="1"/>
  <c r="Q37" i="1"/>
  <c r="O37" i="1"/>
  <c r="AA37" i="1"/>
  <c r="R38" i="1" l="1"/>
  <c r="G38" i="1" s="1"/>
  <c r="BD38" i="1"/>
  <c r="BJ39" i="1" s="1"/>
  <c r="AZ38" i="1"/>
  <c r="BA38" i="1"/>
  <c r="BB38" i="1" s="1"/>
  <c r="AW39" i="1" l="1"/>
  <c r="BI39" i="1"/>
  <c r="BK39" i="1"/>
  <c r="M38" i="1"/>
  <c r="Q38" i="1" s="1"/>
  <c r="D38" i="1"/>
  <c r="L38" i="1"/>
  <c r="J38" i="1"/>
  <c r="O38" i="1"/>
  <c r="AA38" i="1" l="1"/>
  <c r="P38" i="1"/>
  <c r="AR39" i="1"/>
  <c r="AS39" i="1"/>
  <c r="BF39" i="1"/>
  <c r="AX39" i="1"/>
  <c r="F39" i="1"/>
  <c r="T39" i="1"/>
  <c r="K38" i="1"/>
  <c r="H38" i="1"/>
  <c r="I38" i="1"/>
  <c r="BC39" i="1" l="1"/>
  <c r="AY39" i="1" s="1"/>
  <c r="AU39" i="1"/>
  <c r="S39" i="1"/>
  <c r="B39" i="1"/>
  <c r="A39" i="1"/>
  <c r="R39" i="1" s="1"/>
  <c r="G39" i="1" s="1"/>
  <c r="BD39" i="1" l="1"/>
  <c r="BJ40" i="1" s="1"/>
  <c r="AZ39" i="1"/>
  <c r="BA39" i="1"/>
  <c r="BB39" i="1" s="1"/>
  <c r="M39" i="1"/>
  <c r="T40" i="1" s="1"/>
  <c r="S40" i="1" s="1"/>
  <c r="D39" i="1"/>
  <c r="L39" i="1"/>
  <c r="AW40" i="1" l="1"/>
  <c r="BI40" i="1"/>
  <c r="BK40" i="1"/>
  <c r="P39" i="1"/>
  <c r="H39" i="1"/>
  <c r="AR40" i="1" l="1"/>
  <c r="AS40" i="1"/>
  <c r="AX40" i="1"/>
  <c r="BD40" i="1" s="1"/>
  <c r="BJ41" i="1" s="1"/>
  <c r="BF40" i="1"/>
  <c r="J39" i="1"/>
  <c r="K39" i="1" s="1"/>
  <c r="I39" i="1"/>
  <c r="F40" i="1"/>
  <c r="Q39" i="1"/>
  <c r="O39" i="1"/>
  <c r="AA39" i="1"/>
  <c r="BK41" i="1" l="1"/>
  <c r="AW41" i="1"/>
  <c r="BI41" i="1"/>
  <c r="BA40" i="1"/>
  <c r="BC40" i="1"/>
  <c r="AU40" i="1"/>
  <c r="A40" i="1"/>
  <c r="B40" i="1"/>
  <c r="R40" i="1" l="1"/>
  <c r="G40" i="1" s="1"/>
  <c r="AS41" i="1"/>
  <c r="AR41" i="1"/>
  <c r="AX41" i="1"/>
  <c r="BF41" i="1"/>
  <c r="BB40" i="1"/>
  <c r="AZ40" i="1"/>
  <c r="AY40" i="1"/>
  <c r="BC41" i="1" l="1"/>
  <c r="AY41" i="1" s="1"/>
  <c r="AU41" i="1"/>
  <c r="M40" i="1"/>
  <c r="T41" i="1" s="1"/>
  <c r="L40" i="1"/>
  <c r="D40" i="1"/>
  <c r="S41" i="1" l="1"/>
  <c r="H40" i="1"/>
  <c r="P40" i="1"/>
  <c r="AA40" i="1"/>
  <c r="BA41" i="1" l="1"/>
  <c r="BB41" i="1" s="1"/>
  <c r="AZ41" i="1"/>
  <c r="BD41" i="1"/>
  <c r="BJ42" i="1" s="1"/>
  <c r="I40" i="1"/>
  <c r="J40" i="1"/>
  <c r="K40" i="1" s="1"/>
  <c r="F41" i="1"/>
  <c r="Q40" i="1"/>
  <c r="O40" i="1"/>
  <c r="BI42" i="1" l="1"/>
  <c r="AW42" i="1"/>
  <c r="BK42" i="1"/>
  <c r="B41" i="1"/>
  <c r="A41" i="1"/>
  <c r="R41" i="1" s="1"/>
  <c r="BF42" i="1" l="1"/>
  <c r="AX42" i="1"/>
  <c r="AS42" i="1"/>
  <c r="AR42" i="1"/>
  <c r="G41" i="1"/>
  <c r="AU42" i="1" l="1"/>
  <c r="BC42" i="1"/>
  <c r="AY42" i="1" s="1"/>
  <c r="M41" i="1"/>
  <c r="T42" i="1" s="1"/>
  <c r="L41" i="1"/>
  <c r="D41" i="1"/>
  <c r="S42" i="1" l="1"/>
  <c r="P41" i="1"/>
  <c r="AA41" i="1"/>
  <c r="H41" i="1"/>
  <c r="BA42" i="1" l="1"/>
  <c r="BB42" i="1" s="1"/>
  <c r="AZ42" i="1"/>
  <c r="BD42" i="1"/>
  <c r="BJ43" i="1" s="1"/>
  <c r="J41" i="1"/>
  <c r="K41" i="1" s="1"/>
  <c r="I41" i="1"/>
  <c r="F42" i="1"/>
  <c r="Q41" i="1"/>
  <c r="O41" i="1"/>
  <c r="BK43" i="1" l="1"/>
  <c r="AW43" i="1"/>
  <c r="BI43" i="1"/>
  <c r="B42" i="1"/>
  <c r="A42" i="1"/>
  <c r="R42" i="1" s="1"/>
  <c r="AR43" i="1" l="1"/>
  <c r="AS43" i="1"/>
  <c r="BF43" i="1"/>
  <c r="AX43" i="1"/>
  <c r="G42" i="1"/>
  <c r="AU43" i="1" l="1"/>
  <c r="BC43" i="1"/>
  <c r="AY43" i="1" s="1"/>
  <c r="M42" i="1"/>
  <c r="T43" i="1" s="1"/>
  <c r="L42" i="1"/>
  <c r="D42" i="1"/>
  <c r="S43" i="1" l="1"/>
  <c r="P42" i="1"/>
  <c r="AA42" i="1"/>
  <c r="H42" i="1"/>
  <c r="BA43" i="1" l="1"/>
  <c r="BB43" i="1" s="1"/>
  <c r="AZ43" i="1"/>
  <c r="BD43" i="1"/>
  <c r="BJ44" i="1" s="1"/>
  <c r="F43" i="1"/>
  <c r="J42" i="1"/>
  <c r="K42" i="1" s="1"/>
  <c r="I42" i="1"/>
  <c r="Q42" i="1"/>
  <c r="O42" i="1"/>
  <c r="BI44" i="1" l="1"/>
  <c r="AW44" i="1"/>
  <c r="BK44" i="1"/>
  <c r="B43" i="1"/>
  <c r="A43" i="1"/>
  <c r="R43" i="1" l="1"/>
  <c r="AX44" i="1"/>
  <c r="BF44" i="1"/>
  <c r="AR44" i="1"/>
  <c r="AS44" i="1"/>
  <c r="G43" i="1" l="1"/>
  <c r="M43" i="1" s="1"/>
  <c r="BC44" i="1"/>
  <c r="AY44" i="1" s="1"/>
  <c r="AU44" i="1"/>
  <c r="D43" i="1" l="1"/>
  <c r="L43" i="1"/>
  <c r="I43" i="1" s="1"/>
  <c r="F44" i="1"/>
  <c r="T44" i="1"/>
  <c r="S44" i="1" s="1"/>
  <c r="J43" i="1"/>
  <c r="Q43" i="1"/>
  <c r="O43" i="1"/>
  <c r="K43" i="1" l="1"/>
  <c r="H43" i="1"/>
  <c r="AA43" i="1"/>
  <c r="P43" i="1"/>
  <c r="A44" i="1"/>
  <c r="B44" i="1"/>
  <c r="BA44" i="1"/>
  <c r="BB44" i="1" s="1"/>
  <c r="AZ44" i="1"/>
  <c r="BD44" i="1"/>
  <c r="BJ45" i="1" s="1"/>
  <c r="R44" i="1" l="1"/>
  <c r="BI45" i="1"/>
  <c r="BK45" i="1"/>
  <c r="AW45" i="1"/>
  <c r="G44" i="1" l="1"/>
  <c r="M44" i="1" s="1"/>
  <c r="T45" i="1" s="1"/>
  <c r="AX45" i="1"/>
  <c r="BF45" i="1"/>
  <c r="AR45" i="1"/>
  <c r="AS45" i="1"/>
  <c r="L44" i="1" l="1"/>
  <c r="D44" i="1"/>
  <c r="AU45" i="1"/>
  <c r="BC45" i="1"/>
  <c r="AY45" i="1" s="1"/>
  <c r="S45" i="1"/>
  <c r="J44" i="1"/>
  <c r="O44" i="1"/>
  <c r="Q44" i="1"/>
  <c r="F45" i="1"/>
  <c r="K44" i="1" l="1"/>
  <c r="I44" i="1"/>
  <c r="AA44" i="1"/>
  <c r="P44" i="1"/>
  <c r="H44" i="1"/>
  <c r="BD45" i="1"/>
  <c r="BJ46" i="1" s="1"/>
  <c r="AZ45" i="1"/>
  <c r="BA45" i="1"/>
  <c r="BB45" i="1" s="1"/>
  <c r="B45" i="1"/>
  <c r="A45" i="1"/>
  <c r="R45" i="1" s="1"/>
  <c r="G45" i="1" s="1"/>
  <c r="BK46" i="1" l="1"/>
  <c r="BI46" i="1"/>
  <c r="AW46" i="1"/>
  <c r="L45" i="1"/>
  <c r="D45" i="1"/>
  <c r="M45" i="1"/>
  <c r="AR46" i="1" l="1"/>
  <c r="AS46" i="1"/>
  <c r="BF46" i="1"/>
  <c r="AX46" i="1"/>
  <c r="P45" i="1"/>
  <c r="AA45" i="1"/>
  <c r="H45" i="1"/>
  <c r="F46" i="1"/>
  <c r="T46" i="1"/>
  <c r="BC46" i="1" l="1"/>
  <c r="AY46" i="1" s="1"/>
  <c r="AU46" i="1"/>
  <c r="S46" i="1"/>
  <c r="J45" i="1"/>
  <c r="K45" i="1" s="1"/>
  <c r="I45" i="1"/>
  <c r="O45" i="1"/>
  <c r="Q45" i="1"/>
  <c r="B46" i="1"/>
  <c r="A46" i="1"/>
  <c r="R46" i="1" l="1"/>
  <c r="BA46" i="1"/>
  <c r="BB46" i="1" s="1"/>
  <c r="AZ46" i="1"/>
  <c r="BD46" i="1"/>
  <c r="BJ47" i="1" s="1"/>
  <c r="G46" i="1" l="1"/>
  <c r="M46" i="1" s="1"/>
  <c r="T47" i="1" s="1"/>
  <c r="S47" i="1" s="1"/>
  <c r="AW47" i="1"/>
  <c r="BI47" i="1"/>
  <c r="BK47" i="1"/>
  <c r="L46" i="1" l="1"/>
  <c r="I46" i="1" s="1"/>
  <c r="D46" i="1"/>
  <c r="AS47" i="1"/>
  <c r="AR47" i="1"/>
  <c r="BF47" i="1"/>
  <c r="AX47" i="1"/>
  <c r="BD47" i="1" s="1"/>
  <c r="BJ48" i="1" s="1"/>
  <c r="F47" i="1"/>
  <c r="J46" i="1"/>
  <c r="O46" i="1"/>
  <c r="Q46" i="1"/>
  <c r="P46" i="1" l="1"/>
  <c r="H46" i="1"/>
  <c r="AA46" i="1"/>
  <c r="K46" i="1"/>
  <c r="AW48" i="1"/>
  <c r="BI48" i="1"/>
  <c r="BK48" i="1"/>
  <c r="BA47" i="1"/>
  <c r="AU47" i="1"/>
  <c r="BC47" i="1"/>
  <c r="A47" i="1"/>
  <c r="B47" i="1"/>
  <c r="R47" i="1" l="1"/>
  <c r="G47" i="1" s="1"/>
  <c r="AS48" i="1"/>
  <c r="AR48" i="1"/>
  <c r="BF48" i="1"/>
  <c r="AX48" i="1"/>
  <c r="BB47" i="1"/>
  <c r="AZ47" i="1"/>
  <c r="AY47" i="1"/>
  <c r="BC48" i="1" l="1"/>
  <c r="AY48" i="1" s="1"/>
  <c r="AU48" i="1"/>
  <c r="M47" i="1"/>
  <c r="T48" i="1" s="1"/>
  <c r="L47" i="1"/>
  <c r="D47" i="1"/>
  <c r="S48" i="1" l="1"/>
  <c r="P47" i="1"/>
  <c r="AA47" i="1"/>
  <c r="H47" i="1"/>
  <c r="AZ48" i="1" l="1"/>
  <c r="BA48" i="1"/>
  <c r="BB48" i="1" s="1"/>
  <c r="BD48" i="1"/>
  <c r="BJ49" i="1" s="1"/>
  <c r="I47" i="1"/>
  <c r="J47" i="1"/>
  <c r="K47" i="1" s="1"/>
  <c r="F48" i="1"/>
  <c r="O47" i="1"/>
  <c r="Q47" i="1"/>
  <c r="BK49" i="1" l="1"/>
  <c r="BI49" i="1"/>
  <c r="AW49" i="1"/>
  <c r="A48" i="1"/>
  <c r="B48" i="1"/>
  <c r="R48" i="1" l="1"/>
  <c r="G48" i="1" s="1"/>
  <c r="BF49" i="1"/>
  <c r="AX49" i="1"/>
  <c r="AS49" i="1"/>
  <c r="AR49" i="1"/>
  <c r="AU49" i="1" l="1"/>
  <c r="BC49" i="1"/>
  <c r="AY49" i="1" s="1"/>
  <c r="M48" i="1"/>
  <c r="T49" i="1" s="1"/>
  <c r="D48" i="1"/>
  <c r="L48" i="1"/>
  <c r="S49" i="1" l="1"/>
  <c r="H48" i="1"/>
  <c r="P48" i="1"/>
  <c r="BA49" i="1" l="1"/>
  <c r="BB49" i="1" s="1"/>
  <c r="AZ49" i="1"/>
  <c r="BD49" i="1"/>
  <c r="BJ50" i="1" s="1"/>
  <c r="F49" i="1"/>
  <c r="I48" i="1"/>
  <c r="J48" i="1"/>
  <c r="K48" i="1" s="1"/>
  <c r="O48" i="1"/>
  <c r="Q48" i="1"/>
  <c r="AA48" i="1"/>
  <c r="BI50" i="1" l="1"/>
  <c r="AW50" i="1"/>
  <c r="BK50" i="1"/>
  <c r="A49" i="1"/>
  <c r="B49" i="1"/>
  <c r="R49" i="1" l="1"/>
  <c r="G49" i="1" s="1"/>
  <c r="AX50" i="1"/>
  <c r="BF50" i="1"/>
  <c r="AR50" i="1"/>
  <c r="AS50" i="1"/>
  <c r="BC50" i="1" l="1"/>
  <c r="AY50" i="1" s="1"/>
  <c r="AU50" i="1"/>
  <c r="M49" i="1"/>
  <c r="T50" i="1" s="1"/>
  <c r="L49" i="1"/>
  <c r="D49" i="1"/>
  <c r="S50" i="1" l="1"/>
  <c r="AA49" i="1"/>
  <c r="P49" i="1"/>
  <c r="H49" i="1"/>
  <c r="AZ50" i="1" l="1"/>
  <c r="BA50" i="1"/>
  <c r="BB50" i="1" s="1"/>
  <c r="BD50" i="1"/>
  <c r="BJ51" i="1" s="1"/>
  <c r="J49" i="1"/>
  <c r="K49" i="1" s="1"/>
  <c r="I49" i="1"/>
  <c r="F50" i="1"/>
  <c r="O49" i="1"/>
  <c r="Q49" i="1"/>
  <c r="BI51" i="1" l="1"/>
  <c r="BK51" i="1"/>
  <c r="AW51" i="1"/>
  <c r="A50" i="1"/>
  <c r="B50" i="1"/>
  <c r="R50" i="1" l="1"/>
  <c r="G50" i="1" s="1"/>
  <c r="AX51" i="1"/>
  <c r="AR51" i="1"/>
  <c r="AS51" i="1"/>
  <c r="AU51" i="1" l="1"/>
  <c r="BC51" i="1"/>
  <c r="AY51" i="1" s="1"/>
  <c r="M50" i="1"/>
  <c r="L50" i="1"/>
  <c r="H50" i="1" s="1"/>
  <c r="D50" i="1"/>
  <c r="T51" i="1" l="1"/>
  <c r="P50" i="1"/>
  <c r="K6" i="6"/>
  <c r="S51" i="1" l="1"/>
  <c r="I50" i="1"/>
  <c r="J50" i="1"/>
  <c r="K50" i="1" s="1"/>
  <c r="O50" i="1"/>
  <c r="Q50" i="1"/>
  <c r="F51" i="1"/>
  <c r="AA50" i="1"/>
  <c r="BA51" i="1" l="1"/>
  <c r="BB51" i="1" s="1"/>
  <c r="AZ51" i="1"/>
  <c r="BD51" i="1"/>
  <c r="BJ52" i="1" s="1"/>
  <c r="A51" i="1"/>
  <c r="R51" i="1" s="1"/>
  <c r="B51" i="1"/>
  <c r="G51" i="1" l="1"/>
  <c r="BK52" i="1"/>
  <c r="AW52" i="1"/>
  <c r="BI52" i="1"/>
  <c r="L51" i="1" l="1"/>
  <c r="M51" i="1"/>
  <c r="J51" i="1"/>
  <c r="D51" i="1"/>
  <c r="AS52" i="1"/>
  <c r="AR52" i="1"/>
  <c r="BF52" i="1"/>
  <c r="AX52" i="1"/>
  <c r="K51" i="1" l="1"/>
  <c r="H51" i="1"/>
  <c r="I51" i="1"/>
  <c r="P51" i="1"/>
  <c r="AA51" i="1"/>
  <c r="T52" i="1"/>
  <c r="S52" i="1" s="1"/>
  <c r="Q51" i="1"/>
  <c r="F52" i="1"/>
  <c r="BC52" i="1"/>
  <c r="AY52" i="1" s="1"/>
  <c r="AU52" i="1"/>
  <c r="A52" i="1" l="1"/>
  <c r="B52" i="1"/>
  <c r="R52" i="1"/>
  <c r="G52" i="1" s="1"/>
  <c r="BD52" i="1"/>
  <c r="BJ53" i="1" s="1"/>
  <c r="AZ52" i="1"/>
  <c r="BA52" i="1"/>
  <c r="BB52" i="1" s="1"/>
  <c r="BK53" i="1" l="1"/>
  <c r="BI53" i="1"/>
  <c r="AW53" i="1"/>
  <c r="M52" i="1"/>
  <c r="T53" i="1" s="1"/>
  <c r="L52" i="1"/>
  <c r="D52" i="1"/>
  <c r="AX53" i="1" l="1"/>
  <c r="BF53" i="1"/>
  <c r="AS53" i="1"/>
  <c r="AR53" i="1"/>
  <c r="S53" i="1"/>
  <c r="P52" i="1"/>
  <c r="H52" i="1"/>
  <c r="BD53" i="1" l="1"/>
  <c r="BA53" i="1"/>
  <c r="BC53" i="1"/>
  <c r="AU53" i="1"/>
  <c r="J52" i="1"/>
  <c r="F53" i="1"/>
  <c r="I52" i="1"/>
  <c r="O52" i="1"/>
  <c r="Q52" i="1"/>
  <c r="AA52" i="1"/>
  <c r="K52" i="1" l="1"/>
  <c r="BK54" i="1"/>
  <c r="BJ54" i="1"/>
  <c r="AW54" i="1"/>
  <c r="BI54" i="1"/>
  <c r="BB53" i="1"/>
  <c r="AZ53" i="1"/>
  <c r="AY53" i="1"/>
  <c r="A53" i="1"/>
  <c r="B53" i="1"/>
  <c r="R53" i="1" l="1"/>
  <c r="AS54" i="1"/>
  <c r="AR54" i="1"/>
  <c r="BF54" i="1"/>
  <c r="AX54" i="1"/>
  <c r="G53" i="1" l="1"/>
  <c r="M53" i="1" s="1"/>
  <c r="T54" i="1" s="1"/>
  <c r="BC54" i="1"/>
  <c r="AY54" i="1" s="1"/>
  <c r="AU54" i="1"/>
  <c r="P53" i="1"/>
  <c r="D53" i="1" l="1"/>
  <c r="L53" i="1"/>
  <c r="S54" i="1"/>
  <c r="J53" i="1"/>
  <c r="Q53" i="1"/>
  <c r="O53" i="1"/>
  <c r="F54" i="1"/>
  <c r="H53" i="1" l="1"/>
  <c r="I53" i="1"/>
  <c r="AA53" i="1"/>
  <c r="K53" i="1"/>
  <c r="AZ54" i="1"/>
  <c r="BA54" i="1"/>
  <c r="BB54" i="1" s="1"/>
  <c r="BD54" i="1"/>
  <c r="BJ55" i="1" s="1"/>
  <c r="A54" i="1"/>
  <c r="B54" i="1"/>
  <c r="R54" i="1" l="1"/>
  <c r="G54" i="1" s="1"/>
  <c r="AW55" i="1"/>
  <c r="BI55" i="1"/>
  <c r="BK55" i="1"/>
  <c r="AR55" i="1" l="1"/>
  <c r="AS55" i="1"/>
  <c r="BF55" i="1"/>
  <c r="AX55" i="1"/>
  <c r="M54" i="1"/>
  <c r="T55" i="1" s="1"/>
  <c r="L54" i="1"/>
  <c r="D54" i="1"/>
  <c r="AU55" i="1" l="1"/>
  <c r="BC55" i="1"/>
  <c r="AY55" i="1" s="1"/>
  <c r="S55" i="1"/>
  <c r="H54" i="1"/>
  <c r="AA54" i="1"/>
  <c r="P54" i="1"/>
  <c r="BD55" i="1" l="1"/>
  <c r="BJ56" i="1" s="1"/>
  <c r="AZ55" i="1"/>
  <c r="BA55" i="1"/>
  <c r="BB55" i="1" s="1"/>
  <c r="I54" i="1"/>
  <c r="J54" i="1"/>
  <c r="K54" i="1" s="1"/>
  <c r="F55" i="1"/>
  <c r="Q54" i="1"/>
  <c r="O54" i="1"/>
  <c r="BK56" i="1" l="1"/>
  <c r="BI56" i="1"/>
  <c r="AW56" i="1"/>
  <c r="B55" i="1"/>
  <c r="A55" i="1"/>
  <c r="R55" i="1" s="1"/>
  <c r="AX56" i="1" l="1"/>
  <c r="BF56" i="1"/>
  <c r="AS56" i="1"/>
  <c r="AR56" i="1"/>
  <c r="G55" i="1"/>
  <c r="BC56" i="1" l="1"/>
  <c r="AY56" i="1" s="1"/>
  <c r="AU56" i="1"/>
  <c r="M55" i="1"/>
  <c r="T56" i="1" s="1"/>
  <c r="L55" i="1"/>
  <c r="D55" i="1"/>
  <c r="S56" i="1" l="1"/>
  <c r="P55" i="1"/>
  <c r="H55" i="1"/>
  <c r="BA56" i="1" l="1"/>
  <c r="BB56" i="1" s="1"/>
  <c r="AZ56" i="1"/>
  <c r="BD56" i="1"/>
  <c r="BJ57" i="1" s="1"/>
  <c r="J55" i="1"/>
  <c r="K55" i="1" s="1"/>
  <c r="I55" i="1"/>
  <c r="F56" i="1"/>
  <c r="Q55" i="1"/>
  <c r="O55" i="1"/>
  <c r="AA55" i="1"/>
  <c r="BK57" i="1" l="1"/>
  <c r="BI57" i="1"/>
  <c r="AW57" i="1"/>
  <c r="A56" i="1"/>
  <c r="R56" i="1" s="1"/>
  <c r="B56" i="1"/>
  <c r="G56" i="1" l="1"/>
  <c r="AX57" i="1"/>
  <c r="BF57" i="1"/>
  <c r="AS57" i="1"/>
  <c r="AR57" i="1"/>
  <c r="D56" i="1" l="1"/>
  <c r="L56" i="1"/>
  <c r="M56" i="1"/>
  <c r="BC57" i="1"/>
  <c r="AY57" i="1" s="1"/>
  <c r="AU57" i="1"/>
  <c r="T57" i="1" l="1"/>
  <c r="S57" i="1" s="1"/>
  <c r="F57" i="1"/>
  <c r="H56" i="1"/>
  <c r="P56" i="1"/>
  <c r="I56" i="1"/>
  <c r="J56" i="1"/>
  <c r="K56" i="1" s="1"/>
  <c r="Q56" i="1"/>
  <c r="O56" i="1"/>
  <c r="R57" i="1" s="1"/>
  <c r="AA56" i="1"/>
  <c r="B57" i="1" l="1"/>
  <c r="A57" i="1"/>
  <c r="BA57" i="1"/>
  <c r="BB57" i="1" s="1"/>
  <c r="AZ57" i="1"/>
  <c r="BD57" i="1"/>
  <c r="BJ58" i="1" s="1"/>
  <c r="G57" i="1"/>
  <c r="AW58" i="1" l="1"/>
  <c r="BK58" i="1"/>
  <c r="BI58" i="1"/>
  <c r="M57" i="1"/>
  <c r="T58" i="1" s="1"/>
  <c r="D57" i="1"/>
  <c r="L57" i="1"/>
  <c r="AR58" i="1" l="1"/>
  <c r="AS58" i="1"/>
  <c r="BF58" i="1"/>
  <c r="AX58" i="1"/>
  <c r="S58" i="1"/>
  <c r="H57" i="1"/>
  <c r="P57" i="1"/>
  <c r="BD58" i="1" l="1"/>
  <c r="BA58" i="1"/>
  <c r="AU58" i="1"/>
  <c r="BC58" i="1"/>
  <c r="I57" i="1"/>
  <c r="J57" i="1"/>
  <c r="K57" i="1" s="1"/>
  <c r="F58" i="1"/>
  <c r="Q57" i="1"/>
  <c r="O57" i="1"/>
  <c r="AA57" i="1"/>
  <c r="BK59" i="1" l="1"/>
  <c r="AW59" i="1"/>
  <c r="BI59" i="1"/>
  <c r="BJ59" i="1"/>
  <c r="BB58" i="1"/>
  <c r="AZ58" i="1"/>
  <c r="AY58" i="1"/>
  <c r="B58" i="1"/>
  <c r="A58" i="1"/>
  <c r="R58" i="1" s="1"/>
  <c r="AR59" i="1" l="1"/>
  <c r="AS59" i="1"/>
  <c r="AX59" i="1"/>
  <c r="BF59" i="1"/>
  <c r="G58" i="1"/>
  <c r="AU59" i="1" l="1"/>
  <c r="BC59" i="1"/>
  <c r="AY59" i="1" s="1"/>
  <c r="M58" i="1"/>
  <c r="D58" i="1"/>
  <c r="L58" i="1"/>
  <c r="P58" i="1" s="1"/>
  <c r="T59" i="1" l="1"/>
  <c r="H58" i="1"/>
  <c r="F59" i="1"/>
  <c r="I58" i="1"/>
  <c r="J58" i="1"/>
  <c r="K58" i="1" s="1"/>
  <c r="Q58" i="1"/>
  <c r="O58" i="1"/>
  <c r="AA58" i="1"/>
  <c r="S59" i="1" l="1"/>
  <c r="A59" i="1"/>
  <c r="B59" i="1"/>
  <c r="R59" i="1" l="1"/>
  <c r="G59" i="1" s="1"/>
  <c r="BA59" i="1"/>
  <c r="BB59" i="1" s="1"/>
  <c r="AZ59" i="1"/>
  <c r="BD59" i="1"/>
  <c r="BJ60" i="1" s="1"/>
  <c r="AW60" i="1" l="1"/>
  <c r="BK60" i="1"/>
  <c r="BI60" i="1"/>
  <c r="M59" i="1"/>
  <c r="T60" i="1" s="1"/>
  <c r="L59" i="1"/>
  <c r="D59" i="1"/>
  <c r="AR60" i="1" l="1"/>
  <c r="AS60" i="1"/>
  <c r="AX60" i="1"/>
  <c r="BF60" i="1"/>
  <c r="S60" i="1"/>
  <c r="H59" i="1"/>
  <c r="P59" i="1"/>
  <c r="BD60" i="1" l="1"/>
  <c r="BJ61" i="1" s="1"/>
  <c r="BA60" i="1"/>
  <c r="BC60" i="1"/>
  <c r="AU60" i="1"/>
  <c r="J59" i="1"/>
  <c r="K59" i="1" s="1"/>
  <c r="I59" i="1"/>
  <c r="F60" i="1"/>
  <c r="Q59" i="1"/>
  <c r="O59" i="1"/>
  <c r="AA59" i="1"/>
  <c r="AW61" i="1" l="1"/>
  <c r="BI61" i="1"/>
  <c r="BK61" i="1"/>
  <c r="BB60" i="1"/>
  <c r="AZ60" i="1"/>
  <c r="AY60" i="1"/>
  <c r="A60" i="1"/>
  <c r="B60" i="1"/>
  <c r="R60" i="1" l="1"/>
  <c r="G60" i="1" s="1"/>
  <c r="AX61" i="1"/>
  <c r="AU61" i="1" s="1"/>
  <c r="BF61" i="1"/>
  <c r="AS61" i="1"/>
  <c r="AR61" i="1"/>
  <c r="BC61" i="1" l="1"/>
  <c r="AY61" i="1" s="1"/>
  <c r="M60" i="1"/>
  <c r="T61" i="1" s="1"/>
  <c r="L60" i="1"/>
  <c r="D60" i="1"/>
  <c r="S61" i="1" l="1"/>
  <c r="P60" i="1"/>
  <c r="AA60" i="1"/>
  <c r="H60" i="1"/>
  <c r="AZ61" i="1" l="1"/>
  <c r="BA61" i="1"/>
  <c r="BB61" i="1" s="1"/>
  <c r="BD61" i="1"/>
  <c r="BJ62" i="1" s="1"/>
  <c r="F61" i="1"/>
  <c r="I60" i="1"/>
  <c r="J60" i="1"/>
  <c r="K60" i="1" s="1"/>
  <c r="Q60" i="1"/>
  <c r="O60" i="1"/>
  <c r="AW62" i="1" l="1"/>
  <c r="BK62" i="1"/>
  <c r="BI62" i="1"/>
  <c r="B61" i="1"/>
  <c r="A61" i="1"/>
  <c r="R61" i="1" s="1"/>
  <c r="AR62" i="1" l="1"/>
  <c r="AS62" i="1"/>
  <c r="BF62" i="1"/>
  <c r="AX62" i="1"/>
  <c r="G61" i="1"/>
  <c r="BC62" i="1" l="1"/>
  <c r="AY62" i="1" s="1"/>
  <c r="AU62" i="1"/>
  <c r="M61" i="1"/>
  <c r="T62" i="1" s="1"/>
  <c r="D61" i="1"/>
  <c r="L61" i="1"/>
  <c r="S62" i="1" l="1"/>
  <c r="P61" i="1"/>
  <c r="H61" i="1"/>
  <c r="AZ62" i="1" l="1"/>
  <c r="BA62" i="1"/>
  <c r="BB62" i="1" s="1"/>
  <c r="BD62" i="1"/>
  <c r="BJ63" i="1" s="1"/>
  <c r="J61" i="1"/>
  <c r="K61" i="1" s="1"/>
  <c r="I61" i="1"/>
  <c r="F62" i="1"/>
  <c r="Q61" i="1"/>
  <c r="O61" i="1"/>
  <c r="AA61" i="1"/>
  <c r="BK63" i="1" l="1"/>
  <c r="BI63" i="1"/>
  <c r="AW63" i="1"/>
  <c r="A62" i="1"/>
  <c r="R62" i="1" s="1"/>
  <c r="G62" i="1" s="1"/>
  <c r="B62" i="1"/>
  <c r="AX63" i="1" l="1"/>
  <c r="BF63" i="1"/>
  <c r="AS63" i="1"/>
  <c r="AR63" i="1"/>
  <c r="D62" i="1"/>
  <c r="L62" i="1"/>
  <c r="H62" i="1" s="1"/>
  <c r="M62" i="1"/>
  <c r="BC63" i="1" l="1"/>
  <c r="AY63" i="1" s="1"/>
  <c r="AU63" i="1"/>
  <c r="P62" i="1"/>
  <c r="F63" i="1"/>
  <c r="T63" i="1"/>
  <c r="S63" i="1" l="1"/>
  <c r="I62" i="1"/>
  <c r="J62" i="1"/>
  <c r="K62" i="1" s="1"/>
  <c r="Q62" i="1"/>
  <c r="O62" i="1"/>
  <c r="R63" i="1" s="1"/>
  <c r="A63" i="1"/>
  <c r="B63" i="1"/>
  <c r="AA62" i="1"/>
  <c r="BA63" i="1" l="1"/>
  <c r="BB63" i="1" s="1"/>
  <c r="AZ63" i="1"/>
  <c r="BD63" i="1"/>
  <c r="BJ64" i="1" s="1"/>
  <c r="G63" i="1"/>
  <c r="AW64" i="1" l="1"/>
  <c r="BK64" i="1"/>
  <c r="BI64" i="1"/>
  <c r="M63" i="1"/>
  <c r="D63" i="1"/>
  <c r="L63" i="1"/>
  <c r="P63" i="1"/>
  <c r="AS64" i="1" l="1"/>
  <c r="AR64" i="1"/>
  <c r="BF64" i="1"/>
  <c r="AX64" i="1"/>
  <c r="T64" i="1"/>
  <c r="H63" i="1"/>
  <c r="AA63" i="1"/>
  <c r="J63" i="1"/>
  <c r="K63" i="1" s="1"/>
  <c r="F64" i="1"/>
  <c r="I63" i="1"/>
  <c r="Q63" i="1"/>
  <c r="O63" i="1"/>
  <c r="AU64" i="1" l="1"/>
  <c r="BC64" i="1"/>
  <c r="AY64" i="1" s="1"/>
  <c r="S64" i="1"/>
  <c r="A64" i="1"/>
  <c r="B64" i="1"/>
  <c r="R64" i="1" l="1"/>
  <c r="G64" i="1" s="1"/>
  <c r="BD64" i="1"/>
  <c r="BJ65" i="1" s="1"/>
  <c r="AZ64" i="1"/>
  <c r="BA64" i="1"/>
  <c r="BB64" i="1" s="1"/>
  <c r="BK65" i="1" l="1"/>
  <c r="AW65" i="1"/>
  <c r="BI65" i="1"/>
  <c r="M64" i="1"/>
  <c r="T65" i="1" s="1"/>
  <c r="D64" i="1"/>
  <c r="L64" i="1"/>
  <c r="AS65" i="1" l="1"/>
  <c r="AR65" i="1"/>
  <c r="BF65" i="1"/>
  <c r="AX65" i="1"/>
  <c r="S65" i="1"/>
  <c r="H64" i="1"/>
  <c r="P64" i="1"/>
  <c r="BD65" i="1" l="1"/>
  <c r="BA65" i="1"/>
  <c r="AU65" i="1"/>
  <c r="BC65" i="1"/>
  <c r="F65" i="1"/>
  <c r="I64" i="1"/>
  <c r="J64" i="1"/>
  <c r="K64" i="1" s="1"/>
  <c r="Q64" i="1"/>
  <c r="O64" i="1"/>
  <c r="AA64" i="1"/>
  <c r="BK66" i="1" l="1"/>
  <c r="BJ66" i="1"/>
  <c r="AW66" i="1"/>
  <c r="BI66" i="1"/>
  <c r="BB65" i="1"/>
  <c r="AZ65" i="1"/>
  <c r="AY65" i="1"/>
  <c r="B65" i="1"/>
  <c r="A65" i="1"/>
  <c r="R65" i="1" s="1"/>
  <c r="AR66" i="1" l="1"/>
  <c r="AS66" i="1"/>
  <c r="BF66" i="1"/>
  <c r="AX66" i="1"/>
  <c r="G65" i="1"/>
  <c r="AU66" i="1" l="1"/>
  <c r="BC66" i="1"/>
  <c r="AY66" i="1" s="1"/>
  <c r="M65" i="1"/>
  <c r="T66" i="1" s="1"/>
  <c r="L65" i="1"/>
  <c r="D65" i="1"/>
  <c r="S66" i="1" l="1"/>
  <c r="H65" i="1"/>
  <c r="P65" i="1"/>
  <c r="AA65" i="1"/>
  <c r="BA66" i="1" l="1"/>
  <c r="BB66" i="1" s="1"/>
  <c r="AZ66" i="1"/>
  <c r="BD66" i="1"/>
  <c r="BJ67" i="1" s="1"/>
  <c r="F66" i="1"/>
  <c r="J65" i="1"/>
  <c r="K65" i="1" s="1"/>
  <c r="I65" i="1"/>
  <c r="O65" i="1"/>
  <c r="Q65" i="1"/>
  <c r="BI67" i="1" l="1"/>
  <c r="BK67" i="1"/>
  <c r="AW67" i="1"/>
  <c r="B66" i="1"/>
  <c r="A66" i="1"/>
  <c r="R66" i="1" s="1"/>
  <c r="G66" i="1" s="1"/>
  <c r="BF67" i="1" l="1"/>
  <c r="AX67" i="1"/>
  <c r="AS67" i="1"/>
  <c r="AR67" i="1"/>
  <c r="D66" i="1"/>
  <c r="L66" i="1"/>
  <c r="H66" i="1" s="1"/>
  <c r="M66" i="1"/>
  <c r="BC67" i="1" l="1"/>
  <c r="AY67" i="1" s="1"/>
  <c r="AU67" i="1"/>
  <c r="P66" i="1"/>
  <c r="F67" i="1"/>
  <c r="T67" i="1"/>
  <c r="S67" i="1" l="1"/>
  <c r="J66" i="1"/>
  <c r="K66" i="1" s="1"/>
  <c r="I66" i="1"/>
  <c r="Q66" i="1"/>
  <c r="O66" i="1"/>
  <c r="A67" i="1"/>
  <c r="B67" i="1"/>
  <c r="AA66" i="1"/>
  <c r="R67" i="1" l="1"/>
  <c r="G67" i="1" s="1"/>
  <c r="BA67" i="1"/>
  <c r="BB67" i="1" s="1"/>
  <c r="AZ67" i="1"/>
  <c r="BD67" i="1"/>
  <c r="BJ68" i="1" s="1"/>
  <c r="BI68" i="1" l="1"/>
  <c r="BK68" i="1"/>
  <c r="AW68" i="1"/>
  <c r="M67" i="1"/>
  <c r="L67" i="1"/>
  <c r="D67" i="1"/>
  <c r="BF68" i="1" l="1"/>
  <c r="AX68" i="1"/>
  <c r="AR68" i="1"/>
  <c r="AS68" i="1"/>
  <c r="T68" i="1"/>
  <c r="P67" i="1"/>
  <c r="F68" i="1"/>
  <c r="AA67" i="1"/>
  <c r="H67" i="1"/>
  <c r="AU68" i="1" l="1"/>
  <c r="BC68" i="1"/>
  <c r="AY68" i="1" s="1"/>
  <c r="S68" i="1"/>
  <c r="A68" i="1"/>
  <c r="B68" i="1"/>
  <c r="I67" i="1"/>
  <c r="J67" i="1"/>
  <c r="K67" i="1" s="1"/>
  <c r="Q67" i="1"/>
  <c r="O67" i="1"/>
  <c r="R68" i="1" s="1"/>
  <c r="BD68" i="1" l="1"/>
  <c r="BJ69" i="1" s="1"/>
  <c r="AZ68" i="1"/>
  <c r="BA68" i="1"/>
  <c r="BB68" i="1" s="1"/>
  <c r="G68" i="1"/>
  <c r="BK69" i="1" l="1"/>
  <c r="AW69" i="1"/>
  <c r="BI69" i="1"/>
  <c r="M68" i="1"/>
  <c r="D68" i="1"/>
  <c r="L68" i="1"/>
  <c r="H68" i="1" s="1"/>
  <c r="AS69" i="1" l="1"/>
  <c r="AR69" i="1"/>
  <c r="BF69" i="1"/>
  <c r="AX69" i="1"/>
  <c r="T69" i="1"/>
  <c r="P68" i="1"/>
  <c r="AU69" i="1" l="1"/>
  <c r="BC69" i="1"/>
  <c r="AY69" i="1" s="1"/>
  <c r="S69" i="1"/>
  <c r="BA69" i="1"/>
  <c r="I68" i="1"/>
  <c r="J68" i="1"/>
  <c r="K68" i="1" s="1"/>
  <c r="O68" i="1"/>
  <c r="Q68" i="1"/>
  <c r="AA68" i="1"/>
  <c r="F69" i="1"/>
  <c r="BB69" i="1" l="1"/>
  <c r="BD69" i="1"/>
  <c r="BJ70" i="1" s="1"/>
  <c r="AZ69" i="1"/>
  <c r="B69" i="1"/>
  <c r="A69" i="1"/>
  <c r="R69" i="1" s="1"/>
  <c r="BK70" i="1" l="1"/>
  <c r="BI70" i="1"/>
  <c r="AW70" i="1"/>
  <c r="G69" i="1"/>
  <c r="BF70" i="1" l="1"/>
  <c r="AX70" i="1"/>
  <c r="AS70" i="1"/>
  <c r="AR70" i="1"/>
  <c r="M69" i="1"/>
  <c r="D69" i="1"/>
  <c r="L69" i="1"/>
  <c r="H69" i="1" s="1"/>
  <c r="BC70" i="1" l="1"/>
  <c r="AY70" i="1" s="1"/>
  <c r="AU70" i="1"/>
  <c r="F70" i="1"/>
  <c r="T70" i="1"/>
  <c r="P69" i="1"/>
  <c r="S70" i="1" l="1"/>
  <c r="B70" i="1"/>
  <c r="A70" i="1"/>
  <c r="I69" i="1"/>
  <c r="J69" i="1"/>
  <c r="K69" i="1" s="1"/>
  <c r="Q69" i="1"/>
  <c r="O69" i="1"/>
  <c r="R70" i="1" s="1"/>
  <c r="AA69" i="1"/>
  <c r="BA70" i="1" l="1"/>
  <c r="BB70" i="1" s="1"/>
  <c r="AZ70" i="1"/>
  <c r="BD70" i="1"/>
  <c r="BJ71" i="1" s="1"/>
  <c r="G70" i="1"/>
  <c r="BK71" i="1" l="1"/>
  <c r="AW71" i="1"/>
  <c r="BI71" i="1"/>
  <c r="M70" i="1"/>
  <c r="T71" i="1" s="1"/>
  <c r="L70" i="1"/>
  <c r="D70" i="1"/>
  <c r="AR71" i="1" l="1"/>
  <c r="AS71" i="1"/>
  <c r="BF71" i="1"/>
  <c r="AX71" i="1"/>
  <c r="S71" i="1"/>
  <c r="H70" i="1"/>
  <c r="P70" i="1"/>
  <c r="BD71" i="1" l="1"/>
  <c r="BJ72" i="1" s="1"/>
  <c r="BA71" i="1"/>
  <c r="BC71" i="1"/>
  <c r="AU71" i="1"/>
  <c r="J70" i="1"/>
  <c r="K70" i="1" s="1"/>
  <c r="I70" i="1"/>
  <c r="F71" i="1"/>
  <c r="O70" i="1"/>
  <c r="Q70" i="1"/>
  <c r="AA70" i="1"/>
  <c r="BK72" i="1" l="1"/>
  <c r="BI72" i="1"/>
  <c r="AW72" i="1"/>
  <c r="BB71" i="1"/>
  <c r="AZ71" i="1"/>
  <c r="AY71" i="1"/>
  <c r="A71" i="1"/>
  <c r="B71" i="1"/>
  <c r="R71" i="1" l="1"/>
  <c r="G71" i="1" s="1"/>
  <c r="AS72" i="1"/>
  <c r="AR72" i="1"/>
  <c r="AX72" i="1"/>
  <c r="BF72" i="1"/>
  <c r="AU72" i="1" l="1"/>
  <c r="BC72" i="1"/>
  <c r="AY72" i="1" s="1"/>
  <c r="M71" i="1"/>
  <c r="T72" i="1" s="1"/>
  <c r="L71" i="1"/>
  <c r="D71" i="1"/>
  <c r="S72" i="1" l="1"/>
  <c r="H71" i="1"/>
  <c r="P71" i="1"/>
  <c r="BA72" i="1" l="1"/>
  <c r="BB72" i="1" s="1"/>
  <c r="AZ72" i="1"/>
  <c r="BD72" i="1"/>
  <c r="BJ73" i="1" s="1"/>
  <c r="J71" i="1"/>
  <c r="K71" i="1" s="1"/>
  <c r="F72" i="1"/>
  <c r="I71" i="1"/>
  <c r="O71" i="1"/>
  <c r="Q71" i="1"/>
  <c r="AA71" i="1"/>
  <c r="BI73" i="1" l="1"/>
  <c r="AW73" i="1"/>
  <c r="BK73" i="1"/>
  <c r="A72" i="1"/>
  <c r="R72" i="1" s="1"/>
  <c r="B72" i="1"/>
  <c r="BF73" i="1" l="1"/>
  <c r="AX73" i="1"/>
  <c r="AR73" i="1"/>
  <c r="AS73" i="1"/>
  <c r="G72" i="1"/>
  <c r="BC73" i="1" l="1"/>
  <c r="AY73" i="1" s="1"/>
  <c r="AU73" i="1"/>
  <c r="M72" i="1"/>
  <c r="L72" i="1"/>
  <c r="H72" i="1" s="1"/>
  <c r="D72" i="1"/>
  <c r="T73" i="1" l="1"/>
  <c r="P72" i="1"/>
  <c r="S73" i="1" l="1"/>
  <c r="I72" i="1"/>
  <c r="J72" i="1"/>
  <c r="K72" i="1" s="1"/>
  <c r="O72" i="1"/>
  <c r="Q72" i="1"/>
  <c r="F73" i="1"/>
  <c r="AA72" i="1"/>
  <c r="AZ73" i="1" l="1"/>
  <c r="BA73" i="1"/>
  <c r="BB73" i="1" s="1"/>
  <c r="BD73" i="1"/>
  <c r="BJ74" i="1" s="1"/>
  <c r="B73" i="1"/>
  <c r="A73" i="1"/>
  <c r="R73" i="1" l="1"/>
  <c r="G73" i="1" s="1"/>
  <c r="BK74" i="1"/>
  <c r="AW74" i="1"/>
  <c r="BI74" i="1"/>
  <c r="AR74" i="1" l="1"/>
  <c r="AS74" i="1"/>
  <c r="BF74" i="1"/>
  <c r="AX74" i="1"/>
  <c r="M73" i="1"/>
  <c r="T74" i="1" s="1"/>
  <c r="L73" i="1"/>
  <c r="D73" i="1"/>
  <c r="BC74" i="1" l="1"/>
  <c r="AY74" i="1" s="1"/>
  <c r="AU74" i="1"/>
  <c r="S74" i="1"/>
  <c r="H73" i="1"/>
  <c r="P73" i="1"/>
  <c r="BD74" i="1" l="1"/>
  <c r="BJ75" i="1" s="1"/>
  <c r="AZ74" i="1"/>
  <c r="BA74" i="1"/>
  <c r="BB74" i="1" s="1"/>
  <c r="F74" i="1"/>
  <c r="J73" i="1"/>
  <c r="K73" i="1" s="1"/>
  <c r="I73" i="1"/>
  <c r="O73" i="1"/>
  <c r="Q73" i="1"/>
  <c r="AA73" i="1"/>
  <c r="AW75" i="1" l="1"/>
  <c r="BI75" i="1"/>
  <c r="BK75" i="1"/>
  <c r="B74" i="1"/>
  <c r="A74" i="1"/>
  <c r="R74" i="1" s="1"/>
  <c r="G74" i="1" s="1"/>
  <c r="AR75" i="1" l="1"/>
  <c r="AS75" i="1"/>
  <c r="AX75" i="1"/>
  <c r="L74" i="1"/>
  <c r="H74" i="1" s="1"/>
  <c r="D74" i="1"/>
  <c r="M74" i="1"/>
  <c r="AU75" i="1" l="1"/>
  <c r="BC75" i="1"/>
  <c r="AY75" i="1" s="1"/>
  <c r="P74" i="1"/>
  <c r="T75" i="1"/>
  <c r="S75" i="1" l="1"/>
  <c r="I74" i="1"/>
  <c r="J74" i="1"/>
  <c r="K74" i="1" s="1"/>
  <c r="O74" i="1"/>
  <c r="Q74" i="1"/>
  <c r="AA74" i="1"/>
  <c r="F75" i="1"/>
  <c r="BA75" i="1" l="1"/>
  <c r="BB75" i="1" s="1"/>
  <c r="AZ75" i="1"/>
  <c r="BD75" i="1"/>
  <c r="BJ76" i="1" s="1"/>
  <c r="B75" i="1"/>
  <c r="A75" i="1"/>
  <c r="R75" i="1" s="1"/>
  <c r="G75" i="1" s="1"/>
  <c r="BK76" i="1" l="1"/>
  <c r="AW76" i="1"/>
  <c r="BI76" i="1"/>
  <c r="J75" i="1"/>
  <c r="L75" i="1"/>
  <c r="D75" i="1"/>
  <c r="M75" i="1"/>
  <c r="AR76" i="1" l="1"/>
  <c r="AS76" i="1"/>
  <c r="AX76" i="1"/>
  <c r="BF76" i="1"/>
  <c r="P75" i="1"/>
  <c r="AA75" i="1"/>
  <c r="I75" i="1"/>
  <c r="Q75" i="1"/>
  <c r="T76" i="1"/>
  <c r="F76" i="1"/>
  <c r="K75" i="1"/>
  <c r="H75" i="1"/>
  <c r="AU76" i="1" l="1"/>
  <c r="BC76" i="1"/>
  <c r="AY76" i="1" s="1"/>
  <c r="S76" i="1"/>
  <c r="A76" i="1"/>
  <c r="B76" i="1"/>
  <c r="R76" i="1" l="1"/>
  <c r="G76" i="1" s="1"/>
  <c r="BD76" i="1"/>
  <c r="BJ77" i="1" s="1"/>
  <c r="BA76" i="1"/>
  <c r="BB76" i="1" s="1"/>
  <c r="AZ76" i="1"/>
  <c r="BK77" i="1" l="1"/>
  <c r="AW77" i="1"/>
  <c r="BI77" i="1"/>
  <c r="M76" i="1"/>
  <c r="T77" i="1" s="1"/>
  <c r="L76" i="1"/>
  <c r="D76" i="1"/>
  <c r="AS77" i="1" l="1"/>
  <c r="AR77" i="1"/>
  <c r="AX77" i="1"/>
  <c r="BF77" i="1"/>
  <c r="S77" i="1"/>
  <c r="H76" i="1"/>
  <c r="P76" i="1"/>
  <c r="AA76" i="1"/>
  <c r="BD77" i="1" l="1"/>
  <c r="BJ78" i="1" s="1"/>
  <c r="AU77" i="1"/>
  <c r="BA77" i="1"/>
  <c r="BC77" i="1"/>
  <c r="I76" i="1"/>
  <c r="F77" i="1"/>
  <c r="J76" i="1"/>
  <c r="K76" i="1" s="1"/>
  <c r="O76" i="1"/>
  <c r="Q76" i="1"/>
  <c r="BK78" i="1" l="1"/>
  <c r="AW78" i="1"/>
  <c r="BI78" i="1"/>
  <c r="BB77" i="1"/>
  <c r="AZ77" i="1"/>
  <c r="AY77" i="1"/>
  <c r="B77" i="1"/>
  <c r="A77" i="1"/>
  <c r="R77" i="1" l="1"/>
  <c r="BF78" i="1"/>
  <c r="AX78" i="1"/>
  <c r="AU78" i="1" s="1"/>
  <c r="AR78" i="1"/>
  <c r="AS78" i="1"/>
  <c r="G77" i="1" l="1"/>
  <c r="M77" i="1" s="1"/>
  <c r="T78" i="1" s="1"/>
  <c r="BC78" i="1"/>
  <c r="AY78" i="1" s="1"/>
  <c r="P77" i="1"/>
  <c r="L77" i="1" l="1"/>
  <c r="I77" i="1" s="1"/>
  <c r="D77" i="1"/>
  <c r="S78" i="1"/>
  <c r="J77" i="1"/>
  <c r="Q77" i="1"/>
  <c r="O77" i="1"/>
  <c r="F78" i="1"/>
  <c r="AA77" i="1" l="1"/>
  <c r="H77" i="1"/>
  <c r="K77" i="1"/>
  <c r="BA78" i="1"/>
  <c r="BB78" i="1" s="1"/>
  <c r="AZ78" i="1"/>
  <c r="BD78" i="1"/>
  <c r="BJ79" i="1" s="1"/>
  <c r="A78" i="1"/>
  <c r="B78" i="1"/>
  <c r="R78" i="1" l="1"/>
  <c r="G78" i="1" s="1"/>
  <c r="BK79" i="1"/>
  <c r="BI79" i="1"/>
  <c r="AW79" i="1"/>
  <c r="BF79" i="1" l="1"/>
  <c r="AX79" i="1"/>
  <c r="AS79" i="1"/>
  <c r="AR79" i="1"/>
  <c r="M78" i="1"/>
  <c r="D78" i="1"/>
  <c r="L78" i="1"/>
  <c r="AU79" i="1" l="1"/>
  <c r="BC79" i="1"/>
  <c r="AY79" i="1" s="1"/>
  <c r="F79" i="1"/>
  <c r="T79" i="1"/>
  <c r="P78" i="1"/>
  <c r="H78" i="1"/>
  <c r="S79" i="1" l="1"/>
  <c r="A79" i="1"/>
  <c r="B79" i="1"/>
  <c r="I78" i="1"/>
  <c r="J78" i="1"/>
  <c r="K78" i="1" s="1"/>
  <c r="Q78" i="1"/>
  <c r="O78" i="1"/>
  <c r="AA78" i="1"/>
  <c r="R79" i="1" l="1"/>
  <c r="G79" i="1" s="1"/>
  <c r="BA79" i="1"/>
  <c r="BB79" i="1" s="1"/>
  <c r="AZ79" i="1"/>
  <c r="BD79" i="1"/>
  <c r="BJ80" i="1" s="1"/>
  <c r="BK80" i="1" l="1"/>
  <c r="BI80" i="1"/>
  <c r="AW80" i="1"/>
  <c r="M79" i="1"/>
  <c r="T80" i="1" s="1"/>
  <c r="D79" i="1"/>
  <c r="L79" i="1"/>
  <c r="H79" i="1" s="1"/>
  <c r="S80" i="1" l="1"/>
  <c r="BF80" i="1"/>
  <c r="AX80" i="1"/>
  <c r="AR80" i="1"/>
  <c r="AS80" i="1"/>
  <c r="P79" i="1"/>
  <c r="BD80" i="1" l="1"/>
  <c r="BJ81" i="1" s="1"/>
  <c r="BA80" i="1"/>
  <c r="AU80" i="1"/>
  <c r="BC80" i="1"/>
  <c r="J79" i="1"/>
  <c r="K79" i="1" s="1"/>
  <c r="I79" i="1"/>
  <c r="F80" i="1"/>
  <c r="Q79" i="1"/>
  <c r="O79" i="1"/>
  <c r="AA79" i="1"/>
  <c r="BK81" i="1" l="1"/>
  <c r="AW81" i="1"/>
  <c r="BI81" i="1"/>
  <c r="BB80" i="1"/>
  <c r="AY80" i="1"/>
  <c r="AZ80" i="1"/>
  <c r="B80" i="1"/>
  <c r="A80" i="1"/>
  <c r="R80" i="1" s="1"/>
  <c r="G80" i="1" s="1"/>
  <c r="AR81" i="1" l="1"/>
  <c r="AS81" i="1"/>
  <c r="BF81" i="1"/>
  <c r="AX81" i="1"/>
  <c r="M80" i="1"/>
  <c r="T81" i="1" s="1"/>
  <c r="L80" i="1"/>
  <c r="D80" i="1"/>
  <c r="AU81" i="1" l="1"/>
  <c r="BC81" i="1"/>
  <c r="AY81" i="1" s="1"/>
  <c r="S81" i="1"/>
  <c r="P80" i="1"/>
  <c r="H80" i="1"/>
  <c r="BA81" i="1" l="1"/>
  <c r="BB81" i="1" s="1"/>
  <c r="AZ81" i="1"/>
  <c r="BD81" i="1"/>
  <c r="BJ82" i="1" s="1"/>
  <c r="F81" i="1"/>
  <c r="I80" i="1"/>
  <c r="J80" i="1"/>
  <c r="K80" i="1" s="1"/>
  <c r="Q80" i="1"/>
  <c r="O80" i="1"/>
  <c r="AA80" i="1"/>
  <c r="BI82" i="1" l="1"/>
  <c r="BK82" i="1"/>
  <c r="AW82" i="1"/>
  <c r="A81" i="1"/>
  <c r="B81" i="1"/>
  <c r="R81" i="1" l="1"/>
  <c r="G81" i="1" s="1"/>
  <c r="BF82" i="1"/>
  <c r="AX82" i="1"/>
  <c r="AS82" i="1"/>
  <c r="AR82" i="1"/>
  <c r="BC82" i="1" l="1"/>
  <c r="AY82" i="1" s="1"/>
  <c r="AU82" i="1"/>
  <c r="M81" i="1"/>
  <c r="L81" i="1"/>
  <c r="H81" i="1" s="1"/>
  <c r="D81" i="1"/>
  <c r="T82" i="1" l="1"/>
  <c r="P81" i="1"/>
  <c r="S82" i="1" l="1"/>
  <c r="J81" i="1"/>
  <c r="K81" i="1" s="1"/>
  <c r="I81" i="1"/>
  <c r="Q81" i="1"/>
  <c r="O81" i="1"/>
  <c r="F82" i="1"/>
  <c r="AA81" i="1"/>
  <c r="BA82" i="1" l="1"/>
  <c r="BB82" i="1" s="1"/>
  <c r="AZ82" i="1"/>
  <c r="BD82" i="1"/>
  <c r="BJ83" i="1" s="1"/>
  <c r="B82" i="1"/>
  <c r="A82" i="1"/>
  <c r="R82" i="1" s="1"/>
  <c r="G82" i="1" s="1"/>
  <c r="BK83" i="1" l="1"/>
  <c r="BI83" i="1"/>
  <c r="AW83" i="1"/>
  <c r="D82" i="1"/>
  <c r="L82" i="1"/>
  <c r="H82" i="1" s="1"/>
  <c r="M82" i="1"/>
  <c r="AX83" i="1" l="1"/>
  <c r="BF83" i="1"/>
  <c r="AR83" i="1"/>
  <c r="AS83" i="1"/>
  <c r="P82" i="1"/>
  <c r="F83" i="1"/>
  <c r="T83" i="1"/>
  <c r="BC83" i="1" l="1"/>
  <c r="AY83" i="1" s="1"/>
  <c r="AU83" i="1"/>
  <c r="S83" i="1"/>
  <c r="J82" i="1"/>
  <c r="K82" i="1" s="1"/>
  <c r="I82" i="1"/>
  <c r="Q82" i="1"/>
  <c r="O82" i="1"/>
  <c r="B83" i="1"/>
  <c r="A83" i="1"/>
  <c r="AA82" i="1"/>
  <c r="R83" i="1" l="1"/>
  <c r="G83" i="1" s="1"/>
  <c r="BD83" i="1"/>
  <c r="BJ84" i="1" s="1"/>
  <c r="AZ83" i="1"/>
  <c r="BA83" i="1"/>
  <c r="BB83" i="1" s="1"/>
  <c r="BK84" i="1" l="1"/>
  <c r="AW84" i="1"/>
  <c r="BI84" i="1"/>
  <c r="M83" i="1"/>
  <c r="T84" i="1" s="1"/>
  <c r="D83" i="1"/>
  <c r="L83" i="1"/>
  <c r="S84" i="1" l="1"/>
  <c r="AS84" i="1"/>
  <c r="AR84" i="1"/>
  <c r="AX84" i="1"/>
  <c r="BF84" i="1"/>
  <c r="H83" i="1"/>
  <c r="P83" i="1"/>
  <c r="AA83" i="1"/>
  <c r="BD84" i="1" l="1"/>
  <c r="BJ85" i="1" s="1"/>
  <c r="BA84" i="1"/>
  <c r="BC84" i="1"/>
  <c r="AU84" i="1"/>
  <c r="F84" i="1"/>
  <c r="J83" i="1"/>
  <c r="K83" i="1" s="1"/>
  <c r="I83" i="1"/>
  <c r="Q83" i="1"/>
  <c r="O83" i="1"/>
  <c r="AW85" i="1" l="1"/>
  <c r="BK85" i="1"/>
  <c r="BI85" i="1"/>
  <c r="BB84" i="1"/>
  <c r="AZ84" i="1"/>
  <c r="AY84" i="1"/>
  <c r="A84" i="1"/>
  <c r="B84" i="1"/>
  <c r="R84" i="1" l="1"/>
  <c r="G84" i="1" s="1"/>
  <c r="AR85" i="1"/>
  <c r="AS85" i="1"/>
  <c r="BF85" i="1"/>
  <c r="AX85" i="1"/>
  <c r="AU85" i="1" l="1"/>
  <c r="BC85" i="1"/>
  <c r="AY85" i="1" s="1"/>
  <c r="M84" i="1"/>
  <c r="T85" i="1" s="1"/>
  <c r="D84" i="1"/>
  <c r="L84" i="1"/>
  <c r="S85" i="1" l="1"/>
  <c r="P84" i="1"/>
  <c r="H84" i="1"/>
  <c r="BA85" i="1" l="1"/>
  <c r="BB85" i="1" s="1"/>
  <c r="AZ85" i="1"/>
  <c r="BD85" i="1"/>
  <c r="BJ86" i="1" s="1"/>
  <c r="F85" i="1"/>
  <c r="J84" i="1"/>
  <c r="K84" i="1" s="1"/>
  <c r="I84" i="1"/>
  <c r="Q84" i="1"/>
  <c r="O84" i="1"/>
  <c r="AA84" i="1"/>
  <c r="AW86" i="1" l="1"/>
  <c r="BK86" i="1"/>
  <c r="BI86" i="1"/>
  <c r="A85" i="1"/>
  <c r="B85" i="1"/>
  <c r="R85" i="1" l="1"/>
  <c r="G85" i="1" s="1"/>
  <c r="AS86" i="1"/>
  <c r="AR86" i="1"/>
  <c r="AX86" i="1"/>
  <c r="BF86" i="1"/>
  <c r="BC86" i="1" l="1"/>
  <c r="AY86" i="1" s="1"/>
  <c r="AU86" i="1"/>
  <c r="M85" i="1"/>
  <c r="T86" i="1" s="1"/>
  <c r="D85" i="1"/>
  <c r="L85" i="1"/>
  <c r="S86" i="1" l="1"/>
  <c r="P85" i="1"/>
  <c r="H85" i="1"/>
  <c r="BA86" i="1" l="1"/>
  <c r="BB86" i="1" s="1"/>
  <c r="AZ86" i="1"/>
  <c r="BD86" i="1"/>
  <c r="BJ87" i="1" s="1"/>
  <c r="J85" i="1"/>
  <c r="K85" i="1" s="1"/>
  <c r="I85" i="1"/>
  <c r="F86" i="1"/>
  <c r="Q85" i="1"/>
  <c r="O85" i="1"/>
  <c r="AA85" i="1"/>
  <c r="BK87" i="1" l="1"/>
  <c r="AW87" i="1"/>
  <c r="BI87" i="1"/>
  <c r="A86" i="1"/>
  <c r="B86" i="1"/>
  <c r="R86" i="1" l="1"/>
  <c r="G86" i="1" s="1"/>
  <c r="AR87" i="1"/>
  <c r="AS87" i="1"/>
  <c r="AX87" i="1"/>
  <c r="BF87" i="1"/>
  <c r="AU87" i="1" l="1"/>
  <c r="BC87" i="1"/>
  <c r="AY87" i="1" s="1"/>
  <c r="M86" i="1"/>
  <c r="T87" i="1" s="1"/>
  <c r="D86" i="1"/>
  <c r="L86" i="1"/>
  <c r="S87" i="1" l="1"/>
  <c r="H86" i="1"/>
  <c r="K7" i="6"/>
  <c r="P86" i="1"/>
  <c r="AZ87" i="1" l="1"/>
  <c r="BA87" i="1"/>
  <c r="BB87" i="1" s="1"/>
  <c r="BD87" i="1"/>
  <c r="BJ88" i="1" s="1"/>
  <c r="I86" i="1"/>
  <c r="J86" i="1"/>
  <c r="K86" i="1" s="1"/>
  <c r="F87" i="1"/>
  <c r="Q86" i="1"/>
  <c r="O86" i="1"/>
  <c r="AA86" i="1"/>
  <c r="BK88" i="1" l="1"/>
  <c r="BI88" i="1"/>
  <c r="AW88" i="1"/>
  <c r="A87" i="1"/>
  <c r="B87" i="1"/>
  <c r="R87" i="1" l="1"/>
  <c r="G87" i="1" s="1"/>
  <c r="BF88" i="1"/>
  <c r="AX88" i="1"/>
  <c r="AR88" i="1"/>
  <c r="AS88" i="1"/>
  <c r="BC88" i="1" l="1"/>
  <c r="AY88" i="1" s="1"/>
  <c r="AU88" i="1"/>
  <c r="M87" i="1"/>
  <c r="T88" i="1" s="1"/>
  <c r="L87" i="1"/>
  <c r="D87" i="1"/>
  <c r="S88" i="1" l="1"/>
  <c r="P87" i="1"/>
  <c r="H87" i="1"/>
  <c r="BA88" i="1" l="1"/>
  <c r="BB88" i="1" s="1"/>
  <c r="AZ88" i="1"/>
  <c r="BD88" i="1"/>
  <c r="BJ89" i="1" s="1"/>
  <c r="J87" i="1"/>
  <c r="I87" i="1"/>
  <c r="F88" i="1"/>
  <c r="Q87" i="1"/>
  <c r="O87" i="1"/>
  <c r="AA87" i="1"/>
  <c r="K87" i="1" l="1"/>
  <c r="BI89" i="1"/>
  <c r="BK89" i="1"/>
  <c r="AW89" i="1"/>
  <c r="A88" i="1"/>
  <c r="B88" i="1"/>
  <c r="R88" i="1" l="1"/>
  <c r="G88" i="1" s="1"/>
  <c r="BF89" i="1"/>
  <c r="AX89" i="1"/>
  <c r="AS89" i="1"/>
  <c r="AR89" i="1"/>
  <c r="BC89" i="1" l="1"/>
  <c r="AY89" i="1" s="1"/>
  <c r="AU89" i="1"/>
  <c r="M88" i="1"/>
  <c r="T89" i="1" s="1"/>
  <c r="L88" i="1"/>
  <c r="D88" i="1"/>
  <c r="S89" i="1" l="1"/>
  <c r="H88" i="1"/>
  <c r="AA88" i="1"/>
  <c r="P88" i="1"/>
  <c r="AZ89" i="1" l="1"/>
  <c r="BA89" i="1"/>
  <c r="BB89" i="1" s="1"/>
  <c r="BD89" i="1"/>
  <c r="BJ90" i="1" s="1"/>
  <c r="F89" i="1"/>
  <c r="I88" i="1"/>
  <c r="J88" i="1"/>
  <c r="Q88" i="1"/>
  <c r="O88" i="1"/>
  <c r="K88" i="1" l="1"/>
  <c r="BK90" i="1"/>
  <c r="BI90" i="1"/>
  <c r="AW90" i="1"/>
  <c r="B89" i="1"/>
  <c r="A89" i="1"/>
  <c r="R89" i="1" s="1"/>
  <c r="AX90" i="1" l="1"/>
  <c r="BF90" i="1"/>
  <c r="AR90" i="1"/>
  <c r="AS90" i="1"/>
  <c r="G89" i="1"/>
  <c r="BC90" i="1" l="1"/>
  <c r="AY90" i="1" s="1"/>
  <c r="AU90" i="1"/>
  <c r="M89" i="1"/>
  <c r="T90" i="1" s="1"/>
  <c r="D89" i="1"/>
  <c r="L89" i="1"/>
  <c r="S90" i="1" l="1"/>
  <c r="P89" i="1"/>
  <c r="AA89" i="1"/>
  <c r="H89" i="1"/>
  <c r="BA90" i="1" l="1"/>
  <c r="BB90" i="1" s="1"/>
  <c r="AZ90" i="1"/>
  <c r="BD90" i="1"/>
  <c r="BJ91" i="1" s="1"/>
  <c r="J89" i="1"/>
  <c r="I89" i="1"/>
  <c r="F90" i="1"/>
  <c r="Q89" i="1"/>
  <c r="O89" i="1"/>
  <c r="K89" i="1" l="1"/>
  <c r="BK91" i="1"/>
  <c r="BI91" i="1"/>
  <c r="AW91" i="1"/>
  <c r="B90" i="1"/>
  <c r="A90" i="1"/>
  <c r="R90" i="1" s="1"/>
  <c r="BF91" i="1" l="1"/>
  <c r="AX91" i="1"/>
  <c r="AS91" i="1"/>
  <c r="AR91" i="1"/>
  <c r="G90" i="1"/>
  <c r="BC91" i="1" l="1"/>
  <c r="AY91" i="1" s="1"/>
  <c r="AU91" i="1"/>
  <c r="M90" i="1"/>
  <c r="T91" i="1" s="1"/>
  <c r="L90" i="1"/>
  <c r="H90" i="1" s="1"/>
  <c r="D90" i="1"/>
  <c r="S91" i="1" l="1"/>
  <c r="P90" i="1"/>
  <c r="BA91" i="1" l="1"/>
  <c r="BB91" i="1" s="1"/>
  <c r="AZ91" i="1"/>
  <c r="BD91" i="1"/>
  <c r="BJ92" i="1" s="1"/>
  <c r="I90" i="1"/>
  <c r="J90" i="1"/>
  <c r="K90" i="1" s="1"/>
  <c r="F91" i="1"/>
  <c r="Q90" i="1"/>
  <c r="O90" i="1"/>
  <c r="AA90" i="1"/>
  <c r="AW92" i="1" l="1"/>
  <c r="BI92" i="1"/>
  <c r="BK92" i="1"/>
  <c r="B91" i="1"/>
  <c r="A91" i="1"/>
  <c r="R91" i="1" s="1"/>
  <c r="AS92" i="1" l="1"/>
  <c r="AR92" i="1"/>
  <c r="BF92" i="1"/>
  <c r="AX92" i="1"/>
  <c r="G91" i="1"/>
  <c r="BC92" i="1" l="1"/>
  <c r="AY92" i="1" s="1"/>
  <c r="AU92" i="1"/>
  <c r="M91" i="1"/>
  <c r="T92" i="1" s="1"/>
  <c r="D91" i="1"/>
  <c r="L91" i="1"/>
  <c r="H91" i="1" s="1"/>
  <c r="S92" i="1" l="1"/>
  <c r="P91" i="1"/>
  <c r="AA91" i="1"/>
  <c r="BA92" i="1" l="1"/>
  <c r="BB92" i="1" s="1"/>
  <c r="AZ92" i="1"/>
  <c r="BD92" i="1"/>
  <c r="BJ93" i="1" s="1"/>
  <c r="J91" i="1"/>
  <c r="K91" i="1" s="1"/>
  <c r="I91" i="1"/>
  <c r="F92" i="1"/>
  <c r="Q91" i="1"/>
  <c r="O91" i="1"/>
  <c r="BI93" i="1" l="1"/>
  <c r="AW93" i="1"/>
  <c r="BK93" i="1"/>
  <c r="B92" i="1"/>
  <c r="A92" i="1"/>
  <c r="R92" i="1" s="1"/>
  <c r="AX93" i="1" l="1"/>
  <c r="BF93" i="1"/>
  <c r="AS93" i="1"/>
  <c r="AR93" i="1"/>
  <c r="G92" i="1"/>
  <c r="BC93" i="1" l="1"/>
  <c r="AY93" i="1" s="1"/>
  <c r="AU93" i="1"/>
  <c r="M92" i="1"/>
  <c r="T93" i="1" s="1"/>
  <c r="L92" i="1"/>
  <c r="H92" i="1" s="1"/>
  <c r="D92" i="1"/>
  <c r="S93" i="1" l="1"/>
  <c r="P92" i="1"/>
  <c r="BA93" i="1" l="1"/>
  <c r="BB93" i="1" s="1"/>
  <c r="AZ93" i="1"/>
  <c r="BD93" i="1"/>
  <c r="BJ94" i="1" s="1"/>
  <c r="J92" i="1"/>
  <c r="K92" i="1" s="1"/>
  <c r="F93" i="1"/>
  <c r="I92" i="1"/>
  <c r="Q92" i="1"/>
  <c r="O92" i="1"/>
  <c r="AA92" i="1"/>
  <c r="BK94" i="1" l="1"/>
  <c r="BI94" i="1"/>
  <c r="AW94" i="1"/>
  <c r="B93" i="1"/>
  <c r="A93" i="1"/>
  <c r="R93" i="1" s="1"/>
  <c r="AX94" i="1" l="1"/>
  <c r="BF94" i="1"/>
  <c r="AR94" i="1"/>
  <c r="AS94" i="1"/>
  <c r="G93" i="1"/>
  <c r="AU94" i="1" l="1"/>
  <c r="BC94" i="1"/>
  <c r="AY94" i="1" s="1"/>
  <c r="M93" i="1"/>
  <c r="T94" i="1" s="1"/>
  <c r="D93" i="1"/>
  <c r="L93" i="1"/>
  <c r="H93" i="1" s="1"/>
  <c r="S94" i="1" l="1"/>
  <c r="P93" i="1"/>
  <c r="AA93" i="1"/>
  <c r="BA94" i="1" l="1"/>
  <c r="BB94" i="1" s="1"/>
  <c r="AZ94" i="1"/>
  <c r="BD94" i="1"/>
  <c r="BJ95" i="1" s="1"/>
  <c r="F94" i="1"/>
  <c r="J93" i="1"/>
  <c r="K93" i="1" s="1"/>
  <c r="I93" i="1"/>
  <c r="Q93" i="1"/>
  <c r="O93" i="1"/>
  <c r="AW95" i="1" l="1"/>
  <c r="BK95" i="1"/>
  <c r="BI95" i="1"/>
  <c r="A94" i="1"/>
  <c r="R94" i="1" s="1"/>
  <c r="B94" i="1"/>
  <c r="AR95" i="1" l="1"/>
  <c r="AS95" i="1"/>
  <c r="AX95" i="1"/>
  <c r="BF95" i="1"/>
  <c r="G94" i="1"/>
  <c r="BC95" i="1" l="1"/>
  <c r="AY95" i="1" s="1"/>
  <c r="AU95" i="1"/>
  <c r="M94" i="1"/>
  <c r="T95" i="1" s="1"/>
  <c r="D94" i="1"/>
  <c r="L94" i="1"/>
  <c r="H94" i="1" s="1"/>
  <c r="S95" i="1" l="1"/>
  <c r="P94" i="1"/>
  <c r="BA95" i="1" l="1"/>
  <c r="BB95" i="1" s="1"/>
  <c r="AZ95" i="1"/>
  <c r="BD95" i="1"/>
  <c r="BJ96" i="1" s="1"/>
  <c r="F95" i="1"/>
  <c r="I94" i="1"/>
  <c r="J94" i="1"/>
  <c r="K94" i="1" s="1"/>
  <c r="Q94" i="1"/>
  <c r="O94" i="1"/>
  <c r="AA94" i="1"/>
  <c r="BI96" i="1" l="1"/>
  <c r="BK96" i="1"/>
  <c r="AW96" i="1"/>
  <c r="A95" i="1"/>
  <c r="B95" i="1"/>
  <c r="R95" i="1" l="1"/>
  <c r="G95" i="1" s="1"/>
  <c r="BF96" i="1"/>
  <c r="AX96" i="1"/>
  <c r="AR96" i="1"/>
  <c r="AS96" i="1"/>
  <c r="BC96" i="1" l="1"/>
  <c r="AY96" i="1" s="1"/>
  <c r="AU96" i="1"/>
  <c r="M95" i="1"/>
  <c r="T96" i="1" s="1"/>
  <c r="D95" i="1"/>
  <c r="L95" i="1"/>
  <c r="H95" i="1" s="1"/>
  <c r="S96" i="1" l="1"/>
  <c r="P95" i="1"/>
  <c r="AZ96" i="1" l="1"/>
  <c r="BA96" i="1"/>
  <c r="BB96" i="1" s="1"/>
  <c r="BD96" i="1"/>
  <c r="BJ97" i="1" s="1"/>
  <c r="J95" i="1"/>
  <c r="K95" i="1" s="1"/>
  <c r="F96" i="1"/>
  <c r="I95" i="1"/>
  <c r="Q95" i="1"/>
  <c r="O95" i="1"/>
  <c r="AA95" i="1"/>
  <c r="AW97" i="1" l="1"/>
  <c r="BK97" i="1"/>
  <c r="BI97" i="1"/>
  <c r="B96" i="1"/>
  <c r="A96" i="1"/>
  <c r="R96" i="1" s="1"/>
  <c r="AS97" i="1" l="1"/>
  <c r="AR97" i="1"/>
  <c r="AX97" i="1"/>
  <c r="BF97" i="1"/>
  <c r="G96" i="1"/>
  <c r="BC97" i="1" l="1"/>
  <c r="AY97" i="1" s="1"/>
  <c r="AU97" i="1"/>
  <c r="M96" i="1"/>
  <c r="T97" i="1" s="1"/>
  <c r="D96" i="1"/>
  <c r="L96" i="1"/>
  <c r="S97" i="1" l="1"/>
  <c r="H96" i="1"/>
  <c r="AA96" i="1"/>
  <c r="P96" i="1"/>
  <c r="BA97" i="1" l="1"/>
  <c r="BB97" i="1" s="1"/>
  <c r="AZ97" i="1"/>
  <c r="BD97" i="1"/>
  <c r="BJ98" i="1" s="1"/>
  <c r="F97" i="1"/>
  <c r="I96" i="1"/>
  <c r="J96" i="1"/>
  <c r="K96" i="1" s="1"/>
  <c r="Q96" i="1"/>
  <c r="O96" i="1"/>
  <c r="BI98" i="1" l="1"/>
  <c r="AW98" i="1"/>
  <c r="BK98" i="1"/>
  <c r="B97" i="1"/>
  <c r="A97" i="1"/>
  <c r="R97" i="1" s="1"/>
  <c r="G97" i="1" s="1"/>
  <c r="BF98" i="1" l="1"/>
  <c r="AX98" i="1"/>
  <c r="AR98" i="1"/>
  <c r="AS98" i="1"/>
  <c r="L97" i="1"/>
  <c r="H97" i="1" s="1"/>
  <c r="D97" i="1"/>
  <c r="M97" i="1"/>
  <c r="AU98" i="1" l="1"/>
  <c r="BC98" i="1"/>
  <c r="AY98" i="1" s="1"/>
  <c r="P97" i="1"/>
  <c r="T98" i="1"/>
  <c r="S98" i="1" l="1"/>
  <c r="J97" i="1"/>
  <c r="K97" i="1" s="1"/>
  <c r="I97" i="1"/>
  <c r="O97" i="1"/>
  <c r="Q97" i="1"/>
  <c r="AA97" i="1"/>
  <c r="F98" i="1"/>
  <c r="BA98" i="1" l="1"/>
  <c r="BB98" i="1" s="1"/>
  <c r="AZ98" i="1"/>
  <c r="BD98" i="1"/>
  <c r="BJ99" i="1" s="1"/>
  <c r="A98" i="1"/>
  <c r="B98" i="1"/>
  <c r="R98" i="1" l="1"/>
  <c r="G98" i="1" s="1"/>
  <c r="BI99" i="1"/>
  <c r="BK99" i="1"/>
  <c r="AW99" i="1"/>
  <c r="AX99" i="1" l="1"/>
  <c r="BF99" i="1"/>
  <c r="AS99" i="1"/>
  <c r="AR99" i="1"/>
  <c r="M98" i="1"/>
  <c r="L98" i="1"/>
  <c r="H98" i="1" s="1"/>
  <c r="D98" i="1"/>
  <c r="AU99" i="1" l="1"/>
  <c r="BC99" i="1"/>
  <c r="AY99" i="1" s="1"/>
  <c r="T99" i="1"/>
  <c r="P98" i="1"/>
  <c r="S99" i="1" l="1"/>
  <c r="J98" i="1"/>
  <c r="K98" i="1" s="1"/>
  <c r="I98" i="1"/>
  <c r="Q98" i="1"/>
  <c r="O98" i="1"/>
  <c r="AA98" i="1"/>
  <c r="F99" i="1"/>
  <c r="AZ99" i="1" l="1"/>
  <c r="BA99" i="1"/>
  <c r="BB99" i="1" s="1"/>
  <c r="BD99" i="1"/>
  <c r="BJ100" i="1" s="1"/>
  <c r="A99" i="1"/>
  <c r="R99" i="1" s="1"/>
  <c r="B99" i="1"/>
  <c r="AW100" i="1" l="1"/>
  <c r="BK100" i="1"/>
  <c r="BI100" i="1"/>
  <c r="G99" i="1"/>
  <c r="AS100" i="1" l="1"/>
  <c r="AR100" i="1"/>
  <c r="AX100" i="1"/>
  <c r="BF100" i="1"/>
  <c r="M99" i="1"/>
  <c r="T100" i="1" s="1"/>
  <c r="L99" i="1"/>
  <c r="H99" i="1" s="1"/>
  <c r="D99" i="1"/>
  <c r="BC100" i="1" l="1"/>
  <c r="AY100" i="1" s="1"/>
  <c r="AU100" i="1"/>
  <c r="S100" i="1"/>
  <c r="BD100" i="1"/>
  <c r="BJ101" i="1" s="1"/>
  <c r="P99" i="1"/>
  <c r="BK101" i="1" l="1"/>
  <c r="BI101" i="1"/>
  <c r="AW101" i="1"/>
  <c r="AZ100" i="1"/>
  <c r="BA100" i="1"/>
  <c r="BB100" i="1" s="1"/>
  <c r="I99" i="1"/>
  <c r="J99" i="1"/>
  <c r="K99" i="1" s="1"/>
  <c r="F100" i="1"/>
  <c r="O99" i="1"/>
  <c r="Q99" i="1"/>
  <c r="AA99" i="1"/>
  <c r="AX101" i="1" l="1"/>
  <c r="BF101" i="1"/>
  <c r="AR101" i="1"/>
  <c r="AS101" i="1"/>
  <c r="B100" i="1"/>
  <c r="A100" i="1"/>
  <c r="R100" i="1" l="1"/>
  <c r="G100" i="1" s="1"/>
  <c r="BC101" i="1"/>
  <c r="AY101" i="1" s="1"/>
  <c r="AU101" i="1"/>
  <c r="M100" i="1" l="1"/>
  <c r="T101" i="1" s="1"/>
  <c r="L100" i="1"/>
  <c r="D100" i="1"/>
  <c r="S101" i="1" l="1"/>
  <c r="P100" i="1"/>
  <c r="H100" i="1"/>
  <c r="AZ101" i="1" l="1"/>
  <c r="BA101" i="1"/>
  <c r="BB101" i="1" s="1"/>
  <c r="BD101" i="1"/>
  <c r="BJ102" i="1" s="1"/>
  <c r="I100" i="1"/>
  <c r="J100" i="1"/>
  <c r="K100" i="1" s="1"/>
  <c r="F101" i="1"/>
  <c r="O100" i="1"/>
  <c r="Q100" i="1"/>
  <c r="AA100" i="1"/>
  <c r="BI102" i="1" l="1"/>
  <c r="BK102" i="1"/>
  <c r="AW102" i="1"/>
  <c r="A101" i="1"/>
  <c r="B101" i="1"/>
  <c r="R101" i="1" l="1"/>
  <c r="G101" i="1" s="1"/>
  <c r="BF102" i="1"/>
  <c r="AX102" i="1"/>
  <c r="AS102" i="1"/>
  <c r="AR102" i="1"/>
  <c r="AU102" i="1" l="1"/>
  <c r="BC102" i="1"/>
  <c r="AY102" i="1" s="1"/>
  <c r="M101" i="1"/>
  <c r="D101" i="1"/>
  <c r="L101" i="1"/>
  <c r="F102" i="1" l="1"/>
  <c r="T102" i="1"/>
  <c r="P101" i="1"/>
  <c r="AA101" i="1"/>
  <c r="H101" i="1"/>
  <c r="S102" i="1" l="1"/>
  <c r="B102" i="1"/>
  <c r="A102" i="1"/>
  <c r="I101" i="1"/>
  <c r="J101" i="1"/>
  <c r="K101" i="1" s="1"/>
  <c r="O101" i="1"/>
  <c r="R102" i="1" s="1"/>
  <c r="Q101" i="1"/>
  <c r="BA102" i="1" l="1"/>
  <c r="BB102" i="1" s="1"/>
  <c r="AZ102" i="1"/>
  <c r="BD102" i="1"/>
  <c r="BJ103" i="1" s="1"/>
  <c r="G102" i="1"/>
  <c r="BI103" i="1" l="1"/>
  <c r="AW103" i="1"/>
  <c r="BK103" i="1"/>
  <c r="M102" i="1"/>
  <c r="D102" i="1"/>
  <c r="L102" i="1"/>
  <c r="H102" i="1" s="1"/>
  <c r="AX103" i="1" l="1"/>
  <c r="BF103" i="1"/>
  <c r="AR103" i="1"/>
  <c r="AS103" i="1"/>
  <c r="T103" i="1"/>
  <c r="P102" i="1"/>
  <c r="BC103" i="1" l="1"/>
  <c r="AY103" i="1" s="1"/>
  <c r="AU103" i="1"/>
  <c r="S103" i="1"/>
  <c r="J102" i="1"/>
  <c r="K102" i="1" s="1"/>
  <c r="I102" i="1"/>
  <c r="O102" i="1"/>
  <c r="Q102" i="1"/>
  <c r="F103" i="1"/>
  <c r="AA102" i="1"/>
  <c r="BD103" i="1" l="1"/>
  <c r="BJ104" i="1" s="1"/>
  <c r="AZ103" i="1"/>
  <c r="BA103" i="1"/>
  <c r="BB103" i="1" s="1"/>
  <c r="A103" i="1"/>
  <c r="B103" i="1"/>
  <c r="R103" i="1" l="1"/>
  <c r="G103" i="1" s="1"/>
  <c r="BI104" i="1"/>
  <c r="BK104" i="1"/>
  <c r="AW104" i="1"/>
  <c r="BF104" i="1" l="1"/>
  <c r="AX104" i="1"/>
  <c r="AR104" i="1"/>
  <c r="AS104" i="1"/>
  <c r="M103" i="1"/>
  <c r="T104" i="1" s="1"/>
  <c r="L103" i="1"/>
  <c r="D103" i="1"/>
  <c r="BC104" i="1" l="1"/>
  <c r="AU104" i="1"/>
  <c r="S104" i="1"/>
  <c r="P103" i="1"/>
  <c r="H103" i="1"/>
  <c r="BD104" i="1" l="1"/>
  <c r="BA104" i="1"/>
  <c r="BB104" i="1" s="1"/>
  <c r="AY104" i="1"/>
  <c r="AZ104" i="1"/>
  <c r="I103" i="1"/>
  <c r="J103" i="1"/>
  <c r="K103" i="1" s="1"/>
  <c r="F104" i="1"/>
  <c r="O103" i="1"/>
  <c r="Q103" i="1"/>
  <c r="AA103" i="1"/>
  <c r="BI105" i="1" l="1"/>
  <c r="BJ105" i="1"/>
  <c r="BK105" i="1"/>
  <c r="AW105" i="1"/>
  <c r="A104" i="1"/>
  <c r="B104" i="1"/>
  <c r="R104" i="1" l="1"/>
  <c r="G104" i="1" s="1"/>
  <c r="AX105" i="1"/>
  <c r="AU105" i="1" s="1"/>
  <c r="BF105" i="1"/>
  <c r="AS105" i="1"/>
  <c r="AR105" i="1"/>
  <c r="BC105" i="1" l="1"/>
  <c r="AY105" i="1" s="1"/>
  <c r="M104" i="1"/>
  <c r="T105" i="1" s="1"/>
  <c r="D104" i="1"/>
  <c r="L104" i="1"/>
  <c r="H104" i="1" s="1"/>
  <c r="S105" i="1" l="1"/>
  <c r="P104" i="1"/>
  <c r="BA105" i="1" l="1"/>
  <c r="BB105" i="1" s="1"/>
  <c r="AZ105" i="1"/>
  <c r="BD105" i="1"/>
  <c r="BJ106" i="1" s="1"/>
  <c r="F105" i="1"/>
  <c r="J104" i="1"/>
  <c r="K104" i="1" s="1"/>
  <c r="I104" i="1"/>
  <c r="O104" i="1"/>
  <c r="Q104" i="1"/>
  <c r="AA104" i="1"/>
  <c r="AW106" i="1" l="1"/>
  <c r="BK106" i="1"/>
  <c r="BI106" i="1"/>
  <c r="B105" i="1"/>
  <c r="A105" i="1"/>
  <c r="R105" i="1" l="1"/>
  <c r="G105" i="1" s="1"/>
  <c r="AR106" i="1"/>
  <c r="AS106" i="1"/>
  <c r="BF106" i="1"/>
  <c r="AX106" i="1"/>
  <c r="AU106" i="1" l="1"/>
  <c r="BC106" i="1"/>
  <c r="AY106" i="1" s="1"/>
  <c r="M105" i="1"/>
  <c r="T106" i="1" s="1"/>
  <c r="L105" i="1"/>
  <c r="H105" i="1" s="1"/>
  <c r="D105" i="1"/>
  <c r="S106" i="1" l="1"/>
  <c r="P105" i="1"/>
  <c r="BA106" i="1" l="1"/>
  <c r="BB106" i="1" s="1"/>
  <c r="AZ106" i="1"/>
  <c r="BD106" i="1"/>
  <c r="BJ107" i="1" s="1"/>
  <c r="F106" i="1"/>
  <c r="I105" i="1"/>
  <c r="J105" i="1"/>
  <c r="K105" i="1" s="1"/>
  <c r="O105" i="1"/>
  <c r="Q105" i="1"/>
  <c r="AA105" i="1"/>
  <c r="AW107" i="1" l="1"/>
  <c r="BI107" i="1"/>
  <c r="BK107" i="1"/>
  <c r="B106" i="1"/>
  <c r="A106" i="1"/>
  <c r="R106" i="1" s="1"/>
  <c r="AR107" i="1" l="1"/>
  <c r="AS107" i="1"/>
  <c r="AX107" i="1"/>
  <c r="BF107" i="1"/>
  <c r="G106" i="1"/>
  <c r="BC107" i="1" l="1"/>
  <c r="AY107" i="1" s="1"/>
  <c r="AU107" i="1"/>
  <c r="M106" i="1"/>
  <c r="T107" i="1" s="1"/>
  <c r="L106" i="1"/>
  <c r="H106" i="1" s="1"/>
  <c r="D106" i="1"/>
  <c r="S107" i="1" l="1"/>
  <c r="P106" i="1"/>
  <c r="AA106" i="1"/>
  <c r="BA107" i="1" l="1"/>
  <c r="BB107" i="1" s="1"/>
  <c r="AZ107" i="1"/>
  <c r="BD107" i="1"/>
  <c r="BJ108" i="1" s="1"/>
  <c r="I106" i="1"/>
  <c r="J106" i="1"/>
  <c r="K106" i="1" s="1"/>
  <c r="F107" i="1"/>
  <c r="O106" i="1"/>
  <c r="Q106" i="1"/>
  <c r="BI108" i="1" l="1"/>
  <c r="AW108" i="1"/>
  <c r="BK108" i="1"/>
  <c r="A107" i="1"/>
  <c r="B107" i="1"/>
  <c r="R107" i="1" l="1"/>
  <c r="G107" i="1" s="1"/>
  <c r="AX108" i="1"/>
  <c r="BF108" i="1"/>
  <c r="AR108" i="1"/>
  <c r="AS108" i="1"/>
  <c r="BC108" i="1" l="1"/>
  <c r="AY108" i="1" s="1"/>
  <c r="AU108" i="1"/>
  <c r="M107" i="1"/>
  <c r="T108" i="1" s="1"/>
  <c r="D107" i="1"/>
  <c r="L107" i="1"/>
  <c r="S108" i="1" l="1"/>
  <c r="P107" i="1"/>
  <c r="H107" i="1"/>
  <c r="BA108" i="1" l="1"/>
  <c r="BB108" i="1" s="1"/>
  <c r="AZ108" i="1"/>
  <c r="BD108" i="1"/>
  <c r="BJ109" i="1" s="1"/>
  <c r="I107" i="1"/>
  <c r="J107" i="1"/>
  <c r="K107" i="1" s="1"/>
  <c r="F108" i="1"/>
  <c r="O107" i="1"/>
  <c r="Q107" i="1"/>
  <c r="AA107" i="1"/>
  <c r="AW109" i="1" l="1"/>
  <c r="BK109" i="1"/>
  <c r="BI109" i="1"/>
  <c r="B108" i="1"/>
  <c r="A108" i="1"/>
  <c r="R108" i="1" s="1"/>
  <c r="AR109" i="1" l="1"/>
  <c r="AS109" i="1"/>
  <c r="AX109" i="1"/>
  <c r="BF109" i="1"/>
  <c r="G108" i="1"/>
  <c r="AU109" i="1" l="1"/>
  <c r="BC109" i="1"/>
  <c r="AY109" i="1" s="1"/>
  <c r="M108" i="1"/>
  <c r="T109" i="1" s="1"/>
  <c r="L108" i="1"/>
  <c r="H108" i="1" s="1"/>
  <c r="D108" i="1"/>
  <c r="S109" i="1" l="1"/>
  <c r="P108" i="1"/>
  <c r="AZ109" i="1" l="1"/>
  <c r="BA109" i="1"/>
  <c r="BB109" i="1" s="1"/>
  <c r="BD109" i="1"/>
  <c r="BJ110" i="1" s="1"/>
  <c r="J108" i="1"/>
  <c r="K108" i="1" s="1"/>
  <c r="F109" i="1"/>
  <c r="I108" i="1"/>
  <c r="O108" i="1"/>
  <c r="Q108" i="1"/>
  <c r="AA108" i="1"/>
  <c r="BI110" i="1" l="1"/>
  <c r="AW110" i="1"/>
  <c r="BK110" i="1"/>
  <c r="A109" i="1"/>
  <c r="B109" i="1"/>
  <c r="R109" i="1" l="1"/>
  <c r="G109" i="1" s="1"/>
  <c r="BF110" i="1"/>
  <c r="AX110" i="1"/>
  <c r="AR110" i="1"/>
  <c r="AS110" i="1"/>
  <c r="AU110" i="1" l="1"/>
  <c r="BC110" i="1"/>
  <c r="AY110" i="1" s="1"/>
  <c r="M109" i="1"/>
  <c r="T110" i="1" s="1"/>
  <c r="L109" i="1"/>
  <c r="D109" i="1"/>
  <c r="S110" i="1" l="1"/>
  <c r="P109" i="1"/>
  <c r="AA109" i="1"/>
  <c r="H109" i="1"/>
  <c r="BA110" i="1" l="1"/>
  <c r="BB110" i="1" s="1"/>
  <c r="AZ110" i="1"/>
  <c r="BD110" i="1"/>
  <c r="BJ111" i="1" s="1"/>
  <c r="J109" i="1"/>
  <c r="K109" i="1" s="1"/>
  <c r="I109" i="1"/>
  <c r="F110" i="1"/>
  <c r="O109" i="1"/>
  <c r="Q109" i="1"/>
  <c r="BI111" i="1" l="1"/>
  <c r="AW111" i="1"/>
  <c r="BK111" i="1"/>
  <c r="B110" i="1"/>
  <c r="A110" i="1"/>
  <c r="R110" i="1" s="1"/>
  <c r="G110" i="1" s="1"/>
  <c r="AX111" i="1" l="1"/>
  <c r="BF111" i="1"/>
  <c r="AR111" i="1"/>
  <c r="AS111" i="1"/>
  <c r="L110" i="1"/>
  <c r="D110" i="1"/>
  <c r="M110" i="1"/>
  <c r="BC111" i="1" l="1"/>
  <c r="AY111" i="1" s="1"/>
  <c r="AU111" i="1"/>
  <c r="P110" i="1"/>
  <c r="H110" i="1"/>
  <c r="T111" i="1"/>
  <c r="S111" i="1" l="1"/>
  <c r="J110" i="1"/>
  <c r="K110" i="1" s="1"/>
  <c r="I110" i="1"/>
  <c r="O110" i="1"/>
  <c r="Q110" i="1"/>
  <c r="F111" i="1"/>
  <c r="AA110" i="1"/>
  <c r="AZ111" i="1" l="1"/>
  <c r="BA111" i="1"/>
  <c r="BB111" i="1" s="1"/>
  <c r="BD111" i="1"/>
  <c r="BJ112" i="1" s="1"/>
  <c r="B111" i="1"/>
  <c r="A111" i="1"/>
  <c r="R111" i="1" s="1"/>
  <c r="G111" i="1" s="1"/>
  <c r="BK112" i="1" l="1"/>
  <c r="BI112" i="1"/>
  <c r="AW112" i="1"/>
  <c r="D111" i="1"/>
  <c r="L111" i="1"/>
  <c r="M111" i="1"/>
  <c r="AX112" i="1" l="1"/>
  <c r="BF112" i="1"/>
  <c r="AR112" i="1"/>
  <c r="AS112" i="1"/>
  <c r="P111" i="1"/>
  <c r="AA111" i="1"/>
  <c r="H111" i="1"/>
  <c r="F112" i="1"/>
  <c r="T112" i="1"/>
  <c r="BC112" i="1" l="1"/>
  <c r="AY112" i="1" s="1"/>
  <c r="AU112" i="1"/>
  <c r="S112" i="1"/>
  <c r="I111" i="1"/>
  <c r="J111" i="1"/>
  <c r="K111" i="1" s="1"/>
  <c r="Q111" i="1"/>
  <c r="O111" i="1"/>
  <c r="R112" i="1" s="1"/>
  <c r="B112" i="1"/>
  <c r="A112" i="1"/>
  <c r="BD112" i="1" l="1"/>
  <c r="BJ113" i="1" s="1"/>
  <c r="AZ112" i="1"/>
  <c r="BA112" i="1"/>
  <c r="BB112" i="1" s="1"/>
  <c r="G112" i="1"/>
  <c r="AW113" i="1" l="1"/>
  <c r="BK113" i="1"/>
  <c r="BI113" i="1"/>
  <c r="M112" i="1"/>
  <c r="T113" i="1" s="1"/>
  <c r="D112" i="1"/>
  <c r="L112" i="1"/>
  <c r="H112" i="1" s="1"/>
  <c r="AR113" i="1" l="1"/>
  <c r="AS113" i="1"/>
  <c r="AX113" i="1"/>
  <c r="BF113" i="1"/>
  <c r="S113" i="1"/>
  <c r="P112" i="1"/>
  <c r="BD113" i="1" l="1"/>
  <c r="BA113" i="1"/>
  <c r="BC113" i="1"/>
  <c r="AU113" i="1"/>
  <c r="F113" i="1"/>
  <c r="J112" i="1"/>
  <c r="K112" i="1" s="1"/>
  <c r="I112" i="1"/>
  <c r="O112" i="1"/>
  <c r="Q112" i="1"/>
  <c r="AA112" i="1"/>
  <c r="BK114" i="1" l="1"/>
  <c r="BJ114" i="1"/>
  <c r="BI114" i="1"/>
  <c r="AW114" i="1"/>
  <c r="AY113" i="1"/>
  <c r="AZ113" i="1"/>
  <c r="BB113" i="1"/>
  <c r="A113" i="1"/>
  <c r="B113" i="1"/>
  <c r="R113" i="1" l="1"/>
  <c r="AX114" i="1"/>
  <c r="AU114" i="1" s="1"/>
  <c r="BF114" i="1"/>
  <c r="AR114" i="1"/>
  <c r="AS114" i="1"/>
  <c r="G113" i="1" l="1"/>
  <c r="M113" i="1" s="1"/>
  <c r="BC114" i="1"/>
  <c r="AY114" i="1" s="1"/>
  <c r="L113" i="1" l="1"/>
  <c r="I113" i="1" s="1"/>
  <c r="D113" i="1"/>
  <c r="F114" i="1"/>
  <c r="T114" i="1"/>
  <c r="S114" i="1" s="1"/>
  <c r="J113" i="1"/>
  <c r="O113" i="1"/>
  <c r="Q113" i="1"/>
  <c r="K113" i="1" l="1"/>
  <c r="P113" i="1"/>
  <c r="H113" i="1"/>
  <c r="AA113" i="1"/>
  <c r="A114" i="1"/>
  <c r="R114" i="1" s="1"/>
  <c r="G114" i="1" s="1"/>
  <c r="B114" i="1"/>
  <c r="BA114" i="1"/>
  <c r="BB114" i="1" s="1"/>
  <c r="AZ114" i="1"/>
  <c r="BD114" i="1"/>
  <c r="BJ115" i="1" s="1"/>
  <c r="BK115" i="1" l="1"/>
  <c r="BI115" i="1"/>
  <c r="AW115" i="1"/>
  <c r="M114" i="1"/>
  <c r="T115" i="1" s="1"/>
  <c r="D114" i="1"/>
  <c r="L114" i="1"/>
  <c r="BF115" i="1" l="1"/>
  <c r="AX115" i="1"/>
  <c r="AR115" i="1"/>
  <c r="AS115" i="1"/>
  <c r="S115" i="1"/>
  <c r="P114" i="1"/>
  <c r="H114" i="1"/>
  <c r="BD115" i="1" l="1"/>
  <c r="BA115" i="1"/>
  <c r="BC115" i="1"/>
  <c r="AU115" i="1"/>
  <c r="J114" i="1"/>
  <c r="K114" i="1" s="1"/>
  <c r="I114" i="1"/>
  <c r="F115" i="1"/>
  <c r="O114" i="1"/>
  <c r="Q114" i="1"/>
  <c r="AA114" i="1"/>
  <c r="BK116" i="1" l="1"/>
  <c r="BJ116" i="1"/>
  <c r="BI116" i="1"/>
  <c r="AW116" i="1"/>
  <c r="BB115" i="1"/>
  <c r="AZ115" i="1"/>
  <c r="AY115" i="1"/>
  <c r="A115" i="1"/>
  <c r="B115" i="1"/>
  <c r="R115" i="1" l="1"/>
  <c r="G115" i="1" s="1"/>
  <c r="BF116" i="1"/>
  <c r="AX116" i="1"/>
  <c r="AU116" i="1" s="1"/>
  <c r="AS116" i="1"/>
  <c r="AR116" i="1"/>
  <c r="BC116" i="1" l="1"/>
  <c r="AY116" i="1" s="1"/>
  <c r="M115" i="1"/>
  <c r="L115" i="1"/>
  <c r="D115" i="1"/>
  <c r="T116" i="1" l="1"/>
  <c r="P115" i="1"/>
  <c r="H115" i="1"/>
  <c r="S116" i="1" l="1"/>
  <c r="I115" i="1"/>
  <c r="J115" i="1"/>
  <c r="K115" i="1" s="1"/>
  <c r="O115" i="1"/>
  <c r="Q115" i="1"/>
  <c r="F116" i="1"/>
  <c r="AA115" i="1"/>
  <c r="BA116" i="1" l="1"/>
  <c r="BB116" i="1" s="1"/>
  <c r="AZ116" i="1"/>
  <c r="BD116" i="1"/>
  <c r="BJ117" i="1" s="1"/>
  <c r="A116" i="1"/>
  <c r="R116" i="1" s="1"/>
  <c r="B116" i="1"/>
  <c r="BI117" i="1" l="1"/>
  <c r="AW117" i="1"/>
  <c r="BK117" i="1"/>
  <c r="G116" i="1"/>
  <c r="AX117" i="1" l="1"/>
  <c r="BF117" i="1"/>
  <c r="AS117" i="1"/>
  <c r="AR117" i="1"/>
  <c r="M116" i="1"/>
  <c r="T117" i="1" s="1"/>
  <c r="L116" i="1"/>
  <c r="D116" i="1"/>
  <c r="BC117" i="1" l="1"/>
  <c r="AY117" i="1" s="1"/>
  <c r="AU117" i="1"/>
  <c r="S117" i="1"/>
  <c r="P116" i="1"/>
  <c r="H116" i="1"/>
  <c r="BD117" i="1" l="1"/>
  <c r="BJ118" i="1" s="1"/>
  <c r="AZ117" i="1"/>
  <c r="BA117" i="1"/>
  <c r="BB117" i="1" s="1"/>
  <c r="J116" i="1"/>
  <c r="K116" i="1" s="1"/>
  <c r="I116" i="1"/>
  <c r="F117" i="1"/>
  <c r="Q116" i="1"/>
  <c r="O116" i="1"/>
  <c r="AA116" i="1"/>
  <c r="AW118" i="1" l="1"/>
  <c r="BI118" i="1"/>
  <c r="BK118" i="1"/>
  <c r="B117" i="1"/>
  <c r="A117" i="1"/>
  <c r="R117" i="1" s="1"/>
  <c r="G117" i="1" s="1"/>
  <c r="AR118" i="1" l="1"/>
  <c r="AS118" i="1"/>
  <c r="AX118" i="1"/>
  <c r="BF118" i="1"/>
  <c r="L117" i="1"/>
  <c r="D117" i="1"/>
  <c r="M117" i="1"/>
  <c r="BC118" i="1" l="1"/>
  <c r="AY118" i="1" s="1"/>
  <c r="AU118" i="1"/>
  <c r="P117" i="1"/>
  <c r="H117" i="1"/>
  <c r="F118" i="1"/>
  <c r="T118" i="1"/>
  <c r="S118" i="1" l="1"/>
  <c r="I117" i="1"/>
  <c r="J117" i="1"/>
  <c r="K117" i="1" s="1"/>
  <c r="O117" i="1"/>
  <c r="Q117" i="1"/>
  <c r="B118" i="1"/>
  <c r="A118" i="1"/>
  <c r="AA117" i="1"/>
  <c r="R118" i="1" l="1"/>
  <c r="G118" i="1" s="1"/>
  <c r="BA118" i="1"/>
  <c r="BB118" i="1" s="1"/>
  <c r="AZ118" i="1"/>
  <c r="BD118" i="1"/>
  <c r="BJ119" i="1" s="1"/>
  <c r="BI119" i="1" l="1"/>
  <c r="BK119" i="1"/>
  <c r="AW119" i="1"/>
  <c r="M118" i="1"/>
  <c r="Q118" i="1" s="1"/>
  <c r="D118" i="1"/>
  <c r="L118" i="1"/>
  <c r="J118" i="1"/>
  <c r="O118" i="1"/>
  <c r="I118" i="1" l="1"/>
  <c r="P118" i="1"/>
  <c r="AX119" i="1"/>
  <c r="BF119" i="1"/>
  <c r="AS119" i="1"/>
  <c r="AR119" i="1"/>
  <c r="F119" i="1"/>
  <c r="T119" i="1"/>
  <c r="K118" i="1"/>
  <c r="AA118" i="1"/>
  <c r="H118" i="1"/>
  <c r="BC119" i="1" l="1"/>
  <c r="AY119" i="1" s="1"/>
  <c r="AU119" i="1"/>
  <c r="S119" i="1"/>
  <c r="A119" i="1"/>
  <c r="R119" i="1" s="1"/>
  <c r="G119" i="1" s="1"/>
  <c r="B119" i="1"/>
  <c r="BD119" i="1" l="1"/>
  <c r="BJ120" i="1" s="1"/>
  <c r="AZ119" i="1"/>
  <c r="BA119" i="1"/>
  <c r="BB119" i="1" s="1"/>
  <c r="M119" i="1"/>
  <c r="T120" i="1" s="1"/>
  <c r="S120" i="1" s="1"/>
  <c r="D119" i="1"/>
  <c r="L119" i="1"/>
  <c r="BK120" i="1" l="1"/>
  <c r="AW120" i="1"/>
  <c r="BI120" i="1"/>
  <c r="H119" i="1"/>
  <c r="P119" i="1"/>
  <c r="AA119" i="1"/>
  <c r="AR120" i="1" l="1"/>
  <c r="AS120" i="1"/>
  <c r="AX120" i="1"/>
  <c r="BD120" i="1" s="1"/>
  <c r="BJ121" i="1" s="1"/>
  <c r="BF120" i="1"/>
  <c r="F120" i="1"/>
  <c r="I119" i="1"/>
  <c r="J119" i="1"/>
  <c r="K119" i="1" s="1"/>
  <c r="O119" i="1"/>
  <c r="Q119" i="1"/>
  <c r="AW121" i="1" l="1"/>
  <c r="BI121" i="1"/>
  <c r="BK121" i="1"/>
  <c r="BA120" i="1"/>
  <c r="BC120" i="1"/>
  <c r="AU120" i="1"/>
  <c r="B120" i="1"/>
  <c r="A120" i="1"/>
  <c r="R120" i="1" l="1"/>
  <c r="G120" i="1" s="1"/>
  <c r="AS121" i="1"/>
  <c r="AR121" i="1"/>
  <c r="AX121" i="1"/>
  <c r="BF121" i="1"/>
  <c r="BB120" i="1"/>
  <c r="AZ120" i="1"/>
  <c r="AY120" i="1"/>
  <c r="BC121" i="1" l="1"/>
  <c r="AY121" i="1" s="1"/>
  <c r="AU121" i="1"/>
  <c r="M120" i="1"/>
  <c r="T121" i="1" s="1"/>
  <c r="L120" i="1"/>
  <c r="D120" i="1"/>
  <c r="S121" i="1" l="1"/>
  <c r="H120" i="1"/>
  <c r="P120" i="1"/>
  <c r="AA120" i="1"/>
  <c r="AZ121" i="1" l="1"/>
  <c r="BA121" i="1"/>
  <c r="BB121" i="1" s="1"/>
  <c r="BD121" i="1"/>
  <c r="BJ122" i="1" s="1"/>
  <c r="F121" i="1"/>
  <c r="J120" i="1"/>
  <c r="K120" i="1" s="1"/>
  <c r="I120" i="1"/>
  <c r="O120" i="1"/>
  <c r="Q120" i="1"/>
  <c r="AW122" i="1" l="1"/>
  <c r="BI122" i="1"/>
  <c r="BK122" i="1"/>
  <c r="A121" i="1"/>
  <c r="B121" i="1"/>
  <c r="R121" i="1" l="1"/>
  <c r="G121" i="1" s="1"/>
  <c r="AR122" i="1"/>
  <c r="AS122" i="1"/>
  <c r="AX122" i="1"/>
  <c r="BF122" i="1"/>
  <c r="BC122" i="1" l="1"/>
  <c r="AY122" i="1" s="1"/>
  <c r="AU122" i="1"/>
  <c r="M121" i="1"/>
  <c r="D121" i="1"/>
  <c r="L121" i="1"/>
  <c r="H121" i="1" l="1"/>
  <c r="F122" i="1"/>
  <c r="T122" i="1"/>
  <c r="P121" i="1"/>
  <c r="AA121" i="1"/>
  <c r="S122" i="1" l="1"/>
  <c r="A122" i="1"/>
  <c r="B122" i="1"/>
  <c r="J121" i="1"/>
  <c r="K121" i="1" s="1"/>
  <c r="I121" i="1"/>
  <c r="O121" i="1"/>
  <c r="Q121" i="1"/>
  <c r="R122" i="1" l="1"/>
  <c r="G122" i="1" s="1"/>
  <c r="BA122" i="1"/>
  <c r="BB122" i="1" s="1"/>
  <c r="AZ122" i="1"/>
  <c r="BD122" i="1"/>
  <c r="BJ123" i="1" s="1"/>
  <c r="AW123" i="1" l="1"/>
  <c r="BK123" i="1"/>
  <c r="BI123" i="1"/>
  <c r="M122" i="1"/>
  <c r="L122" i="1"/>
  <c r="H122" i="1" s="1"/>
  <c r="D122" i="1"/>
  <c r="AR123" i="1" l="1"/>
  <c r="AS123" i="1"/>
  <c r="AX123" i="1"/>
  <c r="BF123" i="1"/>
  <c r="F123" i="1"/>
  <c r="T123" i="1"/>
  <c r="P122" i="1"/>
  <c r="K8" i="6"/>
  <c r="BC123" i="1" l="1"/>
  <c r="AY123" i="1" s="1"/>
  <c r="AU123" i="1"/>
  <c r="S123" i="1"/>
  <c r="A123" i="1"/>
  <c r="B123" i="1"/>
  <c r="I122" i="1"/>
  <c r="J122" i="1"/>
  <c r="K122" i="1" s="1"/>
  <c r="O122" i="1"/>
  <c r="R123" i="1" s="1"/>
  <c r="Q122" i="1"/>
  <c r="AA122" i="1"/>
  <c r="BD123" i="1" l="1"/>
  <c r="BJ124" i="1" s="1"/>
  <c r="AZ123" i="1"/>
  <c r="BA123" i="1"/>
  <c r="BB123" i="1" s="1"/>
  <c r="G123" i="1"/>
  <c r="BK124" i="1" l="1"/>
  <c r="AW124" i="1"/>
  <c r="BI124" i="1"/>
  <c r="M123" i="1"/>
  <c r="T124" i="1" s="1"/>
  <c r="L123" i="1"/>
  <c r="D123" i="1"/>
  <c r="H123" i="1" l="1"/>
  <c r="AR124" i="1"/>
  <c r="AS124" i="1"/>
  <c r="AX124" i="1"/>
  <c r="BF124" i="1"/>
  <c r="S124" i="1"/>
  <c r="P123" i="1"/>
  <c r="AA123" i="1"/>
  <c r="BD124" i="1" l="1"/>
  <c r="BC124" i="1"/>
  <c r="AU124" i="1"/>
  <c r="BA124" i="1"/>
  <c r="J123" i="1"/>
  <c r="I123" i="1"/>
  <c r="F124" i="1"/>
  <c r="O123" i="1"/>
  <c r="Q123" i="1"/>
  <c r="K123" i="1" l="1"/>
  <c r="BK125" i="1"/>
  <c r="BJ125" i="1"/>
  <c r="BB124" i="1"/>
  <c r="AW125" i="1"/>
  <c r="BI125" i="1"/>
  <c r="AY124" i="1"/>
  <c r="AZ124" i="1"/>
  <c r="B124" i="1"/>
  <c r="A124" i="1"/>
  <c r="R124" i="1" s="1"/>
  <c r="AR125" i="1" l="1"/>
  <c r="AS125" i="1"/>
  <c r="BF125" i="1"/>
  <c r="AX125" i="1"/>
  <c r="AU125" i="1" s="1"/>
  <c r="G124" i="1"/>
  <c r="BC125" i="1" l="1"/>
  <c r="AY125" i="1" s="1"/>
  <c r="M124" i="1"/>
  <c r="T125" i="1" s="1"/>
  <c r="L124" i="1"/>
  <c r="D124" i="1"/>
  <c r="H124" i="1" l="1"/>
  <c r="S125" i="1"/>
  <c r="P124" i="1"/>
  <c r="AZ125" i="1" l="1"/>
  <c r="BA125" i="1"/>
  <c r="BB125" i="1" s="1"/>
  <c r="BD125" i="1"/>
  <c r="BJ126" i="1" s="1"/>
  <c r="I124" i="1"/>
  <c r="J124" i="1"/>
  <c r="F125" i="1"/>
  <c r="O124" i="1"/>
  <c r="Q124" i="1"/>
  <c r="AA124" i="1"/>
  <c r="K124" i="1" l="1"/>
  <c r="BK126" i="1"/>
  <c r="BI126" i="1"/>
  <c r="AW126" i="1"/>
  <c r="B125" i="1"/>
  <c r="A125" i="1"/>
  <c r="R125" i="1" l="1"/>
  <c r="G125" i="1" s="1"/>
  <c r="AX126" i="1"/>
  <c r="BF126" i="1"/>
  <c r="AR126" i="1"/>
  <c r="AS126" i="1"/>
  <c r="BC126" i="1" l="1"/>
  <c r="AY126" i="1" s="1"/>
  <c r="AU126" i="1"/>
  <c r="M125" i="1"/>
  <c r="T126" i="1" s="1"/>
  <c r="L125" i="1"/>
  <c r="D125" i="1"/>
  <c r="H125" i="1" l="1"/>
  <c r="S126" i="1"/>
  <c r="P125" i="1"/>
  <c r="BA126" i="1" l="1"/>
  <c r="BB126" i="1" s="1"/>
  <c r="AZ126" i="1"/>
  <c r="BD126" i="1"/>
  <c r="BJ127" i="1" s="1"/>
  <c r="J125" i="1"/>
  <c r="I125" i="1"/>
  <c r="F126" i="1"/>
  <c r="O125" i="1"/>
  <c r="Q125" i="1"/>
  <c r="AA125" i="1"/>
  <c r="K125" i="1" l="1"/>
  <c r="BK127" i="1"/>
  <c r="BI127" i="1"/>
  <c r="AW127" i="1"/>
  <c r="A126" i="1"/>
  <c r="R126" i="1" s="1"/>
  <c r="B126" i="1"/>
  <c r="AX127" i="1" l="1"/>
  <c r="BF127" i="1"/>
  <c r="AR127" i="1"/>
  <c r="AS127" i="1"/>
  <c r="G126" i="1"/>
  <c r="BC127" i="1" l="1"/>
  <c r="AY127" i="1" s="1"/>
  <c r="AU127" i="1"/>
  <c r="M126" i="1"/>
  <c r="T127" i="1" s="1"/>
  <c r="D126" i="1"/>
  <c r="L126" i="1"/>
  <c r="H126" i="1" s="1"/>
  <c r="S127" i="1" l="1"/>
  <c r="P126" i="1"/>
  <c r="AA126" i="1"/>
  <c r="BA127" i="1" l="1"/>
  <c r="BB127" i="1" s="1"/>
  <c r="AZ127" i="1"/>
  <c r="BD127" i="1"/>
  <c r="BJ128" i="1" s="1"/>
  <c r="I126" i="1"/>
  <c r="F127" i="1"/>
  <c r="J126" i="1"/>
  <c r="K126" i="1" s="1"/>
  <c r="O126" i="1"/>
  <c r="Q126" i="1"/>
  <c r="BK128" i="1" l="1"/>
  <c r="BI128" i="1"/>
  <c r="AW128" i="1"/>
  <c r="A127" i="1"/>
  <c r="B127" i="1"/>
  <c r="R127" i="1" l="1"/>
  <c r="G127" i="1" s="1"/>
  <c r="AX128" i="1"/>
  <c r="BF128" i="1"/>
  <c r="AR128" i="1"/>
  <c r="AS128" i="1"/>
  <c r="BC128" i="1" l="1"/>
  <c r="AY128" i="1" s="1"/>
  <c r="AU128" i="1"/>
  <c r="M127" i="1"/>
  <c r="T128" i="1" s="1"/>
  <c r="D127" i="1"/>
  <c r="L127" i="1"/>
  <c r="H127" i="1" s="1"/>
  <c r="S128" i="1" l="1"/>
  <c r="P127" i="1"/>
  <c r="BA128" i="1" l="1"/>
  <c r="BB128" i="1" s="1"/>
  <c r="AZ128" i="1"/>
  <c r="BD128" i="1"/>
  <c r="BJ129" i="1" s="1"/>
  <c r="J127" i="1"/>
  <c r="K127" i="1" s="1"/>
  <c r="I127" i="1"/>
  <c r="F128" i="1"/>
  <c r="O127" i="1"/>
  <c r="Q127" i="1"/>
  <c r="AA127" i="1"/>
  <c r="BK129" i="1" l="1"/>
  <c r="BI129" i="1"/>
  <c r="AW129" i="1"/>
  <c r="A128" i="1"/>
  <c r="B128" i="1"/>
  <c r="R128" i="1" l="1"/>
  <c r="G128" i="1" s="1"/>
  <c r="AX129" i="1"/>
  <c r="AS129" i="1"/>
  <c r="AR129" i="1"/>
  <c r="BC129" i="1" l="1"/>
  <c r="AY129" i="1" s="1"/>
  <c r="AU129" i="1"/>
  <c r="M128" i="1"/>
  <c r="T129" i="1" s="1"/>
  <c r="D128" i="1"/>
  <c r="L128" i="1"/>
  <c r="H128" i="1" s="1"/>
  <c r="S129" i="1" l="1"/>
  <c r="P128" i="1"/>
  <c r="BA129" i="1" l="1"/>
  <c r="BB129" i="1" s="1"/>
  <c r="AZ129" i="1"/>
  <c r="BD129" i="1"/>
  <c r="BJ130" i="1" s="1"/>
  <c r="I128" i="1"/>
  <c r="J128" i="1"/>
  <c r="K128" i="1" s="1"/>
  <c r="F129" i="1"/>
  <c r="Q128" i="1"/>
  <c r="O128" i="1"/>
  <c r="AA128" i="1"/>
  <c r="BK130" i="1" l="1"/>
  <c r="BI130" i="1"/>
  <c r="AW130" i="1"/>
  <c r="A129" i="1"/>
  <c r="B129" i="1"/>
  <c r="R129" i="1" l="1"/>
  <c r="G129" i="1" s="1"/>
  <c r="AX130" i="1"/>
  <c r="BF130" i="1"/>
  <c r="AR130" i="1"/>
  <c r="AS130" i="1"/>
  <c r="BC130" i="1" l="1"/>
  <c r="AY130" i="1" s="1"/>
  <c r="AU130" i="1"/>
  <c r="M129" i="1"/>
  <c r="D129" i="1"/>
  <c r="L129" i="1"/>
  <c r="T130" i="1" l="1"/>
  <c r="P129" i="1"/>
  <c r="H129" i="1"/>
  <c r="S130" i="1" l="1"/>
  <c r="F130" i="1"/>
  <c r="I129" i="1"/>
  <c r="J129" i="1"/>
  <c r="K129" i="1" s="1"/>
  <c r="Q129" i="1"/>
  <c r="AA129" i="1"/>
  <c r="BA130" i="1" l="1"/>
  <c r="BB130" i="1" s="1"/>
  <c r="AZ130" i="1"/>
  <c r="BD130" i="1"/>
  <c r="BJ131" i="1" s="1"/>
  <c r="A130" i="1"/>
  <c r="B130" i="1"/>
  <c r="R130" i="1" l="1"/>
  <c r="G130" i="1" s="1"/>
  <c r="BI131" i="1"/>
  <c r="BK131" i="1"/>
  <c r="AW131" i="1"/>
  <c r="AX131" i="1" l="1"/>
  <c r="BF131" i="1"/>
  <c r="AR131" i="1"/>
  <c r="AS131" i="1"/>
  <c r="M130" i="1"/>
  <c r="T131" i="1" s="1"/>
  <c r="D130" i="1"/>
  <c r="L130" i="1"/>
  <c r="H130" i="1" s="1"/>
  <c r="AU131" i="1" l="1"/>
  <c r="BC131" i="1"/>
  <c r="AY131" i="1" s="1"/>
  <c r="S131" i="1"/>
  <c r="P130" i="1"/>
  <c r="BD131" i="1" l="1"/>
  <c r="BJ132" i="1" s="1"/>
  <c r="AZ131" i="1"/>
  <c r="BA131" i="1"/>
  <c r="BB131" i="1" s="1"/>
  <c r="J130" i="1"/>
  <c r="K130" i="1" s="1"/>
  <c r="I130" i="1"/>
  <c r="F131" i="1"/>
  <c r="Q130" i="1"/>
  <c r="O130" i="1"/>
  <c r="AA130" i="1"/>
  <c r="AW132" i="1" l="1"/>
  <c r="BI132" i="1"/>
  <c r="BK132" i="1"/>
  <c r="B131" i="1"/>
  <c r="A131" i="1"/>
  <c r="R131" i="1" s="1"/>
  <c r="AR132" i="1" l="1"/>
  <c r="AS132" i="1"/>
  <c r="AX132" i="1"/>
  <c r="BF132" i="1"/>
  <c r="G131" i="1"/>
  <c r="BC132" i="1" l="1"/>
  <c r="AY132" i="1" s="1"/>
  <c r="AU132" i="1"/>
  <c r="M131" i="1"/>
  <c r="T132" i="1" s="1"/>
  <c r="D131" i="1"/>
  <c r="L131" i="1"/>
  <c r="S132" i="1" l="1"/>
  <c r="P131" i="1"/>
  <c r="H131" i="1"/>
  <c r="BA132" i="1" l="1"/>
  <c r="BB132" i="1" s="1"/>
  <c r="AZ132" i="1"/>
  <c r="BD132" i="1"/>
  <c r="BJ133" i="1" s="1"/>
  <c r="J131" i="1"/>
  <c r="K131" i="1" s="1"/>
  <c r="I131" i="1"/>
  <c r="F132" i="1"/>
  <c r="Q131" i="1"/>
  <c r="O131" i="1"/>
  <c r="AA131" i="1"/>
  <c r="BK133" i="1" l="1"/>
  <c r="BI133" i="1"/>
  <c r="AW133" i="1"/>
  <c r="B132" i="1"/>
  <c r="A132" i="1"/>
  <c r="R132" i="1" s="1"/>
  <c r="G132" i="1" l="1"/>
  <c r="O132" i="1"/>
  <c r="AX133" i="1"/>
  <c r="BF133" i="1"/>
  <c r="AR133" i="1"/>
  <c r="AS133" i="1"/>
  <c r="M132" i="1" l="1"/>
  <c r="J132" i="1"/>
  <c r="D132" i="1"/>
  <c r="L132" i="1"/>
  <c r="BC133" i="1"/>
  <c r="AY133" i="1" s="1"/>
  <c r="AU133" i="1"/>
  <c r="Q132" i="1" l="1"/>
  <c r="F133" i="1"/>
  <c r="T133" i="1"/>
  <c r="S133" i="1" s="1"/>
  <c r="H132" i="1"/>
  <c r="I132" i="1"/>
  <c r="P132" i="1"/>
  <c r="AA132" i="1"/>
  <c r="K132" i="1"/>
  <c r="B133" i="1" l="1"/>
  <c r="A133" i="1"/>
  <c r="R133" i="1" s="1"/>
  <c r="BA133" i="1"/>
  <c r="BB133" i="1" s="1"/>
  <c r="AZ133" i="1"/>
  <c r="BD133" i="1"/>
  <c r="BJ134" i="1" s="1"/>
  <c r="O133" i="1" l="1"/>
  <c r="G133" i="1"/>
  <c r="BK134" i="1"/>
  <c r="BI134" i="1"/>
  <c r="AW134" i="1"/>
  <c r="J133" i="1" l="1"/>
  <c r="L133" i="1"/>
  <c r="M133" i="1"/>
  <c r="D133" i="1"/>
  <c r="Q133" i="1"/>
  <c r="P133" i="1"/>
  <c r="AX134" i="1"/>
  <c r="BF134" i="1"/>
  <c r="AS134" i="1"/>
  <c r="AR134" i="1"/>
  <c r="H19" i="6"/>
  <c r="F134" i="1" l="1"/>
  <c r="T134" i="1"/>
  <c r="S134" i="1" s="1"/>
  <c r="K133" i="1"/>
  <c r="AA133" i="1"/>
  <c r="H133" i="1"/>
  <c r="I133" i="1"/>
  <c r="BD134" i="1"/>
  <c r="BJ135" i="1" s="1"/>
  <c r="BA134" i="1"/>
  <c r="BC134" i="1"/>
  <c r="AU134" i="1"/>
  <c r="B134" i="1" l="1"/>
  <c r="A134" i="1"/>
  <c r="R134" i="1" s="1"/>
  <c r="AW135" i="1"/>
  <c r="BI135" i="1"/>
  <c r="BK135" i="1"/>
  <c r="BB134" i="1"/>
  <c r="AZ134" i="1"/>
  <c r="AY134" i="1"/>
  <c r="G134" i="1" l="1"/>
  <c r="D134" i="1" s="1"/>
  <c r="O134" i="1"/>
  <c r="Q134" i="1"/>
  <c r="P134" i="1"/>
  <c r="BF135" i="1"/>
  <c r="AX135" i="1"/>
  <c r="AR135" i="1"/>
  <c r="AS135" i="1"/>
  <c r="M134" i="1" l="1"/>
  <c r="L134" i="1"/>
  <c r="J134" i="1"/>
  <c r="AA134" i="1"/>
  <c r="BA135" i="1"/>
  <c r="BD135" i="1"/>
  <c r="BJ136" i="1" s="1"/>
  <c r="AU135" i="1"/>
  <c r="BC135" i="1"/>
  <c r="H134" i="1" l="1"/>
  <c r="I134" i="1"/>
  <c r="K134" i="1"/>
  <c r="T135" i="1"/>
  <c r="S135" i="1" s="1"/>
  <c r="F135" i="1"/>
  <c r="BB135" i="1"/>
  <c r="AY135" i="1"/>
  <c r="AZ135" i="1"/>
  <c r="BK136" i="1"/>
  <c r="AW136" i="1"/>
  <c r="BI136" i="1"/>
  <c r="A135" i="1" l="1"/>
  <c r="R135" i="1" s="1"/>
  <c r="B135" i="1"/>
  <c r="Q135" i="1"/>
  <c r="P135" i="1"/>
  <c r="AS136" i="1"/>
  <c r="AR136" i="1"/>
  <c r="BF136" i="1"/>
  <c r="AX136" i="1"/>
  <c r="G135" i="1" l="1"/>
  <c r="O135" i="1"/>
  <c r="AU136" i="1"/>
  <c r="BD136" i="1"/>
  <c r="BJ137" i="1" s="1"/>
  <c r="BA136" i="1"/>
  <c r="BC136" i="1"/>
  <c r="L135" i="1" l="1"/>
  <c r="J135" i="1"/>
  <c r="K135" i="1" s="1"/>
  <c r="D135" i="1"/>
  <c r="M135" i="1"/>
  <c r="BK137" i="1"/>
  <c r="BI137" i="1"/>
  <c r="AW137" i="1"/>
  <c r="AY136" i="1"/>
  <c r="AZ136" i="1"/>
  <c r="BB136" i="1"/>
  <c r="H135" i="1" l="1"/>
  <c r="AA135" i="1"/>
  <c r="I135" i="1"/>
  <c r="T136" i="1"/>
  <c r="S136" i="1" s="1"/>
  <c r="F136" i="1"/>
  <c r="BF137" i="1"/>
  <c r="AX137" i="1"/>
  <c r="AS137" i="1"/>
  <c r="AR137" i="1"/>
  <c r="B136" i="1" l="1"/>
  <c r="A136" i="1"/>
  <c r="R136" i="1" s="1"/>
  <c r="Q136" i="1"/>
  <c r="P136" i="1"/>
  <c r="BA137" i="1"/>
  <c r="BD137" i="1"/>
  <c r="BJ138" i="1" s="1"/>
  <c r="AU137" i="1"/>
  <c r="BC137" i="1"/>
  <c r="G136" i="1" l="1"/>
  <c r="M136" i="1" s="1"/>
  <c r="O136" i="1"/>
  <c r="AW138" i="1"/>
  <c r="BK138" i="1"/>
  <c r="BI138" i="1"/>
  <c r="AX138" i="1" s="1"/>
  <c r="BB137" i="1"/>
  <c r="AZ137" i="1"/>
  <c r="AY137" i="1"/>
  <c r="F137" i="1" l="1"/>
  <c r="T137" i="1"/>
  <c r="S137" i="1" s="1"/>
  <c r="D136" i="1"/>
  <c r="J136" i="1"/>
  <c r="L136" i="1"/>
  <c r="AR138" i="1"/>
  <c r="AS138" i="1"/>
  <c r="BD138" i="1"/>
  <c r="BJ139" i="1" s="1"/>
  <c r="BA138" i="1"/>
  <c r="AU138" i="1"/>
  <c r="A137" i="1" l="1"/>
  <c r="R137" i="1" s="1"/>
  <c r="B137" i="1"/>
  <c r="K136" i="1"/>
  <c r="AA136" i="1"/>
  <c r="H136" i="1"/>
  <c r="I136" i="1"/>
  <c r="Q137" i="1"/>
  <c r="BC138" i="1"/>
  <c r="BK139" i="1"/>
  <c r="BI139" i="1"/>
  <c r="AW139" i="1"/>
  <c r="G137" i="1" l="1"/>
  <c r="O137" i="1"/>
  <c r="P137" i="1"/>
  <c r="BB138" i="1"/>
  <c r="AZ138" i="1"/>
  <c r="AY138" i="1"/>
  <c r="AX139" i="1"/>
  <c r="BF139" i="1"/>
  <c r="AS139" i="1"/>
  <c r="AR139" i="1"/>
  <c r="J137" i="1" l="1"/>
  <c r="D137" i="1"/>
  <c r="L137" i="1"/>
  <c r="M137" i="1"/>
  <c r="H137" i="1"/>
  <c r="BD139" i="1"/>
  <c r="BJ140" i="1" s="1"/>
  <c r="AU139" i="1"/>
  <c r="BC139" i="1"/>
  <c r="BA139" i="1"/>
  <c r="T138" i="1" l="1"/>
  <c r="S138" i="1" s="1"/>
  <c r="F138" i="1"/>
  <c r="K137" i="1"/>
  <c r="AA137" i="1"/>
  <c r="I137" i="1"/>
  <c r="Q138" i="1"/>
  <c r="AY139" i="1"/>
  <c r="AZ139" i="1"/>
  <c r="BB139" i="1"/>
  <c r="BI140" i="1"/>
  <c r="BK140" i="1"/>
  <c r="AW140" i="1"/>
  <c r="B138" i="1" l="1"/>
  <c r="A138" i="1"/>
  <c r="R138" i="1" s="1"/>
  <c r="G138" i="1" s="1"/>
  <c r="P138" i="1"/>
  <c r="BF140" i="1"/>
  <c r="AX140" i="1"/>
  <c r="AR140" i="1"/>
  <c r="AS140" i="1"/>
  <c r="D138" i="1" l="1"/>
  <c r="J138" i="1"/>
  <c r="L138" i="1"/>
  <c r="AA138" i="1" s="1"/>
  <c r="M138" i="1"/>
  <c r="H138" i="1"/>
  <c r="I138" i="1"/>
  <c r="BA140" i="1"/>
  <c r="AU140" i="1"/>
  <c r="BC140" i="1"/>
  <c r="BD140" i="1"/>
  <c r="BJ141" i="1" s="1"/>
  <c r="T139" i="1" l="1"/>
  <c r="S139" i="1" s="1"/>
  <c r="F139" i="1"/>
  <c r="K138" i="1"/>
  <c r="Q139" i="1"/>
  <c r="AY140" i="1"/>
  <c r="AZ140" i="1"/>
  <c r="AW141" i="1"/>
  <c r="BI141" i="1"/>
  <c r="BK141" i="1"/>
  <c r="BB140" i="1"/>
  <c r="B139" i="1" l="1"/>
  <c r="A139" i="1"/>
  <c r="R139" i="1" s="1"/>
  <c r="P139" i="1"/>
  <c r="AR141" i="1"/>
  <c r="AS141" i="1"/>
  <c r="BF141" i="1"/>
  <c r="AX141" i="1"/>
  <c r="G139" i="1" l="1"/>
  <c r="O139" i="1"/>
  <c r="BD141" i="1"/>
  <c r="BJ142" i="1" s="1"/>
  <c r="BA141" i="1"/>
  <c r="BC141" i="1"/>
  <c r="AU141" i="1"/>
  <c r="J139" i="1" l="1"/>
  <c r="L139" i="1"/>
  <c r="D139" i="1"/>
  <c r="M139" i="1"/>
  <c r="AW142" i="1"/>
  <c r="BI142" i="1"/>
  <c r="BK142" i="1"/>
  <c r="BB141" i="1"/>
  <c r="AZ141" i="1"/>
  <c r="AY141" i="1"/>
  <c r="R140" i="1" l="1"/>
  <c r="F140" i="1"/>
  <c r="T140" i="1"/>
  <c r="S140" i="1" s="1"/>
  <c r="K139" i="1"/>
  <c r="AA139" i="1"/>
  <c r="I139" i="1"/>
  <c r="H139" i="1"/>
  <c r="AR142" i="1"/>
  <c r="AS142" i="1"/>
  <c r="BF142" i="1"/>
  <c r="AX142" i="1"/>
  <c r="G140" i="1" l="1"/>
  <c r="O140" i="1"/>
  <c r="B140" i="1"/>
  <c r="A140" i="1"/>
  <c r="P140" i="1"/>
  <c r="Q140" i="1"/>
  <c r="BD142" i="1"/>
  <c r="BJ143" i="1" s="1"/>
  <c r="BA142" i="1"/>
  <c r="BC142" i="1"/>
  <c r="AU142" i="1"/>
  <c r="M140" i="1" l="1"/>
  <c r="D140" i="1"/>
  <c r="J140" i="1"/>
  <c r="L140" i="1"/>
  <c r="AZ142" i="1"/>
  <c r="AY142" i="1"/>
  <c r="BK143" i="1"/>
  <c r="BI143" i="1"/>
  <c r="AW143" i="1"/>
  <c r="BB142" i="1"/>
  <c r="T141" i="1" l="1"/>
  <c r="S141" i="1" s="1"/>
  <c r="F141" i="1"/>
  <c r="K140" i="1"/>
  <c r="AA140" i="1"/>
  <c r="H140" i="1"/>
  <c r="I140" i="1"/>
  <c r="R141" i="1"/>
  <c r="BF143" i="1"/>
  <c r="AX143" i="1"/>
  <c r="AS143" i="1"/>
  <c r="AR143" i="1"/>
  <c r="B141" i="1" l="1"/>
  <c r="A141" i="1"/>
  <c r="O141" i="1"/>
  <c r="G141" i="1"/>
  <c r="M141" i="1" s="1"/>
  <c r="AU143" i="1"/>
  <c r="BA143" i="1"/>
  <c r="BC143" i="1"/>
  <c r="BD143" i="1"/>
  <c r="BJ144" i="1" s="1"/>
  <c r="Q141" i="1" l="1"/>
  <c r="F142" i="1"/>
  <c r="T142" i="1"/>
  <c r="S142" i="1" s="1"/>
  <c r="L141" i="1"/>
  <c r="I141" i="1" s="1"/>
  <c r="J141" i="1"/>
  <c r="D141" i="1"/>
  <c r="AY143" i="1"/>
  <c r="AZ143" i="1"/>
  <c r="BK144" i="1"/>
  <c r="BI144" i="1"/>
  <c r="AW144" i="1"/>
  <c r="BB143" i="1"/>
  <c r="K141" i="1" l="1"/>
  <c r="A142" i="1"/>
  <c r="B142" i="1"/>
  <c r="P141" i="1"/>
  <c r="AA141" i="1"/>
  <c r="H141" i="1"/>
  <c r="BF144" i="1"/>
  <c r="AX144" i="1"/>
  <c r="AS144" i="1"/>
  <c r="AR144" i="1"/>
  <c r="R142" i="1" l="1"/>
  <c r="G142" i="1" s="1"/>
  <c r="AU144" i="1"/>
  <c r="BA144" i="1"/>
  <c r="BC144" i="1"/>
  <c r="BD144" i="1"/>
  <c r="BJ145" i="1" s="1"/>
  <c r="O142" i="1" l="1"/>
  <c r="M142" i="1"/>
  <c r="D142" i="1"/>
  <c r="J142" i="1"/>
  <c r="L142" i="1"/>
  <c r="Q142" i="1"/>
  <c r="AW145" i="1"/>
  <c r="BI145" i="1"/>
  <c r="BK145" i="1"/>
  <c r="BB144" i="1"/>
  <c r="AZ144" i="1"/>
  <c r="AY144" i="1"/>
  <c r="T143" i="1" l="1"/>
  <c r="S143" i="1" s="1"/>
  <c r="F143" i="1"/>
  <c r="P142" i="1"/>
  <c r="AA142" i="1"/>
  <c r="K142" i="1"/>
  <c r="H142" i="1"/>
  <c r="I142" i="1"/>
  <c r="AR145" i="1"/>
  <c r="AS145" i="1"/>
  <c r="BF145" i="1"/>
  <c r="AX145" i="1"/>
  <c r="BD145" i="1" s="1"/>
  <c r="BJ146" i="1" s="1"/>
  <c r="A143" i="1" l="1"/>
  <c r="R143" i="1" s="1"/>
  <c r="B143" i="1"/>
  <c r="BI146" i="1"/>
  <c r="BK146" i="1"/>
  <c r="AW146" i="1"/>
  <c r="BA145" i="1"/>
  <c r="AU145" i="1"/>
  <c r="BC145" i="1"/>
  <c r="G143" i="1" l="1"/>
  <c r="O143" i="1"/>
  <c r="L143" i="1"/>
  <c r="D143" i="1"/>
  <c r="Q143" i="1"/>
  <c r="BF146" i="1"/>
  <c r="AX146" i="1"/>
  <c r="BD146" i="1" s="1"/>
  <c r="BJ147" i="1" s="1"/>
  <c r="AR146" i="1"/>
  <c r="AS146" i="1"/>
  <c r="BB145" i="1"/>
  <c r="AY145" i="1"/>
  <c r="AZ145" i="1"/>
  <c r="M143" i="1" l="1"/>
  <c r="J143" i="1"/>
  <c r="K143" i="1" s="1"/>
  <c r="T144" i="1"/>
  <c r="S144" i="1" s="1"/>
  <c r="F144" i="1"/>
  <c r="P143" i="1"/>
  <c r="AA143" i="1"/>
  <c r="I143" i="1"/>
  <c r="H143" i="1"/>
  <c r="BK147" i="1"/>
  <c r="AW147" i="1"/>
  <c r="BI147" i="1"/>
  <c r="BA146" i="1"/>
  <c r="BC146" i="1"/>
  <c r="AU146" i="1"/>
  <c r="B144" i="1" l="1"/>
  <c r="A144" i="1"/>
  <c r="R144" i="1" s="1"/>
  <c r="Q144" i="1"/>
  <c r="BB146" i="1"/>
  <c r="AS147" i="1"/>
  <c r="AR147" i="1"/>
  <c r="BF147" i="1"/>
  <c r="AX147" i="1"/>
  <c r="AY146" i="1"/>
  <c r="AZ146" i="1"/>
  <c r="G144" i="1" l="1"/>
  <c r="O144" i="1"/>
  <c r="P144" i="1"/>
  <c r="BD147" i="1"/>
  <c r="BJ148" i="1" s="1"/>
  <c r="AU147" i="1"/>
  <c r="BC147" i="1"/>
  <c r="BA147" i="1"/>
  <c r="J144" i="1" l="1"/>
  <c r="D144" i="1"/>
  <c r="M144" i="1"/>
  <c r="L144" i="1"/>
  <c r="K144" i="1" s="1"/>
  <c r="BB147" i="1"/>
  <c r="BI148" i="1"/>
  <c r="AW148" i="1"/>
  <c r="BK148" i="1"/>
  <c r="AZ147" i="1"/>
  <c r="AY147" i="1"/>
  <c r="T145" i="1" l="1"/>
  <c r="S145" i="1" s="1"/>
  <c r="F145" i="1"/>
  <c r="AA144" i="1"/>
  <c r="H144" i="1"/>
  <c r="I144" i="1"/>
  <c r="Q145" i="1"/>
  <c r="AX148" i="1"/>
  <c r="BF148" i="1"/>
  <c r="AS148" i="1"/>
  <c r="AR148" i="1"/>
  <c r="B145" i="1" l="1"/>
  <c r="A145" i="1"/>
  <c r="R145" i="1" s="1"/>
  <c r="P145" i="1"/>
  <c r="BD148" i="1"/>
  <c r="BJ149" i="1" s="1"/>
  <c r="BC148" i="1"/>
  <c r="BA148" i="1"/>
  <c r="AU148" i="1"/>
  <c r="O145" i="1" l="1"/>
  <c r="G145" i="1"/>
  <c r="BB148" i="1"/>
  <c r="AY148" i="1"/>
  <c r="AZ148" i="1"/>
  <c r="AW149" i="1"/>
  <c r="BK149" i="1"/>
  <c r="BI149" i="1"/>
  <c r="J145" i="1" l="1"/>
  <c r="D145" i="1"/>
  <c r="M145" i="1"/>
  <c r="L145" i="1"/>
  <c r="AS149" i="1"/>
  <c r="AR149" i="1"/>
  <c r="AX149" i="1"/>
  <c r="BF149" i="1"/>
  <c r="I145" i="1" l="1"/>
  <c r="AA145" i="1"/>
  <c r="H145" i="1"/>
  <c r="K145" i="1"/>
  <c r="T146" i="1"/>
  <c r="S146" i="1" s="1"/>
  <c r="F146" i="1"/>
  <c r="P146" i="1"/>
  <c r="Q146" i="1"/>
  <c r="BD149" i="1"/>
  <c r="BJ150" i="1" s="1"/>
  <c r="BA149" i="1"/>
  <c r="AU149" i="1"/>
  <c r="BC149" i="1"/>
  <c r="B146" i="1" l="1"/>
  <c r="A146" i="1"/>
  <c r="R146" i="1" s="1"/>
  <c r="BI150" i="1"/>
  <c r="BK150" i="1"/>
  <c r="AW150" i="1"/>
  <c r="AY149" i="1"/>
  <c r="AZ149" i="1"/>
  <c r="BB149" i="1"/>
  <c r="O146" i="1" l="1"/>
  <c r="G146" i="1"/>
  <c r="J146" i="1" s="1"/>
  <c r="AX150" i="1"/>
  <c r="BF150" i="1"/>
  <c r="AR150" i="1"/>
  <c r="AS150" i="1"/>
  <c r="M146" i="1" l="1"/>
  <c r="L146" i="1"/>
  <c r="D146" i="1"/>
  <c r="K146" i="1"/>
  <c r="AA146" i="1"/>
  <c r="H146" i="1"/>
  <c r="I146" i="1"/>
  <c r="BD150" i="1"/>
  <c r="BJ151" i="1" s="1"/>
  <c r="BA150" i="1"/>
  <c r="AU150" i="1"/>
  <c r="BC150" i="1"/>
  <c r="R147" i="1" l="1"/>
  <c r="F147" i="1"/>
  <c r="T147" i="1"/>
  <c r="S147" i="1" s="1"/>
  <c r="AZ150" i="1"/>
  <c r="AY150" i="1"/>
  <c r="BI151" i="1"/>
  <c r="BK151" i="1"/>
  <c r="AW151" i="1"/>
  <c r="BB150" i="1"/>
  <c r="G147" i="1" l="1"/>
  <c r="O147" i="1"/>
  <c r="A147" i="1"/>
  <c r="B147" i="1"/>
  <c r="Q147" i="1"/>
  <c r="P147" i="1"/>
  <c r="BF151" i="1"/>
  <c r="AX151" i="1"/>
  <c r="AR151" i="1"/>
  <c r="AS151" i="1"/>
  <c r="M147" i="1" l="1"/>
  <c r="R148" i="1" s="1"/>
  <c r="D147" i="1"/>
  <c r="L147" i="1"/>
  <c r="J147" i="1"/>
  <c r="K147" i="1" s="1"/>
  <c r="BC151" i="1"/>
  <c r="BA151" i="1"/>
  <c r="AU151" i="1"/>
  <c r="BD151" i="1"/>
  <c r="BJ152" i="1" s="1"/>
  <c r="T148" i="1" l="1"/>
  <c r="S148" i="1" s="1"/>
  <c r="F148" i="1"/>
  <c r="I147" i="1"/>
  <c r="H147" i="1"/>
  <c r="AA147" i="1"/>
  <c r="O148" i="1"/>
  <c r="G148" i="1"/>
  <c r="AZ151" i="1"/>
  <c r="AY151" i="1"/>
  <c r="BK152" i="1"/>
  <c r="BI152" i="1"/>
  <c r="AW152" i="1"/>
  <c r="BB151" i="1"/>
  <c r="B148" i="1" l="1"/>
  <c r="A148" i="1"/>
  <c r="M148" i="1"/>
  <c r="L148" i="1"/>
  <c r="D148" i="1"/>
  <c r="J148" i="1"/>
  <c r="Q148" i="1"/>
  <c r="P148" i="1"/>
  <c r="AX152" i="1"/>
  <c r="BF152" i="1"/>
  <c r="AS152" i="1"/>
  <c r="AR152" i="1"/>
  <c r="T149" i="1" l="1"/>
  <c r="S149" i="1" s="1"/>
  <c r="F149" i="1"/>
  <c r="K148" i="1"/>
  <c r="I148" i="1"/>
  <c r="H148" i="1"/>
  <c r="AA148" i="1"/>
  <c r="BA152" i="1"/>
  <c r="BC152" i="1"/>
  <c r="AU152" i="1"/>
  <c r="BD152" i="1"/>
  <c r="BJ153" i="1" s="1"/>
  <c r="A149" i="1" l="1"/>
  <c r="B149" i="1"/>
  <c r="R149" i="1"/>
  <c r="AY152" i="1"/>
  <c r="AZ152" i="1"/>
  <c r="AW153" i="1"/>
  <c r="BI153" i="1"/>
  <c r="BK153" i="1"/>
  <c r="BB152" i="1"/>
  <c r="G149" i="1" l="1"/>
  <c r="O149" i="1"/>
  <c r="AR153" i="1"/>
  <c r="AS153" i="1"/>
  <c r="BF153" i="1"/>
  <c r="AX153" i="1"/>
  <c r="D149" i="1" l="1"/>
  <c r="L149" i="1"/>
  <c r="M149" i="1"/>
  <c r="J149" i="1"/>
  <c r="Q149" i="1"/>
  <c r="P149" i="1"/>
  <c r="BD153" i="1"/>
  <c r="BJ154" i="1" s="1"/>
  <c r="BA153" i="1"/>
  <c r="BC153" i="1"/>
  <c r="AU153" i="1"/>
  <c r="T150" i="1" l="1"/>
  <c r="S150" i="1" s="1"/>
  <c r="F150" i="1"/>
  <c r="K149" i="1"/>
  <c r="AA149" i="1"/>
  <c r="I149" i="1"/>
  <c r="H149" i="1"/>
  <c r="AZ153" i="1"/>
  <c r="AY153" i="1"/>
  <c r="BI154" i="1"/>
  <c r="BK154" i="1"/>
  <c r="AW154" i="1"/>
  <c r="BB153" i="1"/>
  <c r="B150" i="1" l="1"/>
  <c r="A150" i="1"/>
  <c r="R150" i="1" s="1"/>
  <c r="AX154" i="1"/>
  <c r="BF154" i="1"/>
  <c r="AS154" i="1"/>
  <c r="AR154" i="1"/>
  <c r="G150" i="1" l="1"/>
  <c r="J150" i="1" s="1"/>
  <c r="O150" i="1"/>
  <c r="L150" i="1"/>
  <c r="D150" i="1"/>
  <c r="M150" i="1"/>
  <c r="BD154" i="1"/>
  <c r="BJ155" i="1" s="1"/>
  <c r="BA154" i="1"/>
  <c r="AU154" i="1"/>
  <c r="BC154" i="1"/>
  <c r="K150" i="1" l="1"/>
  <c r="I150" i="1"/>
  <c r="H150" i="1"/>
  <c r="P150" i="1"/>
  <c r="AA150" i="1"/>
  <c r="F151" i="1"/>
  <c r="T151" i="1"/>
  <c r="S151" i="1" s="1"/>
  <c r="Q150" i="1"/>
  <c r="BI155" i="1"/>
  <c r="AW155" i="1"/>
  <c r="BK155" i="1"/>
  <c r="AY154" i="1"/>
  <c r="AZ154" i="1"/>
  <c r="BB154" i="1"/>
  <c r="B151" i="1" l="1"/>
  <c r="A151" i="1"/>
  <c r="R151" i="1"/>
  <c r="AX155" i="1"/>
  <c r="BF155" i="1"/>
  <c r="AS155" i="1"/>
  <c r="AR155" i="1"/>
  <c r="G151" i="1" l="1"/>
  <c r="O151" i="1"/>
  <c r="BD155" i="1"/>
  <c r="BJ156" i="1" s="1"/>
  <c r="BC155" i="1"/>
  <c r="AU155" i="1"/>
  <c r="BA155" i="1"/>
  <c r="J151" i="1" l="1"/>
  <c r="D151" i="1"/>
  <c r="M151" i="1"/>
  <c r="L151" i="1"/>
  <c r="Q151" i="1"/>
  <c r="P151" i="1"/>
  <c r="BB155" i="1"/>
  <c r="AW156" i="1"/>
  <c r="BK156" i="1"/>
  <c r="BI156" i="1"/>
  <c r="AZ155" i="1"/>
  <c r="AY155" i="1"/>
  <c r="T152" i="1" l="1"/>
  <c r="S152" i="1" s="1"/>
  <c r="F152" i="1"/>
  <c r="I151" i="1"/>
  <c r="H151" i="1"/>
  <c r="AA151" i="1"/>
  <c r="K151" i="1"/>
  <c r="AS156" i="1"/>
  <c r="AR156" i="1"/>
  <c r="BF156" i="1"/>
  <c r="AX156" i="1"/>
  <c r="A152" i="1" l="1"/>
  <c r="R152" i="1" s="1"/>
  <c r="B152" i="1"/>
  <c r="BD156" i="1"/>
  <c r="BJ157" i="1" s="1"/>
  <c r="BA156" i="1"/>
  <c r="BC156" i="1"/>
  <c r="AU156" i="1"/>
  <c r="O152" i="1" l="1"/>
  <c r="G152" i="1"/>
  <c r="Q152" i="1"/>
  <c r="AZ156" i="1"/>
  <c r="AY156" i="1"/>
  <c r="BI157" i="1"/>
  <c r="BK157" i="1"/>
  <c r="AW157" i="1"/>
  <c r="BB156" i="1"/>
  <c r="L152" i="1" l="1"/>
  <c r="AA152" i="1" s="1"/>
  <c r="J152" i="1"/>
  <c r="K152" i="1" s="1"/>
  <c r="M152" i="1"/>
  <c r="D152" i="1"/>
  <c r="F153" i="1"/>
  <c r="T153" i="1"/>
  <c r="S153" i="1" s="1"/>
  <c r="H152" i="1"/>
  <c r="I152" i="1"/>
  <c r="P152" i="1"/>
  <c r="BF157" i="1"/>
  <c r="AX157" i="1"/>
  <c r="AS157" i="1"/>
  <c r="AR157" i="1"/>
  <c r="B153" i="1" l="1"/>
  <c r="A153" i="1"/>
  <c r="R153" i="1" s="1"/>
  <c r="BD157" i="1"/>
  <c r="BJ158" i="1" s="1"/>
  <c r="BA157" i="1"/>
  <c r="AU157" i="1"/>
  <c r="BC157" i="1"/>
  <c r="G153" i="1" l="1"/>
  <c r="O153" i="1"/>
  <c r="Q153" i="1"/>
  <c r="AY157" i="1"/>
  <c r="AZ157" i="1"/>
  <c r="AW158" i="1"/>
  <c r="BI158" i="1"/>
  <c r="BK158" i="1"/>
  <c r="BB157" i="1"/>
  <c r="J153" i="1" l="1"/>
  <c r="D153" i="1"/>
  <c r="M153" i="1"/>
  <c r="L153" i="1"/>
  <c r="K153" i="1" s="1"/>
  <c r="P153" i="1"/>
  <c r="AS158" i="1"/>
  <c r="AR158" i="1"/>
  <c r="AX158" i="1"/>
  <c r="BF158" i="1"/>
  <c r="F154" i="1" l="1"/>
  <c r="T154" i="1"/>
  <c r="S154" i="1" s="1"/>
  <c r="H153" i="1"/>
  <c r="I153" i="1"/>
  <c r="AA153" i="1"/>
  <c r="BA158" i="1"/>
  <c r="BC158" i="1"/>
  <c r="AU158" i="1"/>
  <c r="BD158" i="1"/>
  <c r="BJ159" i="1" s="1"/>
  <c r="B154" i="1" l="1"/>
  <c r="A154" i="1"/>
  <c r="R154" i="1" s="1"/>
  <c r="Q154" i="1"/>
  <c r="AY158" i="1"/>
  <c r="AZ158" i="1"/>
  <c r="AW159" i="1"/>
  <c r="BI159" i="1"/>
  <c r="BK159" i="1"/>
  <c r="BB158" i="1"/>
  <c r="O154" i="1" l="1"/>
  <c r="G154" i="1"/>
  <c r="P154" i="1"/>
  <c r="AR159" i="1"/>
  <c r="AS159" i="1"/>
  <c r="BF159" i="1"/>
  <c r="AX159" i="1"/>
  <c r="J154" i="1" l="1"/>
  <c r="L154" i="1"/>
  <c r="D154" i="1"/>
  <c r="M154" i="1"/>
  <c r="R155" i="1" s="1"/>
  <c r="BA159" i="1"/>
  <c r="BC159" i="1"/>
  <c r="AU159" i="1"/>
  <c r="BD159" i="1"/>
  <c r="BJ160" i="1" s="1"/>
  <c r="H154" i="1" l="1"/>
  <c r="AA154" i="1"/>
  <c r="I154" i="1"/>
  <c r="T155" i="1"/>
  <c r="S155" i="1" s="1"/>
  <c r="F155" i="1"/>
  <c r="K154" i="1"/>
  <c r="O155" i="1"/>
  <c r="G155" i="1"/>
  <c r="BK160" i="1"/>
  <c r="AW160" i="1"/>
  <c r="BI160" i="1"/>
  <c r="BB159" i="1"/>
  <c r="AZ159" i="1"/>
  <c r="AY159" i="1"/>
  <c r="B155" i="1" l="1"/>
  <c r="A155" i="1"/>
  <c r="L155" i="1" s="1"/>
  <c r="H155" i="1" s="1"/>
  <c r="M155" i="1"/>
  <c r="J155" i="1"/>
  <c r="D155" i="1"/>
  <c r="AS160" i="1"/>
  <c r="AR160" i="1"/>
  <c r="BF160" i="1"/>
  <c r="AX160" i="1"/>
  <c r="K155" i="1" l="1"/>
  <c r="T156" i="1"/>
  <c r="S156" i="1" s="1"/>
  <c r="F156" i="1"/>
  <c r="Q155" i="1"/>
  <c r="I155" i="1"/>
  <c r="P155" i="1"/>
  <c r="AA155" i="1"/>
  <c r="BA160" i="1"/>
  <c r="AU160" i="1"/>
  <c r="BC160" i="1"/>
  <c r="BD160" i="1"/>
  <c r="BJ161" i="1" s="1"/>
  <c r="A156" i="1" l="1"/>
  <c r="B156" i="1"/>
  <c r="BI161" i="1"/>
  <c r="AW161" i="1"/>
  <c r="BK161" i="1"/>
  <c r="BB160" i="1"/>
  <c r="AY160" i="1"/>
  <c r="AZ160" i="1"/>
  <c r="R156" i="1" l="1"/>
  <c r="BF161" i="1"/>
  <c r="AX161" i="1"/>
  <c r="BD161" i="1" s="1"/>
  <c r="BJ162" i="1" s="1"/>
  <c r="AR161" i="1"/>
  <c r="AS161" i="1"/>
  <c r="O156" i="1" l="1"/>
  <c r="G156" i="1"/>
  <c r="M156" i="1" s="1"/>
  <c r="BK162" i="1"/>
  <c r="AW162" i="1"/>
  <c r="BI162" i="1"/>
  <c r="BC161" i="1"/>
  <c r="BA161" i="1"/>
  <c r="AU161" i="1"/>
  <c r="L156" i="1" l="1"/>
  <c r="H156" i="1" s="1"/>
  <c r="J156" i="1"/>
  <c r="K156" i="1" s="1"/>
  <c r="D156" i="1"/>
  <c r="P156" i="1"/>
  <c r="T157" i="1"/>
  <c r="S157" i="1" s="1"/>
  <c r="F157" i="1"/>
  <c r="Q156" i="1"/>
  <c r="Q157" i="1"/>
  <c r="BB161" i="1"/>
  <c r="AS162" i="1"/>
  <c r="AR162" i="1"/>
  <c r="AX162" i="1"/>
  <c r="BD162" i="1" s="1"/>
  <c r="BJ163" i="1" s="1"/>
  <c r="BF162" i="1"/>
  <c r="AZ161" i="1"/>
  <c r="AY161" i="1"/>
  <c r="AA156" i="1" l="1"/>
  <c r="R157" i="1"/>
  <c r="I156" i="1"/>
  <c r="B157" i="1"/>
  <c r="A157" i="1"/>
  <c r="BK163" i="1"/>
  <c r="BI163" i="1"/>
  <c r="AW163" i="1"/>
  <c r="BC162" i="1"/>
  <c r="AU162" i="1"/>
  <c r="BA162" i="1"/>
  <c r="G157" i="1" l="1"/>
  <c r="J157" i="1" s="1"/>
  <c r="O157" i="1"/>
  <c r="BB162" i="1"/>
  <c r="AX163" i="1"/>
  <c r="BF163" i="1"/>
  <c r="AR163" i="1"/>
  <c r="AS163" i="1"/>
  <c r="AZ162" i="1"/>
  <c r="AY162" i="1"/>
  <c r="L157" i="1" l="1"/>
  <c r="D157" i="1"/>
  <c r="M157" i="1"/>
  <c r="T158" i="1" s="1"/>
  <c r="S158" i="1" s="1"/>
  <c r="P157" i="1"/>
  <c r="BC163" i="1"/>
  <c r="BA163" i="1"/>
  <c r="AU163" i="1"/>
  <c r="BD163" i="1"/>
  <c r="BJ164" i="1" s="1"/>
  <c r="H157" i="1" l="1"/>
  <c r="AA157" i="1"/>
  <c r="K157" i="1"/>
  <c r="I157" i="1"/>
  <c r="R158" i="1"/>
  <c r="F158" i="1"/>
  <c r="BB163" i="1"/>
  <c r="BK164" i="1"/>
  <c r="BI164" i="1"/>
  <c r="AW164" i="1"/>
  <c r="AZ163" i="1"/>
  <c r="AY163" i="1"/>
  <c r="B158" i="1" l="1"/>
  <c r="A158" i="1"/>
  <c r="O158" i="1"/>
  <c r="G158" i="1"/>
  <c r="P158" i="1"/>
  <c r="AX164" i="1"/>
  <c r="BF164" i="1"/>
  <c r="AR164" i="1"/>
  <c r="AS164" i="1"/>
  <c r="J158" i="1" l="1"/>
  <c r="D158" i="1"/>
  <c r="K9" i="6" s="1"/>
  <c r="L158" i="1"/>
  <c r="M158" i="1"/>
  <c r="AU164" i="1"/>
  <c r="BC164" i="1"/>
  <c r="BA164" i="1"/>
  <c r="BD164" i="1"/>
  <c r="BJ165" i="1" s="1"/>
  <c r="I158" i="1" l="1"/>
  <c r="AA158" i="1"/>
  <c r="H158" i="1"/>
  <c r="T159" i="1"/>
  <c r="S159" i="1" s="1"/>
  <c r="R159" i="1"/>
  <c r="F159" i="1"/>
  <c r="K158" i="1"/>
  <c r="BB164" i="1"/>
  <c r="BK165" i="1"/>
  <c r="BI165" i="1"/>
  <c r="AW165" i="1"/>
  <c r="AZ164" i="1"/>
  <c r="AY164" i="1"/>
  <c r="G159" i="1" l="1"/>
  <c r="M159" i="1" s="1"/>
  <c r="O159" i="1"/>
  <c r="B159" i="1"/>
  <c r="A159" i="1"/>
  <c r="BF165" i="1"/>
  <c r="AX165" i="1"/>
  <c r="AS165" i="1"/>
  <c r="AR165" i="1"/>
  <c r="F160" i="1" l="1"/>
  <c r="T160" i="1"/>
  <c r="S160" i="1" s="1"/>
  <c r="R160" i="1"/>
  <c r="J159" i="1"/>
  <c r="L159" i="1"/>
  <c r="I159" i="1" s="1"/>
  <c r="D159" i="1"/>
  <c r="BC165" i="1"/>
  <c r="AU165" i="1"/>
  <c r="BA165" i="1"/>
  <c r="BD165" i="1"/>
  <c r="BJ166" i="1" s="1"/>
  <c r="A160" i="1" l="1"/>
  <c r="B160" i="1"/>
  <c r="O160" i="1"/>
  <c r="G160" i="1"/>
  <c r="AA159" i="1"/>
  <c r="H159" i="1"/>
  <c r="K159" i="1"/>
  <c r="BB165" i="1"/>
  <c r="BK166" i="1"/>
  <c r="BI166" i="1"/>
  <c r="AW166" i="1"/>
  <c r="AZ165" i="1"/>
  <c r="AY165" i="1"/>
  <c r="M160" i="1" l="1"/>
  <c r="D160" i="1"/>
  <c r="L160" i="1"/>
  <c r="I160" i="1" s="1"/>
  <c r="J160" i="1"/>
  <c r="BF166" i="1"/>
  <c r="AX166" i="1"/>
  <c r="AR166" i="1"/>
  <c r="AS166" i="1"/>
  <c r="K160" i="1" l="1"/>
  <c r="AA160" i="1"/>
  <c r="H160" i="1"/>
  <c r="F161" i="1"/>
  <c r="R161" i="1"/>
  <c r="T161" i="1"/>
  <c r="S161" i="1" s="1"/>
  <c r="BA166" i="1"/>
  <c r="BC166" i="1"/>
  <c r="AU166" i="1"/>
  <c r="BD166" i="1"/>
  <c r="BJ167" i="1" s="1"/>
  <c r="B161" i="1" l="1"/>
  <c r="A161" i="1"/>
  <c r="O161" i="1"/>
  <c r="G161" i="1"/>
  <c r="AW167" i="1"/>
  <c r="BI167" i="1"/>
  <c r="BK167" i="1"/>
  <c r="BB166" i="1"/>
  <c r="AZ166" i="1"/>
  <c r="AY166" i="1"/>
  <c r="L161" i="1" l="1"/>
  <c r="J161" i="1"/>
  <c r="K161" i="1" s="1"/>
  <c r="D161" i="1"/>
  <c r="M161" i="1"/>
  <c r="AR167" i="1"/>
  <c r="AS167" i="1"/>
  <c r="AX167" i="1"/>
  <c r="BF167" i="1"/>
  <c r="T162" i="1" l="1"/>
  <c r="S162" i="1" s="1"/>
  <c r="F162" i="1"/>
  <c r="R162" i="1"/>
  <c r="AA161" i="1"/>
  <c r="H161" i="1"/>
  <c r="I161" i="1"/>
  <c r="BA167" i="1"/>
  <c r="BC167" i="1"/>
  <c r="AU167" i="1"/>
  <c r="BD167" i="1"/>
  <c r="BJ168" i="1" s="1"/>
  <c r="A162" i="1" l="1"/>
  <c r="B162" i="1"/>
  <c r="O162" i="1"/>
  <c r="G162" i="1"/>
  <c r="AW168" i="1"/>
  <c r="BI168" i="1"/>
  <c r="BK168" i="1"/>
  <c r="BB167" i="1"/>
  <c r="AZ167" i="1"/>
  <c r="AY167" i="1"/>
  <c r="J162" i="1" l="1"/>
  <c r="D162" i="1"/>
  <c r="L162" i="1"/>
  <c r="M162" i="1"/>
  <c r="AS168" i="1"/>
  <c r="AR168" i="1"/>
  <c r="AX168" i="1"/>
  <c r="BF168" i="1"/>
  <c r="R163" i="1" l="1"/>
  <c r="F163" i="1"/>
  <c r="T163" i="1"/>
  <c r="S163" i="1" s="1"/>
  <c r="K162" i="1"/>
  <c r="AA162" i="1"/>
  <c r="H162" i="1"/>
  <c r="I162" i="1"/>
  <c r="BA168" i="1"/>
  <c r="BC168" i="1"/>
  <c r="AU168" i="1"/>
  <c r="BD168" i="1"/>
  <c r="BJ169" i="1" s="1"/>
  <c r="O163" i="1" l="1"/>
  <c r="G163" i="1"/>
  <c r="A163" i="1"/>
  <c r="B163" i="1"/>
  <c r="AW169" i="1"/>
  <c r="BI169" i="1"/>
  <c r="BK169" i="1"/>
  <c r="BB168" i="1"/>
  <c r="AZ168" i="1"/>
  <c r="AY168" i="1"/>
  <c r="J163" i="1" l="1"/>
  <c r="D163" i="1"/>
  <c r="L163" i="1"/>
  <c r="M163" i="1"/>
  <c r="AR169" i="1"/>
  <c r="AS169" i="1"/>
  <c r="BF169" i="1"/>
  <c r="AX169" i="1"/>
  <c r="K163" i="1" l="1"/>
  <c r="AA163" i="1"/>
  <c r="H163" i="1"/>
  <c r="I163" i="1"/>
  <c r="F164" i="1"/>
  <c r="R164" i="1"/>
  <c r="T164" i="1"/>
  <c r="S164" i="1" s="1"/>
  <c r="AU169" i="1"/>
  <c r="BA169" i="1"/>
  <c r="BC169" i="1"/>
  <c r="BD169" i="1"/>
  <c r="BJ170" i="1" s="1"/>
  <c r="A164" i="1" l="1"/>
  <c r="B164" i="1"/>
  <c r="O164" i="1"/>
  <c r="G164" i="1"/>
  <c r="BB169" i="1"/>
  <c r="AY169" i="1"/>
  <c r="AZ169" i="1"/>
  <c r="BK170" i="1"/>
  <c r="AW170" i="1"/>
  <c r="BI170" i="1"/>
  <c r="L164" i="1" l="1"/>
  <c r="D164" i="1"/>
  <c r="J164" i="1"/>
  <c r="M164" i="1"/>
  <c r="AR170" i="1"/>
  <c r="AS170" i="1"/>
  <c r="AX170" i="1"/>
  <c r="BF170" i="1"/>
  <c r="K164" i="1" l="1"/>
  <c r="F165" i="1"/>
  <c r="T165" i="1"/>
  <c r="S165" i="1" s="1"/>
  <c r="R165" i="1"/>
  <c r="AA164" i="1"/>
  <c r="I164" i="1"/>
  <c r="H164" i="1"/>
  <c r="BC170" i="1"/>
  <c r="BA170" i="1"/>
  <c r="AU170" i="1"/>
  <c r="BD170" i="1"/>
  <c r="BJ171" i="1" s="1"/>
  <c r="A165" i="1" l="1"/>
  <c r="B165" i="1"/>
  <c r="G165" i="1"/>
  <c r="O165" i="1"/>
  <c r="BB170" i="1"/>
  <c r="BK171" i="1"/>
  <c r="AW171" i="1"/>
  <c r="BI171" i="1"/>
  <c r="AZ170" i="1"/>
  <c r="AY170" i="1"/>
  <c r="D165" i="1" l="1"/>
  <c r="L165" i="1"/>
  <c r="J165" i="1"/>
  <c r="K165" i="1" s="1"/>
  <c r="M165" i="1"/>
  <c r="AR171" i="1"/>
  <c r="AS171" i="1"/>
  <c r="BF171" i="1"/>
  <c r="AX171" i="1"/>
  <c r="AA165" i="1" l="1"/>
  <c r="I165" i="1"/>
  <c r="H165" i="1"/>
  <c r="R166" i="1"/>
  <c r="T166" i="1"/>
  <c r="S166" i="1" s="1"/>
  <c r="F166" i="1"/>
  <c r="BA171" i="1"/>
  <c r="AU171" i="1"/>
  <c r="BC171" i="1"/>
  <c r="BD171" i="1"/>
  <c r="BJ172" i="1" s="1"/>
  <c r="G166" i="1" l="1"/>
  <c r="O166" i="1"/>
  <c r="A166" i="1"/>
  <c r="B166" i="1"/>
  <c r="BK172" i="1"/>
  <c r="BI172" i="1"/>
  <c r="AW172" i="1"/>
  <c r="BB171" i="1"/>
  <c r="AY171" i="1"/>
  <c r="AZ171" i="1"/>
  <c r="J166" i="1" l="1"/>
  <c r="L166" i="1"/>
  <c r="D166" i="1"/>
  <c r="M166" i="1"/>
  <c r="BF172" i="1"/>
  <c r="AX172" i="1"/>
  <c r="AR172" i="1"/>
  <c r="AS172" i="1"/>
  <c r="T167" i="1" l="1"/>
  <c r="S167" i="1" s="1"/>
  <c r="F167" i="1"/>
  <c r="R167" i="1"/>
  <c r="K166" i="1"/>
  <c r="AA166" i="1"/>
  <c r="I166" i="1"/>
  <c r="H166" i="1"/>
  <c r="BC172" i="1"/>
  <c r="AU172" i="1"/>
  <c r="BA172" i="1"/>
  <c r="BD172" i="1"/>
  <c r="BJ173" i="1" s="1"/>
  <c r="A167" i="1" l="1"/>
  <c r="B167" i="1"/>
  <c r="G167" i="1"/>
  <c r="O167" i="1"/>
  <c r="BB172" i="1"/>
  <c r="AW173" i="1"/>
  <c r="BI173" i="1"/>
  <c r="BK173" i="1"/>
  <c r="AZ172" i="1"/>
  <c r="AY172" i="1"/>
  <c r="L167" i="1" l="1"/>
  <c r="D167" i="1"/>
  <c r="J167" i="1"/>
  <c r="M167" i="1"/>
  <c r="AR173" i="1"/>
  <c r="AS173" i="1"/>
  <c r="AX173" i="1"/>
  <c r="BF173" i="1"/>
  <c r="K167" i="1" l="1"/>
  <c r="T168" i="1"/>
  <c r="S168" i="1" s="1"/>
  <c r="F168" i="1"/>
  <c r="R168" i="1"/>
  <c r="AA167" i="1"/>
  <c r="H167" i="1"/>
  <c r="I167" i="1"/>
  <c r="AU173" i="1"/>
  <c r="BA173" i="1"/>
  <c r="BC173" i="1"/>
  <c r="BD173" i="1"/>
  <c r="BJ174" i="1" s="1"/>
  <c r="B168" i="1" l="1"/>
  <c r="A168" i="1"/>
  <c r="G168" i="1"/>
  <c r="O168" i="1"/>
  <c r="BB173" i="1"/>
  <c r="BI174" i="1"/>
  <c r="AW174" i="1"/>
  <c r="BK174" i="1"/>
  <c r="AZ173" i="1"/>
  <c r="AY173" i="1"/>
  <c r="D168" i="1" l="1"/>
  <c r="J168" i="1"/>
  <c r="L168" i="1"/>
  <c r="M168" i="1"/>
  <c r="AX174" i="1"/>
  <c r="BF174" i="1"/>
  <c r="AR174" i="1"/>
  <c r="AS174" i="1"/>
  <c r="T169" i="1" l="1"/>
  <c r="S169" i="1" s="1"/>
  <c r="F169" i="1"/>
  <c r="R169" i="1"/>
  <c r="K168" i="1"/>
  <c r="AA168" i="1"/>
  <c r="I168" i="1"/>
  <c r="H168" i="1"/>
  <c r="BC174" i="1"/>
  <c r="BA174" i="1"/>
  <c r="AU174" i="1"/>
  <c r="BD174" i="1"/>
  <c r="BJ175" i="1" s="1"/>
  <c r="A169" i="1" l="1"/>
  <c r="B169" i="1"/>
  <c r="G169" i="1"/>
  <c r="O169" i="1"/>
  <c r="BB174" i="1"/>
  <c r="AW175" i="1"/>
  <c r="BK175" i="1"/>
  <c r="BI175" i="1"/>
  <c r="AZ174" i="1"/>
  <c r="AY174" i="1"/>
  <c r="D169" i="1" l="1"/>
  <c r="J169" i="1"/>
  <c r="L169" i="1"/>
  <c r="M169" i="1"/>
  <c r="AR175" i="1"/>
  <c r="AS175" i="1"/>
  <c r="BF175" i="1"/>
  <c r="AX175" i="1"/>
  <c r="BD175" i="1" s="1"/>
  <c r="BJ176" i="1" s="1"/>
  <c r="F170" i="1" l="1"/>
  <c r="R170" i="1"/>
  <c r="T170" i="1"/>
  <c r="S170" i="1" s="1"/>
  <c r="K169" i="1"/>
  <c r="AA169" i="1"/>
  <c r="H169" i="1"/>
  <c r="I169" i="1"/>
  <c r="AW176" i="1"/>
  <c r="BK176" i="1"/>
  <c r="BI176" i="1"/>
  <c r="BA175" i="1"/>
  <c r="AU175" i="1"/>
  <c r="BC175" i="1"/>
  <c r="B170" i="1" l="1"/>
  <c r="A170" i="1"/>
  <c r="O170" i="1"/>
  <c r="G170" i="1"/>
  <c r="AR176" i="1"/>
  <c r="AS176" i="1"/>
  <c r="AX176" i="1"/>
  <c r="BD176" i="1" s="1"/>
  <c r="BJ177" i="1" s="1"/>
  <c r="BF176" i="1"/>
  <c r="BB175" i="1"/>
  <c r="AZ175" i="1"/>
  <c r="AY175" i="1"/>
  <c r="D170" i="1" l="1"/>
  <c r="J170" i="1"/>
  <c r="L170" i="1"/>
  <c r="M170" i="1"/>
  <c r="BK177" i="1"/>
  <c r="AW177" i="1"/>
  <c r="BI177" i="1"/>
  <c r="BA176" i="1"/>
  <c r="AU176" i="1"/>
  <c r="BC176" i="1"/>
  <c r="T171" i="1" l="1"/>
  <c r="S171" i="1" s="1"/>
  <c r="F171" i="1"/>
  <c r="R171" i="1"/>
  <c r="K170" i="1"/>
  <c r="AA170" i="1"/>
  <c r="H170" i="1"/>
  <c r="I170" i="1"/>
  <c r="BB176" i="1"/>
  <c r="AZ176" i="1"/>
  <c r="AY176" i="1"/>
  <c r="AS177" i="1"/>
  <c r="AR177" i="1"/>
  <c r="BF177" i="1"/>
  <c r="AX177" i="1"/>
  <c r="A171" i="1" l="1"/>
  <c r="B171" i="1"/>
  <c r="O171" i="1"/>
  <c r="G171" i="1"/>
  <c r="BC177" i="1"/>
  <c r="BA177" i="1"/>
  <c r="AU177" i="1"/>
  <c r="BD177" i="1"/>
  <c r="BJ178" i="1" s="1"/>
  <c r="J171" i="1" l="1"/>
  <c r="D171" i="1"/>
  <c r="L171" i="1"/>
  <c r="M171" i="1"/>
  <c r="BB177" i="1"/>
  <c r="BI178" i="1"/>
  <c r="AW178" i="1"/>
  <c r="BK178" i="1"/>
  <c r="AZ177" i="1"/>
  <c r="AY177" i="1"/>
  <c r="T172" i="1" l="1"/>
  <c r="S172" i="1" s="1"/>
  <c r="R172" i="1"/>
  <c r="F172" i="1"/>
  <c r="K171" i="1"/>
  <c r="AA171" i="1"/>
  <c r="I171" i="1"/>
  <c r="H171" i="1"/>
  <c r="BF178" i="1"/>
  <c r="AX178" i="1"/>
  <c r="BD178" i="1" s="1"/>
  <c r="BJ179" i="1" s="1"/>
  <c r="AS178" i="1"/>
  <c r="AR178" i="1"/>
  <c r="G172" i="1" l="1"/>
  <c r="O172" i="1"/>
  <c r="A172" i="1"/>
  <c r="B172" i="1"/>
  <c r="AW179" i="1"/>
  <c r="BK179" i="1"/>
  <c r="BI179" i="1"/>
  <c r="AU178" i="1"/>
  <c r="BC178" i="1"/>
  <c r="BA178" i="1"/>
  <c r="D172" i="1" l="1"/>
  <c r="L172" i="1"/>
  <c r="J172" i="1"/>
  <c r="M172" i="1"/>
  <c r="BB178" i="1"/>
  <c r="AS179" i="1"/>
  <c r="AR179" i="1"/>
  <c r="BF179" i="1"/>
  <c r="AX179" i="1"/>
  <c r="BD179" i="1" s="1"/>
  <c r="BJ180" i="1" s="1"/>
  <c r="AZ178" i="1"/>
  <c r="AY178" i="1"/>
  <c r="K172" i="1" l="1"/>
  <c r="F173" i="1"/>
  <c r="R173" i="1"/>
  <c r="T173" i="1"/>
  <c r="S173" i="1" s="1"/>
  <c r="AA172" i="1"/>
  <c r="H172" i="1"/>
  <c r="I172" i="1"/>
  <c r="BI180" i="1"/>
  <c r="BK180" i="1"/>
  <c r="AW180" i="1"/>
  <c r="BC179" i="1"/>
  <c r="BA179" i="1"/>
  <c r="AU179" i="1"/>
  <c r="A173" i="1" l="1"/>
  <c r="B173" i="1"/>
  <c r="G173" i="1"/>
  <c r="O173" i="1"/>
  <c r="BB179" i="1"/>
  <c r="AX180" i="1"/>
  <c r="BD180" i="1" s="1"/>
  <c r="BJ181" i="1" s="1"/>
  <c r="BF180" i="1"/>
  <c r="AR180" i="1"/>
  <c r="AS180" i="1"/>
  <c r="AY179" i="1"/>
  <c r="AZ179" i="1"/>
  <c r="J173" i="1" l="1"/>
  <c r="D173" i="1"/>
  <c r="L173" i="1"/>
  <c r="M173" i="1"/>
  <c r="BI181" i="1"/>
  <c r="BK181" i="1"/>
  <c r="AW181" i="1"/>
  <c r="BA180" i="1"/>
  <c r="BC180" i="1"/>
  <c r="AU180" i="1"/>
  <c r="F174" i="1" l="1"/>
  <c r="R174" i="1"/>
  <c r="T174" i="1"/>
  <c r="S174" i="1" s="1"/>
  <c r="K173" i="1"/>
  <c r="AA173" i="1"/>
  <c r="H173" i="1"/>
  <c r="I173" i="1"/>
  <c r="BB180" i="1"/>
  <c r="AX181" i="1"/>
  <c r="BD181" i="1" s="1"/>
  <c r="BJ182" i="1" s="1"/>
  <c r="BF181" i="1"/>
  <c r="AS181" i="1"/>
  <c r="AR181" i="1"/>
  <c r="AY180" i="1"/>
  <c r="AZ180" i="1"/>
  <c r="A174" i="1" l="1"/>
  <c r="B174" i="1"/>
  <c r="O174" i="1"/>
  <c r="G174" i="1"/>
  <c r="BI182" i="1"/>
  <c r="BK182" i="1"/>
  <c r="AW182" i="1"/>
  <c r="BC181" i="1"/>
  <c r="BA181" i="1"/>
  <c r="AU181" i="1"/>
  <c r="J174" i="1" l="1"/>
  <c r="L174" i="1"/>
  <c r="D174" i="1"/>
  <c r="M174" i="1"/>
  <c r="BB181" i="1"/>
  <c r="BF182" i="1"/>
  <c r="AX182" i="1"/>
  <c r="BD182" i="1" s="1"/>
  <c r="BJ183" i="1" s="1"/>
  <c r="AS182" i="1"/>
  <c r="AR182" i="1"/>
  <c r="AY181" i="1"/>
  <c r="AZ181" i="1"/>
  <c r="F175" i="1" l="1"/>
  <c r="T175" i="1"/>
  <c r="S175" i="1" s="1"/>
  <c r="R175" i="1"/>
  <c r="K174" i="1"/>
  <c r="AA174" i="1"/>
  <c r="I174" i="1"/>
  <c r="H174" i="1"/>
  <c r="AW183" i="1"/>
  <c r="BI183" i="1"/>
  <c r="BK183" i="1"/>
  <c r="BC182" i="1"/>
  <c r="BA182" i="1"/>
  <c r="AU182" i="1"/>
  <c r="A175" i="1" l="1"/>
  <c r="B175" i="1"/>
  <c r="G175" i="1"/>
  <c r="O175" i="1"/>
  <c r="BB182" i="1"/>
  <c r="AR183" i="1"/>
  <c r="AS183" i="1"/>
  <c r="AX183" i="1"/>
  <c r="BF183" i="1"/>
  <c r="AZ182" i="1"/>
  <c r="AY182" i="1"/>
  <c r="L175" i="1" l="1"/>
  <c r="J175" i="1"/>
  <c r="D175" i="1"/>
  <c r="M175" i="1"/>
  <c r="BC183" i="1"/>
  <c r="BA183" i="1"/>
  <c r="AU183" i="1"/>
  <c r="BD183" i="1"/>
  <c r="BJ184" i="1" s="1"/>
  <c r="R176" i="1" l="1"/>
  <c r="F176" i="1"/>
  <c r="T176" i="1"/>
  <c r="S176" i="1" s="1"/>
  <c r="K175" i="1"/>
  <c r="AA175" i="1"/>
  <c r="I175" i="1"/>
  <c r="H175" i="1"/>
  <c r="BB183" i="1"/>
  <c r="BK184" i="1"/>
  <c r="BI184" i="1"/>
  <c r="AW184" i="1"/>
  <c r="AY183" i="1"/>
  <c r="AZ183" i="1"/>
  <c r="G176" i="1" l="1"/>
  <c r="M176" i="1" s="1"/>
  <c r="O176" i="1"/>
  <c r="A176" i="1"/>
  <c r="B176" i="1"/>
  <c r="AX184" i="1"/>
  <c r="BD184" i="1" s="1"/>
  <c r="BJ185" i="1" s="1"/>
  <c r="BF184" i="1"/>
  <c r="AS184" i="1"/>
  <c r="AR184" i="1"/>
  <c r="R177" i="1" l="1"/>
  <c r="F177" i="1"/>
  <c r="T177" i="1"/>
  <c r="S177" i="1" s="1"/>
  <c r="D176" i="1"/>
  <c r="J176" i="1"/>
  <c r="L176" i="1"/>
  <c r="BK185" i="1"/>
  <c r="BI185" i="1"/>
  <c r="AW185" i="1"/>
  <c r="BA184" i="1"/>
  <c r="BC184" i="1"/>
  <c r="AU184" i="1"/>
  <c r="G177" i="1" l="1"/>
  <c r="O177" i="1"/>
  <c r="B177" i="1"/>
  <c r="A177" i="1"/>
  <c r="K176" i="1"/>
  <c r="AA176" i="1"/>
  <c r="H176" i="1"/>
  <c r="I176" i="1"/>
  <c r="BF185" i="1"/>
  <c r="AX185" i="1"/>
  <c r="BD185" i="1" s="1"/>
  <c r="BJ186" i="1" s="1"/>
  <c r="AS185" i="1"/>
  <c r="AR185" i="1"/>
  <c r="BB184" i="1"/>
  <c r="AY184" i="1"/>
  <c r="AZ184" i="1"/>
  <c r="L177" i="1" l="1"/>
  <c r="J177" i="1"/>
  <c r="K177" i="1" s="1"/>
  <c r="D177" i="1"/>
  <c r="M177" i="1"/>
  <c r="BK186" i="1"/>
  <c r="AW186" i="1"/>
  <c r="BI186" i="1"/>
  <c r="AU185" i="1"/>
  <c r="BA185" i="1"/>
  <c r="BC185" i="1"/>
  <c r="T178" i="1" l="1"/>
  <c r="S178" i="1" s="1"/>
  <c r="F178" i="1"/>
  <c r="R178" i="1"/>
  <c r="AA177" i="1"/>
  <c r="H177" i="1"/>
  <c r="I177" i="1"/>
  <c r="AS186" i="1"/>
  <c r="AR186" i="1"/>
  <c r="AX186" i="1"/>
  <c r="BD186" i="1" s="1"/>
  <c r="BJ187" i="1" s="1"/>
  <c r="BF186" i="1"/>
  <c r="BB185" i="1"/>
  <c r="AZ185" i="1"/>
  <c r="AY185" i="1"/>
  <c r="A178" i="1" l="1"/>
  <c r="B178" i="1"/>
  <c r="O178" i="1"/>
  <c r="G178" i="1"/>
  <c r="BI187" i="1"/>
  <c r="AW187" i="1"/>
  <c r="BK187" i="1"/>
  <c r="BC186" i="1"/>
  <c r="AU186" i="1"/>
  <c r="BA186" i="1"/>
  <c r="J178" i="1" l="1"/>
  <c r="D178" i="1"/>
  <c r="L178" i="1"/>
  <c r="M178" i="1"/>
  <c r="BB186" i="1"/>
  <c r="AX187" i="1"/>
  <c r="BD187" i="1" s="1"/>
  <c r="BJ188" i="1" s="1"/>
  <c r="BF187" i="1"/>
  <c r="AR187" i="1"/>
  <c r="AS187" i="1"/>
  <c r="AZ186" i="1"/>
  <c r="AY186" i="1"/>
  <c r="F179" i="1" l="1"/>
  <c r="R179" i="1"/>
  <c r="T179" i="1"/>
  <c r="S179" i="1" s="1"/>
  <c r="K178" i="1"/>
  <c r="AA178" i="1"/>
  <c r="H178" i="1"/>
  <c r="I178" i="1"/>
  <c r="BI188" i="1"/>
  <c r="AW188" i="1"/>
  <c r="BK188" i="1"/>
  <c r="AU187" i="1"/>
  <c r="BC187" i="1"/>
  <c r="BA187" i="1"/>
  <c r="B179" i="1" l="1"/>
  <c r="A179" i="1"/>
  <c r="O179" i="1"/>
  <c r="G179" i="1"/>
  <c r="M179" i="1" s="1"/>
  <c r="BB187" i="1"/>
  <c r="BF188" i="1"/>
  <c r="AX188" i="1"/>
  <c r="BD188" i="1" s="1"/>
  <c r="BJ189" i="1" s="1"/>
  <c r="AR188" i="1"/>
  <c r="AS188" i="1"/>
  <c r="AY187" i="1"/>
  <c r="AZ187" i="1"/>
  <c r="T180" i="1" l="1"/>
  <c r="S180" i="1" s="1"/>
  <c r="R180" i="1"/>
  <c r="F180" i="1"/>
  <c r="D179" i="1"/>
  <c r="L179" i="1"/>
  <c r="J179" i="1"/>
  <c r="K179" i="1" s="1"/>
  <c r="BI189" i="1"/>
  <c r="AW189" i="1"/>
  <c r="BK189" i="1"/>
  <c r="BC188" i="1"/>
  <c r="BA188" i="1"/>
  <c r="AU188" i="1"/>
  <c r="G180" i="1" l="1"/>
  <c r="M180" i="1" s="1"/>
  <c r="O180" i="1"/>
  <c r="A180" i="1"/>
  <c r="B180" i="1"/>
  <c r="AA179" i="1"/>
  <c r="H179" i="1"/>
  <c r="I179" i="1"/>
  <c r="BF189" i="1"/>
  <c r="AX189" i="1"/>
  <c r="BD189" i="1" s="1"/>
  <c r="BJ190" i="1" s="1"/>
  <c r="AS189" i="1"/>
  <c r="AR189" i="1"/>
  <c r="BB188" i="1"/>
  <c r="AZ188" i="1"/>
  <c r="AY188" i="1"/>
  <c r="T181" i="1" l="1"/>
  <c r="S181" i="1" s="1"/>
  <c r="R181" i="1"/>
  <c r="F181" i="1"/>
  <c r="D180" i="1"/>
  <c r="L180" i="1"/>
  <c r="J180" i="1"/>
  <c r="BK190" i="1"/>
  <c r="BI190" i="1"/>
  <c r="AW190" i="1"/>
  <c r="AU189" i="1"/>
  <c r="BA189" i="1"/>
  <c r="BC189" i="1"/>
  <c r="K180" i="1" l="1"/>
  <c r="O181" i="1"/>
  <c r="G181" i="1"/>
  <c r="M181" i="1" s="1"/>
  <c r="A181" i="1"/>
  <c r="B181" i="1"/>
  <c r="AA180" i="1"/>
  <c r="H180" i="1"/>
  <c r="I180" i="1"/>
  <c r="BF190" i="1"/>
  <c r="AX190" i="1"/>
  <c r="BD190" i="1" s="1"/>
  <c r="BJ191" i="1" s="1"/>
  <c r="AS190" i="1"/>
  <c r="AR190" i="1"/>
  <c r="BB189" i="1"/>
  <c r="AY189" i="1"/>
  <c r="AZ189" i="1"/>
  <c r="J181" i="1" l="1"/>
  <c r="D181" i="1"/>
  <c r="L181" i="1"/>
  <c r="T182" i="1"/>
  <c r="S182" i="1" s="1"/>
  <c r="F182" i="1"/>
  <c r="R182" i="1"/>
  <c r="BK191" i="1"/>
  <c r="AW191" i="1"/>
  <c r="BI191" i="1"/>
  <c r="BA190" i="1"/>
  <c r="AU190" i="1"/>
  <c r="BC190" i="1"/>
  <c r="B182" i="1" l="1"/>
  <c r="A182" i="1"/>
  <c r="G182" i="1"/>
  <c r="M182" i="1" s="1"/>
  <c r="O182" i="1"/>
  <c r="K181" i="1"/>
  <c r="AA181" i="1"/>
  <c r="I181" i="1"/>
  <c r="H181" i="1"/>
  <c r="AR191" i="1"/>
  <c r="AS191" i="1"/>
  <c r="BF191" i="1"/>
  <c r="AX191" i="1"/>
  <c r="BD191" i="1" s="1"/>
  <c r="BJ192" i="1" s="1"/>
  <c r="BB190" i="1"/>
  <c r="AZ190" i="1"/>
  <c r="AY190" i="1"/>
  <c r="T183" i="1" l="1"/>
  <c r="S183" i="1" s="1"/>
  <c r="R183" i="1"/>
  <c r="F183" i="1"/>
  <c r="D182" i="1"/>
  <c r="J182" i="1"/>
  <c r="L182" i="1"/>
  <c r="BI192" i="1"/>
  <c r="BK192" i="1"/>
  <c r="AW192" i="1"/>
  <c r="BC191" i="1"/>
  <c r="BA191" i="1"/>
  <c r="AU191" i="1"/>
  <c r="AA182" i="1" l="1"/>
  <c r="I182" i="1"/>
  <c r="H182" i="1"/>
  <c r="K182" i="1"/>
  <c r="O183" i="1"/>
  <c r="G183" i="1"/>
  <c r="M183" i="1" s="1"/>
  <c r="B183" i="1"/>
  <c r="A183" i="1"/>
  <c r="BB191" i="1"/>
  <c r="BF192" i="1"/>
  <c r="AX192" i="1"/>
  <c r="AR192" i="1"/>
  <c r="AS192" i="1"/>
  <c r="AY191" i="1"/>
  <c r="AZ191" i="1"/>
  <c r="R184" i="1" l="1"/>
  <c r="T184" i="1"/>
  <c r="S184" i="1" s="1"/>
  <c r="F184" i="1"/>
  <c r="L183" i="1"/>
  <c r="H183" i="1" s="1"/>
  <c r="D183" i="1"/>
  <c r="J183" i="1"/>
  <c r="BD192" i="1"/>
  <c r="BJ193" i="1" s="1"/>
  <c r="BA192" i="1"/>
  <c r="AU192" i="1"/>
  <c r="BC192" i="1"/>
  <c r="K183" i="1" l="1"/>
  <c r="G184" i="1"/>
  <c r="M184" i="1" s="1"/>
  <c r="O184" i="1"/>
  <c r="A184" i="1"/>
  <c r="B184" i="1"/>
  <c r="AA183" i="1"/>
  <c r="I183" i="1"/>
  <c r="BK193" i="1"/>
  <c r="BI193" i="1"/>
  <c r="AW193" i="1"/>
  <c r="BB192" i="1"/>
  <c r="AY192" i="1"/>
  <c r="AZ192" i="1"/>
  <c r="R185" i="1" l="1"/>
  <c r="F185" i="1"/>
  <c r="T185" i="1"/>
  <c r="S185" i="1" s="1"/>
  <c r="L184" i="1"/>
  <c r="J184" i="1"/>
  <c r="D184" i="1"/>
  <c r="BF193" i="1"/>
  <c r="AX193" i="1"/>
  <c r="AR193" i="1"/>
  <c r="AS193" i="1"/>
  <c r="K184" i="1" l="1"/>
  <c r="O185" i="1"/>
  <c r="G185" i="1"/>
  <c r="M185" i="1" s="1"/>
  <c r="A185" i="1"/>
  <c r="B185" i="1"/>
  <c r="AA184" i="1"/>
  <c r="I184" i="1"/>
  <c r="H184" i="1"/>
  <c r="BA193" i="1"/>
  <c r="BD193" i="1"/>
  <c r="BJ194" i="1" s="1"/>
  <c r="BC193" i="1"/>
  <c r="AU193" i="1"/>
  <c r="F186" i="1" l="1"/>
  <c r="R186" i="1"/>
  <c r="T186" i="1"/>
  <c r="S186" i="1" s="1"/>
  <c r="D185" i="1"/>
  <c r="J185" i="1"/>
  <c r="L185" i="1"/>
  <c r="AZ193" i="1"/>
  <c r="AY193" i="1"/>
  <c r="AW194" i="1"/>
  <c r="BI194" i="1"/>
  <c r="BK194" i="1"/>
  <c r="BB193" i="1"/>
  <c r="K185" i="1" l="1"/>
  <c r="AA185" i="1"/>
  <c r="I185" i="1"/>
  <c r="H185" i="1"/>
  <c r="A186" i="1"/>
  <c r="B186" i="1"/>
  <c r="G186" i="1"/>
  <c r="M186" i="1" s="1"/>
  <c r="O186" i="1"/>
  <c r="AS194" i="1"/>
  <c r="AR194" i="1"/>
  <c r="BF194" i="1"/>
  <c r="AX194" i="1"/>
  <c r="F187" i="1" l="1"/>
  <c r="T187" i="1"/>
  <c r="S187" i="1" s="1"/>
  <c r="R187" i="1"/>
  <c r="D186" i="1"/>
  <c r="J186" i="1"/>
  <c r="L186" i="1"/>
  <c r="H186" i="1" s="1"/>
  <c r="AU194" i="1"/>
  <c r="BC194" i="1"/>
  <c r="BA194" i="1"/>
  <c r="BD194" i="1"/>
  <c r="BJ195" i="1" s="1"/>
  <c r="K186" i="1" l="1"/>
  <c r="B187" i="1"/>
  <c r="A187" i="1"/>
  <c r="O187" i="1"/>
  <c r="G187" i="1"/>
  <c r="M187" i="1" s="1"/>
  <c r="AA186" i="1"/>
  <c r="I186" i="1"/>
  <c r="BB194" i="1"/>
  <c r="AZ194" i="1"/>
  <c r="AY194" i="1"/>
  <c r="AW195" i="1"/>
  <c r="BI195" i="1"/>
  <c r="BK195" i="1"/>
  <c r="R188" i="1" l="1"/>
  <c r="F188" i="1"/>
  <c r="T188" i="1"/>
  <c r="S188" i="1" s="1"/>
  <c r="L187" i="1"/>
  <c r="H187" i="1" s="1"/>
  <c r="D187" i="1"/>
  <c r="J187" i="1"/>
  <c r="AS195" i="1"/>
  <c r="AR195" i="1"/>
  <c r="AX195" i="1"/>
  <c r="BF195" i="1"/>
  <c r="K187" i="1" l="1"/>
  <c r="G188" i="1"/>
  <c r="M188" i="1" s="1"/>
  <c r="O188" i="1"/>
  <c r="A188" i="1"/>
  <c r="B188" i="1"/>
  <c r="AA187" i="1"/>
  <c r="I187" i="1"/>
  <c r="BD195" i="1"/>
  <c r="BJ196" i="1" s="1"/>
  <c r="AU195" i="1"/>
  <c r="BA195" i="1"/>
  <c r="BC195" i="1"/>
  <c r="F189" i="1" l="1"/>
  <c r="T189" i="1"/>
  <c r="S189" i="1" s="1"/>
  <c r="R189" i="1"/>
  <c r="L188" i="1"/>
  <c r="H188" i="1" s="1"/>
  <c r="J188" i="1"/>
  <c r="D188" i="1"/>
  <c r="AY195" i="1"/>
  <c r="AZ195" i="1"/>
  <c r="AW196" i="1"/>
  <c r="BI196" i="1"/>
  <c r="BK196" i="1"/>
  <c r="BB195" i="1"/>
  <c r="K188" i="1" l="1"/>
  <c r="B189" i="1"/>
  <c r="A189" i="1"/>
  <c r="G189" i="1"/>
  <c r="O189" i="1"/>
  <c r="AA188" i="1"/>
  <c r="I188" i="1"/>
  <c r="AR196" i="1"/>
  <c r="AS196" i="1"/>
  <c r="BF196" i="1"/>
  <c r="AX196" i="1"/>
  <c r="J189" i="1" l="1"/>
  <c r="D189" i="1"/>
  <c r="L189" i="1"/>
  <c r="M189" i="1"/>
  <c r="BC196" i="1"/>
  <c r="BD196" i="1"/>
  <c r="BJ197" i="1" s="1"/>
  <c r="AU196" i="1"/>
  <c r="BA196" i="1"/>
  <c r="R190" i="1" l="1"/>
  <c r="T190" i="1"/>
  <c r="S190" i="1" s="1"/>
  <c r="F190" i="1"/>
  <c r="K189" i="1"/>
  <c r="AA189" i="1"/>
  <c r="H189" i="1"/>
  <c r="I189" i="1"/>
  <c r="BI197" i="1"/>
  <c r="BK197" i="1"/>
  <c r="AW197" i="1"/>
  <c r="BB196" i="1"/>
  <c r="AY196" i="1"/>
  <c r="AZ196" i="1"/>
  <c r="G190" i="1" l="1"/>
  <c r="O190" i="1"/>
  <c r="B190" i="1"/>
  <c r="A190" i="1"/>
  <c r="BF197" i="1"/>
  <c r="AX197" i="1"/>
  <c r="AR197" i="1"/>
  <c r="AS197" i="1"/>
  <c r="L190" i="1" l="1"/>
  <c r="I190" i="1" s="1"/>
  <c r="J190" i="1"/>
  <c r="D190" i="1"/>
  <c r="M190" i="1"/>
  <c r="AU197" i="1"/>
  <c r="BC197" i="1"/>
  <c r="BA197" i="1"/>
  <c r="BD197" i="1"/>
  <c r="BJ198" i="1" s="1"/>
  <c r="K190" i="1" l="1"/>
  <c r="AA190" i="1"/>
  <c r="H190" i="1"/>
  <c r="R191" i="1"/>
  <c r="F191" i="1"/>
  <c r="T191" i="1"/>
  <c r="S191" i="1" s="1"/>
  <c r="BB197" i="1"/>
  <c r="AW198" i="1"/>
  <c r="BK198" i="1"/>
  <c r="BI198" i="1"/>
  <c r="AY197" i="1"/>
  <c r="AZ197" i="1"/>
  <c r="O191" i="1" l="1"/>
  <c r="G191" i="1"/>
  <c r="B191" i="1"/>
  <c r="A191" i="1"/>
  <c r="AS198" i="1"/>
  <c r="AR198" i="1"/>
  <c r="AX198" i="1"/>
  <c r="BF198" i="1"/>
  <c r="D191" i="1" l="1"/>
  <c r="L191" i="1"/>
  <c r="J191" i="1"/>
  <c r="M191" i="1"/>
  <c r="AU198" i="1"/>
  <c r="BD198" i="1"/>
  <c r="BJ199" i="1" s="1"/>
  <c r="BA198" i="1"/>
  <c r="BC198" i="1"/>
  <c r="K191" i="1" l="1"/>
  <c r="R192" i="1"/>
  <c r="T192" i="1"/>
  <c r="S192" i="1" s="1"/>
  <c r="F192" i="1"/>
  <c r="AA191" i="1"/>
  <c r="I191" i="1"/>
  <c r="H191" i="1"/>
  <c r="BB198" i="1"/>
  <c r="BI199" i="1"/>
  <c r="BK199" i="1"/>
  <c r="AW199" i="1"/>
  <c r="AY198" i="1"/>
  <c r="AZ198" i="1"/>
  <c r="G192" i="1" l="1"/>
  <c r="O192" i="1"/>
  <c r="B192" i="1"/>
  <c r="A192" i="1"/>
  <c r="BF199" i="1"/>
  <c r="AX199" i="1"/>
  <c r="AS199" i="1"/>
  <c r="AR199" i="1"/>
  <c r="J192" i="1" l="1"/>
  <c r="L192" i="1"/>
  <c r="D192" i="1"/>
  <c r="M192" i="1"/>
  <c r="BD199" i="1"/>
  <c r="BJ200" i="1" s="1"/>
  <c r="BA199" i="1"/>
  <c r="BC199" i="1"/>
  <c r="AU199" i="1"/>
  <c r="F193" i="1" l="1"/>
  <c r="R193" i="1"/>
  <c r="T193" i="1"/>
  <c r="S193" i="1" s="1"/>
  <c r="K192" i="1"/>
  <c r="AA192" i="1"/>
  <c r="H192" i="1"/>
  <c r="I192" i="1"/>
  <c r="AZ199" i="1"/>
  <c r="AY199" i="1"/>
  <c r="BI200" i="1"/>
  <c r="BK200" i="1"/>
  <c r="AW200" i="1"/>
  <c r="BB199" i="1"/>
  <c r="B193" i="1" l="1"/>
  <c r="A193" i="1"/>
  <c r="G193" i="1"/>
  <c r="O193" i="1"/>
  <c r="AX200" i="1"/>
  <c r="BF200" i="1"/>
  <c r="AS200" i="1"/>
  <c r="AR200" i="1"/>
  <c r="L193" i="1" l="1"/>
  <c r="D193" i="1"/>
  <c r="J193" i="1"/>
  <c r="M193" i="1"/>
  <c r="BC200" i="1"/>
  <c r="AU200" i="1"/>
  <c r="BA200" i="1"/>
  <c r="BD200" i="1"/>
  <c r="BJ201" i="1" s="1"/>
  <c r="K193" i="1" l="1"/>
  <c r="T194" i="1"/>
  <c r="S194" i="1" s="1"/>
  <c r="F194" i="1"/>
  <c r="R194" i="1"/>
  <c r="AA193" i="1"/>
  <c r="H193" i="1"/>
  <c r="I193" i="1"/>
  <c r="BB200" i="1"/>
  <c r="AY200" i="1"/>
  <c r="AZ200" i="1"/>
  <c r="AW201" i="1"/>
  <c r="BI201" i="1"/>
  <c r="BK201" i="1"/>
  <c r="B194" i="1" l="1"/>
  <c r="A194" i="1"/>
  <c r="O194" i="1"/>
  <c r="G194" i="1"/>
  <c r="AR201" i="1"/>
  <c r="AS201" i="1"/>
  <c r="BF201" i="1"/>
  <c r="AX201" i="1"/>
  <c r="D194" i="1" l="1"/>
  <c r="K10" i="6" s="1"/>
  <c r="J194" i="1"/>
  <c r="L194" i="1"/>
  <c r="M194" i="1"/>
  <c r="AU201" i="1"/>
  <c r="BC201" i="1"/>
  <c r="BA201" i="1"/>
  <c r="BD201" i="1"/>
  <c r="BJ202" i="1" s="1"/>
  <c r="F195" i="1" l="1"/>
  <c r="T195" i="1"/>
  <c r="S195" i="1" s="1"/>
  <c r="R195" i="1"/>
  <c r="K194" i="1"/>
  <c r="AA194" i="1"/>
  <c r="I194" i="1"/>
  <c r="H194" i="1"/>
  <c r="BB201" i="1"/>
  <c r="BI202" i="1"/>
  <c r="BK202" i="1"/>
  <c r="AW202" i="1"/>
  <c r="AZ201" i="1"/>
  <c r="AY201" i="1"/>
  <c r="A195" i="1" l="1"/>
  <c r="B195" i="1"/>
  <c r="G195" i="1"/>
  <c r="O195" i="1"/>
  <c r="BF202" i="1"/>
  <c r="AX202" i="1"/>
  <c r="AR202" i="1"/>
  <c r="AS202" i="1"/>
  <c r="L195" i="1" l="1"/>
  <c r="J195" i="1"/>
  <c r="K195" i="1" s="1"/>
  <c r="D195" i="1"/>
  <c r="M195" i="1"/>
  <c r="BD202" i="1"/>
  <c r="BJ203" i="1" s="1"/>
  <c r="AU202" i="1"/>
  <c r="BA202" i="1"/>
  <c r="BC202" i="1"/>
  <c r="T196" i="1" l="1"/>
  <c r="S196" i="1" s="1"/>
  <c r="R196" i="1"/>
  <c r="F196" i="1"/>
  <c r="AA195" i="1"/>
  <c r="I195" i="1"/>
  <c r="H195" i="1"/>
  <c r="AZ202" i="1"/>
  <c r="AY202" i="1"/>
  <c r="AW203" i="1"/>
  <c r="BI203" i="1"/>
  <c r="BK203" i="1"/>
  <c r="BB202" i="1"/>
  <c r="O196" i="1" l="1"/>
  <c r="G196" i="1"/>
  <c r="A196" i="1"/>
  <c r="B196" i="1"/>
  <c r="AR203" i="1"/>
  <c r="AS203" i="1"/>
  <c r="AX203" i="1"/>
  <c r="BF203" i="1"/>
  <c r="L196" i="1" l="1"/>
  <c r="H196" i="1" s="1"/>
  <c r="J196" i="1"/>
  <c r="D196" i="1"/>
  <c r="M196" i="1"/>
  <c r="BD203" i="1"/>
  <c r="BJ204" i="1" s="1"/>
  <c r="AU203" i="1"/>
  <c r="BA203" i="1"/>
  <c r="BC203" i="1"/>
  <c r="K196" i="1" l="1"/>
  <c r="AA196" i="1"/>
  <c r="I196" i="1"/>
  <c r="R197" i="1"/>
  <c r="T197" i="1"/>
  <c r="S197" i="1" s="1"/>
  <c r="F197" i="1"/>
  <c r="BK204" i="1"/>
  <c r="AW204" i="1"/>
  <c r="BI204" i="1"/>
  <c r="AY203" i="1"/>
  <c r="AZ203" i="1"/>
  <c r="BB203" i="1"/>
  <c r="G197" i="1" l="1"/>
  <c r="O197" i="1"/>
  <c r="B197" i="1"/>
  <c r="A197" i="1"/>
  <c r="AS204" i="1"/>
  <c r="AR204" i="1"/>
  <c r="BF204" i="1"/>
  <c r="AX204" i="1"/>
  <c r="L197" i="1" l="1"/>
  <c r="D197" i="1"/>
  <c r="J197" i="1"/>
  <c r="M197" i="1"/>
  <c r="AU204" i="1"/>
  <c r="BA204" i="1"/>
  <c r="BC204" i="1"/>
  <c r="BD204" i="1"/>
  <c r="BJ205" i="1" s="1"/>
  <c r="AA197" i="1" l="1"/>
  <c r="H197" i="1"/>
  <c r="I197" i="1"/>
  <c r="R198" i="1"/>
  <c r="F198" i="1"/>
  <c r="T198" i="1"/>
  <c r="S198" i="1" s="1"/>
  <c r="K197" i="1"/>
  <c r="BI205" i="1"/>
  <c r="AW205" i="1"/>
  <c r="BK205" i="1"/>
  <c r="BB204" i="1"/>
  <c r="AZ204" i="1"/>
  <c r="AY204" i="1"/>
  <c r="G198" i="1" l="1"/>
  <c r="O198" i="1"/>
  <c r="A198" i="1"/>
  <c r="B198" i="1"/>
  <c r="AX205" i="1"/>
  <c r="BF205" i="1"/>
  <c r="AS205" i="1"/>
  <c r="AR205" i="1"/>
  <c r="D198" i="1" l="1"/>
  <c r="L198" i="1"/>
  <c r="J198" i="1"/>
  <c r="M198" i="1"/>
  <c r="BD205" i="1"/>
  <c r="BJ206" i="1" s="1"/>
  <c r="BA205" i="1"/>
  <c r="AU205" i="1"/>
  <c r="BC205" i="1"/>
  <c r="K198" i="1" l="1"/>
  <c r="AA198" i="1"/>
  <c r="H198" i="1"/>
  <c r="I198" i="1"/>
  <c r="R199" i="1"/>
  <c r="F199" i="1"/>
  <c r="T199" i="1"/>
  <c r="S199" i="1" s="1"/>
  <c r="BB205" i="1"/>
  <c r="BI206" i="1"/>
  <c r="BK206" i="1"/>
  <c r="AW206" i="1"/>
  <c r="AZ205" i="1"/>
  <c r="AY205" i="1"/>
  <c r="O199" i="1" l="1"/>
  <c r="G199" i="1"/>
  <c r="B199" i="1"/>
  <c r="A199" i="1"/>
  <c r="BF206" i="1"/>
  <c r="AX206" i="1"/>
  <c r="AR206" i="1"/>
  <c r="AS206" i="1"/>
  <c r="D199" i="1" l="1"/>
  <c r="J199" i="1"/>
  <c r="L199" i="1"/>
  <c r="M199" i="1"/>
  <c r="BC206" i="1"/>
  <c r="BA206" i="1"/>
  <c r="AU206" i="1"/>
  <c r="BD206" i="1"/>
  <c r="BJ207" i="1" s="1"/>
  <c r="F200" i="1" l="1"/>
  <c r="T200" i="1"/>
  <c r="S200" i="1" s="1"/>
  <c r="R200" i="1"/>
  <c r="K199" i="1"/>
  <c r="AA199" i="1"/>
  <c r="H199" i="1"/>
  <c r="I199" i="1"/>
  <c r="BB206" i="1"/>
  <c r="BI207" i="1"/>
  <c r="BK207" i="1"/>
  <c r="AW207" i="1"/>
  <c r="AY206" i="1"/>
  <c r="AZ206" i="1"/>
  <c r="B200" i="1" l="1"/>
  <c r="A200" i="1"/>
  <c r="O200" i="1"/>
  <c r="G200" i="1"/>
  <c r="M200" i="1" s="1"/>
  <c r="AX207" i="1"/>
  <c r="BF207" i="1"/>
  <c r="AS207" i="1"/>
  <c r="AR207" i="1"/>
  <c r="T201" i="1" l="1"/>
  <c r="S201" i="1" s="1"/>
  <c r="R201" i="1"/>
  <c r="F201" i="1"/>
  <c r="D200" i="1"/>
  <c r="J200" i="1"/>
  <c r="L200" i="1"/>
  <c r="I200" i="1" s="1"/>
  <c r="BC207" i="1"/>
  <c r="BD207" i="1"/>
  <c r="BJ208" i="1" s="1"/>
  <c r="BA207" i="1"/>
  <c r="AU207" i="1"/>
  <c r="G201" i="1" l="1"/>
  <c r="M201" i="1" s="1"/>
  <c r="O201" i="1"/>
  <c r="B201" i="1"/>
  <c r="A201" i="1"/>
  <c r="AA200" i="1"/>
  <c r="H200" i="1"/>
  <c r="K200" i="1"/>
  <c r="BB207" i="1"/>
  <c r="AY207" i="1"/>
  <c r="AZ207" i="1"/>
  <c r="BK208" i="1"/>
  <c r="AW208" i="1"/>
  <c r="BI208" i="1"/>
  <c r="R202" i="1" l="1"/>
  <c r="F202" i="1"/>
  <c r="T202" i="1"/>
  <c r="S202" i="1" s="1"/>
  <c r="L201" i="1"/>
  <c r="D201" i="1"/>
  <c r="J201" i="1"/>
  <c r="AS208" i="1"/>
  <c r="AR208" i="1"/>
  <c r="BF208" i="1"/>
  <c r="AX208" i="1"/>
  <c r="K201" i="1" l="1"/>
  <c r="O202" i="1"/>
  <c r="G202" i="1"/>
  <c r="M202" i="1" s="1"/>
  <c r="A202" i="1"/>
  <c r="B202" i="1"/>
  <c r="AA201" i="1"/>
  <c r="I201" i="1"/>
  <c r="H201" i="1"/>
  <c r="BD208" i="1"/>
  <c r="BJ209" i="1" s="1"/>
  <c r="BA208" i="1"/>
  <c r="AU208" i="1"/>
  <c r="BC208" i="1"/>
  <c r="R203" i="1" l="1"/>
  <c r="F203" i="1"/>
  <c r="T203" i="1"/>
  <c r="S203" i="1" s="1"/>
  <c r="J202" i="1"/>
  <c r="L202" i="1"/>
  <c r="D202" i="1"/>
  <c r="BK209" i="1"/>
  <c r="AW209" i="1"/>
  <c r="BI209" i="1"/>
  <c r="BB208" i="1"/>
  <c r="AZ208" i="1"/>
  <c r="AY208" i="1"/>
  <c r="G203" i="1" l="1"/>
  <c r="M203" i="1" s="1"/>
  <c r="O203" i="1"/>
  <c r="A203" i="1"/>
  <c r="B203" i="1"/>
  <c r="K202" i="1"/>
  <c r="AA202" i="1"/>
  <c r="H202" i="1"/>
  <c r="I202" i="1"/>
  <c r="AS209" i="1"/>
  <c r="AR209" i="1"/>
  <c r="BF209" i="1"/>
  <c r="AX209" i="1"/>
  <c r="R204" i="1" l="1"/>
  <c r="F204" i="1"/>
  <c r="T204" i="1"/>
  <c r="S204" i="1" s="1"/>
  <c r="L203" i="1"/>
  <c r="D203" i="1"/>
  <c r="J203" i="1"/>
  <c r="BA209" i="1"/>
  <c r="BC209" i="1"/>
  <c r="BD209" i="1"/>
  <c r="BJ210" i="1" s="1"/>
  <c r="AU209" i="1"/>
  <c r="K203" i="1" l="1"/>
  <c r="G204" i="1"/>
  <c r="M204" i="1" s="1"/>
  <c r="O204" i="1"/>
  <c r="B204" i="1"/>
  <c r="A204" i="1"/>
  <c r="AA203" i="1"/>
  <c r="H203" i="1"/>
  <c r="I203" i="1"/>
  <c r="BK210" i="1"/>
  <c r="AW210" i="1"/>
  <c r="BI210" i="1"/>
  <c r="BB209" i="1"/>
  <c r="AZ209" i="1"/>
  <c r="AY209" i="1"/>
  <c r="T205" i="1" l="1"/>
  <c r="S205" i="1" s="1"/>
  <c r="F205" i="1"/>
  <c r="R205" i="1"/>
  <c r="L204" i="1"/>
  <c r="D204" i="1"/>
  <c r="J204" i="1"/>
  <c r="AR210" i="1"/>
  <c r="AS210" i="1"/>
  <c r="BF210" i="1"/>
  <c r="AX210" i="1"/>
  <c r="K204" i="1" l="1"/>
  <c r="A205" i="1"/>
  <c r="B205" i="1"/>
  <c r="O205" i="1"/>
  <c r="G205" i="1"/>
  <c r="M205" i="1" s="1"/>
  <c r="AA204" i="1"/>
  <c r="I204" i="1"/>
  <c r="H204" i="1"/>
  <c r="BD210" i="1"/>
  <c r="BJ211" i="1" s="1"/>
  <c r="BC210" i="1"/>
  <c r="BA210" i="1"/>
  <c r="AU210" i="1"/>
  <c r="T206" i="1" l="1"/>
  <c r="S206" i="1" s="1"/>
  <c r="F206" i="1"/>
  <c r="R206" i="1"/>
  <c r="L205" i="1"/>
  <c r="I205" i="1" s="1"/>
  <c r="D205" i="1"/>
  <c r="J205" i="1"/>
  <c r="AY210" i="1"/>
  <c r="AZ210" i="1"/>
  <c r="BB210" i="1"/>
  <c r="BI211" i="1"/>
  <c r="BK211" i="1"/>
  <c r="AW211" i="1"/>
  <c r="K205" i="1" l="1"/>
  <c r="A206" i="1"/>
  <c r="B206" i="1"/>
  <c r="O206" i="1"/>
  <c r="G206" i="1"/>
  <c r="M206" i="1" s="1"/>
  <c r="AA205" i="1"/>
  <c r="H205" i="1"/>
  <c r="AX211" i="1"/>
  <c r="BF211" i="1"/>
  <c r="AR211" i="1"/>
  <c r="AS211" i="1"/>
  <c r="R207" i="1" l="1"/>
  <c r="T207" i="1"/>
  <c r="S207" i="1" s="1"/>
  <c r="F207" i="1"/>
  <c r="J206" i="1"/>
  <c r="D206" i="1"/>
  <c r="L206" i="1"/>
  <c r="BD211" i="1"/>
  <c r="BJ212" i="1" s="1"/>
  <c r="AU211" i="1"/>
  <c r="BC211" i="1"/>
  <c r="BA211" i="1"/>
  <c r="G207" i="1" l="1"/>
  <c r="M207" i="1" s="1"/>
  <c r="O207" i="1"/>
  <c r="A207" i="1"/>
  <c r="B207" i="1"/>
  <c r="K206" i="1"/>
  <c r="AA206" i="1"/>
  <c r="I206" i="1"/>
  <c r="H206" i="1"/>
  <c r="BB211" i="1"/>
  <c r="AW212" i="1"/>
  <c r="BI212" i="1"/>
  <c r="BK212" i="1"/>
  <c r="AY211" i="1"/>
  <c r="AZ211" i="1"/>
  <c r="T208" i="1" l="1"/>
  <c r="S208" i="1" s="1"/>
  <c r="F208" i="1"/>
  <c r="R208" i="1"/>
  <c r="D207" i="1"/>
  <c r="L207" i="1"/>
  <c r="J207" i="1"/>
  <c r="AS212" i="1"/>
  <c r="AR212" i="1"/>
  <c r="BF212" i="1"/>
  <c r="AX212" i="1"/>
  <c r="K207" i="1" l="1"/>
  <c r="A208" i="1"/>
  <c r="B208" i="1"/>
  <c r="G208" i="1"/>
  <c r="M208" i="1" s="1"/>
  <c r="O208" i="1"/>
  <c r="AA207" i="1"/>
  <c r="I207" i="1"/>
  <c r="H207" i="1"/>
  <c r="BD212" i="1"/>
  <c r="BJ213" i="1" s="1"/>
  <c r="BC212" i="1"/>
  <c r="AU212" i="1"/>
  <c r="BA212" i="1"/>
  <c r="F209" i="1" l="1"/>
  <c r="R209" i="1"/>
  <c r="T209" i="1"/>
  <c r="S209" i="1" s="1"/>
  <c r="D208" i="1"/>
  <c r="L208" i="1"/>
  <c r="I208" i="1" s="1"/>
  <c r="J208" i="1"/>
  <c r="K208" i="1" s="1"/>
  <c r="BB212" i="1"/>
  <c r="AZ212" i="1"/>
  <c r="AY212" i="1"/>
  <c r="AW213" i="1"/>
  <c r="BK213" i="1"/>
  <c r="BI213" i="1"/>
  <c r="B209" i="1" l="1"/>
  <c r="A209" i="1"/>
  <c r="O209" i="1"/>
  <c r="G209" i="1"/>
  <c r="M209" i="1" s="1"/>
  <c r="AA208" i="1"/>
  <c r="H208" i="1"/>
  <c r="AS213" i="1"/>
  <c r="AR213" i="1"/>
  <c r="BF213" i="1"/>
  <c r="AX213" i="1"/>
  <c r="R210" i="1" l="1"/>
  <c r="T210" i="1"/>
  <c r="S210" i="1" s="1"/>
  <c r="F210" i="1"/>
  <c r="D209" i="1"/>
  <c r="L209" i="1"/>
  <c r="J209" i="1"/>
  <c r="BD213" i="1"/>
  <c r="BJ214" i="1" s="1"/>
  <c r="BA213" i="1"/>
  <c r="AU213" i="1"/>
  <c r="BC213" i="1"/>
  <c r="K209" i="1" l="1"/>
  <c r="G210" i="1"/>
  <c r="M210" i="1" s="1"/>
  <c r="O210" i="1"/>
  <c r="B210" i="1"/>
  <c r="A210" i="1"/>
  <c r="AA209" i="1"/>
  <c r="H209" i="1"/>
  <c r="I209" i="1"/>
  <c r="AY213" i="1"/>
  <c r="AZ213" i="1"/>
  <c r="BK214" i="1"/>
  <c r="BI214" i="1"/>
  <c r="AW214" i="1"/>
  <c r="BB213" i="1"/>
  <c r="R211" i="1" l="1"/>
  <c r="T211" i="1"/>
  <c r="S211" i="1" s="1"/>
  <c r="F211" i="1"/>
  <c r="J210" i="1"/>
  <c r="D210" i="1"/>
  <c r="L210" i="1"/>
  <c r="BF214" i="1"/>
  <c r="AX214" i="1"/>
  <c r="AR214" i="1"/>
  <c r="AS214" i="1"/>
  <c r="O211" i="1" l="1"/>
  <c r="G211" i="1"/>
  <c r="M211" i="1" s="1"/>
  <c r="A211" i="1"/>
  <c r="B211" i="1"/>
  <c r="K210" i="1"/>
  <c r="AA210" i="1"/>
  <c r="I210" i="1"/>
  <c r="H210" i="1"/>
  <c r="AU214" i="1"/>
  <c r="BA214" i="1"/>
  <c r="BC214" i="1"/>
  <c r="BD214" i="1"/>
  <c r="BJ215" i="1" s="1"/>
  <c r="F212" i="1" l="1"/>
  <c r="R212" i="1"/>
  <c r="T212" i="1"/>
  <c r="S212" i="1" s="1"/>
  <c r="D211" i="1"/>
  <c r="J211" i="1"/>
  <c r="L211" i="1"/>
  <c r="AY214" i="1"/>
  <c r="AZ214" i="1"/>
  <c r="BB214" i="1"/>
  <c r="BK215" i="1"/>
  <c r="BI215" i="1"/>
  <c r="AW215" i="1"/>
  <c r="A212" i="1" l="1"/>
  <c r="B212" i="1"/>
  <c r="G212" i="1"/>
  <c r="M212" i="1" s="1"/>
  <c r="O212" i="1"/>
  <c r="K211" i="1"/>
  <c r="AA211" i="1"/>
  <c r="H211" i="1"/>
  <c r="I211" i="1"/>
  <c r="BF215" i="1"/>
  <c r="AX215" i="1"/>
  <c r="BD215" i="1" s="1"/>
  <c r="BJ216" i="1" s="1"/>
  <c r="AR215" i="1"/>
  <c r="AS215" i="1"/>
  <c r="R213" i="1" l="1"/>
  <c r="F213" i="1"/>
  <c r="T213" i="1"/>
  <c r="S213" i="1" s="1"/>
  <c r="D212" i="1"/>
  <c r="L212" i="1"/>
  <c r="J212" i="1"/>
  <c r="AW216" i="1"/>
  <c r="BK216" i="1"/>
  <c r="BI216" i="1"/>
  <c r="BA215" i="1"/>
  <c r="BC215" i="1"/>
  <c r="AU215" i="1"/>
  <c r="K212" i="1" l="1"/>
  <c r="AA212" i="1"/>
  <c r="H212" i="1"/>
  <c r="I212" i="1"/>
  <c r="G213" i="1"/>
  <c r="M213" i="1" s="1"/>
  <c r="O213" i="1"/>
  <c r="B213" i="1"/>
  <c r="A213" i="1"/>
  <c r="AS216" i="1"/>
  <c r="AR216" i="1"/>
  <c r="AX216" i="1"/>
  <c r="BF216" i="1"/>
  <c r="BB215" i="1"/>
  <c r="AY215" i="1"/>
  <c r="AZ215" i="1"/>
  <c r="T214" i="1" l="1"/>
  <c r="S214" i="1" s="1"/>
  <c r="F214" i="1"/>
  <c r="R214" i="1"/>
  <c r="D213" i="1"/>
  <c r="L213" i="1"/>
  <c r="J213" i="1"/>
  <c r="BD216" i="1"/>
  <c r="BJ217" i="1" s="1"/>
  <c r="BC216" i="1"/>
  <c r="AU216" i="1"/>
  <c r="BA216" i="1"/>
  <c r="K213" i="1" l="1"/>
  <c r="A214" i="1"/>
  <c r="B214" i="1"/>
  <c r="G214" i="1"/>
  <c r="M214" i="1" s="1"/>
  <c r="O214" i="1"/>
  <c r="AA213" i="1"/>
  <c r="H213" i="1"/>
  <c r="I213" i="1"/>
  <c r="BB216" i="1"/>
  <c r="AY216" i="1"/>
  <c r="AZ216" i="1"/>
  <c r="AW217" i="1"/>
  <c r="BI217" i="1"/>
  <c r="BK217" i="1"/>
  <c r="F215" i="1" l="1"/>
  <c r="T215" i="1"/>
  <c r="S215" i="1" s="1"/>
  <c r="R215" i="1"/>
  <c r="J214" i="1"/>
  <c r="D214" i="1"/>
  <c r="L214" i="1"/>
  <c r="AR217" i="1"/>
  <c r="AS217" i="1"/>
  <c r="BF217" i="1"/>
  <c r="AX217" i="1"/>
  <c r="B215" i="1" l="1"/>
  <c r="A215" i="1"/>
  <c r="O215" i="1"/>
  <c r="G215" i="1"/>
  <c r="K214" i="1"/>
  <c r="AA214" i="1"/>
  <c r="H214" i="1"/>
  <c r="I214" i="1"/>
  <c r="BC217" i="1"/>
  <c r="AU217" i="1"/>
  <c r="BD217" i="1"/>
  <c r="BJ218" i="1" s="1"/>
  <c r="BA217" i="1"/>
  <c r="L215" i="1" l="1"/>
  <c r="D215" i="1"/>
  <c r="J215" i="1"/>
  <c r="M215" i="1"/>
  <c r="BB217" i="1"/>
  <c r="AY217" i="1"/>
  <c r="AZ217" i="1"/>
  <c r="AW218" i="1"/>
  <c r="BK218" i="1"/>
  <c r="BI218" i="1"/>
  <c r="K215" i="1" l="1"/>
  <c r="F216" i="1"/>
  <c r="R216" i="1"/>
  <c r="T216" i="1"/>
  <c r="S216" i="1" s="1"/>
  <c r="AA215" i="1"/>
  <c r="H215" i="1"/>
  <c r="I215" i="1"/>
  <c r="AS218" i="1"/>
  <c r="AR218" i="1"/>
  <c r="BF218" i="1"/>
  <c r="AX218" i="1"/>
  <c r="B216" i="1" l="1"/>
  <c r="A216" i="1"/>
  <c r="G216" i="1"/>
  <c r="M216" i="1" s="1"/>
  <c r="O216" i="1"/>
  <c r="BA218" i="1"/>
  <c r="AU218" i="1"/>
  <c r="BC218" i="1"/>
  <c r="BD218" i="1"/>
  <c r="BJ219" i="1" s="1"/>
  <c r="T217" i="1" l="1"/>
  <c r="S217" i="1" s="1"/>
  <c r="F217" i="1"/>
  <c r="R217" i="1"/>
  <c r="J216" i="1"/>
  <c r="L216" i="1"/>
  <c r="D216" i="1"/>
  <c r="AY218" i="1"/>
  <c r="AZ218" i="1"/>
  <c r="BK219" i="1"/>
  <c r="AW219" i="1"/>
  <c r="BI219" i="1"/>
  <c r="BB218" i="1"/>
  <c r="B217" i="1" l="1"/>
  <c r="A217" i="1"/>
  <c r="O217" i="1"/>
  <c r="G217" i="1"/>
  <c r="M217" i="1" s="1"/>
  <c r="K216" i="1"/>
  <c r="AA216" i="1"/>
  <c r="I216" i="1"/>
  <c r="H216" i="1"/>
  <c r="AR219" i="1"/>
  <c r="AS219" i="1"/>
  <c r="AX219" i="1"/>
  <c r="BF219" i="1"/>
  <c r="T218" i="1" l="1"/>
  <c r="S218" i="1" s="1"/>
  <c r="R218" i="1"/>
  <c r="F218" i="1"/>
  <c r="L217" i="1"/>
  <c r="D217" i="1"/>
  <c r="J217" i="1"/>
  <c r="BD219" i="1"/>
  <c r="BJ220" i="1" s="1"/>
  <c r="BA219" i="1"/>
  <c r="AU219" i="1"/>
  <c r="BC219" i="1"/>
  <c r="K217" i="1" l="1"/>
  <c r="O218" i="1"/>
  <c r="G218" i="1"/>
  <c r="M218" i="1" s="1"/>
  <c r="A218" i="1"/>
  <c r="B218" i="1"/>
  <c r="AA217" i="1"/>
  <c r="H217" i="1"/>
  <c r="I217" i="1"/>
  <c r="BI220" i="1"/>
  <c r="AW220" i="1"/>
  <c r="BK220" i="1"/>
  <c r="BB219" i="1"/>
  <c r="AY219" i="1"/>
  <c r="AZ219" i="1"/>
  <c r="T219" i="1" l="1"/>
  <c r="S219" i="1" s="1"/>
  <c r="F219" i="1"/>
  <c r="R219" i="1"/>
  <c r="D218" i="1"/>
  <c r="L218" i="1"/>
  <c r="J218" i="1"/>
  <c r="BF220" i="1"/>
  <c r="AX220" i="1"/>
  <c r="AS220" i="1"/>
  <c r="AR220" i="1"/>
  <c r="K218" i="1" l="1"/>
  <c r="A219" i="1"/>
  <c r="B219" i="1"/>
  <c r="G219" i="1"/>
  <c r="M219" i="1" s="1"/>
  <c r="O219" i="1"/>
  <c r="AA218" i="1"/>
  <c r="H218" i="1"/>
  <c r="I218" i="1"/>
  <c r="BD220" i="1"/>
  <c r="BJ221" i="1" s="1"/>
  <c r="BA220" i="1"/>
  <c r="AU220" i="1"/>
  <c r="BC220" i="1"/>
  <c r="R220" i="1" l="1"/>
  <c r="F220" i="1"/>
  <c r="T220" i="1"/>
  <c r="S220" i="1" s="1"/>
  <c r="L219" i="1"/>
  <c r="D219" i="1"/>
  <c r="J219" i="1"/>
  <c r="BK221" i="1"/>
  <c r="AW221" i="1"/>
  <c r="BI221" i="1"/>
  <c r="AY220" i="1"/>
  <c r="AZ220" i="1"/>
  <c r="BB220" i="1"/>
  <c r="K219" i="1" l="1"/>
  <c r="O220" i="1"/>
  <c r="G220" i="1"/>
  <c r="M220" i="1" s="1"/>
  <c r="A220" i="1"/>
  <c r="B220" i="1"/>
  <c r="AA219" i="1"/>
  <c r="I219" i="1"/>
  <c r="H219" i="1"/>
  <c r="AS221" i="1"/>
  <c r="AR221" i="1"/>
  <c r="BF221" i="1"/>
  <c r="AX221" i="1"/>
  <c r="R221" i="1" l="1"/>
  <c r="F221" i="1"/>
  <c r="T221" i="1"/>
  <c r="S221" i="1" s="1"/>
  <c r="J220" i="1"/>
  <c r="L220" i="1"/>
  <c r="D220" i="1"/>
  <c r="AU221" i="1"/>
  <c r="BD221" i="1"/>
  <c r="BJ222" i="1" s="1"/>
  <c r="BC221" i="1"/>
  <c r="BA221" i="1"/>
  <c r="O221" i="1" l="1"/>
  <c r="G221" i="1"/>
  <c r="B221" i="1"/>
  <c r="A221" i="1"/>
  <c r="K220" i="1"/>
  <c r="AA220" i="1"/>
  <c r="H220" i="1"/>
  <c r="I220" i="1"/>
  <c r="BK222" i="1"/>
  <c r="BI222" i="1"/>
  <c r="AW222" i="1"/>
  <c r="AY221" i="1"/>
  <c r="AZ221" i="1"/>
  <c r="BB221" i="1"/>
  <c r="M221" i="1" l="1"/>
  <c r="D221" i="1"/>
  <c r="J221" i="1"/>
  <c r="L221" i="1"/>
  <c r="AX222" i="1"/>
  <c r="BF222" i="1"/>
  <c r="AS222" i="1"/>
  <c r="AR222" i="1"/>
  <c r="T222" i="1" l="1"/>
  <c r="S222" i="1" s="1"/>
  <c r="F222" i="1"/>
  <c r="R222" i="1"/>
  <c r="H221" i="1"/>
  <c r="AA221" i="1"/>
  <c r="I221" i="1"/>
  <c r="K221" i="1"/>
  <c r="BA222" i="1"/>
  <c r="BC222" i="1"/>
  <c r="AU222" i="1"/>
  <c r="BD222" i="1"/>
  <c r="BJ223" i="1" s="1"/>
  <c r="B222" i="1" l="1"/>
  <c r="A222" i="1"/>
  <c r="O222" i="1"/>
  <c r="G222" i="1"/>
  <c r="AZ222" i="1"/>
  <c r="AY222" i="1"/>
  <c r="BK223" i="1"/>
  <c r="BI223" i="1"/>
  <c r="AW223" i="1"/>
  <c r="BB222" i="1"/>
  <c r="D222" i="1" l="1"/>
  <c r="J222" i="1"/>
  <c r="L222" i="1"/>
  <c r="M222" i="1"/>
  <c r="AX223" i="1"/>
  <c r="BD223" i="1" s="1"/>
  <c r="BJ224" i="1" s="1"/>
  <c r="BF223" i="1"/>
  <c r="AR223" i="1"/>
  <c r="AS223" i="1"/>
  <c r="K222" i="1" l="1"/>
  <c r="I222" i="1"/>
  <c r="H222" i="1"/>
  <c r="AA222" i="1"/>
  <c r="R223" i="1"/>
  <c r="T223" i="1"/>
  <c r="S223" i="1" s="1"/>
  <c r="F223" i="1"/>
  <c r="BK224" i="1"/>
  <c r="AW224" i="1"/>
  <c r="BI224" i="1"/>
  <c r="AU223" i="1"/>
  <c r="BC223" i="1"/>
  <c r="BA223" i="1"/>
  <c r="G223" i="1" l="1"/>
  <c r="M223" i="1" s="1"/>
  <c r="O223" i="1"/>
  <c r="A223" i="1"/>
  <c r="B223" i="1"/>
  <c r="AR224" i="1"/>
  <c r="AS224" i="1"/>
  <c r="BF224" i="1"/>
  <c r="AX224" i="1"/>
  <c r="BB223" i="1"/>
  <c r="AZ223" i="1"/>
  <c r="AY223" i="1"/>
  <c r="T224" i="1" l="1"/>
  <c r="S224" i="1" s="1"/>
  <c r="R224" i="1"/>
  <c r="F224" i="1"/>
  <c r="D223" i="1"/>
  <c r="L223" i="1"/>
  <c r="J223" i="1"/>
  <c r="BC224" i="1"/>
  <c r="BD224" i="1"/>
  <c r="BJ225" i="1" s="1"/>
  <c r="AU224" i="1"/>
  <c r="BA224" i="1"/>
  <c r="K223" i="1" l="1"/>
  <c r="G224" i="1"/>
  <c r="O224" i="1"/>
  <c r="B224" i="1"/>
  <c r="A224" i="1"/>
  <c r="AA223" i="1"/>
  <c r="H223" i="1"/>
  <c r="I223" i="1"/>
  <c r="BB224" i="1"/>
  <c r="AZ224" i="1"/>
  <c r="AY224" i="1"/>
  <c r="AW225" i="1"/>
  <c r="BK225" i="1"/>
  <c r="BI225" i="1"/>
  <c r="D224" i="1" l="1"/>
  <c r="J224" i="1"/>
  <c r="L224" i="1"/>
  <c r="M224" i="1"/>
  <c r="AR225" i="1"/>
  <c r="AS225" i="1"/>
  <c r="AX225" i="1"/>
  <c r="BF225" i="1"/>
  <c r="AA224" i="1" l="1"/>
  <c r="I224" i="1"/>
  <c r="H224" i="1"/>
  <c r="R225" i="1"/>
  <c r="F225" i="1"/>
  <c r="T225" i="1"/>
  <c r="S225" i="1" s="1"/>
  <c r="K224" i="1"/>
  <c r="BD225" i="1"/>
  <c r="BJ226" i="1" s="1"/>
  <c r="BA225" i="1"/>
  <c r="BC225" i="1"/>
  <c r="AU225" i="1"/>
  <c r="O225" i="1" l="1"/>
  <c r="G225" i="1"/>
  <c r="A225" i="1"/>
  <c r="B225" i="1"/>
  <c r="AZ225" i="1"/>
  <c r="AY225" i="1"/>
  <c r="BI226" i="1"/>
  <c r="BK226" i="1"/>
  <c r="AW226" i="1"/>
  <c r="BB225" i="1"/>
  <c r="M225" i="1" l="1"/>
  <c r="D225" i="1"/>
  <c r="J225" i="1"/>
  <c r="L225" i="1"/>
  <c r="BF226" i="1"/>
  <c r="AX226" i="1"/>
  <c r="AR226" i="1"/>
  <c r="AS226" i="1"/>
  <c r="K225" i="1" l="1"/>
  <c r="AA225" i="1"/>
  <c r="I225" i="1"/>
  <c r="H225" i="1"/>
  <c r="F226" i="1"/>
  <c r="R226" i="1"/>
  <c r="T226" i="1"/>
  <c r="S226" i="1" s="1"/>
  <c r="AU226" i="1"/>
  <c r="BD226" i="1"/>
  <c r="BJ227" i="1" s="1"/>
  <c r="BA226" i="1"/>
  <c r="BC226" i="1"/>
  <c r="A226" i="1" l="1"/>
  <c r="B226" i="1"/>
  <c r="O226" i="1"/>
  <c r="G226" i="1"/>
  <c r="AW227" i="1"/>
  <c r="BI227" i="1"/>
  <c r="BK227" i="1"/>
  <c r="BB226" i="1"/>
  <c r="AZ226" i="1"/>
  <c r="AY226" i="1"/>
  <c r="M226" i="1" l="1"/>
  <c r="J226" i="1"/>
  <c r="L226" i="1"/>
  <c r="D226" i="1"/>
  <c r="AR227" i="1"/>
  <c r="AS227" i="1"/>
  <c r="AX227" i="1"/>
  <c r="BF227" i="1"/>
  <c r="R227" i="1" l="1"/>
  <c r="T227" i="1"/>
  <c r="S227" i="1" s="1"/>
  <c r="F227" i="1"/>
  <c r="H226" i="1"/>
  <c r="I226" i="1"/>
  <c r="AA226" i="1"/>
  <c r="K226" i="1"/>
  <c r="BA227" i="1"/>
  <c r="BD227" i="1"/>
  <c r="BJ228" i="1" s="1"/>
  <c r="BC227" i="1"/>
  <c r="AU227" i="1"/>
  <c r="G227" i="1" l="1"/>
  <c r="O227" i="1"/>
  <c r="A227" i="1"/>
  <c r="B227" i="1"/>
  <c r="BK228" i="1"/>
  <c r="AW228" i="1"/>
  <c r="BI228" i="1"/>
  <c r="AY227" i="1"/>
  <c r="AZ227" i="1"/>
  <c r="BB227" i="1"/>
  <c r="L227" i="1" l="1"/>
  <c r="M227" i="1"/>
  <c r="D227" i="1"/>
  <c r="J227" i="1"/>
  <c r="K227" i="1" s="1"/>
  <c r="AR228" i="1"/>
  <c r="AS228" i="1"/>
  <c r="AX228" i="1"/>
  <c r="BF228" i="1"/>
  <c r="AA227" i="1" l="1"/>
  <c r="I227" i="1"/>
  <c r="H227" i="1"/>
  <c r="T228" i="1"/>
  <c r="S228" i="1" s="1"/>
  <c r="R228" i="1"/>
  <c r="F228" i="1"/>
  <c r="BC228" i="1"/>
  <c r="BD228" i="1"/>
  <c r="BJ229" i="1" s="1"/>
  <c r="AU228" i="1"/>
  <c r="BA228" i="1"/>
  <c r="O228" i="1" l="1"/>
  <c r="G228" i="1"/>
  <c r="B228" i="1"/>
  <c r="A228" i="1"/>
  <c r="BB228" i="1"/>
  <c r="AZ228" i="1"/>
  <c r="AY228" i="1"/>
  <c r="BK229" i="1"/>
  <c r="BI229" i="1"/>
  <c r="AW229" i="1"/>
  <c r="M228" i="1" l="1"/>
  <c r="L228" i="1"/>
  <c r="I228" i="1" s="1"/>
  <c r="J228" i="1"/>
  <c r="K228" i="1" s="1"/>
  <c r="D228" i="1"/>
  <c r="AX229" i="1"/>
  <c r="BF229" i="1"/>
  <c r="AR229" i="1"/>
  <c r="AS229" i="1"/>
  <c r="AA228" i="1" l="1"/>
  <c r="H228" i="1"/>
  <c r="T229" i="1"/>
  <c r="S229" i="1" s="1"/>
  <c r="F229" i="1"/>
  <c r="R229" i="1"/>
  <c r="BD229" i="1"/>
  <c r="BJ230" i="1" s="1"/>
  <c r="AU229" i="1"/>
  <c r="BC229" i="1"/>
  <c r="BA229" i="1"/>
  <c r="A229" i="1" l="1"/>
  <c r="B229" i="1"/>
  <c r="O229" i="1"/>
  <c r="G229" i="1"/>
  <c r="BB229" i="1"/>
  <c r="AZ229" i="1"/>
  <c r="AY229" i="1"/>
  <c r="BK230" i="1"/>
  <c r="BI230" i="1"/>
  <c r="AW230" i="1"/>
  <c r="M229" i="1" l="1"/>
  <c r="D229" i="1"/>
  <c r="J229" i="1"/>
  <c r="L229" i="1"/>
  <c r="AX230" i="1"/>
  <c r="BF230" i="1"/>
  <c r="AS230" i="1"/>
  <c r="AR230" i="1"/>
  <c r="K229" i="1" l="1"/>
  <c r="AA229" i="1"/>
  <c r="H229" i="1"/>
  <c r="I229" i="1"/>
  <c r="T230" i="1"/>
  <c r="S230" i="1" s="1"/>
  <c r="F230" i="1"/>
  <c r="R230" i="1"/>
  <c r="BD230" i="1"/>
  <c r="BJ231" i="1" s="1"/>
  <c r="BC230" i="1"/>
  <c r="AU230" i="1"/>
  <c r="BA230" i="1"/>
  <c r="A230" i="1" l="1"/>
  <c r="B230" i="1"/>
  <c r="G230" i="1"/>
  <c r="O230" i="1"/>
  <c r="BB230" i="1"/>
  <c r="AY230" i="1"/>
  <c r="AZ230" i="1"/>
  <c r="AW231" i="1"/>
  <c r="BI231" i="1"/>
  <c r="BK231" i="1"/>
  <c r="D230" i="1" l="1"/>
  <c r="K11" i="6" s="1"/>
  <c r="L230" i="1"/>
  <c r="J230" i="1"/>
  <c r="M230" i="1"/>
  <c r="AR231" i="1"/>
  <c r="AS231" i="1"/>
  <c r="AX231" i="1"/>
  <c r="BF231" i="1"/>
  <c r="K230" i="1" l="1"/>
  <c r="AA230" i="1"/>
  <c r="I230" i="1"/>
  <c r="H230" i="1"/>
  <c r="T231" i="1"/>
  <c r="S231" i="1" s="1"/>
  <c r="F231" i="1"/>
  <c r="R231" i="1"/>
  <c r="BD231" i="1"/>
  <c r="BJ232" i="1" s="1"/>
  <c r="BC231" i="1"/>
  <c r="AU231" i="1"/>
  <c r="BA231" i="1"/>
  <c r="B231" i="1" l="1"/>
  <c r="A231" i="1"/>
  <c r="O231" i="1"/>
  <c r="G231" i="1"/>
  <c r="BI232" i="1"/>
  <c r="AW232" i="1"/>
  <c r="BK232" i="1"/>
  <c r="AZ231" i="1"/>
  <c r="AY231" i="1"/>
  <c r="BB231" i="1"/>
  <c r="M231" i="1" l="1"/>
  <c r="J231" i="1"/>
  <c r="D231" i="1"/>
  <c r="L231" i="1"/>
  <c r="H231" i="1" s="1"/>
  <c r="AX232" i="1"/>
  <c r="BF232" i="1"/>
  <c r="AS232" i="1"/>
  <c r="AR232" i="1"/>
  <c r="AA231" i="1" l="1"/>
  <c r="I231" i="1"/>
  <c r="T232" i="1"/>
  <c r="S232" i="1" s="1"/>
  <c r="R232" i="1"/>
  <c r="F232" i="1"/>
  <c r="K231" i="1"/>
  <c r="BD232" i="1"/>
  <c r="BJ233" i="1" s="1"/>
  <c r="BA232" i="1"/>
  <c r="AU232" i="1"/>
  <c r="BC232" i="1"/>
  <c r="G232" i="1" l="1"/>
  <c r="O232" i="1"/>
  <c r="B232" i="1"/>
  <c r="A232" i="1"/>
  <c r="AZ232" i="1"/>
  <c r="AY232" i="1"/>
  <c r="BI233" i="1"/>
  <c r="AW233" i="1"/>
  <c r="BK233" i="1"/>
  <c r="BB232" i="1"/>
  <c r="M232" i="1" l="1"/>
  <c r="J232" i="1"/>
  <c r="L232" i="1"/>
  <c r="D232" i="1"/>
  <c r="BF233" i="1"/>
  <c r="AX233" i="1"/>
  <c r="AS233" i="1"/>
  <c r="AR233" i="1"/>
  <c r="T233" i="1" l="1"/>
  <c r="S233" i="1" s="1"/>
  <c r="R233" i="1"/>
  <c r="F233" i="1"/>
  <c r="AA232" i="1"/>
  <c r="I232" i="1"/>
  <c r="H232" i="1"/>
  <c r="K232" i="1"/>
  <c r="AU233" i="1"/>
  <c r="BC233" i="1"/>
  <c r="BA233" i="1"/>
  <c r="BD233" i="1"/>
  <c r="BJ234" i="1" s="1"/>
  <c r="O233" i="1" l="1"/>
  <c r="G233" i="1"/>
  <c r="B233" i="1"/>
  <c r="A233" i="1"/>
  <c r="BB233" i="1"/>
  <c r="AW234" i="1"/>
  <c r="BK234" i="1"/>
  <c r="BI234" i="1"/>
  <c r="AZ233" i="1"/>
  <c r="AY233" i="1"/>
  <c r="M233" i="1" l="1"/>
  <c r="L233" i="1"/>
  <c r="I233" i="1" s="1"/>
  <c r="D233" i="1"/>
  <c r="J233" i="1"/>
  <c r="AS234" i="1"/>
  <c r="AR234" i="1"/>
  <c r="AX234" i="1"/>
  <c r="BF234" i="1"/>
  <c r="AA233" i="1" l="1"/>
  <c r="H233" i="1"/>
  <c r="K233" i="1"/>
  <c r="T234" i="1"/>
  <c r="S234" i="1" s="1"/>
  <c r="F234" i="1"/>
  <c r="R234" i="1"/>
  <c r="BD234" i="1"/>
  <c r="BJ235" i="1" s="1"/>
  <c r="AU234" i="1"/>
  <c r="BC234" i="1"/>
  <c r="BA234" i="1"/>
  <c r="B234" i="1" l="1"/>
  <c r="A234" i="1"/>
  <c r="G234" i="1"/>
  <c r="O234" i="1"/>
  <c r="AZ234" i="1"/>
  <c r="AY234" i="1"/>
  <c r="BB234" i="1"/>
  <c r="BI235" i="1"/>
  <c r="AW235" i="1"/>
  <c r="BK235" i="1"/>
  <c r="M234" i="1" l="1"/>
  <c r="L234" i="1"/>
  <c r="J234" i="1"/>
  <c r="D234" i="1"/>
  <c r="BF235" i="1"/>
  <c r="AX235" i="1"/>
  <c r="AS235" i="1"/>
  <c r="AR235" i="1"/>
  <c r="R235" i="1" l="1"/>
  <c r="T235" i="1"/>
  <c r="S235" i="1" s="1"/>
  <c r="F235" i="1"/>
  <c r="K234" i="1"/>
  <c r="AA234" i="1"/>
  <c r="I234" i="1"/>
  <c r="H234" i="1"/>
  <c r="AU235" i="1"/>
  <c r="BA235" i="1"/>
  <c r="BC235" i="1"/>
  <c r="BD235" i="1"/>
  <c r="BJ236" i="1" s="1"/>
  <c r="O235" i="1" l="1"/>
  <c r="G235" i="1"/>
  <c r="A235" i="1"/>
  <c r="B235" i="1"/>
  <c r="AZ235" i="1"/>
  <c r="AY235" i="1"/>
  <c r="AW236" i="1"/>
  <c r="BI236" i="1"/>
  <c r="BK236" i="1"/>
  <c r="BB235" i="1"/>
  <c r="M235" i="1" l="1"/>
  <c r="L235" i="1"/>
  <c r="D235" i="1"/>
  <c r="J235" i="1"/>
  <c r="AR236" i="1"/>
  <c r="AS236" i="1"/>
  <c r="BF236" i="1"/>
  <c r="AX236" i="1"/>
  <c r="BD236" i="1" s="1"/>
  <c r="BJ237" i="1" s="1"/>
  <c r="F236" i="1" l="1"/>
  <c r="T236" i="1"/>
  <c r="S236" i="1" s="1"/>
  <c r="R236" i="1"/>
  <c r="AA235" i="1"/>
  <c r="H235" i="1"/>
  <c r="I235" i="1"/>
  <c r="K235" i="1"/>
  <c r="BK237" i="1"/>
  <c r="AW237" i="1"/>
  <c r="BI237" i="1"/>
  <c r="BA236" i="1"/>
  <c r="AU236" i="1"/>
  <c r="BC236" i="1"/>
  <c r="B236" i="1" l="1"/>
  <c r="A236" i="1"/>
  <c r="G236" i="1"/>
  <c r="O236" i="1"/>
  <c r="AR237" i="1"/>
  <c r="AS237" i="1"/>
  <c r="AX237" i="1"/>
  <c r="BF237" i="1"/>
  <c r="BB236" i="1"/>
  <c r="AZ236" i="1"/>
  <c r="AY236" i="1"/>
  <c r="L236" i="1" l="1"/>
  <c r="J236" i="1"/>
  <c r="D236" i="1"/>
  <c r="M236" i="1"/>
  <c r="BA237" i="1"/>
  <c r="BD237" i="1"/>
  <c r="BJ238" i="1" s="1"/>
  <c r="AU237" i="1"/>
  <c r="BC237" i="1"/>
  <c r="K236" i="1" l="1"/>
  <c r="H236" i="1"/>
  <c r="I236" i="1"/>
  <c r="AA236" i="1"/>
  <c r="F237" i="1"/>
  <c r="T237" i="1"/>
  <c r="S237" i="1" s="1"/>
  <c r="R237" i="1"/>
  <c r="BK238" i="1"/>
  <c r="AW238" i="1"/>
  <c r="BI238" i="1"/>
  <c r="BB237" i="1"/>
  <c r="AY237" i="1"/>
  <c r="AZ237" i="1"/>
  <c r="B237" i="1" l="1"/>
  <c r="A237" i="1"/>
  <c r="O237" i="1"/>
  <c r="G237" i="1"/>
  <c r="M237" i="1" s="1"/>
  <c r="AR238" i="1"/>
  <c r="AS238" i="1"/>
  <c r="AX238" i="1"/>
  <c r="BF238" i="1"/>
  <c r="F238" i="1" l="1"/>
  <c r="T238" i="1"/>
  <c r="S238" i="1" s="1"/>
  <c r="R238" i="1"/>
  <c r="J237" i="1"/>
  <c r="L237" i="1"/>
  <c r="D237" i="1"/>
  <c r="BA238" i="1"/>
  <c r="BC238" i="1"/>
  <c r="AU238" i="1"/>
  <c r="BD238" i="1"/>
  <c r="BJ239" i="1" s="1"/>
  <c r="B238" i="1" l="1"/>
  <c r="A238" i="1"/>
  <c r="O238" i="1"/>
  <c r="G238" i="1"/>
  <c r="K237" i="1"/>
  <c r="AA237" i="1"/>
  <c r="H237" i="1"/>
  <c r="I237" i="1"/>
  <c r="AY238" i="1"/>
  <c r="AZ238" i="1"/>
  <c r="BI239" i="1"/>
  <c r="AW239" i="1"/>
  <c r="BK239" i="1"/>
  <c r="BB238" i="1"/>
  <c r="J238" i="1" l="1"/>
  <c r="M238" i="1"/>
  <c r="L238" i="1"/>
  <c r="D238" i="1"/>
  <c r="BF239" i="1"/>
  <c r="AX239" i="1"/>
  <c r="AR239" i="1"/>
  <c r="AS239" i="1"/>
  <c r="R239" i="1" l="1"/>
  <c r="F239" i="1"/>
  <c r="T239" i="1"/>
  <c r="S239" i="1" s="1"/>
  <c r="H238" i="1"/>
  <c r="AA238" i="1"/>
  <c r="I238" i="1"/>
  <c r="K238" i="1"/>
  <c r="BD239" i="1"/>
  <c r="BJ240" i="1" s="1"/>
  <c r="BC239" i="1"/>
  <c r="AU239" i="1"/>
  <c r="BA239" i="1"/>
  <c r="G239" i="1" l="1"/>
  <c r="O239" i="1"/>
  <c r="B239" i="1"/>
  <c r="A239" i="1"/>
  <c r="AZ239" i="1"/>
  <c r="AY239" i="1"/>
  <c r="AW240" i="1"/>
  <c r="BI240" i="1"/>
  <c r="BK240" i="1"/>
  <c r="BB239" i="1"/>
  <c r="L239" i="1" l="1"/>
  <c r="M239" i="1"/>
  <c r="D239" i="1"/>
  <c r="J239" i="1"/>
  <c r="AR240" i="1"/>
  <c r="AS240" i="1"/>
  <c r="AX240" i="1"/>
  <c r="BF240" i="1"/>
  <c r="K239" i="1" l="1"/>
  <c r="H239" i="1"/>
  <c r="I239" i="1"/>
  <c r="AA239" i="1"/>
  <c r="F240" i="1"/>
  <c r="R240" i="1"/>
  <c r="T240" i="1"/>
  <c r="S240" i="1" s="1"/>
  <c r="AU240" i="1"/>
  <c r="BC240" i="1"/>
  <c r="BA240" i="1"/>
  <c r="BD240" i="1"/>
  <c r="BJ241" i="1" s="1"/>
  <c r="B240" i="1" l="1"/>
  <c r="A240" i="1"/>
  <c r="G240" i="1"/>
  <c r="O240" i="1"/>
  <c r="BB240" i="1"/>
  <c r="AZ240" i="1"/>
  <c r="AY240" i="1"/>
  <c r="BK241" i="1"/>
  <c r="BI241" i="1"/>
  <c r="AW241" i="1"/>
  <c r="M240" i="1" l="1"/>
  <c r="D240" i="1"/>
  <c r="J240" i="1"/>
  <c r="L240" i="1"/>
  <c r="BF241" i="1"/>
  <c r="AX241" i="1"/>
  <c r="AR241" i="1"/>
  <c r="AS241" i="1"/>
  <c r="F241" i="1" l="1"/>
  <c r="R241" i="1"/>
  <c r="T241" i="1"/>
  <c r="S241" i="1" s="1"/>
  <c r="H240" i="1"/>
  <c r="AA240" i="1"/>
  <c r="I240" i="1"/>
  <c r="K240" i="1"/>
  <c r="AU241" i="1"/>
  <c r="BA241" i="1"/>
  <c r="BD241" i="1"/>
  <c r="BJ242" i="1" s="1"/>
  <c r="BC241" i="1"/>
  <c r="B241" i="1" l="1"/>
  <c r="A241" i="1"/>
  <c r="G241" i="1"/>
  <c r="O241" i="1"/>
  <c r="AY241" i="1"/>
  <c r="AZ241" i="1"/>
  <c r="AW242" i="1"/>
  <c r="BK242" i="1"/>
  <c r="BI242" i="1"/>
  <c r="BB241" i="1"/>
  <c r="M241" i="1" l="1"/>
  <c r="J241" i="1"/>
  <c r="D241" i="1"/>
  <c r="L241" i="1"/>
  <c r="AS242" i="1"/>
  <c r="AR242" i="1"/>
  <c r="BF242" i="1"/>
  <c r="AX242" i="1"/>
  <c r="AA241" i="1" l="1"/>
  <c r="I241" i="1"/>
  <c r="H241" i="1"/>
  <c r="R242" i="1"/>
  <c r="F242" i="1"/>
  <c r="T242" i="1"/>
  <c r="S242" i="1" s="1"/>
  <c r="K241" i="1"/>
  <c r="BA242" i="1"/>
  <c r="BC242" i="1"/>
  <c r="BD242" i="1"/>
  <c r="BJ243" i="1" s="1"/>
  <c r="AU242" i="1"/>
  <c r="G242" i="1" l="1"/>
  <c r="O242" i="1"/>
  <c r="A242" i="1"/>
  <c r="B242" i="1"/>
  <c r="AY242" i="1"/>
  <c r="AZ242" i="1"/>
  <c r="AW243" i="1"/>
  <c r="BI243" i="1"/>
  <c r="BK243" i="1"/>
  <c r="BB242" i="1"/>
  <c r="M242" i="1" l="1"/>
  <c r="L242" i="1"/>
  <c r="J242" i="1"/>
  <c r="K242" i="1" s="1"/>
  <c r="D242" i="1"/>
  <c r="AR243" i="1"/>
  <c r="AS243" i="1"/>
  <c r="AX243" i="1"/>
  <c r="BF243" i="1"/>
  <c r="F243" i="1" l="1"/>
  <c r="T243" i="1"/>
  <c r="S243" i="1" s="1"/>
  <c r="R243" i="1"/>
  <c r="H242" i="1"/>
  <c r="AA242" i="1"/>
  <c r="I242" i="1"/>
  <c r="BD243" i="1"/>
  <c r="BJ244" i="1" s="1"/>
  <c r="BC243" i="1"/>
  <c r="BA243" i="1"/>
  <c r="AU243" i="1"/>
  <c r="B243" i="1" l="1"/>
  <c r="A243" i="1"/>
  <c r="G243" i="1"/>
  <c r="O243" i="1"/>
  <c r="BB243" i="1"/>
  <c r="AZ243" i="1"/>
  <c r="AY243" i="1"/>
  <c r="BK244" i="1"/>
  <c r="AW244" i="1"/>
  <c r="BI244" i="1"/>
  <c r="M243" i="1" l="1"/>
  <c r="J243" i="1"/>
  <c r="L243" i="1"/>
  <c r="I243" i="1" s="1"/>
  <c r="D243" i="1"/>
  <c r="AR244" i="1"/>
  <c r="AS244" i="1"/>
  <c r="AX244" i="1"/>
  <c r="BF244" i="1"/>
  <c r="T244" i="1" l="1"/>
  <c r="S244" i="1" s="1"/>
  <c r="F244" i="1"/>
  <c r="R244" i="1"/>
  <c r="K243" i="1"/>
  <c r="AA243" i="1"/>
  <c r="H243" i="1"/>
  <c r="BD244" i="1"/>
  <c r="BJ245" i="1" s="1"/>
  <c r="BC244" i="1"/>
  <c r="AU244" i="1"/>
  <c r="BA244" i="1"/>
  <c r="A244" i="1" l="1"/>
  <c r="B244" i="1"/>
  <c r="O244" i="1"/>
  <c r="G244" i="1"/>
  <c r="BB244" i="1"/>
  <c r="BK245" i="1"/>
  <c r="AW245" i="1"/>
  <c r="BI245" i="1"/>
  <c r="AY244" i="1"/>
  <c r="AZ244" i="1"/>
  <c r="M244" i="1" l="1"/>
  <c r="D244" i="1"/>
  <c r="L244" i="1"/>
  <c r="J244" i="1"/>
  <c r="AS245" i="1"/>
  <c r="AR245" i="1"/>
  <c r="AX245" i="1"/>
  <c r="BF245" i="1"/>
  <c r="K244" i="1" l="1"/>
  <c r="AA244" i="1"/>
  <c r="I244" i="1"/>
  <c r="H244" i="1"/>
  <c r="T245" i="1"/>
  <c r="S245" i="1" s="1"/>
  <c r="F245" i="1"/>
  <c r="R245" i="1"/>
  <c r="BC245" i="1"/>
  <c r="BA245" i="1"/>
  <c r="AU245" i="1"/>
  <c r="BD245" i="1"/>
  <c r="BJ246" i="1" s="1"/>
  <c r="A245" i="1" l="1"/>
  <c r="B245" i="1"/>
  <c r="O245" i="1"/>
  <c r="G245" i="1"/>
  <c r="BB245" i="1"/>
  <c r="AY245" i="1"/>
  <c r="AZ245" i="1"/>
  <c r="BK246" i="1"/>
  <c r="AW246" i="1"/>
  <c r="BI246" i="1"/>
  <c r="J245" i="1" l="1"/>
  <c r="D245" i="1"/>
  <c r="L245" i="1"/>
  <c r="M245" i="1"/>
  <c r="AR246" i="1"/>
  <c r="AS246" i="1"/>
  <c r="BF246" i="1"/>
  <c r="AX246" i="1"/>
  <c r="BD246" i="1" s="1"/>
  <c r="BJ247" i="1" s="1"/>
  <c r="I245" i="1" l="1"/>
  <c r="AA245" i="1"/>
  <c r="H245" i="1"/>
  <c r="T246" i="1"/>
  <c r="S246" i="1" s="1"/>
  <c r="R246" i="1"/>
  <c r="F246" i="1"/>
  <c r="K245" i="1"/>
  <c r="BI247" i="1"/>
  <c r="BK247" i="1"/>
  <c r="AW247" i="1"/>
  <c r="BC246" i="1"/>
  <c r="AU246" i="1"/>
  <c r="BA246" i="1"/>
  <c r="G246" i="1" l="1"/>
  <c r="M246" i="1" s="1"/>
  <c r="O246" i="1"/>
  <c r="B246" i="1"/>
  <c r="A246" i="1"/>
  <c r="BB246" i="1"/>
  <c r="AX247" i="1"/>
  <c r="BF247" i="1"/>
  <c r="AS247" i="1"/>
  <c r="AR247" i="1"/>
  <c r="AY246" i="1"/>
  <c r="AZ246" i="1"/>
  <c r="F247" i="1" l="1"/>
  <c r="T247" i="1"/>
  <c r="S247" i="1" s="1"/>
  <c r="R247" i="1"/>
  <c r="J246" i="1"/>
  <c r="L246" i="1"/>
  <c r="D246" i="1"/>
  <c r="BC247" i="1"/>
  <c r="AU247" i="1"/>
  <c r="BA247" i="1"/>
  <c r="BD247" i="1"/>
  <c r="BJ248" i="1" s="1"/>
  <c r="B247" i="1" l="1"/>
  <c r="A247" i="1"/>
  <c r="G247" i="1"/>
  <c r="O247" i="1"/>
  <c r="K246" i="1"/>
  <c r="AA246" i="1"/>
  <c r="I246" i="1"/>
  <c r="H246" i="1"/>
  <c r="BB247" i="1"/>
  <c r="AZ247" i="1"/>
  <c r="AY247" i="1"/>
  <c r="AW248" i="1"/>
  <c r="BI248" i="1"/>
  <c r="BK248" i="1"/>
  <c r="M247" i="1" l="1"/>
  <c r="D247" i="1"/>
  <c r="J247" i="1"/>
  <c r="L247" i="1"/>
  <c r="AS248" i="1"/>
  <c r="AR248" i="1"/>
  <c r="AX248" i="1"/>
  <c r="BF248" i="1"/>
  <c r="K247" i="1" l="1"/>
  <c r="F248" i="1"/>
  <c r="T248" i="1"/>
  <c r="S248" i="1" s="1"/>
  <c r="R248" i="1"/>
  <c r="AA247" i="1"/>
  <c r="H247" i="1"/>
  <c r="I247" i="1"/>
  <c r="BC248" i="1"/>
  <c r="BA248" i="1"/>
  <c r="AU248" i="1"/>
  <c r="BD248" i="1"/>
  <c r="BJ249" i="1" s="1"/>
  <c r="B248" i="1" l="1"/>
  <c r="A248" i="1"/>
  <c r="O248" i="1"/>
  <c r="G248" i="1"/>
  <c r="BB248" i="1"/>
  <c r="BI249" i="1"/>
  <c r="BK249" i="1"/>
  <c r="AW249" i="1"/>
  <c r="AZ248" i="1"/>
  <c r="AY248" i="1"/>
  <c r="M248" i="1" l="1"/>
  <c r="J248" i="1"/>
  <c r="L248" i="1"/>
  <c r="D248" i="1"/>
  <c r="BF249" i="1"/>
  <c r="AX249" i="1"/>
  <c r="AR249" i="1"/>
  <c r="AS249" i="1"/>
  <c r="F249" i="1" l="1"/>
  <c r="T249" i="1"/>
  <c r="S249" i="1" s="1"/>
  <c r="R249" i="1"/>
  <c r="I248" i="1"/>
  <c r="AA248" i="1"/>
  <c r="H248" i="1"/>
  <c r="K248" i="1"/>
  <c r="BC249" i="1"/>
  <c r="BA249" i="1"/>
  <c r="AU249" i="1"/>
  <c r="BD249" i="1"/>
  <c r="BJ250" i="1" s="1"/>
  <c r="A249" i="1" l="1"/>
  <c r="B249" i="1"/>
  <c r="G249" i="1"/>
  <c r="O249" i="1"/>
  <c r="BB249" i="1"/>
  <c r="BK250" i="1"/>
  <c r="BI250" i="1"/>
  <c r="AW250" i="1"/>
  <c r="AZ249" i="1"/>
  <c r="AY249" i="1"/>
  <c r="M249" i="1" l="1"/>
  <c r="J249" i="1"/>
  <c r="L249" i="1"/>
  <c r="D249" i="1"/>
  <c r="AX250" i="1"/>
  <c r="BF250" i="1"/>
  <c r="AR250" i="1"/>
  <c r="AS250" i="1"/>
  <c r="T250" i="1" l="1"/>
  <c r="S250" i="1" s="1"/>
  <c r="F250" i="1"/>
  <c r="R250" i="1"/>
  <c r="K249" i="1"/>
  <c r="AA249" i="1"/>
  <c r="H249" i="1"/>
  <c r="I249" i="1"/>
  <c r="BD250" i="1"/>
  <c r="BJ251" i="1" s="1"/>
  <c r="AU250" i="1"/>
  <c r="BA250" i="1"/>
  <c r="BC250" i="1"/>
  <c r="A250" i="1" l="1"/>
  <c r="B250" i="1"/>
  <c r="G250" i="1"/>
  <c r="O250" i="1"/>
  <c r="BK251" i="1"/>
  <c r="BI251" i="1"/>
  <c r="AW251" i="1"/>
  <c r="AY250" i="1"/>
  <c r="AZ250" i="1"/>
  <c r="BB250" i="1"/>
  <c r="M250" i="1" l="1"/>
  <c r="L250" i="1"/>
  <c r="D250" i="1"/>
  <c r="J250" i="1"/>
  <c r="BF251" i="1"/>
  <c r="AX251" i="1"/>
  <c r="AS251" i="1"/>
  <c r="AR251" i="1"/>
  <c r="K250" i="1" l="1"/>
  <c r="F251" i="1"/>
  <c r="T251" i="1"/>
  <c r="S251" i="1" s="1"/>
  <c r="R251" i="1"/>
  <c r="H250" i="1"/>
  <c r="I250" i="1"/>
  <c r="AA250" i="1"/>
  <c r="BD251" i="1"/>
  <c r="BJ252" i="1" s="1"/>
  <c r="AU251" i="1"/>
  <c r="BA251" i="1"/>
  <c r="BC251" i="1"/>
  <c r="B251" i="1" l="1"/>
  <c r="A251" i="1"/>
  <c r="O251" i="1"/>
  <c r="G251" i="1"/>
  <c r="AW252" i="1"/>
  <c r="BI252" i="1"/>
  <c r="BK252" i="1"/>
  <c r="BB251" i="1"/>
  <c r="AZ251" i="1"/>
  <c r="AY251" i="1"/>
  <c r="J251" i="1" l="1"/>
  <c r="M251" i="1"/>
  <c r="L251" i="1"/>
  <c r="I251" i="1" s="1"/>
  <c r="D251" i="1"/>
  <c r="AS252" i="1"/>
  <c r="AR252" i="1"/>
  <c r="BF252" i="1"/>
  <c r="AX252" i="1"/>
  <c r="AA251" i="1" l="1"/>
  <c r="H251" i="1"/>
  <c r="T252" i="1"/>
  <c r="S252" i="1" s="1"/>
  <c r="F252" i="1"/>
  <c r="R252" i="1"/>
  <c r="K251" i="1"/>
  <c r="AU252" i="1"/>
  <c r="BC252" i="1"/>
  <c r="BA252" i="1"/>
  <c r="BD252" i="1"/>
  <c r="BJ253" i="1" s="1"/>
  <c r="A252" i="1" l="1"/>
  <c r="B252" i="1"/>
  <c r="O252" i="1"/>
  <c r="G252" i="1"/>
  <c r="AZ252" i="1"/>
  <c r="AY252" i="1"/>
  <c r="AW253" i="1"/>
  <c r="BI253" i="1"/>
  <c r="BK253" i="1"/>
  <c r="BB252" i="1"/>
  <c r="L252" i="1" l="1"/>
  <c r="D252" i="1"/>
  <c r="M252" i="1"/>
  <c r="J252" i="1"/>
  <c r="AS253" i="1"/>
  <c r="AR253" i="1"/>
  <c r="BF253" i="1"/>
  <c r="AX253" i="1"/>
  <c r="K252" i="1" l="1"/>
  <c r="AA252" i="1"/>
  <c r="H252" i="1"/>
  <c r="I252" i="1"/>
  <c r="F253" i="1"/>
  <c r="R253" i="1"/>
  <c r="T253" i="1"/>
  <c r="S253" i="1" s="1"/>
  <c r="BD253" i="1"/>
  <c r="BJ254" i="1" s="1"/>
  <c r="BC253" i="1"/>
  <c r="BA253" i="1"/>
  <c r="AU253" i="1"/>
  <c r="A253" i="1" l="1"/>
  <c r="B253" i="1"/>
  <c r="G253" i="1"/>
  <c r="O253" i="1"/>
  <c r="BB253" i="1"/>
  <c r="BK254" i="1"/>
  <c r="AW254" i="1"/>
  <c r="BI254" i="1"/>
  <c r="AY253" i="1"/>
  <c r="AZ253" i="1"/>
  <c r="M253" i="1" l="1"/>
  <c r="J253" i="1"/>
  <c r="L253" i="1"/>
  <c r="D253" i="1"/>
  <c r="AR254" i="1"/>
  <c r="AS254" i="1"/>
  <c r="AX254" i="1"/>
  <c r="BF254" i="1"/>
  <c r="K253" i="1" l="1"/>
  <c r="T254" i="1"/>
  <c r="S254" i="1" s="1"/>
  <c r="F254" i="1"/>
  <c r="R254" i="1"/>
  <c r="AA253" i="1"/>
  <c r="I253" i="1"/>
  <c r="H253" i="1"/>
  <c r="AU254" i="1"/>
  <c r="BC254" i="1"/>
  <c r="BA254" i="1"/>
  <c r="BD254" i="1"/>
  <c r="BJ255" i="1" s="1"/>
  <c r="B254" i="1" l="1"/>
  <c r="A254" i="1"/>
  <c r="G254" i="1"/>
  <c r="O254" i="1"/>
  <c r="BB254" i="1"/>
  <c r="AZ254" i="1"/>
  <c r="AY254" i="1"/>
  <c r="BI255" i="1"/>
  <c r="BK255" i="1"/>
  <c r="AW255" i="1"/>
  <c r="M254" i="1" l="1"/>
  <c r="J254" i="1"/>
  <c r="L254" i="1"/>
  <c r="D254" i="1"/>
  <c r="AX255" i="1"/>
  <c r="BD255" i="1" s="1"/>
  <c r="BJ256" i="1" s="1"/>
  <c r="BF255" i="1"/>
  <c r="AR255" i="1"/>
  <c r="AS255" i="1"/>
  <c r="K254" i="1" l="1"/>
  <c r="AA254" i="1"/>
  <c r="H254" i="1"/>
  <c r="I254" i="1"/>
  <c r="T255" i="1"/>
  <c r="S255" i="1" s="1"/>
  <c r="F255" i="1"/>
  <c r="R255" i="1"/>
  <c r="AW256" i="1"/>
  <c r="BK256" i="1"/>
  <c r="BI256" i="1"/>
  <c r="BA255" i="1"/>
  <c r="AU255" i="1"/>
  <c r="BC255" i="1"/>
  <c r="B255" i="1" l="1"/>
  <c r="A255" i="1"/>
  <c r="G255" i="1"/>
  <c r="O255" i="1"/>
  <c r="AS256" i="1"/>
  <c r="AR256" i="1"/>
  <c r="BF256" i="1"/>
  <c r="AX256" i="1"/>
  <c r="BB255" i="1"/>
  <c r="AZ255" i="1"/>
  <c r="AY255" i="1"/>
  <c r="J255" i="1" l="1"/>
  <c r="L255" i="1"/>
  <c r="H255" i="1" s="1"/>
  <c r="D255" i="1"/>
  <c r="M255" i="1"/>
  <c r="BA256" i="1"/>
  <c r="BD256" i="1"/>
  <c r="BJ257" i="1" s="1"/>
  <c r="AU256" i="1"/>
  <c r="BC256" i="1"/>
  <c r="AA255" i="1" l="1"/>
  <c r="I255" i="1"/>
  <c r="T256" i="1"/>
  <c r="S256" i="1" s="1"/>
  <c r="R256" i="1"/>
  <c r="F256" i="1"/>
  <c r="K255" i="1"/>
  <c r="BB256" i="1"/>
  <c r="BI257" i="1"/>
  <c r="AW257" i="1"/>
  <c r="BK257" i="1"/>
  <c r="AZ256" i="1"/>
  <c r="AY256" i="1"/>
  <c r="G256" i="1" l="1"/>
  <c r="M256" i="1" s="1"/>
  <c r="O256" i="1"/>
  <c r="B256" i="1"/>
  <c r="A256" i="1"/>
  <c r="BF257" i="1"/>
  <c r="AX257" i="1"/>
  <c r="AS257" i="1"/>
  <c r="AR257" i="1"/>
  <c r="F257" i="1" l="1"/>
  <c r="T257" i="1"/>
  <c r="S257" i="1" s="1"/>
  <c r="R257" i="1"/>
  <c r="J256" i="1"/>
  <c r="D256" i="1"/>
  <c r="L256" i="1"/>
  <c r="BD257" i="1"/>
  <c r="BJ258" i="1" s="1"/>
  <c r="BA257" i="1"/>
  <c r="AU257" i="1"/>
  <c r="BC257" i="1"/>
  <c r="A257" i="1" l="1"/>
  <c r="B257" i="1"/>
  <c r="O257" i="1"/>
  <c r="G257" i="1"/>
  <c r="K256" i="1"/>
  <c r="AA256" i="1"/>
  <c r="I256" i="1"/>
  <c r="H256" i="1"/>
  <c r="BB257" i="1"/>
  <c r="BI258" i="1"/>
  <c r="BK258" i="1"/>
  <c r="AW258" i="1"/>
  <c r="AZ257" i="1"/>
  <c r="AY257" i="1"/>
  <c r="D257" i="1" l="1"/>
  <c r="L257" i="1"/>
  <c r="M257" i="1"/>
  <c r="J257" i="1"/>
  <c r="BF258" i="1"/>
  <c r="AX258" i="1"/>
  <c r="AS258" i="1"/>
  <c r="AR258" i="1"/>
  <c r="K257" i="1" l="1"/>
  <c r="T258" i="1"/>
  <c r="S258" i="1" s="1"/>
  <c r="F258" i="1"/>
  <c r="R258" i="1"/>
  <c r="AA257" i="1"/>
  <c r="H257" i="1"/>
  <c r="I257" i="1"/>
  <c r="AU258" i="1"/>
  <c r="BA258" i="1"/>
  <c r="BD258" i="1"/>
  <c r="BJ259" i="1" s="1"/>
  <c r="BC258" i="1"/>
  <c r="B258" i="1" l="1"/>
  <c r="A258" i="1"/>
  <c r="G258" i="1"/>
  <c r="O258" i="1"/>
  <c r="AW259" i="1"/>
  <c r="BI259" i="1"/>
  <c r="BK259" i="1"/>
  <c r="AY258" i="1"/>
  <c r="AZ258" i="1"/>
  <c r="BB258" i="1"/>
  <c r="M258" i="1" l="1"/>
  <c r="D258" i="1"/>
  <c r="L258" i="1"/>
  <c r="H258" i="1" s="1"/>
  <c r="J258" i="1"/>
  <c r="AR259" i="1"/>
  <c r="AS259" i="1"/>
  <c r="AX259" i="1"/>
  <c r="BF259" i="1"/>
  <c r="K258" i="1" l="1"/>
  <c r="AA258" i="1"/>
  <c r="I258" i="1"/>
  <c r="R259" i="1"/>
  <c r="F259" i="1"/>
  <c r="T259" i="1"/>
  <c r="S259" i="1" s="1"/>
  <c r="BC259" i="1"/>
  <c r="AU259" i="1"/>
  <c r="BA259" i="1"/>
  <c r="BD259" i="1"/>
  <c r="BJ260" i="1" s="1"/>
  <c r="O259" i="1" l="1"/>
  <c r="G259" i="1"/>
  <c r="B259" i="1"/>
  <c r="A259" i="1"/>
  <c r="BB259" i="1"/>
  <c r="AY259" i="1"/>
  <c r="AZ259" i="1"/>
  <c r="BK260" i="1"/>
  <c r="BI260" i="1"/>
  <c r="AW260" i="1"/>
  <c r="L259" i="1" l="1"/>
  <c r="J259" i="1"/>
  <c r="D259" i="1"/>
  <c r="M259" i="1"/>
  <c r="AX260" i="1"/>
  <c r="BD260" i="1" s="1"/>
  <c r="BJ261" i="1" s="1"/>
  <c r="BF260" i="1"/>
  <c r="AR260" i="1"/>
  <c r="AS260" i="1"/>
  <c r="K259" i="1" l="1"/>
  <c r="AA259" i="1"/>
  <c r="H259" i="1"/>
  <c r="I259" i="1"/>
  <c r="F260" i="1"/>
  <c r="R260" i="1"/>
  <c r="T260" i="1"/>
  <c r="S260" i="1" s="1"/>
  <c r="AW261" i="1"/>
  <c r="BI261" i="1"/>
  <c r="BK261" i="1"/>
  <c r="AU260" i="1"/>
  <c r="BC260" i="1"/>
  <c r="BA260" i="1"/>
  <c r="B260" i="1" l="1"/>
  <c r="A260" i="1"/>
  <c r="G260" i="1"/>
  <c r="M260" i="1" s="1"/>
  <c r="O260" i="1"/>
  <c r="BB260" i="1"/>
  <c r="AS261" i="1"/>
  <c r="AR261" i="1"/>
  <c r="AX261" i="1"/>
  <c r="BF261" i="1"/>
  <c r="AY260" i="1"/>
  <c r="AZ260" i="1"/>
  <c r="R261" i="1" l="1"/>
  <c r="F261" i="1"/>
  <c r="T261" i="1"/>
  <c r="S261" i="1" s="1"/>
  <c r="L260" i="1"/>
  <c r="J260" i="1"/>
  <c r="K260" i="1" s="1"/>
  <c r="D260" i="1"/>
  <c r="BD261" i="1"/>
  <c r="BJ262" i="1" s="1"/>
  <c r="BC261" i="1"/>
  <c r="BA261" i="1"/>
  <c r="AU261" i="1"/>
  <c r="G261" i="1" l="1"/>
  <c r="O261" i="1"/>
  <c r="A261" i="1"/>
  <c r="B261" i="1"/>
  <c r="AA260" i="1"/>
  <c r="I260" i="1"/>
  <c r="H260" i="1"/>
  <c r="BB261" i="1"/>
  <c r="BI262" i="1"/>
  <c r="AW262" i="1"/>
  <c r="BK262" i="1"/>
  <c r="AY261" i="1"/>
  <c r="AZ261" i="1"/>
  <c r="M261" i="1" l="1"/>
  <c r="L261" i="1"/>
  <c r="D261" i="1"/>
  <c r="J261" i="1"/>
  <c r="AX262" i="1"/>
  <c r="BF262" i="1"/>
  <c r="AR262" i="1"/>
  <c r="AS262" i="1"/>
  <c r="K261" i="1" l="1"/>
  <c r="T262" i="1"/>
  <c r="S262" i="1" s="1"/>
  <c r="F262" i="1"/>
  <c r="R262" i="1"/>
  <c r="AA261" i="1"/>
  <c r="H261" i="1"/>
  <c r="I261" i="1"/>
  <c r="BC262" i="1"/>
  <c r="BA262" i="1"/>
  <c r="BD262" i="1"/>
  <c r="BJ263" i="1" s="1"/>
  <c r="AU262" i="1"/>
  <c r="A262" i="1" l="1"/>
  <c r="B262" i="1"/>
  <c r="G262" i="1"/>
  <c r="O262" i="1"/>
  <c r="BB262" i="1"/>
  <c r="AY262" i="1"/>
  <c r="AZ262" i="1"/>
  <c r="BK263" i="1"/>
  <c r="AW263" i="1"/>
  <c r="BI263" i="1"/>
  <c r="D262" i="1" l="1"/>
  <c r="J262" i="1"/>
  <c r="L262" i="1"/>
  <c r="M262" i="1"/>
  <c r="AS263" i="1"/>
  <c r="AR263" i="1"/>
  <c r="AX263" i="1"/>
  <c r="BF263" i="1"/>
  <c r="K262" i="1" l="1"/>
  <c r="AA262" i="1"/>
  <c r="H262" i="1"/>
  <c r="I262" i="1"/>
  <c r="F263" i="1"/>
  <c r="R263" i="1"/>
  <c r="T263" i="1"/>
  <c r="S263" i="1" s="1"/>
  <c r="BD263" i="1"/>
  <c r="BJ264" i="1" s="1"/>
  <c r="BA263" i="1"/>
  <c r="AU263" i="1"/>
  <c r="BC263" i="1"/>
  <c r="B263" i="1" l="1"/>
  <c r="A263" i="1"/>
  <c r="O263" i="1"/>
  <c r="G263" i="1"/>
  <c r="AZ263" i="1"/>
  <c r="AY263" i="1"/>
  <c r="BI264" i="1"/>
  <c r="BK264" i="1"/>
  <c r="AW264" i="1"/>
  <c r="BB263" i="1"/>
  <c r="L263" i="1" l="1"/>
  <c r="D263" i="1"/>
  <c r="J263" i="1"/>
  <c r="M263" i="1"/>
  <c r="AX264" i="1"/>
  <c r="BF264" i="1"/>
  <c r="AR264" i="1"/>
  <c r="AS264" i="1"/>
  <c r="AA263" i="1" l="1"/>
  <c r="I263" i="1"/>
  <c r="H263" i="1"/>
  <c r="K263" i="1"/>
  <c r="F264" i="1"/>
  <c r="T264" i="1"/>
  <c r="S264" i="1" s="1"/>
  <c r="R264" i="1"/>
  <c r="BD264" i="1"/>
  <c r="BJ265" i="1" s="1"/>
  <c r="BC264" i="1"/>
  <c r="AU264" i="1"/>
  <c r="BA264" i="1"/>
  <c r="A264" i="1" l="1"/>
  <c r="B264" i="1"/>
  <c r="O264" i="1"/>
  <c r="G264" i="1"/>
  <c r="BB264" i="1"/>
  <c r="AW265" i="1"/>
  <c r="BI265" i="1"/>
  <c r="BK265" i="1"/>
  <c r="AZ264" i="1"/>
  <c r="AY264" i="1"/>
  <c r="M264" i="1" l="1"/>
  <c r="D264" i="1"/>
  <c r="J264" i="1"/>
  <c r="L264" i="1"/>
  <c r="AR265" i="1"/>
  <c r="AS265" i="1"/>
  <c r="AX265" i="1"/>
  <c r="BF265" i="1"/>
  <c r="K264" i="1" l="1"/>
  <c r="F265" i="1"/>
  <c r="T265" i="1"/>
  <c r="S265" i="1" s="1"/>
  <c r="R265" i="1"/>
  <c r="I264" i="1"/>
  <c r="AA264" i="1"/>
  <c r="H264" i="1"/>
  <c r="AU265" i="1"/>
  <c r="BC265" i="1"/>
  <c r="BA265" i="1"/>
  <c r="BD265" i="1"/>
  <c r="BJ266" i="1" s="1"/>
  <c r="B265" i="1" l="1"/>
  <c r="A265" i="1"/>
  <c r="O265" i="1"/>
  <c r="G265" i="1"/>
  <c r="BK266" i="1"/>
  <c r="BI266" i="1"/>
  <c r="AW266" i="1"/>
  <c r="BB265" i="1"/>
  <c r="AZ265" i="1"/>
  <c r="AY265" i="1"/>
  <c r="J265" i="1" l="1"/>
  <c r="D265" i="1"/>
  <c r="L265" i="1"/>
  <c r="M265" i="1"/>
  <c r="AX266" i="1"/>
  <c r="BD266" i="1" s="1"/>
  <c r="BJ267" i="1" s="1"/>
  <c r="BF266" i="1"/>
  <c r="AR266" i="1"/>
  <c r="AS266" i="1"/>
  <c r="I265" i="1" l="1"/>
  <c r="AA265" i="1"/>
  <c r="H265" i="1"/>
  <c r="T266" i="1"/>
  <c r="S266" i="1" s="1"/>
  <c r="R266" i="1"/>
  <c r="F266" i="1"/>
  <c r="K265" i="1"/>
  <c r="BI267" i="1"/>
  <c r="BK267" i="1"/>
  <c r="AW267" i="1"/>
  <c r="AU266" i="1"/>
  <c r="BA266" i="1"/>
  <c r="BC266" i="1"/>
  <c r="G266" i="1" l="1"/>
  <c r="M266" i="1" s="1"/>
  <c r="O266" i="1"/>
  <c r="A266" i="1"/>
  <c r="B266" i="1"/>
  <c r="AX267" i="1"/>
  <c r="BF267" i="1"/>
  <c r="AS267" i="1"/>
  <c r="AR267" i="1"/>
  <c r="BB266" i="1"/>
  <c r="AY266" i="1"/>
  <c r="AZ266" i="1"/>
  <c r="F267" i="1" l="1"/>
  <c r="R267" i="1"/>
  <c r="T267" i="1"/>
  <c r="S267" i="1" s="1"/>
  <c r="D266" i="1"/>
  <c r="K12" i="6" s="1"/>
  <c r="J266" i="1"/>
  <c r="L266" i="1"/>
  <c r="BC267" i="1"/>
  <c r="AU267" i="1"/>
  <c r="BA267" i="1"/>
  <c r="BD267" i="1"/>
  <c r="BJ268" i="1" s="1"/>
  <c r="B267" i="1" l="1"/>
  <c r="A267" i="1"/>
  <c r="O267" i="1"/>
  <c r="G267" i="1"/>
  <c r="K266" i="1"/>
  <c r="AA266" i="1"/>
  <c r="I266" i="1"/>
  <c r="H266" i="1"/>
  <c r="BB267" i="1"/>
  <c r="AZ267" i="1"/>
  <c r="AY267" i="1"/>
  <c r="BI268" i="1"/>
  <c r="BK268" i="1"/>
  <c r="AW268" i="1"/>
  <c r="M267" i="1" l="1"/>
  <c r="J267" i="1"/>
  <c r="L267" i="1"/>
  <c r="D267" i="1"/>
  <c r="BF268" i="1"/>
  <c r="AX268" i="1"/>
  <c r="AR268" i="1"/>
  <c r="AS268" i="1"/>
  <c r="T268" i="1" l="1"/>
  <c r="S268" i="1" s="1"/>
  <c r="R268" i="1"/>
  <c r="F268" i="1"/>
  <c r="AA267" i="1"/>
  <c r="I267" i="1"/>
  <c r="H267" i="1"/>
  <c r="K267" i="1"/>
  <c r="AU268" i="1"/>
  <c r="BA268" i="1"/>
  <c r="BC268" i="1"/>
  <c r="BD268" i="1"/>
  <c r="BJ269" i="1" s="1"/>
  <c r="G268" i="1" l="1"/>
  <c r="O268" i="1"/>
  <c r="B268" i="1"/>
  <c r="A268" i="1"/>
  <c r="AW269" i="1"/>
  <c r="BI269" i="1"/>
  <c r="BK269" i="1"/>
  <c r="BB268" i="1"/>
  <c r="AZ268" i="1"/>
  <c r="AY268" i="1"/>
  <c r="M268" i="1" l="1"/>
  <c r="J268" i="1"/>
  <c r="D268" i="1"/>
  <c r="L268" i="1"/>
  <c r="AS269" i="1"/>
  <c r="AR269" i="1"/>
  <c r="AX269" i="1"/>
  <c r="BD269" i="1" s="1"/>
  <c r="BJ270" i="1" s="1"/>
  <c r="BF269" i="1"/>
  <c r="F269" i="1" l="1"/>
  <c r="R269" i="1"/>
  <c r="T269" i="1"/>
  <c r="S269" i="1" s="1"/>
  <c r="I268" i="1"/>
  <c r="AA268" i="1"/>
  <c r="H268" i="1"/>
  <c r="K268" i="1"/>
  <c r="BK270" i="1"/>
  <c r="BI270" i="1"/>
  <c r="AW270" i="1"/>
  <c r="AU269" i="1"/>
  <c r="BA269" i="1"/>
  <c r="BC269" i="1"/>
  <c r="A269" i="1" l="1"/>
  <c r="B269" i="1"/>
  <c r="O269" i="1"/>
  <c r="G269" i="1"/>
  <c r="BF270" i="1"/>
  <c r="AX270" i="1"/>
  <c r="BD270" i="1" s="1"/>
  <c r="BJ271" i="1" s="1"/>
  <c r="AS270" i="1"/>
  <c r="AR270" i="1"/>
  <c r="BB269" i="1"/>
  <c r="AY269" i="1"/>
  <c r="AZ269" i="1"/>
  <c r="M269" i="1" l="1"/>
  <c r="J269" i="1"/>
  <c r="D269" i="1"/>
  <c r="L269" i="1"/>
  <c r="BK271" i="1"/>
  <c r="BI271" i="1"/>
  <c r="AW271" i="1"/>
  <c r="BA270" i="1"/>
  <c r="AU270" i="1"/>
  <c r="BC270" i="1"/>
  <c r="K269" i="1" l="1"/>
  <c r="AA269" i="1"/>
  <c r="H269" i="1"/>
  <c r="I269" i="1"/>
  <c r="T270" i="1"/>
  <c r="S270" i="1" s="1"/>
  <c r="R270" i="1"/>
  <c r="F270" i="1"/>
  <c r="AX271" i="1"/>
  <c r="BF271" i="1"/>
  <c r="AR271" i="1"/>
  <c r="AS271" i="1"/>
  <c r="BB270" i="1"/>
  <c r="AZ270" i="1"/>
  <c r="AY270" i="1"/>
  <c r="G270" i="1" l="1"/>
  <c r="O270" i="1"/>
  <c r="B270" i="1"/>
  <c r="A270" i="1"/>
  <c r="AU271" i="1"/>
  <c r="BD271" i="1"/>
  <c r="BJ272" i="1" s="1"/>
  <c r="BC271" i="1"/>
  <c r="BA271" i="1"/>
  <c r="L270" i="1" l="1"/>
  <c r="J270" i="1"/>
  <c r="K270" i="1" s="1"/>
  <c r="D270" i="1"/>
  <c r="M270" i="1"/>
  <c r="AZ271" i="1"/>
  <c r="AY271" i="1"/>
  <c r="BB271" i="1"/>
  <c r="BI272" i="1"/>
  <c r="AW272" i="1"/>
  <c r="BK272" i="1"/>
  <c r="I270" i="1" l="1"/>
  <c r="H270" i="1"/>
  <c r="AA270" i="1"/>
  <c r="R271" i="1"/>
  <c r="T271" i="1"/>
  <c r="S271" i="1" s="1"/>
  <c r="F271" i="1"/>
  <c r="AX272" i="1"/>
  <c r="BF272" i="1"/>
  <c r="AS272" i="1"/>
  <c r="AR272" i="1"/>
  <c r="G271" i="1" l="1"/>
  <c r="M271" i="1" s="1"/>
  <c r="O271" i="1"/>
  <c r="A271" i="1"/>
  <c r="B271" i="1"/>
  <c r="BC272" i="1"/>
  <c r="BA272" i="1"/>
  <c r="AU272" i="1"/>
  <c r="BD272" i="1"/>
  <c r="BJ273" i="1" s="1"/>
  <c r="T272" i="1" l="1"/>
  <c r="S272" i="1" s="1"/>
  <c r="R272" i="1"/>
  <c r="F272" i="1"/>
  <c r="J271" i="1"/>
  <c r="D271" i="1"/>
  <c r="L271" i="1"/>
  <c r="BB272" i="1"/>
  <c r="AZ272" i="1"/>
  <c r="AY272" i="1"/>
  <c r="BI273" i="1"/>
  <c r="AW273" i="1"/>
  <c r="BK273" i="1"/>
  <c r="K271" i="1" l="1"/>
  <c r="AA271" i="1"/>
  <c r="H271" i="1"/>
  <c r="I271" i="1"/>
  <c r="O272" i="1"/>
  <c r="G272" i="1"/>
  <c r="B272" i="1"/>
  <c r="A272" i="1"/>
  <c r="BF273" i="1"/>
  <c r="AX273" i="1"/>
  <c r="BD273" i="1" s="1"/>
  <c r="BJ274" i="1" s="1"/>
  <c r="AR273" i="1"/>
  <c r="AS273" i="1"/>
  <c r="M272" i="1" l="1"/>
  <c r="L272" i="1"/>
  <c r="J272" i="1"/>
  <c r="D272" i="1"/>
  <c r="BI274" i="1"/>
  <c r="AW274" i="1"/>
  <c r="BK274" i="1"/>
  <c r="AU273" i="1"/>
  <c r="BC273" i="1"/>
  <c r="BA273" i="1"/>
  <c r="K272" i="1" l="1"/>
  <c r="F273" i="1"/>
  <c r="R273" i="1"/>
  <c r="T273" i="1"/>
  <c r="S273" i="1" s="1"/>
  <c r="I272" i="1"/>
  <c r="AA272" i="1"/>
  <c r="H272" i="1"/>
  <c r="BB273" i="1"/>
  <c r="AZ273" i="1"/>
  <c r="AY273" i="1"/>
  <c r="BF274" i="1"/>
  <c r="AX274" i="1"/>
  <c r="AS274" i="1"/>
  <c r="AR274" i="1"/>
  <c r="A273" i="1" l="1"/>
  <c r="B273" i="1"/>
  <c r="G273" i="1"/>
  <c r="O273" i="1"/>
  <c r="BD274" i="1"/>
  <c r="BJ275" i="1" s="1"/>
  <c r="BC274" i="1"/>
  <c r="AU274" i="1"/>
  <c r="BA274" i="1"/>
  <c r="D273" i="1" l="1"/>
  <c r="J273" i="1"/>
  <c r="L273" i="1"/>
  <c r="M273" i="1"/>
  <c r="BB274" i="1"/>
  <c r="BK275" i="1"/>
  <c r="BI275" i="1"/>
  <c r="AW275" i="1"/>
  <c r="AY274" i="1"/>
  <c r="AZ274" i="1"/>
  <c r="AA273" i="1" l="1"/>
  <c r="H273" i="1"/>
  <c r="I273" i="1"/>
  <c r="K273" i="1"/>
  <c r="T274" i="1"/>
  <c r="S274" i="1" s="1"/>
  <c r="R274" i="1"/>
  <c r="F274" i="1"/>
  <c r="BF275" i="1"/>
  <c r="AX275" i="1"/>
  <c r="AS275" i="1"/>
  <c r="AR275" i="1"/>
  <c r="O274" i="1" l="1"/>
  <c r="G274" i="1"/>
  <c r="A274" i="1"/>
  <c r="B274" i="1"/>
  <c r="BD275" i="1"/>
  <c r="BJ276" i="1" s="1"/>
  <c r="BC275" i="1"/>
  <c r="BA275" i="1"/>
  <c r="AU275" i="1"/>
  <c r="D274" i="1" l="1"/>
  <c r="L274" i="1"/>
  <c r="J274" i="1"/>
  <c r="M274" i="1"/>
  <c r="AW276" i="1"/>
  <c r="BI276" i="1"/>
  <c r="BK276" i="1"/>
  <c r="AZ275" i="1"/>
  <c r="AY275" i="1"/>
  <c r="BB275" i="1"/>
  <c r="K274" i="1" l="1"/>
  <c r="T275" i="1"/>
  <c r="S275" i="1" s="1"/>
  <c r="R275" i="1"/>
  <c r="F275" i="1"/>
  <c r="AA274" i="1"/>
  <c r="I274" i="1"/>
  <c r="H274" i="1"/>
  <c r="AR276" i="1"/>
  <c r="AS276" i="1"/>
  <c r="AX276" i="1"/>
  <c r="BF276" i="1"/>
  <c r="O275" i="1" l="1"/>
  <c r="G275" i="1"/>
  <c r="M275" i="1" s="1"/>
  <c r="B275" i="1"/>
  <c r="A275" i="1"/>
  <c r="BD276" i="1"/>
  <c r="BJ277" i="1" s="1"/>
  <c r="BA276" i="1"/>
  <c r="AU276" i="1"/>
  <c r="BC276" i="1"/>
  <c r="F276" i="1" l="1"/>
  <c r="T276" i="1"/>
  <c r="S276" i="1" s="1"/>
  <c r="R276" i="1"/>
  <c r="D275" i="1"/>
  <c r="L275" i="1"/>
  <c r="H275" i="1" s="1"/>
  <c r="J275" i="1"/>
  <c r="AW277" i="1"/>
  <c r="BI277" i="1"/>
  <c r="BK277" i="1"/>
  <c r="BB276" i="1"/>
  <c r="AZ276" i="1"/>
  <c r="AY276" i="1"/>
  <c r="K275" i="1" l="1"/>
  <c r="A276" i="1"/>
  <c r="B276" i="1"/>
  <c r="O276" i="1"/>
  <c r="G276" i="1"/>
  <c r="M276" i="1" s="1"/>
  <c r="AA275" i="1"/>
  <c r="I275" i="1"/>
  <c r="AR277" i="1"/>
  <c r="AS277" i="1"/>
  <c r="BF277" i="1"/>
  <c r="AX277" i="1"/>
  <c r="F277" i="1" l="1"/>
  <c r="R277" i="1"/>
  <c r="T277" i="1"/>
  <c r="S277" i="1" s="1"/>
  <c r="D276" i="1"/>
  <c r="J276" i="1"/>
  <c r="L276" i="1"/>
  <c r="AU277" i="1"/>
  <c r="BA277" i="1"/>
  <c r="BC277" i="1"/>
  <c r="BD277" i="1"/>
  <c r="BJ278" i="1" s="1"/>
  <c r="K276" i="1" l="1"/>
  <c r="B277" i="1"/>
  <c r="A277" i="1"/>
  <c r="O277" i="1"/>
  <c r="G277" i="1"/>
  <c r="AA276" i="1"/>
  <c r="I276" i="1"/>
  <c r="H276" i="1"/>
  <c r="BB277" i="1"/>
  <c r="AZ277" i="1"/>
  <c r="AY277" i="1"/>
  <c r="AW278" i="1"/>
  <c r="BI278" i="1"/>
  <c r="BK278" i="1"/>
  <c r="D277" i="1" l="1"/>
  <c r="J277" i="1"/>
  <c r="L277" i="1"/>
  <c r="M277" i="1"/>
  <c r="AR278" i="1"/>
  <c r="AS278" i="1"/>
  <c r="AX278" i="1"/>
  <c r="BF278" i="1"/>
  <c r="H277" i="1" l="1"/>
  <c r="I277" i="1"/>
  <c r="AA277" i="1"/>
  <c r="T278" i="1"/>
  <c r="S278" i="1" s="1"/>
  <c r="R278" i="1"/>
  <c r="F278" i="1"/>
  <c r="K277" i="1"/>
  <c r="BA278" i="1"/>
  <c r="BC278" i="1"/>
  <c r="AU278" i="1"/>
  <c r="BD278" i="1"/>
  <c r="BJ279" i="1" s="1"/>
  <c r="G278" i="1" l="1"/>
  <c r="O278" i="1"/>
  <c r="B278" i="1"/>
  <c r="A278" i="1"/>
  <c r="AW279" i="1"/>
  <c r="BI279" i="1"/>
  <c r="BK279" i="1"/>
  <c r="BB278" i="1"/>
  <c r="AZ278" i="1"/>
  <c r="AY278" i="1"/>
  <c r="L278" i="1" l="1"/>
  <c r="J278" i="1"/>
  <c r="D278" i="1"/>
  <c r="M278" i="1"/>
  <c r="AR279" i="1"/>
  <c r="AS279" i="1"/>
  <c r="BF279" i="1"/>
  <c r="AX279" i="1"/>
  <c r="K278" i="1" l="1"/>
  <c r="T279" i="1"/>
  <c r="S279" i="1" s="1"/>
  <c r="F279" i="1"/>
  <c r="R279" i="1"/>
  <c r="AA278" i="1"/>
  <c r="I278" i="1"/>
  <c r="H278" i="1"/>
  <c r="AU279" i="1"/>
  <c r="BA279" i="1"/>
  <c r="BC279" i="1"/>
  <c r="BD279" i="1"/>
  <c r="BJ280" i="1" s="1"/>
  <c r="A279" i="1" l="1"/>
  <c r="B279" i="1"/>
  <c r="G279" i="1"/>
  <c r="O279" i="1"/>
  <c r="BI280" i="1"/>
  <c r="BK280" i="1"/>
  <c r="AW280" i="1"/>
  <c r="BB279" i="1"/>
  <c r="AY279" i="1"/>
  <c r="AZ279" i="1"/>
  <c r="D279" i="1" l="1"/>
  <c r="L279" i="1"/>
  <c r="J279" i="1"/>
  <c r="M279" i="1"/>
  <c r="AX280" i="1"/>
  <c r="BF280" i="1"/>
  <c r="AR280" i="1"/>
  <c r="AS280" i="1"/>
  <c r="K279" i="1" l="1"/>
  <c r="R280" i="1"/>
  <c r="T280" i="1"/>
  <c r="S280" i="1" s="1"/>
  <c r="F280" i="1"/>
  <c r="AA279" i="1"/>
  <c r="H279" i="1"/>
  <c r="I279" i="1"/>
  <c r="BA280" i="1"/>
  <c r="BC280" i="1"/>
  <c r="AU280" i="1"/>
  <c r="BD280" i="1"/>
  <c r="BJ281" i="1" s="1"/>
  <c r="O280" i="1" l="1"/>
  <c r="G280" i="1"/>
  <c r="A280" i="1"/>
  <c r="B280" i="1"/>
  <c r="BK281" i="1"/>
  <c r="AW281" i="1"/>
  <c r="BI281" i="1"/>
  <c r="BB280" i="1"/>
  <c r="AY280" i="1"/>
  <c r="AZ280" i="1"/>
  <c r="L280" i="1" l="1"/>
  <c r="J280" i="1"/>
  <c r="D280" i="1"/>
  <c r="M280" i="1"/>
  <c r="AR281" i="1"/>
  <c r="AS281" i="1"/>
  <c r="BF281" i="1"/>
  <c r="AX281" i="1"/>
  <c r="BD281" i="1" s="1"/>
  <c r="BJ282" i="1" s="1"/>
  <c r="K280" i="1" l="1"/>
  <c r="T281" i="1"/>
  <c r="S281" i="1" s="1"/>
  <c r="F281" i="1"/>
  <c r="R281" i="1"/>
  <c r="AA280" i="1"/>
  <c r="H280" i="1"/>
  <c r="I280" i="1"/>
  <c r="AW282" i="1"/>
  <c r="BI282" i="1"/>
  <c r="BK282" i="1"/>
  <c r="BC281" i="1"/>
  <c r="AU281" i="1"/>
  <c r="BA281" i="1"/>
  <c r="A281" i="1" l="1"/>
  <c r="B281" i="1"/>
  <c r="G281" i="1"/>
  <c r="M281" i="1" s="1"/>
  <c r="O281" i="1"/>
  <c r="BB281" i="1"/>
  <c r="AS282" i="1"/>
  <c r="AR282" i="1"/>
  <c r="BF282" i="1"/>
  <c r="AX282" i="1"/>
  <c r="BD282" i="1" s="1"/>
  <c r="BJ283" i="1" s="1"/>
  <c r="AZ281" i="1"/>
  <c r="AY281" i="1"/>
  <c r="F282" i="1" l="1"/>
  <c r="T282" i="1"/>
  <c r="S282" i="1" s="1"/>
  <c r="R282" i="1"/>
  <c r="D281" i="1"/>
  <c r="J281" i="1"/>
  <c r="L281" i="1"/>
  <c r="AW283" i="1"/>
  <c r="BI283" i="1"/>
  <c r="BK283" i="1"/>
  <c r="AU282" i="1"/>
  <c r="BA282" i="1"/>
  <c r="BC282" i="1"/>
  <c r="B282" i="1" l="1"/>
  <c r="A282" i="1"/>
  <c r="O282" i="1"/>
  <c r="G282" i="1"/>
  <c r="M282" i="1" s="1"/>
  <c r="K281" i="1"/>
  <c r="AA281" i="1"/>
  <c r="H281" i="1"/>
  <c r="I281" i="1"/>
  <c r="AS283" i="1"/>
  <c r="AR283" i="1"/>
  <c r="AX283" i="1"/>
  <c r="BF283" i="1"/>
  <c r="BB282" i="1"/>
  <c r="AZ282" i="1"/>
  <c r="AY282" i="1"/>
  <c r="R283" i="1" l="1"/>
  <c r="F283" i="1"/>
  <c r="T283" i="1"/>
  <c r="S283" i="1" s="1"/>
  <c r="D282" i="1"/>
  <c r="J282" i="1"/>
  <c r="L282" i="1"/>
  <c r="BC283" i="1"/>
  <c r="BA283" i="1"/>
  <c r="AU283" i="1"/>
  <c r="BD283" i="1"/>
  <c r="BJ284" i="1" s="1"/>
  <c r="G283" i="1" l="1"/>
  <c r="M283" i="1" s="1"/>
  <c r="O283" i="1"/>
  <c r="B283" i="1"/>
  <c r="A283" i="1"/>
  <c r="K282" i="1"/>
  <c r="AA282" i="1"/>
  <c r="H282" i="1"/>
  <c r="I282" i="1"/>
  <c r="BB283" i="1"/>
  <c r="BK284" i="1"/>
  <c r="AW284" i="1"/>
  <c r="BI284" i="1"/>
  <c r="AZ283" i="1"/>
  <c r="AY283" i="1"/>
  <c r="R284" i="1" l="1"/>
  <c r="F284" i="1"/>
  <c r="T284" i="1"/>
  <c r="S284" i="1" s="1"/>
  <c r="D283" i="1"/>
  <c r="L283" i="1"/>
  <c r="J283" i="1"/>
  <c r="AR284" i="1"/>
  <c r="AS284" i="1"/>
  <c r="AX284" i="1"/>
  <c r="BD284" i="1" s="1"/>
  <c r="BJ285" i="1" s="1"/>
  <c r="BF284" i="1"/>
  <c r="K283" i="1" l="1"/>
  <c r="AA283" i="1"/>
  <c r="H283" i="1"/>
  <c r="I283" i="1"/>
  <c r="O284" i="1"/>
  <c r="G284" i="1"/>
  <c r="B284" i="1"/>
  <c r="A284" i="1"/>
  <c r="BK285" i="1"/>
  <c r="AW285" i="1"/>
  <c r="BI285" i="1"/>
  <c r="AU284" i="1"/>
  <c r="BA284" i="1"/>
  <c r="BC284" i="1"/>
  <c r="L284" i="1" l="1"/>
  <c r="D284" i="1"/>
  <c r="J284" i="1"/>
  <c r="M284" i="1"/>
  <c r="AS285" i="1"/>
  <c r="AR285" i="1"/>
  <c r="BF285" i="1"/>
  <c r="AX285" i="1"/>
  <c r="BD285" i="1" s="1"/>
  <c r="BJ286" i="1" s="1"/>
  <c r="BB284" i="1"/>
  <c r="AY284" i="1"/>
  <c r="AZ284" i="1"/>
  <c r="K284" i="1" l="1"/>
  <c r="R285" i="1"/>
  <c r="T285" i="1"/>
  <c r="S285" i="1" s="1"/>
  <c r="F285" i="1"/>
  <c r="AA284" i="1"/>
  <c r="H284" i="1"/>
  <c r="I284" i="1"/>
  <c r="AW286" i="1"/>
  <c r="BI286" i="1"/>
  <c r="BK286" i="1"/>
  <c r="BC285" i="1"/>
  <c r="BA285" i="1"/>
  <c r="AU285" i="1"/>
  <c r="O285" i="1" l="1"/>
  <c r="G285" i="1"/>
  <c r="M285" i="1" s="1"/>
  <c r="A285" i="1"/>
  <c r="B285" i="1"/>
  <c r="AS286" i="1"/>
  <c r="AR286" i="1"/>
  <c r="AX286" i="1"/>
  <c r="BF286" i="1"/>
  <c r="BB285" i="1"/>
  <c r="AZ285" i="1"/>
  <c r="AY285" i="1"/>
  <c r="F286" i="1" l="1"/>
  <c r="T286" i="1"/>
  <c r="S286" i="1" s="1"/>
  <c r="R286" i="1"/>
  <c r="J285" i="1"/>
  <c r="L285" i="1"/>
  <c r="D285" i="1"/>
  <c r="BA286" i="1"/>
  <c r="AU286" i="1"/>
  <c r="BC286" i="1"/>
  <c r="BD286" i="1"/>
  <c r="BJ287" i="1" s="1"/>
  <c r="K285" i="1" l="1"/>
  <c r="A286" i="1"/>
  <c r="B286" i="1"/>
  <c r="O286" i="1"/>
  <c r="G286" i="1"/>
  <c r="M286" i="1" s="1"/>
  <c r="AA285" i="1"/>
  <c r="H285" i="1"/>
  <c r="I285" i="1"/>
  <c r="BK287" i="1"/>
  <c r="AW287" i="1"/>
  <c r="BI287" i="1"/>
  <c r="BB286" i="1"/>
  <c r="AZ286" i="1"/>
  <c r="AY286" i="1"/>
  <c r="R287" i="1" l="1"/>
  <c r="T287" i="1"/>
  <c r="S287" i="1" s="1"/>
  <c r="F287" i="1"/>
  <c r="L286" i="1"/>
  <c r="D286" i="1"/>
  <c r="J286" i="1"/>
  <c r="AR287" i="1"/>
  <c r="AS287" i="1"/>
  <c r="BF287" i="1"/>
  <c r="AX287" i="1"/>
  <c r="BD287" i="1" s="1"/>
  <c r="BJ288" i="1" s="1"/>
  <c r="K286" i="1" l="1"/>
  <c r="G287" i="1"/>
  <c r="O287" i="1"/>
  <c r="A287" i="1"/>
  <c r="B287" i="1"/>
  <c r="AA286" i="1"/>
  <c r="I286" i="1"/>
  <c r="H286" i="1"/>
  <c r="BI288" i="1"/>
  <c r="BK288" i="1"/>
  <c r="AW288" i="1"/>
  <c r="BA287" i="1"/>
  <c r="AU287" i="1"/>
  <c r="BC287" i="1"/>
  <c r="L287" i="1" l="1"/>
  <c r="D287" i="1"/>
  <c r="J287" i="1"/>
  <c r="M287" i="1"/>
  <c r="BB287" i="1"/>
  <c r="BF288" i="1"/>
  <c r="AX288" i="1"/>
  <c r="BD288" i="1" s="1"/>
  <c r="BJ289" i="1" s="1"/>
  <c r="AS288" i="1"/>
  <c r="AR288" i="1"/>
  <c r="AZ287" i="1"/>
  <c r="AY287" i="1"/>
  <c r="K287" i="1" l="1"/>
  <c r="I287" i="1"/>
  <c r="H287" i="1"/>
  <c r="AA287" i="1"/>
  <c r="R288" i="1"/>
  <c r="F288" i="1"/>
  <c r="T288" i="1"/>
  <c r="S288" i="1" s="1"/>
  <c r="AW289" i="1"/>
  <c r="BI289" i="1"/>
  <c r="BK289" i="1"/>
  <c r="BC288" i="1"/>
  <c r="BA288" i="1"/>
  <c r="AU288" i="1"/>
  <c r="O288" i="1" l="1"/>
  <c r="G288" i="1"/>
  <c r="M288" i="1" s="1"/>
  <c r="A288" i="1"/>
  <c r="B288" i="1"/>
  <c r="BB288" i="1"/>
  <c r="AR289" i="1"/>
  <c r="AS289" i="1"/>
  <c r="BF289" i="1"/>
  <c r="AX289" i="1"/>
  <c r="AZ288" i="1"/>
  <c r="AY288" i="1"/>
  <c r="F289" i="1" l="1"/>
  <c r="R289" i="1"/>
  <c r="T289" i="1"/>
  <c r="S289" i="1" s="1"/>
  <c r="D288" i="1"/>
  <c r="J288" i="1"/>
  <c r="L288" i="1"/>
  <c r="H288" i="1" s="1"/>
  <c r="BD289" i="1"/>
  <c r="BJ290" i="1" s="1"/>
  <c r="AU289" i="1"/>
  <c r="BA289" i="1"/>
  <c r="BC289" i="1"/>
  <c r="B289" i="1" l="1"/>
  <c r="A289" i="1"/>
  <c r="G289" i="1"/>
  <c r="O289" i="1"/>
  <c r="AA288" i="1"/>
  <c r="I288" i="1"/>
  <c r="K288" i="1"/>
  <c r="BB289" i="1"/>
  <c r="AW290" i="1"/>
  <c r="BK290" i="1"/>
  <c r="BI290" i="1"/>
  <c r="AY289" i="1"/>
  <c r="AZ289" i="1"/>
  <c r="M289" i="1" l="1"/>
  <c r="J289" i="1"/>
  <c r="L289" i="1"/>
  <c r="D289" i="1"/>
  <c r="AR290" i="1"/>
  <c r="AS290" i="1"/>
  <c r="AX290" i="1"/>
  <c r="BF290" i="1"/>
  <c r="T290" i="1" l="1"/>
  <c r="S290" i="1" s="1"/>
  <c r="F290" i="1"/>
  <c r="R290" i="1"/>
  <c r="K289" i="1"/>
  <c r="AA289" i="1"/>
  <c r="H289" i="1"/>
  <c r="I289" i="1"/>
  <c r="BA290" i="1"/>
  <c r="AU290" i="1"/>
  <c r="BC290" i="1"/>
  <c r="BD290" i="1"/>
  <c r="BJ291" i="1" s="1"/>
  <c r="B290" i="1" l="1"/>
  <c r="A290" i="1"/>
  <c r="O290" i="1"/>
  <c r="G290" i="1"/>
  <c r="AY290" i="1"/>
  <c r="AZ290" i="1"/>
  <c r="AW291" i="1"/>
  <c r="BI291" i="1"/>
  <c r="BK291" i="1"/>
  <c r="BB290" i="1"/>
  <c r="L290" i="1" l="1"/>
  <c r="J290" i="1"/>
  <c r="D290" i="1"/>
  <c r="M290" i="1"/>
  <c r="AR291" i="1"/>
  <c r="AS291" i="1"/>
  <c r="AX291" i="1"/>
  <c r="BD291" i="1" s="1"/>
  <c r="BJ292" i="1" s="1"/>
  <c r="BF291" i="1"/>
  <c r="K290" i="1" l="1"/>
  <c r="I290" i="1"/>
  <c r="AA290" i="1"/>
  <c r="H290" i="1"/>
  <c r="T291" i="1"/>
  <c r="S291" i="1" s="1"/>
  <c r="F291" i="1"/>
  <c r="R291" i="1"/>
  <c r="BK292" i="1"/>
  <c r="BI292" i="1"/>
  <c r="AW292" i="1"/>
  <c r="AU291" i="1"/>
  <c r="BA291" i="1"/>
  <c r="BC291" i="1"/>
  <c r="B291" i="1" l="1"/>
  <c r="A291" i="1"/>
  <c r="O291" i="1"/>
  <c r="G291" i="1"/>
  <c r="M291" i="1" s="1"/>
  <c r="BF292" i="1"/>
  <c r="AX292" i="1"/>
  <c r="AS292" i="1"/>
  <c r="AR292" i="1"/>
  <c r="BB291" i="1"/>
  <c r="AZ291" i="1"/>
  <c r="AY291" i="1"/>
  <c r="F292" i="1" l="1"/>
  <c r="R292" i="1"/>
  <c r="T292" i="1"/>
  <c r="S292" i="1" s="1"/>
  <c r="J291" i="1"/>
  <c r="L291" i="1"/>
  <c r="D291" i="1"/>
  <c r="BA292" i="1"/>
  <c r="BC292" i="1"/>
  <c r="BD292" i="1"/>
  <c r="BJ293" i="1" s="1"/>
  <c r="AU292" i="1"/>
  <c r="A292" i="1" l="1"/>
  <c r="B292" i="1"/>
  <c r="O292" i="1"/>
  <c r="G292" i="1"/>
  <c r="K291" i="1"/>
  <c r="AA291" i="1"/>
  <c r="I291" i="1"/>
  <c r="H291" i="1"/>
  <c r="AZ292" i="1"/>
  <c r="AY292" i="1"/>
  <c r="AW293" i="1"/>
  <c r="BK293" i="1"/>
  <c r="BI293" i="1"/>
  <c r="BB292" i="1"/>
  <c r="M292" i="1" l="1"/>
  <c r="J292" i="1"/>
  <c r="D292" i="1"/>
  <c r="L292" i="1"/>
  <c r="AR293" i="1"/>
  <c r="AS293" i="1"/>
  <c r="AX293" i="1"/>
  <c r="BF293" i="1"/>
  <c r="T293" i="1" l="1"/>
  <c r="S293" i="1" s="1"/>
  <c r="R293" i="1"/>
  <c r="F293" i="1"/>
  <c r="H292" i="1"/>
  <c r="AA292" i="1"/>
  <c r="I292" i="1"/>
  <c r="K292" i="1"/>
  <c r="BD293" i="1"/>
  <c r="BJ294" i="1" s="1"/>
  <c r="AU293" i="1"/>
  <c r="BC293" i="1"/>
  <c r="BA293" i="1"/>
  <c r="G293" i="1" l="1"/>
  <c r="O293" i="1"/>
  <c r="A293" i="1"/>
  <c r="B293" i="1"/>
  <c r="BB293" i="1"/>
  <c r="BI294" i="1"/>
  <c r="AW294" i="1"/>
  <c r="BK294" i="1"/>
  <c r="AZ293" i="1"/>
  <c r="AY293" i="1"/>
  <c r="M293" i="1" l="1"/>
  <c r="L293" i="1"/>
  <c r="J293" i="1"/>
  <c r="D293" i="1"/>
  <c r="BF294" i="1"/>
  <c r="AX294" i="1"/>
  <c r="AR294" i="1"/>
  <c r="AS294" i="1"/>
  <c r="K293" i="1" l="1"/>
  <c r="T294" i="1"/>
  <c r="S294" i="1" s="1"/>
  <c r="R294" i="1"/>
  <c r="F294" i="1"/>
  <c r="AA293" i="1"/>
  <c r="H293" i="1"/>
  <c r="I293" i="1"/>
  <c r="AU294" i="1"/>
  <c r="BA294" i="1"/>
  <c r="BC294" i="1"/>
  <c r="BD294" i="1"/>
  <c r="BJ295" i="1" s="1"/>
  <c r="O294" i="1" l="1"/>
  <c r="G294" i="1"/>
  <c r="B294" i="1"/>
  <c r="A294" i="1"/>
  <c r="AZ294" i="1"/>
  <c r="AY294" i="1"/>
  <c r="AW295" i="1"/>
  <c r="BK295" i="1"/>
  <c r="BI295" i="1"/>
  <c r="BB294" i="1"/>
  <c r="M294" i="1" l="1"/>
  <c r="D294" i="1"/>
  <c r="J294" i="1"/>
  <c r="L294" i="1"/>
  <c r="AS295" i="1"/>
  <c r="AR295" i="1"/>
  <c r="BF295" i="1"/>
  <c r="AX295" i="1"/>
  <c r="R295" i="1" l="1"/>
  <c r="T295" i="1"/>
  <c r="S295" i="1" s="1"/>
  <c r="F295" i="1"/>
  <c r="AA294" i="1"/>
  <c r="I294" i="1"/>
  <c r="H294" i="1"/>
  <c r="K294" i="1"/>
  <c r="AU295" i="1"/>
  <c r="BD295" i="1"/>
  <c r="BJ296" i="1" s="1"/>
  <c r="BC295" i="1"/>
  <c r="BA295" i="1"/>
  <c r="O295" i="1" l="1"/>
  <c r="G295" i="1"/>
  <c r="A295" i="1"/>
  <c r="B295" i="1"/>
  <c r="BB295" i="1"/>
  <c r="AW296" i="1"/>
  <c r="BK296" i="1"/>
  <c r="BI296" i="1"/>
  <c r="AY295" i="1"/>
  <c r="AZ295" i="1"/>
  <c r="M295" i="1" l="1"/>
  <c r="D295" i="1"/>
  <c r="J295" i="1"/>
  <c r="L295" i="1"/>
  <c r="AS296" i="1"/>
  <c r="AR296" i="1"/>
  <c r="BF296" i="1"/>
  <c r="AX296" i="1"/>
  <c r="AA295" i="1" l="1"/>
  <c r="I295" i="1"/>
  <c r="H295" i="1"/>
  <c r="R296" i="1"/>
  <c r="T296" i="1"/>
  <c r="S296" i="1" s="1"/>
  <c r="F296" i="1"/>
  <c r="K295" i="1"/>
  <c r="BD296" i="1"/>
  <c r="BJ297" i="1" s="1"/>
  <c r="BC296" i="1"/>
  <c r="BA296" i="1"/>
  <c r="AU296" i="1"/>
  <c r="G296" i="1" l="1"/>
  <c r="O296" i="1"/>
  <c r="A296" i="1"/>
  <c r="B296" i="1"/>
  <c r="BB296" i="1"/>
  <c r="BI297" i="1"/>
  <c r="AW297" i="1"/>
  <c r="BK297" i="1"/>
  <c r="AY296" i="1"/>
  <c r="AZ296" i="1"/>
  <c r="M296" i="1" l="1"/>
  <c r="L296" i="1"/>
  <c r="D296" i="1"/>
  <c r="J296" i="1"/>
  <c r="BF297" i="1"/>
  <c r="AX297" i="1"/>
  <c r="AR297" i="1"/>
  <c r="AS297" i="1"/>
  <c r="K296" i="1" l="1"/>
  <c r="AA296" i="1"/>
  <c r="I296" i="1"/>
  <c r="H296" i="1"/>
  <c r="R297" i="1"/>
  <c r="F297" i="1"/>
  <c r="T297" i="1"/>
  <c r="S297" i="1" s="1"/>
  <c r="BD297" i="1"/>
  <c r="BJ298" i="1" s="1"/>
  <c r="BC297" i="1"/>
  <c r="BA297" i="1"/>
  <c r="AU297" i="1"/>
  <c r="O297" i="1" l="1"/>
  <c r="G297" i="1"/>
  <c r="A297" i="1"/>
  <c r="B297" i="1"/>
  <c r="BB297" i="1"/>
  <c r="AW298" i="1"/>
  <c r="BK298" i="1"/>
  <c r="BI298" i="1"/>
  <c r="AY297" i="1"/>
  <c r="AZ297" i="1"/>
  <c r="M297" i="1" l="1"/>
  <c r="D297" i="1"/>
  <c r="L297" i="1"/>
  <c r="J297" i="1"/>
  <c r="K297" i="1" s="1"/>
  <c r="AS298" i="1"/>
  <c r="AR298" i="1"/>
  <c r="BF298" i="1"/>
  <c r="AX298" i="1"/>
  <c r="R298" i="1" l="1"/>
  <c r="F298" i="1"/>
  <c r="T298" i="1"/>
  <c r="S298" i="1" s="1"/>
  <c r="AA297" i="1"/>
  <c r="H297" i="1"/>
  <c r="I297" i="1"/>
  <c r="BD298" i="1"/>
  <c r="BJ299" i="1" s="1"/>
  <c r="AU298" i="1"/>
  <c r="BA298" i="1"/>
  <c r="BC298" i="1"/>
  <c r="O298" i="1" l="1"/>
  <c r="G298" i="1"/>
  <c r="A298" i="1"/>
  <c r="B298" i="1"/>
  <c r="AY298" i="1"/>
  <c r="AZ298" i="1"/>
  <c r="BB298" i="1"/>
  <c r="BI299" i="1"/>
  <c r="BK299" i="1"/>
  <c r="AW299" i="1"/>
  <c r="L298" i="1" l="1"/>
  <c r="J298" i="1"/>
  <c r="D298" i="1"/>
  <c r="M298" i="1"/>
  <c r="BF299" i="1"/>
  <c r="AX299" i="1"/>
  <c r="AR299" i="1"/>
  <c r="AS299" i="1"/>
  <c r="K298" i="1" l="1"/>
  <c r="I298" i="1"/>
  <c r="H298" i="1"/>
  <c r="AA298" i="1"/>
  <c r="T299" i="1"/>
  <c r="S299" i="1" s="1"/>
  <c r="R299" i="1"/>
  <c r="F299" i="1"/>
  <c r="BC299" i="1"/>
  <c r="AU299" i="1"/>
  <c r="BA299" i="1"/>
  <c r="BD299" i="1"/>
  <c r="BJ300" i="1" s="1"/>
  <c r="O299" i="1" l="1"/>
  <c r="G299" i="1"/>
  <c r="M299" i="1" s="1"/>
  <c r="B299" i="1"/>
  <c r="A299" i="1"/>
  <c r="BB299" i="1"/>
  <c r="AY299" i="1"/>
  <c r="AZ299" i="1"/>
  <c r="BI300" i="1"/>
  <c r="AW300" i="1"/>
  <c r="BK300" i="1"/>
  <c r="T300" i="1" l="1"/>
  <c r="S300" i="1" s="1"/>
  <c r="R300" i="1"/>
  <c r="F300" i="1"/>
  <c r="J299" i="1"/>
  <c r="L299" i="1"/>
  <c r="D299" i="1"/>
  <c r="BF300" i="1"/>
  <c r="AX300" i="1"/>
  <c r="AR300" i="1"/>
  <c r="AS300" i="1"/>
  <c r="K299" i="1" l="1"/>
  <c r="O300" i="1"/>
  <c r="G300" i="1"/>
  <c r="A300" i="1"/>
  <c r="B300" i="1"/>
  <c r="AA299" i="1"/>
  <c r="I299" i="1"/>
  <c r="H299" i="1"/>
  <c r="AU300" i="1"/>
  <c r="BA300" i="1"/>
  <c r="BC300" i="1"/>
  <c r="BD300" i="1"/>
  <c r="BJ301" i="1" s="1"/>
  <c r="D300" i="1" l="1"/>
  <c r="L300" i="1"/>
  <c r="M300" i="1"/>
  <c r="J300" i="1"/>
  <c r="BB300" i="1"/>
  <c r="AZ300" i="1"/>
  <c r="AY300" i="1"/>
  <c r="AW301" i="1"/>
  <c r="BK301" i="1"/>
  <c r="BI301" i="1"/>
  <c r="K300" i="1" l="1"/>
  <c r="H300" i="1"/>
  <c r="AA300" i="1"/>
  <c r="I300" i="1"/>
  <c r="F301" i="1"/>
  <c r="R301" i="1"/>
  <c r="T301" i="1"/>
  <c r="S301" i="1" s="1"/>
  <c r="AS301" i="1"/>
  <c r="AR301" i="1"/>
  <c r="BF301" i="1"/>
  <c r="AX301" i="1"/>
  <c r="A301" i="1" l="1"/>
  <c r="B301" i="1"/>
  <c r="O301" i="1"/>
  <c r="G301" i="1"/>
  <c r="BA301" i="1"/>
  <c r="BC301" i="1"/>
  <c r="AU301" i="1"/>
  <c r="BD301" i="1"/>
  <c r="BJ302" i="1" s="1"/>
  <c r="M301" i="1" l="1"/>
  <c r="L301" i="1"/>
  <c r="J301" i="1"/>
  <c r="D301" i="1"/>
  <c r="AW302" i="1"/>
  <c r="BK302" i="1"/>
  <c r="BI302" i="1"/>
  <c r="BB301" i="1"/>
  <c r="AY301" i="1"/>
  <c r="AZ301" i="1"/>
  <c r="K301" i="1" l="1"/>
  <c r="T302" i="1"/>
  <c r="S302" i="1" s="1"/>
  <c r="R302" i="1"/>
  <c r="F302" i="1"/>
  <c r="H301" i="1"/>
  <c r="AA301" i="1"/>
  <c r="I301" i="1"/>
  <c r="AS302" i="1"/>
  <c r="AR302" i="1"/>
  <c r="BF302" i="1"/>
  <c r="AX302" i="1"/>
  <c r="BD302" i="1" s="1"/>
  <c r="BJ303" i="1" s="1"/>
  <c r="G302" i="1" l="1"/>
  <c r="O302" i="1"/>
  <c r="A302" i="1"/>
  <c r="B302" i="1"/>
  <c r="BK303" i="1"/>
  <c r="BI303" i="1"/>
  <c r="AW303" i="1"/>
  <c r="BA302" i="1"/>
  <c r="BC302" i="1"/>
  <c r="AU302" i="1"/>
  <c r="M302" i="1" l="1"/>
  <c r="J302" i="1"/>
  <c r="D302" i="1"/>
  <c r="K13" i="6" s="1"/>
  <c r="L302" i="1"/>
  <c r="AX303" i="1"/>
  <c r="BD303" i="1" s="1"/>
  <c r="BJ304" i="1" s="1"/>
  <c r="BF303" i="1"/>
  <c r="AS303" i="1"/>
  <c r="AR303" i="1"/>
  <c r="BB302" i="1"/>
  <c r="AY302" i="1"/>
  <c r="AZ302" i="1"/>
  <c r="R303" i="1" l="1"/>
  <c r="T303" i="1"/>
  <c r="S303" i="1" s="1"/>
  <c r="F303" i="1"/>
  <c r="I302" i="1"/>
  <c r="H302" i="1"/>
  <c r="AA302" i="1"/>
  <c r="K302" i="1"/>
  <c r="AW304" i="1"/>
  <c r="BK304" i="1"/>
  <c r="BI304" i="1"/>
  <c r="AU303" i="1"/>
  <c r="BA303" i="1"/>
  <c r="BC303" i="1"/>
  <c r="G303" i="1" l="1"/>
  <c r="O303" i="1"/>
  <c r="B303" i="1"/>
  <c r="A303" i="1"/>
  <c r="AS304" i="1"/>
  <c r="AR304" i="1"/>
  <c r="BF304" i="1"/>
  <c r="AX304" i="1"/>
  <c r="BB303" i="1"/>
  <c r="AY303" i="1"/>
  <c r="AZ303" i="1"/>
  <c r="L303" i="1" l="1"/>
  <c r="D303" i="1"/>
  <c r="J303" i="1"/>
  <c r="M303" i="1"/>
  <c r="AU304" i="1"/>
  <c r="BC304" i="1"/>
  <c r="BA304" i="1"/>
  <c r="BD304" i="1"/>
  <c r="BJ305" i="1" s="1"/>
  <c r="I303" i="1" l="1"/>
  <c r="AA303" i="1"/>
  <c r="H303" i="1"/>
  <c r="F304" i="1"/>
  <c r="R304" i="1"/>
  <c r="T304" i="1"/>
  <c r="S304" i="1" s="1"/>
  <c r="K303" i="1"/>
  <c r="BK305" i="1"/>
  <c r="AW305" i="1"/>
  <c r="BI305" i="1"/>
  <c r="BB304" i="1"/>
  <c r="AZ304" i="1"/>
  <c r="AY304" i="1"/>
  <c r="A304" i="1" l="1"/>
  <c r="B304" i="1"/>
  <c r="O304" i="1"/>
  <c r="G304" i="1"/>
  <c r="AR305" i="1"/>
  <c r="AS305" i="1"/>
  <c r="BF305" i="1"/>
  <c r="AX305" i="1"/>
  <c r="BD305" i="1" s="1"/>
  <c r="BJ306" i="1" s="1"/>
  <c r="M304" i="1" l="1"/>
  <c r="L304" i="1"/>
  <c r="D304" i="1"/>
  <c r="J304" i="1"/>
  <c r="AW306" i="1"/>
  <c r="BI306" i="1"/>
  <c r="BK306" i="1"/>
  <c r="AU305" i="1"/>
  <c r="BC305" i="1"/>
  <c r="BA305" i="1"/>
  <c r="K304" i="1" l="1"/>
  <c r="F305" i="1"/>
  <c r="T305" i="1"/>
  <c r="S305" i="1" s="1"/>
  <c r="R305" i="1"/>
  <c r="AA304" i="1"/>
  <c r="I304" i="1"/>
  <c r="H304" i="1"/>
  <c r="BB305" i="1"/>
  <c r="AS306" i="1"/>
  <c r="AR306" i="1"/>
  <c r="AX306" i="1"/>
  <c r="BD306" i="1" s="1"/>
  <c r="BJ307" i="1" s="1"/>
  <c r="BF306" i="1"/>
  <c r="AY305" i="1"/>
  <c r="AZ305" i="1"/>
  <c r="A305" i="1" l="1"/>
  <c r="B305" i="1"/>
  <c r="O305" i="1"/>
  <c r="G305" i="1"/>
  <c r="BK307" i="1"/>
  <c r="BI307" i="1"/>
  <c r="AW307" i="1"/>
  <c r="BA306" i="1"/>
  <c r="AU306" i="1"/>
  <c r="BC306" i="1"/>
  <c r="M305" i="1" l="1"/>
  <c r="J305" i="1"/>
  <c r="L305" i="1"/>
  <c r="D305" i="1"/>
  <c r="AX307" i="1"/>
  <c r="BF307" i="1"/>
  <c r="AR307" i="1"/>
  <c r="AS307" i="1"/>
  <c r="BB306" i="1"/>
  <c r="AY306" i="1"/>
  <c r="AZ306" i="1"/>
  <c r="AA305" i="1" l="1"/>
  <c r="I305" i="1"/>
  <c r="H305" i="1"/>
  <c r="T306" i="1"/>
  <c r="S306" i="1" s="1"/>
  <c r="F306" i="1"/>
  <c r="R306" i="1"/>
  <c r="K305" i="1"/>
  <c r="BD307" i="1"/>
  <c r="BJ308" i="1" s="1"/>
  <c r="BA307" i="1"/>
  <c r="AU307" i="1"/>
  <c r="BC307" i="1"/>
  <c r="B306" i="1" l="1"/>
  <c r="A306" i="1"/>
  <c r="O306" i="1"/>
  <c r="G306" i="1"/>
  <c r="AZ307" i="1"/>
  <c r="AY307" i="1"/>
  <c r="BB307" i="1"/>
  <c r="BI308" i="1"/>
  <c r="BK308" i="1"/>
  <c r="AW308" i="1"/>
  <c r="M306" i="1" l="1"/>
  <c r="J306" i="1"/>
  <c r="D306" i="1"/>
  <c r="L306" i="1"/>
  <c r="BF308" i="1"/>
  <c r="AX308" i="1"/>
  <c r="AS308" i="1"/>
  <c r="AR308" i="1"/>
  <c r="R307" i="1" l="1"/>
  <c r="T307" i="1"/>
  <c r="S307" i="1" s="1"/>
  <c r="F307" i="1"/>
  <c r="I306" i="1"/>
  <c r="AA306" i="1"/>
  <c r="H306" i="1"/>
  <c r="K306" i="1"/>
  <c r="BD308" i="1"/>
  <c r="BJ309" i="1" s="1"/>
  <c r="AU308" i="1"/>
  <c r="BC308" i="1"/>
  <c r="BA308" i="1"/>
  <c r="O307" i="1" l="1"/>
  <c r="G307" i="1"/>
  <c r="A307" i="1"/>
  <c r="B307" i="1"/>
  <c r="BB308" i="1"/>
  <c r="BK309" i="1"/>
  <c r="AW309" i="1"/>
  <c r="BI309" i="1"/>
  <c r="AY308" i="1"/>
  <c r="AZ308" i="1"/>
  <c r="J307" i="1" l="1"/>
  <c r="D307" i="1"/>
  <c r="L307" i="1"/>
  <c r="M307" i="1"/>
  <c r="AR309" i="1"/>
  <c r="AS309" i="1"/>
  <c r="BF309" i="1"/>
  <c r="AX309" i="1"/>
  <c r="AA307" i="1" l="1"/>
  <c r="I307" i="1"/>
  <c r="H307" i="1"/>
  <c r="T308" i="1"/>
  <c r="S308" i="1" s="1"/>
  <c r="F308" i="1"/>
  <c r="R308" i="1"/>
  <c r="K307" i="1"/>
  <c r="BD309" i="1"/>
  <c r="BJ310" i="1" s="1"/>
  <c r="AU309" i="1"/>
  <c r="BC309" i="1"/>
  <c r="BA309" i="1"/>
  <c r="A308" i="1" l="1"/>
  <c r="B308" i="1"/>
  <c r="O308" i="1"/>
  <c r="G308" i="1"/>
  <c r="M308" i="1" s="1"/>
  <c r="BB309" i="1"/>
  <c r="BI310" i="1"/>
  <c r="AW310" i="1"/>
  <c r="BK310" i="1"/>
  <c r="AZ309" i="1"/>
  <c r="AY309" i="1"/>
  <c r="R309" i="1" l="1"/>
  <c r="T309" i="1"/>
  <c r="S309" i="1" s="1"/>
  <c r="F309" i="1"/>
  <c r="L308" i="1"/>
  <c r="D308" i="1"/>
  <c r="J308" i="1"/>
  <c r="AX310" i="1"/>
  <c r="BF310" i="1"/>
  <c r="AS310" i="1"/>
  <c r="AR310" i="1"/>
  <c r="K308" i="1" l="1"/>
  <c r="O309" i="1"/>
  <c r="G309" i="1"/>
  <c r="A309" i="1"/>
  <c r="B309" i="1"/>
  <c r="AA308" i="1"/>
  <c r="I308" i="1"/>
  <c r="H308" i="1"/>
  <c r="BC310" i="1"/>
  <c r="AU310" i="1"/>
  <c r="BD310" i="1"/>
  <c r="BJ311" i="1" s="1"/>
  <c r="BA310" i="1"/>
  <c r="J309" i="1" l="1"/>
  <c r="D309" i="1"/>
  <c r="L309" i="1"/>
  <c r="M309" i="1"/>
  <c r="BB310" i="1"/>
  <c r="AY310" i="1"/>
  <c r="AZ310" i="1"/>
  <c r="AW311" i="1"/>
  <c r="BI311" i="1"/>
  <c r="BK311" i="1"/>
  <c r="AA309" i="1" l="1"/>
  <c r="I309" i="1"/>
  <c r="H309" i="1"/>
  <c r="R310" i="1"/>
  <c r="T310" i="1"/>
  <c r="S310" i="1" s="1"/>
  <c r="F310" i="1"/>
  <c r="K309" i="1"/>
  <c r="AS311" i="1"/>
  <c r="AR311" i="1"/>
  <c r="BF311" i="1"/>
  <c r="AX311" i="1"/>
  <c r="G310" i="1" l="1"/>
  <c r="O310" i="1"/>
  <c r="A310" i="1"/>
  <c r="B310" i="1"/>
  <c r="AU311" i="1"/>
  <c r="BD311" i="1"/>
  <c r="BJ312" i="1" s="1"/>
  <c r="BA311" i="1"/>
  <c r="BC311" i="1"/>
  <c r="D310" i="1" l="1"/>
  <c r="J310" i="1"/>
  <c r="L310" i="1"/>
  <c r="M310" i="1"/>
  <c r="BI312" i="1"/>
  <c r="BK312" i="1"/>
  <c r="AW312" i="1"/>
  <c r="AY311" i="1"/>
  <c r="AZ311" i="1"/>
  <c r="BB311" i="1"/>
  <c r="R311" i="1" l="1"/>
  <c r="T311" i="1"/>
  <c r="S311" i="1" s="1"/>
  <c r="F311" i="1"/>
  <c r="K310" i="1"/>
  <c r="AA310" i="1"/>
  <c r="H310" i="1"/>
  <c r="I310" i="1"/>
  <c r="AX312" i="1"/>
  <c r="BF312" i="1"/>
  <c r="AR312" i="1"/>
  <c r="AS312" i="1"/>
  <c r="G311" i="1" l="1"/>
  <c r="O311" i="1"/>
  <c r="B311" i="1"/>
  <c r="A311" i="1"/>
  <c r="BA312" i="1"/>
  <c r="BC312" i="1"/>
  <c r="BD312" i="1"/>
  <c r="BJ313" i="1" s="1"/>
  <c r="AU312" i="1"/>
  <c r="J311" i="1" l="1"/>
  <c r="L311" i="1"/>
  <c r="D311" i="1"/>
  <c r="M311" i="1"/>
  <c r="AY312" i="1"/>
  <c r="AZ312" i="1"/>
  <c r="BI313" i="1"/>
  <c r="AW313" i="1"/>
  <c r="BK313" i="1"/>
  <c r="BB312" i="1"/>
  <c r="F312" i="1" l="1"/>
  <c r="T312" i="1"/>
  <c r="S312" i="1" s="1"/>
  <c r="R312" i="1"/>
  <c r="K311" i="1"/>
  <c r="AA311" i="1"/>
  <c r="I311" i="1"/>
  <c r="H311" i="1"/>
  <c r="AX313" i="1"/>
  <c r="BF313" i="1"/>
  <c r="AR313" i="1"/>
  <c r="AS313" i="1"/>
  <c r="B312" i="1" l="1"/>
  <c r="A312" i="1"/>
  <c r="G312" i="1"/>
  <c r="M312" i="1" s="1"/>
  <c r="O312" i="1"/>
  <c r="BC313" i="1"/>
  <c r="BA313" i="1"/>
  <c r="AU313" i="1"/>
  <c r="BD313" i="1"/>
  <c r="BJ314" i="1" s="1"/>
  <c r="T313" i="1" l="1"/>
  <c r="S313" i="1" s="1"/>
  <c r="R313" i="1"/>
  <c r="F313" i="1"/>
  <c r="D312" i="1"/>
  <c r="J312" i="1"/>
  <c r="L312" i="1"/>
  <c r="BB313" i="1"/>
  <c r="AZ313" i="1"/>
  <c r="AY313" i="1"/>
  <c r="AW314" i="1"/>
  <c r="BI314" i="1"/>
  <c r="BK314" i="1"/>
  <c r="AA312" i="1" l="1"/>
  <c r="H312" i="1"/>
  <c r="I312" i="1"/>
  <c r="O313" i="1"/>
  <c r="G313" i="1"/>
  <c r="M313" i="1" s="1"/>
  <c r="B313" i="1"/>
  <c r="A313" i="1"/>
  <c r="K312" i="1"/>
  <c r="AS314" i="1"/>
  <c r="AR314" i="1"/>
  <c r="BF314" i="1"/>
  <c r="AX314" i="1"/>
  <c r="BD314" i="1" s="1"/>
  <c r="BJ315" i="1" s="1"/>
  <c r="R314" i="1" l="1"/>
  <c r="F314" i="1"/>
  <c r="T314" i="1"/>
  <c r="S314" i="1" s="1"/>
  <c r="J313" i="1"/>
  <c r="L313" i="1"/>
  <c r="D313" i="1"/>
  <c r="BK315" i="1"/>
  <c r="AW315" i="1"/>
  <c r="BI315" i="1"/>
  <c r="BA314" i="1"/>
  <c r="BC314" i="1"/>
  <c r="AU314" i="1"/>
  <c r="AA313" i="1" l="1"/>
  <c r="I313" i="1"/>
  <c r="H313" i="1"/>
  <c r="G314" i="1"/>
  <c r="M314" i="1" s="1"/>
  <c r="O314" i="1"/>
  <c r="B314" i="1"/>
  <c r="A314" i="1"/>
  <c r="K313" i="1"/>
  <c r="AR315" i="1"/>
  <c r="AS315" i="1"/>
  <c r="BF315" i="1"/>
  <c r="AX315" i="1"/>
  <c r="BB314" i="1"/>
  <c r="AZ314" i="1"/>
  <c r="AY314" i="1"/>
  <c r="F315" i="1" l="1"/>
  <c r="T315" i="1"/>
  <c r="S315" i="1" s="1"/>
  <c r="R315" i="1"/>
  <c r="D314" i="1"/>
  <c r="L314" i="1"/>
  <c r="J314" i="1"/>
  <c r="AU315" i="1"/>
  <c r="BC315" i="1"/>
  <c r="BA315" i="1"/>
  <c r="BD315" i="1"/>
  <c r="BJ316" i="1" s="1"/>
  <c r="K314" i="1" l="1"/>
  <c r="AA314" i="1"/>
  <c r="I314" i="1"/>
  <c r="H314" i="1"/>
  <c r="B315" i="1"/>
  <c r="A315" i="1"/>
  <c r="O315" i="1"/>
  <c r="G315" i="1"/>
  <c r="BB315" i="1"/>
  <c r="AZ315" i="1"/>
  <c r="AY315" i="1"/>
  <c r="BI316" i="1"/>
  <c r="AW316" i="1"/>
  <c r="BK316" i="1"/>
  <c r="M315" i="1" l="1"/>
  <c r="J315" i="1"/>
  <c r="D315" i="1"/>
  <c r="L315" i="1"/>
  <c r="AX316" i="1"/>
  <c r="BF316" i="1"/>
  <c r="AS316" i="1"/>
  <c r="AR316" i="1"/>
  <c r="T316" i="1" l="1"/>
  <c r="S316" i="1" s="1"/>
  <c r="R316" i="1"/>
  <c r="F316" i="1"/>
  <c r="AA315" i="1"/>
  <c r="H315" i="1"/>
  <c r="I315" i="1"/>
  <c r="K315" i="1"/>
  <c r="BC316" i="1"/>
  <c r="AU316" i="1"/>
  <c r="BA316" i="1"/>
  <c r="BD316" i="1"/>
  <c r="BJ317" i="1" s="1"/>
  <c r="O316" i="1" l="1"/>
  <c r="G316" i="1"/>
  <c r="B316" i="1"/>
  <c r="A316" i="1"/>
  <c r="BB316" i="1"/>
  <c r="BI317" i="1"/>
  <c r="AW317" i="1"/>
  <c r="BK317" i="1"/>
  <c r="AZ316" i="1"/>
  <c r="AY316" i="1"/>
  <c r="L316" i="1" l="1"/>
  <c r="J316" i="1"/>
  <c r="D316" i="1"/>
  <c r="M316" i="1"/>
  <c r="AX317" i="1"/>
  <c r="BD317" i="1" s="1"/>
  <c r="BJ318" i="1" s="1"/>
  <c r="BF317" i="1"/>
  <c r="AS317" i="1"/>
  <c r="AR317" i="1"/>
  <c r="K316" i="1" l="1"/>
  <c r="I316" i="1"/>
  <c r="H316" i="1"/>
  <c r="AA316" i="1"/>
  <c r="F317" i="1"/>
  <c r="R317" i="1"/>
  <c r="T317" i="1"/>
  <c r="S317" i="1" s="1"/>
  <c r="AW318" i="1"/>
  <c r="BI318" i="1"/>
  <c r="BK318" i="1"/>
  <c r="AU317" i="1"/>
  <c r="BC317" i="1"/>
  <c r="BA317" i="1"/>
  <c r="B317" i="1" l="1"/>
  <c r="A317" i="1"/>
  <c r="O317" i="1"/>
  <c r="G317" i="1"/>
  <c r="AS318" i="1"/>
  <c r="AR318" i="1"/>
  <c r="AX318" i="1"/>
  <c r="BD318" i="1" s="1"/>
  <c r="BJ319" i="1" s="1"/>
  <c r="BF318" i="1"/>
  <c r="BB317" i="1"/>
  <c r="AZ317" i="1"/>
  <c r="AY317" i="1"/>
  <c r="J317" i="1" l="1"/>
  <c r="M317" i="1"/>
  <c r="L317" i="1"/>
  <c r="D317" i="1"/>
  <c r="BK319" i="1"/>
  <c r="BI319" i="1"/>
  <c r="AW319" i="1"/>
  <c r="BA318" i="1"/>
  <c r="BC318" i="1"/>
  <c r="AU318" i="1"/>
  <c r="F318" i="1" l="1"/>
  <c r="R318" i="1"/>
  <c r="T318" i="1"/>
  <c r="S318" i="1" s="1"/>
  <c r="K317" i="1"/>
  <c r="AA317" i="1"/>
  <c r="H317" i="1"/>
  <c r="I317" i="1"/>
  <c r="AX319" i="1"/>
  <c r="BF319" i="1"/>
  <c r="AS319" i="1"/>
  <c r="AR319" i="1"/>
  <c r="BB318" i="1"/>
  <c r="AY318" i="1"/>
  <c r="AZ318" i="1"/>
  <c r="A318" i="1" l="1"/>
  <c r="B318" i="1"/>
  <c r="O318" i="1"/>
  <c r="G318" i="1"/>
  <c r="BA319" i="1"/>
  <c r="AU319" i="1"/>
  <c r="BC319" i="1"/>
  <c r="BD319" i="1"/>
  <c r="BJ320" i="1" s="1"/>
  <c r="M318" i="1" l="1"/>
  <c r="L318" i="1"/>
  <c r="D318" i="1"/>
  <c r="J318" i="1"/>
  <c r="AZ319" i="1"/>
  <c r="AY319" i="1"/>
  <c r="BI320" i="1"/>
  <c r="BK320" i="1"/>
  <c r="AW320" i="1"/>
  <c r="BB319" i="1"/>
  <c r="K318" i="1" l="1"/>
  <c r="T319" i="1"/>
  <c r="S319" i="1" s="1"/>
  <c r="F319" i="1"/>
  <c r="R319" i="1"/>
  <c r="I318" i="1"/>
  <c r="H318" i="1"/>
  <c r="AA318" i="1"/>
  <c r="AX320" i="1"/>
  <c r="BF320" i="1"/>
  <c r="AR320" i="1"/>
  <c r="AS320" i="1"/>
  <c r="B319" i="1" l="1"/>
  <c r="A319" i="1"/>
  <c r="G319" i="1"/>
  <c r="O319" i="1"/>
  <c r="BA320" i="1"/>
  <c r="AU320" i="1"/>
  <c r="BC320" i="1"/>
  <c r="BD320" i="1"/>
  <c r="BJ321" i="1" s="1"/>
  <c r="L319" i="1" l="1"/>
  <c r="J319" i="1"/>
  <c r="K319" i="1" s="1"/>
  <c r="D319" i="1"/>
  <c r="M319" i="1"/>
  <c r="BI321" i="1"/>
  <c r="BK321" i="1"/>
  <c r="AW321" i="1"/>
  <c r="BB320" i="1"/>
  <c r="AZ320" i="1"/>
  <c r="AY320" i="1"/>
  <c r="AA319" i="1" l="1"/>
  <c r="H319" i="1"/>
  <c r="I319" i="1"/>
  <c r="F320" i="1"/>
  <c r="R320" i="1"/>
  <c r="T320" i="1"/>
  <c r="S320" i="1" s="1"/>
  <c r="BF321" i="1"/>
  <c r="AX321" i="1"/>
  <c r="AS321" i="1"/>
  <c r="AR321" i="1"/>
  <c r="A320" i="1" l="1"/>
  <c r="B320" i="1"/>
  <c r="O320" i="1"/>
  <c r="G320" i="1"/>
  <c r="BA321" i="1"/>
  <c r="BC321" i="1"/>
  <c r="AU321" i="1"/>
  <c r="BD321" i="1"/>
  <c r="BJ322" i="1" s="1"/>
  <c r="J320" i="1" l="1"/>
  <c r="D320" i="1"/>
  <c r="L320" i="1"/>
  <c r="M320" i="1"/>
  <c r="AW322" i="1"/>
  <c r="BK322" i="1"/>
  <c r="BI322" i="1"/>
  <c r="BB321" i="1"/>
  <c r="AZ321" i="1"/>
  <c r="AY321" i="1"/>
  <c r="F321" i="1" l="1"/>
  <c r="R321" i="1"/>
  <c r="T321" i="1"/>
  <c r="S321" i="1" s="1"/>
  <c r="K320" i="1"/>
  <c r="AA320" i="1"/>
  <c r="I320" i="1"/>
  <c r="H320" i="1"/>
  <c r="AS322" i="1"/>
  <c r="AR322" i="1"/>
  <c r="AX322" i="1"/>
  <c r="BF322" i="1"/>
  <c r="A321" i="1" l="1"/>
  <c r="B321" i="1"/>
  <c r="G321" i="1"/>
  <c r="M321" i="1" s="1"/>
  <c r="O321" i="1"/>
  <c r="AU322" i="1"/>
  <c r="BC322" i="1"/>
  <c r="BA322" i="1"/>
  <c r="BD322" i="1"/>
  <c r="BJ323" i="1" s="1"/>
  <c r="T322" i="1" l="1"/>
  <c r="S322" i="1" s="1"/>
  <c r="R322" i="1"/>
  <c r="F322" i="1"/>
  <c r="L321" i="1"/>
  <c r="D321" i="1"/>
  <c r="J321" i="1"/>
  <c r="BK323" i="1"/>
  <c r="AW323" i="1"/>
  <c r="BI323" i="1"/>
  <c r="BB322" i="1"/>
  <c r="AZ322" i="1"/>
  <c r="AY322" i="1"/>
  <c r="K321" i="1" l="1"/>
  <c r="O322" i="1"/>
  <c r="G322" i="1"/>
  <c r="M322" i="1" s="1"/>
  <c r="A322" i="1"/>
  <c r="B322" i="1"/>
  <c r="AA321" i="1"/>
  <c r="H321" i="1"/>
  <c r="I321" i="1"/>
  <c r="AS323" i="1"/>
  <c r="AR323" i="1"/>
  <c r="BF323" i="1"/>
  <c r="AX323" i="1"/>
  <c r="F323" i="1" l="1"/>
  <c r="T323" i="1"/>
  <c r="S323" i="1" s="1"/>
  <c r="R323" i="1"/>
  <c r="D322" i="1"/>
  <c r="L322" i="1"/>
  <c r="J322" i="1"/>
  <c r="BC323" i="1"/>
  <c r="AU323" i="1"/>
  <c r="BA323" i="1"/>
  <c r="BD323" i="1"/>
  <c r="BJ324" i="1" s="1"/>
  <c r="K322" i="1" l="1"/>
  <c r="B323" i="1"/>
  <c r="A323" i="1"/>
  <c r="G323" i="1"/>
  <c r="O323" i="1"/>
  <c r="AA322" i="1"/>
  <c r="I322" i="1"/>
  <c r="H322" i="1"/>
  <c r="BB323" i="1"/>
  <c r="BI324" i="1"/>
  <c r="BK324" i="1"/>
  <c r="AW324" i="1"/>
  <c r="AZ323" i="1"/>
  <c r="AY323" i="1"/>
  <c r="M323" i="1" l="1"/>
  <c r="L323" i="1"/>
  <c r="J323" i="1"/>
  <c r="D323" i="1"/>
  <c r="BF324" i="1"/>
  <c r="AX324" i="1"/>
  <c r="AR324" i="1"/>
  <c r="AS324" i="1"/>
  <c r="R324" i="1" l="1"/>
  <c r="F324" i="1"/>
  <c r="T324" i="1"/>
  <c r="S324" i="1" s="1"/>
  <c r="H323" i="1"/>
  <c r="AA323" i="1"/>
  <c r="I323" i="1"/>
  <c r="K323" i="1"/>
  <c r="BA324" i="1"/>
  <c r="BC324" i="1"/>
  <c r="AU324" i="1"/>
  <c r="BD324" i="1"/>
  <c r="BJ325" i="1" s="1"/>
  <c r="G324" i="1" l="1"/>
  <c r="O324" i="1"/>
  <c r="B324" i="1"/>
  <c r="A324" i="1"/>
  <c r="BI325" i="1"/>
  <c r="AW325" i="1"/>
  <c r="BK325" i="1"/>
  <c r="BB324" i="1"/>
  <c r="AZ324" i="1"/>
  <c r="AY324" i="1"/>
  <c r="M324" i="1" l="1"/>
  <c r="J324" i="1"/>
  <c r="L324" i="1"/>
  <c r="D324" i="1"/>
  <c r="BF325" i="1"/>
  <c r="AX325" i="1"/>
  <c r="BD325" i="1" s="1"/>
  <c r="BJ326" i="1" s="1"/>
  <c r="AS325" i="1"/>
  <c r="AR325" i="1"/>
  <c r="T325" i="1" l="1"/>
  <c r="S325" i="1" s="1"/>
  <c r="F325" i="1"/>
  <c r="R325" i="1"/>
  <c r="AA324" i="1"/>
  <c r="H324" i="1"/>
  <c r="I324" i="1"/>
  <c r="K324" i="1"/>
  <c r="BK326" i="1"/>
  <c r="AW326" i="1"/>
  <c r="BI326" i="1"/>
  <c r="BC325" i="1"/>
  <c r="AU325" i="1"/>
  <c r="BA325" i="1"/>
  <c r="A325" i="1" l="1"/>
  <c r="B325" i="1"/>
  <c r="O325" i="1"/>
  <c r="G325" i="1"/>
  <c r="AS326" i="1"/>
  <c r="AR326" i="1"/>
  <c r="AX326" i="1"/>
  <c r="BF326" i="1"/>
  <c r="BB325" i="1"/>
  <c r="AY325" i="1"/>
  <c r="AZ325" i="1"/>
  <c r="L325" i="1" l="1"/>
  <c r="J325" i="1"/>
  <c r="D325" i="1"/>
  <c r="M325" i="1"/>
  <c r="BA326" i="1"/>
  <c r="BC326" i="1"/>
  <c r="AU326" i="1"/>
  <c r="BD326" i="1"/>
  <c r="BJ327" i="1" s="1"/>
  <c r="K325" i="1" l="1"/>
  <c r="H325" i="1"/>
  <c r="I325" i="1"/>
  <c r="AA325" i="1"/>
  <c r="T326" i="1"/>
  <c r="S326" i="1" s="1"/>
  <c r="F326" i="1"/>
  <c r="R326" i="1"/>
  <c r="BK327" i="1"/>
  <c r="BI327" i="1"/>
  <c r="AW327" i="1"/>
  <c r="BB326" i="1"/>
  <c r="AZ326" i="1"/>
  <c r="AY326" i="1"/>
  <c r="A326" i="1" l="1"/>
  <c r="B326" i="1"/>
  <c r="O326" i="1"/>
  <c r="G326" i="1"/>
  <c r="M326" i="1" s="1"/>
  <c r="AX327" i="1"/>
  <c r="BD327" i="1" s="1"/>
  <c r="BJ328" i="1" s="1"/>
  <c r="BF327" i="1"/>
  <c r="AS327" i="1"/>
  <c r="AR327" i="1"/>
  <c r="R327" i="1" l="1"/>
  <c r="F327" i="1"/>
  <c r="T327" i="1"/>
  <c r="S327" i="1" s="1"/>
  <c r="L326" i="1"/>
  <c r="D326" i="1"/>
  <c r="J326" i="1"/>
  <c r="BK328" i="1"/>
  <c r="AW328" i="1"/>
  <c r="BI328" i="1"/>
  <c r="AU327" i="1"/>
  <c r="BA327" i="1"/>
  <c r="BC327" i="1"/>
  <c r="K326" i="1" l="1"/>
  <c r="G327" i="1"/>
  <c r="O327" i="1"/>
  <c r="B327" i="1"/>
  <c r="A327" i="1"/>
  <c r="AA326" i="1"/>
  <c r="I326" i="1"/>
  <c r="H326" i="1"/>
  <c r="AS328" i="1"/>
  <c r="AR328" i="1"/>
  <c r="AX328" i="1"/>
  <c r="BD328" i="1" s="1"/>
  <c r="BJ329" i="1" s="1"/>
  <c r="BF328" i="1"/>
  <c r="BB327" i="1"/>
  <c r="AZ327" i="1"/>
  <c r="AY327" i="1"/>
  <c r="M327" i="1" l="1"/>
  <c r="J327" i="1"/>
  <c r="D327" i="1"/>
  <c r="L327" i="1"/>
  <c r="H327" i="1" s="1"/>
  <c r="AW329" i="1"/>
  <c r="BK329" i="1"/>
  <c r="BI329" i="1"/>
  <c r="BC328" i="1"/>
  <c r="AU328" i="1"/>
  <c r="BA328" i="1"/>
  <c r="AA327" i="1" l="1"/>
  <c r="I327" i="1"/>
  <c r="K327" i="1"/>
  <c r="T328" i="1"/>
  <c r="S328" i="1" s="1"/>
  <c r="F328" i="1"/>
  <c r="R328" i="1"/>
  <c r="BB328" i="1"/>
  <c r="AZ328" i="1"/>
  <c r="AY328" i="1"/>
  <c r="AR329" i="1"/>
  <c r="AS329" i="1"/>
  <c r="AX329" i="1"/>
  <c r="BD329" i="1" s="1"/>
  <c r="BJ330" i="1" s="1"/>
  <c r="BF329" i="1"/>
  <c r="B328" i="1" l="1"/>
  <c r="A328" i="1"/>
  <c r="G328" i="1"/>
  <c r="O328" i="1"/>
  <c r="BK330" i="1"/>
  <c r="AW330" i="1"/>
  <c r="BI330" i="1"/>
  <c r="BC329" i="1"/>
  <c r="BA329" i="1"/>
  <c r="AU329" i="1"/>
  <c r="J328" i="1" l="1"/>
  <c r="D328" i="1"/>
  <c r="L328" i="1"/>
  <c r="M328" i="1"/>
  <c r="I328" i="1"/>
  <c r="BB329" i="1"/>
  <c r="AS330" i="1"/>
  <c r="AR330" i="1"/>
  <c r="BF330" i="1"/>
  <c r="AX330" i="1"/>
  <c r="AZ329" i="1"/>
  <c r="AY329" i="1"/>
  <c r="AA328" i="1" l="1"/>
  <c r="H328" i="1"/>
  <c r="T329" i="1"/>
  <c r="S329" i="1" s="1"/>
  <c r="F329" i="1"/>
  <c r="R329" i="1"/>
  <c r="K328" i="1"/>
  <c r="AU330" i="1"/>
  <c r="BA330" i="1"/>
  <c r="BC330" i="1"/>
  <c r="BD330" i="1"/>
  <c r="BJ331" i="1" s="1"/>
  <c r="B329" i="1" l="1"/>
  <c r="A329" i="1"/>
  <c r="G329" i="1"/>
  <c r="O329" i="1"/>
  <c r="AW331" i="1"/>
  <c r="BI331" i="1"/>
  <c r="BK331" i="1"/>
  <c r="BB330" i="1"/>
  <c r="AY330" i="1"/>
  <c r="AZ330" i="1"/>
  <c r="J329" i="1" l="1"/>
  <c r="L329" i="1"/>
  <c r="I329" i="1" s="1"/>
  <c r="D329" i="1"/>
  <c r="M329" i="1"/>
  <c r="AR331" i="1"/>
  <c r="AS331" i="1"/>
  <c r="AX331" i="1"/>
  <c r="BF331" i="1"/>
  <c r="AA329" i="1" l="1"/>
  <c r="H329" i="1"/>
  <c r="T330" i="1"/>
  <c r="S330" i="1" s="1"/>
  <c r="F330" i="1"/>
  <c r="R330" i="1"/>
  <c r="K329" i="1"/>
  <c r="AU331" i="1"/>
  <c r="BA331" i="1"/>
  <c r="BC331" i="1"/>
  <c r="BD331" i="1"/>
  <c r="BJ332" i="1" s="1"/>
  <c r="B330" i="1" l="1"/>
  <c r="A330" i="1"/>
  <c r="G330" i="1"/>
  <c r="M330" i="1" s="1"/>
  <c r="O330" i="1"/>
  <c r="BI332" i="1"/>
  <c r="BK332" i="1"/>
  <c r="AW332" i="1"/>
  <c r="BB331" i="1"/>
  <c r="AY331" i="1"/>
  <c r="AZ331" i="1"/>
  <c r="T331" i="1" l="1"/>
  <c r="S331" i="1" s="1"/>
  <c r="R331" i="1"/>
  <c r="F331" i="1"/>
  <c r="D330" i="1"/>
  <c r="L330" i="1"/>
  <c r="J330" i="1"/>
  <c r="BF332" i="1"/>
  <c r="AX332" i="1"/>
  <c r="BD332" i="1" s="1"/>
  <c r="BJ333" i="1" s="1"/>
  <c r="AR332" i="1"/>
  <c r="AS332" i="1"/>
  <c r="O331" i="1" l="1"/>
  <c r="G331" i="1"/>
  <c r="M331" i="1" s="1"/>
  <c r="B331" i="1"/>
  <c r="A331" i="1"/>
  <c r="K330" i="1"/>
  <c r="AA330" i="1"/>
  <c r="H330" i="1"/>
  <c r="I330" i="1"/>
  <c r="BK333" i="1"/>
  <c r="AW333" i="1"/>
  <c r="BI333" i="1"/>
  <c r="AU332" i="1"/>
  <c r="BC332" i="1"/>
  <c r="BA332" i="1"/>
  <c r="F332" i="1" l="1"/>
  <c r="T332" i="1"/>
  <c r="S332" i="1" s="1"/>
  <c r="R332" i="1"/>
  <c r="D331" i="1"/>
  <c r="J331" i="1"/>
  <c r="L331" i="1"/>
  <c r="I331" i="1" s="1"/>
  <c r="BB332" i="1"/>
  <c r="AS333" i="1"/>
  <c r="AR333" i="1"/>
  <c r="BF333" i="1"/>
  <c r="AX333" i="1"/>
  <c r="AY332" i="1"/>
  <c r="AZ332" i="1"/>
  <c r="A332" i="1" l="1"/>
  <c r="B332" i="1"/>
  <c r="O332" i="1"/>
  <c r="G332" i="1"/>
  <c r="AA331" i="1"/>
  <c r="H331" i="1"/>
  <c r="K331" i="1"/>
  <c r="BA333" i="1"/>
  <c r="BC333" i="1"/>
  <c r="AU333" i="1"/>
  <c r="BD333" i="1"/>
  <c r="BJ334" i="1" s="1"/>
  <c r="M332" i="1" l="1"/>
  <c r="J332" i="1"/>
  <c r="D332" i="1"/>
  <c r="L332" i="1"/>
  <c r="AY333" i="1"/>
  <c r="AZ333" i="1"/>
  <c r="BB333" i="1"/>
  <c r="BK334" i="1"/>
  <c r="BI334" i="1"/>
  <c r="AW334" i="1"/>
  <c r="F333" i="1" l="1"/>
  <c r="R333" i="1"/>
  <c r="T333" i="1"/>
  <c r="S333" i="1" s="1"/>
  <c r="I332" i="1"/>
  <c r="AA332" i="1"/>
  <c r="H332" i="1"/>
  <c r="K332" i="1"/>
  <c r="BF334" i="1"/>
  <c r="AX334" i="1"/>
  <c r="BD334" i="1" s="1"/>
  <c r="BJ335" i="1" s="1"/>
  <c r="AS334" i="1"/>
  <c r="AR334" i="1"/>
  <c r="B333" i="1" l="1"/>
  <c r="A333" i="1"/>
  <c r="O333" i="1"/>
  <c r="G333" i="1"/>
  <c r="BK335" i="1"/>
  <c r="AW335" i="1"/>
  <c r="BI335" i="1"/>
  <c r="AU334" i="1"/>
  <c r="BA334" i="1"/>
  <c r="BC334" i="1"/>
  <c r="M333" i="1" l="1"/>
  <c r="L333" i="1"/>
  <c r="D333" i="1"/>
  <c r="J333" i="1"/>
  <c r="AR335" i="1"/>
  <c r="AS335" i="1"/>
  <c r="BF335" i="1"/>
  <c r="AX335" i="1"/>
  <c r="BD335" i="1" s="1"/>
  <c r="BJ336" i="1" s="1"/>
  <c r="BB334" i="1"/>
  <c r="AZ334" i="1"/>
  <c r="AY334" i="1"/>
  <c r="K333" i="1" l="1"/>
  <c r="AA333" i="1"/>
  <c r="I333" i="1"/>
  <c r="H333" i="1"/>
  <c r="T334" i="1"/>
  <c r="S334" i="1" s="1"/>
  <c r="R334" i="1"/>
  <c r="F334" i="1"/>
  <c r="AW336" i="1"/>
  <c r="BK336" i="1"/>
  <c r="BI336" i="1"/>
  <c r="BC335" i="1"/>
  <c r="BA335" i="1"/>
  <c r="AU335" i="1"/>
  <c r="G334" i="1" l="1"/>
  <c r="O334" i="1"/>
  <c r="B334" i="1"/>
  <c r="A334" i="1"/>
  <c r="BB335" i="1"/>
  <c r="AS336" i="1"/>
  <c r="AR336" i="1"/>
  <c r="BF336" i="1"/>
  <c r="AX336" i="1"/>
  <c r="BD336" i="1" s="1"/>
  <c r="BJ337" i="1" s="1"/>
  <c r="AZ335" i="1"/>
  <c r="AY335" i="1"/>
  <c r="M334" i="1" l="1"/>
  <c r="L334" i="1"/>
  <c r="J334" i="1"/>
  <c r="D334" i="1"/>
  <c r="AW337" i="1"/>
  <c r="BI337" i="1"/>
  <c r="BK337" i="1"/>
  <c r="AU336" i="1"/>
  <c r="BC336" i="1"/>
  <c r="BA336" i="1"/>
  <c r="K334" i="1" l="1"/>
  <c r="T335" i="1"/>
  <c r="S335" i="1" s="1"/>
  <c r="R335" i="1"/>
  <c r="F335" i="1"/>
  <c r="AA334" i="1"/>
  <c r="I334" i="1"/>
  <c r="H334" i="1"/>
  <c r="BB336" i="1"/>
  <c r="AS337" i="1"/>
  <c r="AR337" i="1"/>
  <c r="BF337" i="1"/>
  <c r="AX337" i="1"/>
  <c r="BD337" i="1" s="1"/>
  <c r="BJ338" i="1" s="1"/>
  <c r="AY336" i="1"/>
  <c r="AZ336" i="1"/>
  <c r="G335" i="1" l="1"/>
  <c r="O335" i="1"/>
  <c r="B335" i="1"/>
  <c r="A335" i="1"/>
  <c r="AW338" i="1"/>
  <c r="BI338" i="1"/>
  <c r="BK338" i="1"/>
  <c r="BC337" i="1"/>
  <c r="BA337" i="1"/>
  <c r="AU337" i="1"/>
  <c r="M335" i="1" l="1"/>
  <c r="J335" i="1"/>
  <c r="D335" i="1"/>
  <c r="L335" i="1"/>
  <c r="AY337" i="1"/>
  <c r="AZ337" i="1"/>
  <c r="BB337" i="1"/>
  <c r="AS338" i="1"/>
  <c r="AR338" i="1"/>
  <c r="BF338" i="1"/>
  <c r="AX338" i="1"/>
  <c r="BD338" i="1" s="1"/>
  <c r="BJ339" i="1" s="1"/>
  <c r="R336" i="1" l="1"/>
  <c r="F336" i="1"/>
  <c r="T336" i="1"/>
  <c r="S336" i="1" s="1"/>
  <c r="I335" i="1"/>
  <c r="H335" i="1"/>
  <c r="AA335" i="1"/>
  <c r="K335" i="1"/>
  <c r="BI339" i="1"/>
  <c r="AW339" i="1"/>
  <c r="BK339" i="1"/>
  <c r="BC338" i="1"/>
  <c r="AU338" i="1"/>
  <c r="BA338" i="1"/>
  <c r="O336" i="1" l="1"/>
  <c r="G336" i="1"/>
  <c r="A336" i="1"/>
  <c r="B336" i="1"/>
  <c r="BB338" i="1"/>
  <c r="AZ338" i="1"/>
  <c r="AY338" i="1"/>
  <c r="AX339" i="1"/>
  <c r="BF339" i="1"/>
  <c r="AS339" i="1"/>
  <c r="AR339" i="1"/>
  <c r="L336" i="1" l="1"/>
  <c r="D336" i="1"/>
  <c r="J336" i="1"/>
  <c r="M336" i="1"/>
  <c r="BD339" i="1"/>
  <c r="BJ340" i="1" s="1"/>
  <c r="AU339" i="1"/>
  <c r="BC339" i="1"/>
  <c r="BA339" i="1"/>
  <c r="K336" i="1" l="1"/>
  <c r="AA336" i="1"/>
  <c r="H336" i="1"/>
  <c r="I336" i="1"/>
  <c r="F337" i="1"/>
  <c r="R337" i="1"/>
  <c r="T337" i="1"/>
  <c r="S337" i="1" s="1"/>
  <c r="BB339" i="1"/>
  <c r="AY339" i="1"/>
  <c r="AZ339" i="1"/>
  <c r="BI340" i="1"/>
  <c r="AW340" i="1"/>
  <c r="BK340" i="1"/>
  <c r="B337" i="1" l="1"/>
  <c r="A337" i="1"/>
  <c r="G337" i="1"/>
  <c r="O337" i="1"/>
  <c r="BF340" i="1"/>
  <c r="AX340" i="1"/>
  <c r="AS340" i="1"/>
  <c r="AR340" i="1"/>
  <c r="L337" i="1" l="1"/>
  <c r="J337" i="1"/>
  <c r="D337" i="1"/>
  <c r="M337" i="1"/>
  <c r="BA340" i="1"/>
  <c r="AU340" i="1"/>
  <c r="BC340" i="1"/>
  <c r="BD340" i="1"/>
  <c r="BJ341" i="1" s="1"/>
  <c r="K337" i="1" l="1"/>
  <c r="F338" i="1"/>
  <c r="R338" i="1"/>
  <c r="T338" i="1"/>
  <c r="S338" i="1" s="1"/>
  <c r="AA337" i="1"/>
  <c r="H337" i="1"/>
  <c r="I337" i="1"/>
  <c r="AY340" i="1"/>
  <c r="AZ340" i="1"/>
  <c r="BK341" i="1"/>
  <c r="BI341" i="1"/>
  <c r="AW341" i="1"/>
  <c r="BB340" i="1"/>
  <c r="B338" i="1" l="1"/>
  <c r="A338" i="1"/>
  <c r="O338" i="1"/>
  <c r="G338" i="1"/>
  <c r="M338" i="1" s="1"/>
  <c r="AX341" i="1"/>
  <c r="BD341" i="1" s="1"/>
  <c r="BJ342" i="1" s="1"/>
  <c r="BF341" i="1"/>
  <c r="AR341" i="1"/>
  <c r="AS341" i="1"/>
  <c r="F339" i="1" l="1"/>
  <c r="R339" i="1"/>
  <c r="T339" i="1"/>
  <c r="S339" i="1" s="1"/>
  <c r="L338" i="1"/>
  <c r="J338" i="1"/>
  <c r="D338" i="1"/>
  <c r="BI342" i="1"/>
  <c r="AW342" i="1"/>
  <c r="BK342" i="1"/>
  <c r="AU341" i="1"/>
  <c r="BC341" i="1"/>
  <c r="BA341" i="1"/>
  <c r="B339" i="1" l="1"/>
  <c r="A339" i="1"/>
  <c r="O339" i="1"/>
  <c r="G339" i="1"/>
  <c r="M339" i="1" s="1"/>
  <c r="K14" i="6"/>
  <c r="K15" i="6"/>
  <c r="K338" i="1"/>
  <c r="AA338" i="1"/>
  <c r="H338" i="1"/>
  <c r="I338" i="1"/>
  <c r="BB341" i="1"/>
  <c r="AY341" i="1"/>
  <c r="AZ341" i="1"/>
  <c r="BF342" i="1"/>
  <c r="AX342" i="1"/>
  <c r="AR342" i="1"/>
  <c r="AS342" i="1"/>
  <c r="R340" i="1" l="1"/>
  <c r="F340" i="1"/>
  <c r="T340" i="1"/>
  <c r="S340" i="1" s="1"/>
  <c r="L339" i="1"/>
  <c r="D339" i="1"/>
  <c r="J339" i="1"/>
  <c r="BD342" i="1"/>
  <c r="BJ343" i="1" s="1"/>
  <c r="AU342" i="1"/>
  <c r="BA342" i="1"/>
  <c r="BC342" i="1"/>
  <c r="K339" i="1" l="1"/>
  <c r="O340" i="1"/>
  <c r="G340" i="1"/>
  <c r="A340" i="1"/>
  <c r="B340" i="1"/>
  <c r="K16" i="6"/>
  <c r="K17" i="6"/>
  <c r="AA339" i="1"/>
  <c r="I339" i="1"/>
  <c r="H339" i="1"/>
  <c r="AZ342" i="1"/>
  <c r="AY342" i="1"/>
  <c r="AW343" i="1"/>
  <c r="BK343" i="1"/>
  <c r="BI343" i="1"/>
  <c r="BB342" i="1"/>
  <c r="M340" i="1" l="1"/>
  <c r="L340" i="1"/>
  <c r="D340" i="1"/>
  <c r="J340" i="1"/>
  <c r="AS343" i="1"/>
  <c r="AR343" i="1"/>
  <c r="BF343" i="1"/>
  <c r="AX343" i="1"/>
  <c r="K340" i="1" l="1"/>
  <c r="R341" i="1"/>
  <c r="F341" i="1"/>
  <c r="T341" i="1"/>
  <c r="S341" i="1" s="1"/>
  <c r="AA340" i="1"/>
  <c r="H340" i="1"/>
  <c r="I340" i="1"/>
  <c r="BD343" i="1"/>
  <c r="BJ344" i="1" s="1"/>
  <c r="BC343" i="1"/>
  <c r="BA343" i="1"/>
  <c r="AU343" i="1"/>
  <c r="O341" i="1" l="1"/>
  <c r="G341" i="1"/>
  <c r="B341" i="1"/>
  <c r="A341" i="1"/>
  <c r="BB343" i="1"/>
  <c r="AW344" i="1"/>
  <c r="BK344" i="1"/>
  <c r="BI344" i="1"/>
  <c r="AZ343" i="1"/>
  <c r="AY343" i="1"/>
  <c r="M341" i="1" l="1"/>
  <c r="L341" i="1"/>
  <c r="D341" i="1"/>
  <c r="J341" i="1"/>
  <c r="AR344" i="1"/>
  <c r="AS344" i="1"/>
  <c r="AX344" i="1"/>
  <c r="BF344" i="1"/>
  <c r="T342" i="1" l="1"/>
  <c r="S342" i="1" s="1"/>
  <c r="R342" i="1"/>
  <c r="F342" i="1"/>
  <c r="H341" i="1"/>
  <c r="I341" i="1"/>
  <c r="AA341" i="1"/>
  <c r="K341" i="1"/>
  <c r="BD344" i="1"/>
  <c r="BJ345" i="1" s="1"/>
  <c r="BA344" i="1"/>
  <c r="AU344" i="1"/>
  <c r="BC344" i="1"/>
  <c r="G342" i="1" l="1"/>
  <c r="O342" i="1"/>
  <c r="A342" i="1"/>
  <c r="B342" i="1"/>
  <c r="AW345" i="1"/>
  <c r="BK345" i="1"/>
  <c r="BI345" i="1"/>
  <c r="AY344" i="1"/>
  <c r="AZ344" i="1"/>
  <c r="BB344" i="1"/>
  <c r="L342" i="1" l="1"/>
  <c r="D342" i="1"/>
  <c r="M342" i="1"/>
  <c r="J342" i="1"/>
  <c r="AS345" i="1"/>
  <c r="AR345" i="1"/>
  <c r="AX345" i="1"/>
  <c r="BF345" i="1"/>
  <c r="K342" i="1" l="1"/>
  <c r="H342" i="1"/>
  <c r="I342" i="1"/>
  <c r="AA342" i="1"/>
  <c r="F343" i="1"/>
  <c r="T343" i="1"/>
  <c r="S343" i="1" s="1"/>
  <c r="R343" i="1"/>
  <c r="BD345" i="1"/>
  <c r="BJ346" i="1" s="1"/>
  <c r="BA345" i="1"/>
  <c r="BC345" i="1"/>
  <c r="AU345" i="1"/>
  <c r="A343" i="1" l="1"/>
  <c r="B343" i="1"/>
  <c r="O343" i="1"/>
  <c r="G343" i="1"/>
  <c r="AW346" i="1"/>
  <c r="BI346" i="1"/>
  <c r="BK346" i="1"/>
  <c r="AY345" i="1"/>
  <c r="AZ345" i="1"/>
  <c r="BB345" i="1"/>
  <c r="J343" i="1" l="1"/>
  <c r="L343" i="1"/>
  <c r="D343" i="1"/>
  <c r="M343" i="1"/>
  <c r="AS346" i="1"/>
  <c r="AR346" i="1"/>
  <c r="BF346" i="1"/>
  <c r="AX346" i="1"/>
  <c r="K343" i="1" l="1"/>
  <c r="H343" i="1"/>
  <c r="I343" i="1"/>
  <c r="AA343" i="1"/>
  <c r="F344" i="1"/>
  <c r="T344" i="1"/>
  <c r="S344" i="1" s="1"/>
  <c r="R344" i="1"/>
  <c r="BC346" i="1"/>
  <c r="BD346" i="1"/>
  <c r="BJ347" i="1" s="1"/>
  <c r="AU346" i="1"/>
  <c r="BA346" i="1"/>
  <c r="A344" i="1" l="1"/>
  <c r="B344" i="1"/>
  <c r="G344" i="1"/>
  <c r="O344" i="1"/>
  <c r="BB346" i="1"/>
  <c r="AY346" i="1"/>
  <c r="AZ346" i="1"/>
  <c r="BK347" i="1"/>
  <c r="BI347" i="1"/>
  <c r="AW347" i="1"/>
  <c r="L344" i="1" l="1"/>
  <c r="J344" i="1"/>
  <c r="D344" i="1"/>
  <c r="M344" i="1"/>
  <c r="AX347" i="1"/>
  <c r="BF347" i="1"/>
  <c r="AS347" i="1"/>
  <c r="AR347" i="1"/>
  <c r="K344" i="1" l="1"/>
  <c r="F345" i="1"/>
  <c r="T345" i="1"/>
  <c r="S345" i="1" s="1"/>
  <c r="R345" i="1"/>
  <c r="AA344" i="1"/>
  <c r="H344" i="1"/>
  <c r="I344" i="1"/>
  <c r="BD347" i="1"/>
  <c r="BJ348" i="1" s="1"/>
  <c r="BA347" i="1"/>
  <c r="BC347" i="1"/>
  <c r="AU347" i="1"/>
  <c r="A345" i="1" l="1"/>
  <c r="B345" i="1"/>
  <c r="O345" i="1"/>
  <c r="G345" i="1"/>
  <c r="AY347" i="1"/>
  <c r="AZ347" i="1"/>
  <c r="BI348" i="1"/>
  <c r="AW348" i="1"/>
  <c r="BK348" i="1"/>
  <c r="BB347" i="1"/>
  <c r="J345" i="1" l="1"/>
  <c r="D345" i="1"/>
  <c r="L345" i="1"/>
  <c r="I345" i="1" s="1"/>
  <c r="M345" i="1"/>
  <c r="AX348" i="1"/>
  <c r="BF348" i="1"/>
  <c r="AR348" i="1"/>
  <c r="AS348" i="1"/>
  <c r="AA345" i="1" l="1"/>
  <c r="H345" i="1"/>
  <c r="R346" i="1"/>
  <c r="F346" i="1"/>
  <c r="T346" i="1"/>
  <c r="S346" i="1" s="1"/>
  <c r="K345" i="1"/>
  <c r="BA348" i="1"/>
  <c r="BC348" i="1"/>
  <c r="AU348" i="1"/>
  <c r="BD348" i="1"/>
  <c r="BJ349" i="1" s="1"/>
  <c r="G346" i="1" l="1"/>
  <c r="O346" i="1"/>
  <c r="A346" i="1"/>
  <c r="B346" i="1"/>
  <c r="AZ348" i="1"/>
  <c r="AY348" i="1"/>
  <c r="BI349" i="1"/>
  <c r="AW349" i="1"/>
  <c r="BK349" i="1"/>
  <c r="BB348" i="1"/>
  <c r="D346" i="1" l="1"/>
  <c r="L346" i="1"/>
  <c r="J346" i="1"/>
  <c r="M346" i="1"/>
  <c r="BF349" i="1"/>
  <c r="AX349" i="1"/>
  <c r="AS349" i="1"/>
  <c r="AR349" i="1"/>
  <c r="K346" i="1" l="1"/>
  <c r="AA346" i="1"/>
  <c r="I346" i="1"/>
  <c r="H346" i="1"/>
  <c r="F347" i="1"/>
  <c r="T347" i="1"/>
  <c r="S347" i="1" s="1"/>
  <c r="R347" i="1"/>
  <c r="BD349" i="1"/>
  <c r="BJ350" i="1" s="1"/>
  <c r="BC349" i="1"/>
  <c r="BA349" i="1"/>
  <c r="AU349" i="1"/>
  <c r="B347" i="1" l="1"/>
  <c r="A347" i="1"/>
  <c r="G347" i="1"/>
  <c r="O347" i="1"/>
  <c r="BB349" i="1"/>
  <c r="BI350" i="1"/>
  <c r="BK350" i="1"/>
  <c r="AW350" i="1"/>
  <c r="AY349" i="1"/>
  <c r="AZ349" i="1"/>
  <c r="D347" i="1" l="1"/>
  <c r="L347" i="1"/>
  <c r="J347" i="1"/>
  <c r="K347" i="1" s="1"/>
  <c r="M347" i="1"/>
  <c r="AX350" i="1"/>
  <c r="BF350" i="1"/>
  <c r="AR350" i="1"/>
  <c r="AS350" i="1"/>
  <c r="T348" i="1" l="1"/>
  <c r="S348" i="1" s="1"/>
  <c r="F348" i="1"/>
  <c r="R348" i="1"/>
  <c r="AA347" i="1"/>
  <c r="I347" i="1"/>
  <c r="H347" i="1"/>
  <c r="BD350" i="1"/>
  <c r="BJ351" i="1" s="1"/>
  <c r="AU350" i="1"/>
  <c r="BC350" i="1"/>
  <c r="BA350" i="1"/>
  <c r="A348" i="1" l="1"/>
  <c r="B348" i="1"/>
  <c r="O348" i="1"/>
  <c r="G348" i="1"/>
  <c r="BB350" i="1"/>
  <c r="BK351" i="1"/>
  <c r="AW351" i="1"/>
  <c r="BI351" i="1"/>
  <c r="AZ350" i="1"/>
  <c r="AY350" i="1"/>
  <c r="D348" i="1" l="1"/>
  <c r="L348" i="1"/>
  <c r="J348" i="1"/>
  <c r="M348" i="1"/>
  <c r="AR351" i="1"/>
  <c r="AS351" i="1"/>
  <c r="BF351" i="1"/>
  <c r="AX351" i="1"/>
  <c r="K348" i="1" l="1"/>
  <c r="R349" i="1"/>
  <c r="F349" i="1"/>
  <c r="T349" i="1"/>
  <c r="S349" i="1" s="1"/>
  <c r="AA348" i="1"/>
  <c r="H348" i="1"/>
  <c r="I348" i="1"/>
  <c r="AU351" i="1"/>
  <c r="BA351" i="1"/>
  <c r="BC351" i="1"/>
  <c r="BD351" i="1"/>
  <c r="BJ352" i="1" s="1"/>
  <c r="G349" i="1" l="1"/>
  <c r="O349" i="1"/>
  <c r="A349" i="1"/>
  <c r="B349" i="1"/>
  <c r="AY351" i="1"/>
  <c r="AZ351" i="1"/>
  <c r="BK352" i="1"/>
  <c r="AW352" i="1"/>
  <c r="BI352" i="1"/>
  <c r="BB351" i="1"/>
  <c r="J349" i="1" l="1"/>
  <c r="L349" i="1"/>
  <c r="H349" i="1" s="1"/>
  <c r="D349" i="1"/>
  <c r="M349" i="1"/>
  <c r="AS352" i="1"/>
  <c r="AR352" i="1"/>
  <c r="BF352" i="1"/>
  <c r="AX352" i="1"/>
  <c r="BD352" i="1" s="1"/>
  <c r="BJ353" i="1" s="1"/>
  <c r="AA349" i="1" l="1"/>
  <c r="I349" i="1"/>
  <c r="F350" i="1"/>
  <c r="T350" i="1"/>
  <c r="S350" i="1" s="1"/>
  <c r="R350" i="1"/>
  <c r="K349" i="1"/>
  <c r="BK353" i="1"/>
  <c r="BI353" i="1"/>
  <c r="AW353" i="1"/>
  <c r="BA352" i="1"/>
  <c r="BC352" i="1"/>
  <c r="AU352" i="1"/>
  <c r="A350" i="1" l="1"/>
  <c r="B350" i="1"/>
  <c r="G350" i="1"/>
  <c r="O350" i="1"/>
  <c r="BF353" i="1"/>
  <c r="AX353" i="1"/>
  <c r="AS353" i="1"/>
  <c r="AR353" i="1"/>
  <c r="BB352" i="1"/>
  <c r="AZ352" i="1"/>
  <c r="AY352" i="1"/>
  <c r="J350" i="1" l="1"/>
  <c r="D350" i="1"/>
  <c r="L350" i="1"/>
  <c r="I350" i="1" s="1"/>
  <c r="M350" i="1"/>
  <c r="AU353" i="1"/>
  <c r="BC353" i="1"/>
  <c r="BA353" i="1"/>
  <c r="BD353" i="1"/>
  <c r="BJ354" i="1" s="1"/>
  <c r="AA350" i="1" l="1"/>
  <c r="H350" i="1"/>
  <c r="F351" i="1"/>
  <c r="R351" i="1"/>
  <c r="T351" i="1"/>
  <c r="S351" i="1" s="1"/>
  <c r="K350" i="1"/>
  <c r="BB353" i="1"/>
  <c r="AY353" i="1"/>
  <c r="AZ353" i="1"/>
  <c r="AW354" i="1"/>
  <c r="BK354" i="1"/>
  <c r="BI354" i="1"/>
  <c r="B351" i="1" l="1"/>
  <c r="A351" i="1"/>
  <c r="G351" i="1"/>
  <c r="O351" i="1"/>
  <c r="AR354" i="1"/>
  <c r="AS354" i="1"/>
  <c r="BF354" i="1"/>
  <c r="AX354" i="1"/>
  <c r="BD354" i="1" s="1"/>
  <c r="BJ355" i="1" s="1"/>
  <c r="J351" i="1" l="1"/>
  <c r="D351" i="1"/>
  <c r="L351" i="1"/>
  <c r="H351" i="1" s="1"/>
  <c r="M351" i="1"/>
  <c r="BK355" i="1"/>
  <c r="AW355" i="1"/>
  <c r="BI355" i="1"/>
  <c r="BC354" i="1"/>
  <c r="AU354" i="1"/>
  <c r="BA354" i="1"/>
  <c r="K351" i="1" l="1"/>
  <c r="AA351" i="1"/>
  <c r="I351" i="1"/>
  <c r="F352" i="1"/>
  <c r="R352" i="1"/>
  <c r="T352" i="1"/>
  <c r="S352" i="1" s="1"/>
  <c r="BB354" i="1"/>
  <c r="AS355" i="1"/>
  <c r="AR355" i="1"/>
  <c r="AX355" i="1"/>
  <c r="BF355" i="1"/>
  <c r="AZ354" i="1"/>
  <c r="AY354" i="1"/>
  <c r="B352" i="1" l="1"/>
  <c r="A352" i="1"/>
  <c r="O352" i="1"/>
  <c r="G352" i="1"/>
  <c r="M352" i="1" s="1"/>
  <c r="BD355" i="1"/>
  <c r="BJ356" i="1" s="1"/>
  <c r="BA355" i="1"/>
  <c r="BC355" i="1"/>
  <c r="AU355" i="1"/>
  <c r="F353" i="1" l="1"/>
  <c r="T353" i="1"/>
  <c r="S353" i="1" s="1"/>
  <c r="R353" i="1"/>
  <c r="J352" i="1"/>
  <c r="L352" i="1"/>
  <c r="D352" i="1"/>
  <c r="BK356" i="1"/>
  <c r="BI356" i="1"/>
  <c r="AW356" i="1"/>
  <c r="AZ355" i="1"/>
  <c r="AY355" i="1"/>
  <c r="BB355" i="1"/>
  <c r="AA352" i="1" l="1"/>
  <c r="I352" i="1"/>
  <c r="H352" i="1"/>
  <c r="A353" i="1"/>
  <c r="B353" i="1"/>
  <c r="O353" i="1"/>
  <c r="G353" i="1"/>
  <c r="M353" i="1" s="1"/>
  <c r="K352" i="1"/>
  <c r="BF356" i="1"/>
  <c r="AX356" i="1"/>
  <c r="AR356" i="1"/>
  <c r="AS356" i="1"/>
  <c r="R354" i="1" l="1"/>
  <c r="F354" i="1"/>
  <c r="T354" i="1"/>
  <c r="S354" i="1" s="1"/>
  <c r="D353" i="1"/>
  <c r="L353" i="1"/>
  <c r="J353" i="1"/>
  <c r="BD356" i="1"/>
  <c r="BJ357" i="1" s="1"/>
  <c r="BC356" i="1"/>
  <c r="AU356" i="1"/>
  <c r="BA356" i="1"/>
  <c r="K353" i="1" l="1"/>
  <c r="AA353" i="1"/>
  <c r="H353" i="1"/>
  <c r="I353" i="1"/>
  <c r="O354" i="1"/>
  <c r="G354" i="1"/>
  <c r="M354" i="1" s="1"/>
  <c r="B354" i="1"/>
  <c r="A354" i="1"/>
  <c r="BB356" i="1"/>
  <c r="AZ356" i="1"/>
  <c r="AY356" i="1"/>
  <c r="BK357" i="1"/>
  <c r="BI357" i="1"/>
  <c r="AW357" i="1"/>
  <c r="T355" i="1" l="1"/>
  <c r="S355" i="1" s="1"/>
  <c r="R355" i="1"/>
  <c r="F355" i="1"/>
  <c r="L354" i="1"/>
  <c r="D354" i="1"/>
  <c r="J354" i="1"/>
  <c r="AX357" i="1"/>
  <c r="BF357" i="1"/>
  <c r="AR357" i="1"/>
  <c r="AS357" i="1"/>
  <c r="K354" i="1" l="1"/>
  <c r="O355" i="1"/>
  <c r="G355" i="1"/>
  <c r="M355" i="1" s="1"/>
  <c r="A355" i="1"/>
  <c r="B355" i="1"/>
  <c r="AA354" i="1"/>
  <c r="I354" i="1"/>
  <c r="H354" i="1"/>
  <c r="BD357" i="1"/>
  <c r="BJ358" i="1" s="1"/>
  <c r="AU357" i="1"/>
  <c r="BA357" i="1"/>
  <c r="BC357" i="1"/>
  <c r="R356" i="1" l="1"/>
  <c r="F356" i="1"/>
  <c r="T356" i="1"/>
  <c r="S356" i="1" s="1"/>
  <c r="D355" i="1"/>
  <c r="L355" i="1"/>
  <c r="J355" i="1"/>
  <c r="K355" i="1" s="1"/>
  <c r="BK358" i="1"/>
  <c r="AW358" i="1"/>
  <c r="BI358" i="1"/>
  <c r="AZ357" i="1"/>
  <c r="AY357" i="1"/>
  <c r="BB357" i="1"/>
  <c r="G356" i="1" l="1"/>
  <c r="M356" i="1" s="1"/>
  <c r="O356" i="1"/>
  <c r="A356" i="1"/>
  <c r="B356" i="1"/>
  <c r="AA355" i="1"/>
  <c r="H355" i="1"/>
  <c r="I355" i="1"/>
  <c r="AS358" i="1"/>
  <c r="AR358" i="1"/>
  <c r="BF358" i="1"/>
  <c r="AX358" i="1"/>
  <c r="T357" i="1" l="1"/>
  <c r="S357" i="1" s="1"/>
  <c r="R357" i="1"/>
  <c r="F357" i="1"/>
  <c r="J356" i="1"/>
  <c r="L356" i="1"/>
  <c r="D356" i="1"/>
  <c r="BD358" i="1"/>
  <c r="BJ359" i="1" s="1"/>
  <c r="AU358" i="1"/>
  <c r="BC358" i="1"/>
  <c r="BA358" i="1"/>
  <c r="AA356" i="1" l="1"/>
  <c r="I356" i="1"/>
  <c r="H356" i="1"/>
  <c r="K356" i="1"/>
  <c r="G357" i="1"/>
  <c r="M357" i="1" s="1"/>
  <c r="O357" i="1"/>
  <c r="A357" i="1"/>
  <c r="B357" i="1"/>
  <c r="BB358" i="1"/>
  <c r="AW359" i="1"/>
  <c r="BK359" i="1"/>
  <c r="BI359" i="1"/>
  <c r="AY358" i="1"/>
  <c r="AZ358" i="1"/>
  <c r="T358" i="1" l="1"/>
  <c r="S358" i="1" s="1"/>
  <c r="F358" i="1"/>
  <c r="R358" i="1"/>
  <c r="L357" i="1"/>
  <c r="D357" i="1"/>
  <c r="J357" i="1"/>
  <c r="AS359" i="1"/>
  <c r="AR359" i="1"/>
  <c r="BF359" i="1"/>
  <c r="AX359" i="1"/>
  <c r="K357" i="1" l="1"/>
  <c r="A358" i="1"/>
  <c r="B358" i="1"/>
  <c r="O358" i="1"/>
  <c r="G358" i="1"/>
  <c r="M358" i="1" s="1"/>
  <c r="AA357" i="1"/>
  <c r="H357" i="1"/>
  <c r="I357" i="1"/>
  <c r="BD359" i="1"/>
  <c r="BJ360" i="1" s="1"/>
  <c r="AU359" i="1"/>
  <c r="BC359" i="1"/>
  <c r="BA359" i="1"/>
  <c r="F359" i="1" l="1"/>
  <c r="T359" i="1"/>
  <c r="S359" i="1" s="1"/>
  <c r="R359" i="1"/>
  <c r="J358" i="1"/>
  <c r="L358" i="1"/>
  <c r="D358" i="1"/>
  <c r="BB359" i="1"/>
  <c r="BI360" i="1"/>
  <c r="AW360" i="1"/>
  <c r="BK360" i="1"/>
  <c r="AY359" i="1"/>
  <c r="AZ359" i="1"/>
  <c r="A359" i="1" l="1"/>
  <c r="B359" i="1"/>
  <c r="G359" i="1"/>
  <c r="M359" i="1" s="1"/>
  <c r="O359" i="1"/>
  <c r="K358" i="1"/>
  <c r="AA358" i="1"/>
  <c r="I358" i="1"/>
  <c r="H358" i="1"/>
  <c r="BF360" i="1"/>
  <c r="AX360" i="1"/>
  <c r="AS360" i="1"/>
  <c r="AR360" i="1"/>
  <c r="T360" i="1" l="1"/>
  <c r="S360" i="1" s="1"/>
  <c r="R360" i="1"/>
  <c r="F360" i="1"/>
  <c r="J359" i="1"/>
  <c r="D359" i="1"/>
  <c r="L359" i="1"/>
  <c r="BD360" i="1"/>
  <c r="BJ361" i="1" s="1"/>
  <c r="BA360" i="1"/>
  <c r="BC360" i="1"/>
  <c r="AU360" i="1"/>
  <c r="G360" i="1" l="1"/>
  <c r="M360" i="1" s="1"/>
  <c r="O360" i="1"/>
  <c r="B360" i="1"/>
  <c r="A360" i="1"/>
  <c r="K359" i="1"/>
  <c r="AA359" i="1"/>
  <c r="I359" i="1"/>
  <c r="H359" i="1"/>
  <c r="BK361" i="1"/>
  <c r="BI361" i="1"/>
  <c r="AW361" i="1"/>
  <c r="AY360" i="1"/>
  <c r="AZ360" i="1"/>
  <c r="BB360" i="1"/>
  <c r="T361" i="1" l="1"/>
  <c r="S361" i="1" s="1"/>
  <c r="F361" i="1"/>
  <c r="R361" i="1"/>
  <c r="D360" i="1"/>
  <c r="L360" i="1"/>
  <c r="I360" i="1" s="1"/>
  <c r="J360" i="1"/>
  <c r="AX361" i="1"/>
  <c r="BF361" i="1"/>
  <c r="AS361" i="1"/>
  <c r="AR361" i="1"/>
  <c r="K360" i="1" l="1"/>
  <c r="A361" i="1"/>
  <c r="B361" i="1"/>
  <c r="G361" i="1"/>
  <c r="O361" i="1"/>
  <c r="AA360" i="1"/>
  <c r="H360" i="1"/>
  <c r="BD361" i="1"/>
  <c r="BJ362" i="1" s="1"/>
  <c r="AU361" i="1"/>
  <c r="BA361" i="1"/>
  <c r="BC361" i="1"/>
  <c r="D361" i="1" l="1"/>
  <c r="M361" i="1"/>
  <c r="L361" i="1"/>
  <c r="J361" i="1"/>
  <c r="BB361" i="1"/>
  <c r="BK362" i="1"/>
  <c r="BI362" i="1"/>
  <c r="AW362" i="1"/>
  <c r="AY361" i="1"/>
  <c r="AZ361" i="1"/>
  <c r="K361" i="1" l="1"/>
  <c r="T362" i="1"/>
  <c r="S362" i="1" s="1"/>
  <c r="F362" i="1"/>
  <c r="R362" i="1"/>
  <c r="H361" i="1"/>
  <c r="AA361" i="1"/>
  <c r="I361" i="1"/>
  <c r="BF362" i="1"/>
  <c r="AX362" i="1"/>
  <c r="AR362" i="1"/>
  <c r="AS362" i="1"/>
  <c r="B362" i="1" l="1"/>
  <c r="A362" i="1"/>
  <c r="G362" i="1"/>
  <c r="O362" i="1"/>
  <c r="BD362" i="1"/>
  <c r="BJ363" i="1" s="1"/>
  <c r="BA362" i="1"/>
  <c r="AU362" i="1"/>
  <c r="BC362" i="1"/>
  <c r="M362" i="1" l="1"/>
  <c r="D362" i="1"/>
  <c r="J362" i="1"/>
  <c r="L362" i="1"/>
  <c r="AY362" i="1"/>
  <c r="AZ362" i="1"/>
  <c r="BK363" i="1"/>
  <c r="BI363" i="1"/>
  <c r="AW363" i="1"/>
  <c r="BB362" i="1"/>
  <c r="AA362" i="1" l="1"/>
  <c r="I362" i="1"/>
  <c r="H362" i="1"/>
  <c r="R363" i="1"/>
  <c r="F363" i="1"/>
  <c r="T363" i="1"/>
  <c r="S363" i="1" s="1"/>
  <c r="K362" i="1"/>
  <c r="AX363" i="1"/>
  <c r="BF363" i="1"/>
  <c r="AS363" i="1"/>
  <c r="AR363" i="1"/>
  <c r="G363" i="1" l="1"/>
  <c r="O363" i="1"/>
  <c r="B363" i="1"/>
  <c r="A363" i="1"/>
  <c r="BD363" i="1"/>
  <c r="BJ364" i="1" s="1"/>
  <c r="AU363" i="1"/>
  <c r="BC363" i="1"/>
  <c r="BA363" i="1"/>
  <c r="M363" i="1" l="1"/>
  <c r="J363" i="1"/>
  <c r="L363" i="1"/>
  <c r="D363" i="1"/>
  <c r="BB363" i="1"/>
  <c r="BK364" i="1"/>
  <c r="AW364" i="1"/>
  <c r="BI364" i="1"/>
  <c r="AY363" i="1"/>
  <c r="AZ363" i="1"/>
  <c r="T364" i="1" l="1"/>
  <c r="S364" i="1" s="1"/>
  <c r="F364" i="1"/>
  <c r="R364" i="1"/>
  <c r="H363" i="1"/>
  <c r="AA363" i="1"/>
  <c r="I363" i="1"/>
  <c r="K363" i="1"/>
  <c r="AR364" i="1"/>
  <c r="AS364" i="1"/>
  <c r="AX364" i="1"/>
  <c r="BF364" i="1"/>
  <c r="B364" i="1" l="1"/>
  <c r="A364" i="1"/>
  <c r="G364" i="1"/>
  <c r="O364" i="1"/>
  <c r="BC364" i="1"/>
  <c r="AU364" i="1"/>
  <c r="BA364" i="1"/>
  <c r="BD364" i="1"/>
  <c r="BJ365" i="1" s="1"/>
  <c r="M364" i="1" l="1"/>
  <c r="D364" i="1"/>
  <c r="J364" i="1"/>
  <c r="L364" i="1"/>
  <c r="BB364" i="1"/>
  <c r="BK365" i="1"/>
  <c r="BI365" i="1"/>
  <c r="AW365" i="1"/>
  <c r="AZ364" i="1"/>
  <c r="AY364" i="1"/>
  <c r="R365" i="1" l="1"/>
  <c r="T365" i="1"/>
  <c r="S365" i="1" s="1"/>
  <c r="F365" i="1"/>
  <c r="I364" i="1"/>
  <c r="AA364" i="1"/>
  <c r="H364" i="1"/>
  <c r="K364" i="1"/>
  <c r="BF365" i="1"/>
  <c r="AX365" i="1"/>
  <c r="AR365" i="1"/>
  <c r="AS365" i="1"/>
  <c r="G365" i="1" l="1"/>
  <c r="O365" i="1"/>
  <c r="A365" i="1"/>
  <c r="B365" i="1"/>
  <c r="BA365" i="1"/>
  <c r="AU365" i="1"/>
  <c r="BC365" i="1"/>
  <c r="BD365" i="1"/>
  <c r="BJ366" i="1" s="1"/>
  <c r="M365" i="1" l="1"/>
  <c r="J365" i="1"/>
  <c r="L365" i="1"/>
  <c r="D365" i="1"/>
  <c r="AZ365" i="1"/>
  <c r="AY365" i="1"/>
  <c r="AW366" i="1"/>
  <c r="BK366" i="1"/>
  <c r="BI366" i="1"/>
  <c r="BB365" i="1"/>
  <c r="F366" i="1" l="1"/>
  <c r="R366" i="1"/>
  <c r="T366" i="1"/>
  <c r="S366" i="1" s="1"/>
  <c r="H365" i="1"/>
  <c r="I365" i="1"/>
  <c r="AA365" i="1"/>
  <c r="K365" i="1"/>
  <c r="AR366" i="1"/>
  <c r="AS366" i="1"/>
  <c r="AX366" i="1"/>
  <c r="BF366" i="1"/>
  <c r="B366" i="1" l="1"/>
  <c r="A366" i="1"/>
  <c r="O366" i="1"/>
  <c r="G366" i="1"/>
  <c r="AU366" i="1"/>
  <c r="BA366" i="1"/>
  <c r="BC366" i="1"/>
  <c r="BD366" i="1"/>
  <c r="BJ367" i="1" s="1"/>
  <c r="D366" i="1" l="1"/>
  <c r="L366" i="1"/>
  <c r="I366" i="1" s="1"/>
  <c r="J366" i="1"/>
  <c r="M366" i="1"/>
  <c r="AW367" i="1"/>
  <c r="BI367" i="1"/>
  <c r="BK367" i="1"/>
  <c r="BB366" i="1"/>
  <c r="AY366" i="1"/>
  <c r="AZ366" i="1"/>
  <c r="T367" i="1" l="1"/>
  <c r="S367" i="1" s="1"/>
  <c r="F367" i="1"/>
  <c r="R367" i="1"/>
  <c r="K366" i="1"/>
  <c r="AA366" i="1"/>
  <c r="H366" i="1"/>
  <c r="AR367" i="1"/>
  <c r="AS367" i="1"/>
  <c r="BF367" i="1"/>
  <c r="AX367" i="1"/>
  <c r="BD367" i="1" s="1"/>
  <c r="BJ368" i="1" s="1"/>
  <c r="A367" i="1" l="1"/>
  <c r="B367" i="1"/>
  <c r="G367" i="1"/>
  <c r="M367" i="1" s="1"/>
  <c r="O367" i="1"/>
  <c r="BK368" i="1"/>
  <c r="AW368" i="1"/>
  <c r="BI368" i="1"/>
  <c r="BA367" i="1"/>
  <c r="AU367" i="1"/>
  <c r="BC367" i="1"/>
  <c r="F368" i="1" l="1"/>
  <c r="R368" i="1"/>
  <c r="T368" i="1"/>
  <c r="S368" i="1" s="1"/>
  <c r="L367" i="1"/>
  <c r="J367" i="1"/>
  <c r="D367" i="1"/>
  <c r="AS368" i="1"/>
  <c r="AR368" i="1"/>
  <c r="BF368" i="1"/>
  <c r="AX368" i="1"/>
  <c r="BB367" i="1"/>
  <c r="AY367" i="1"/>
  <c r="AZ367" i="1"/>
  <c r="K367" i="1" l="1"/>
  <c r="AA367" i="1"/>
  <c r="I367" i="1"/>
  <c r="H367" i="1"/>
  <c r="B368" i="1"/>
  <c r="A368" i="1"/>
  <c r="O368" i="1"/>
  <c r="G368" i="1"/>
  <c r="BC368" i="1"/>
  <c r="BA368" i="1"/>
  <c r="AU368" i="1"/>
  <c r="BD368" i="1"/>
  <c r="BJ369" i="1" s="1"/>
  <c r="M368" i="1" l="1"/>
  <c r="D368" i="1"/>
  <c r="L368" i="1"/>
  <c r="J368" i="1"/>
  <c r="BB368" i="1"/>
  <c r="BI369" i="1"/>
  <c r="AW369" i="1"/>
  <c r="BK369" i="1"/>
  <c r="AY368" i="1"/>
  <c r="AZ368" i="1"/>
  <c r="K368" i="1" l="1"/>
  <c r="T369" i="1"/>
  <c r="S369" i="1" s="1"/>
  <c r="R369" i="1"/>
  <c r="F369" i="1"/>
  <c r="AA368" i="1"/>
  <c r="I368" i="1"/>
  <c r="H368" i="1"/>
  <c r="BF369" i="1"/>
  <c r="AX369" i="1"/>
  <c r="AS369" i="1"/>
  <c r="AR369" i="1"/>
  <c r="G369" i="1" l="1"/>
  <c r="O369" i="1"/>
  <c r="B369" i="1"/>
  <c r="A369" i="1"/>
  <c r="BA369" i="1"/>
  <c r="AU369" i="1"/>
  <c r="BC369" i="1"/>
  <c r="BD369" i="1"/>
  <c r="BJ370" i="1" s="1"/>
  <c r="M369" i="1" l="1"/>
  <c r="J369" i="1"/>
  <c r="D369" i="1"/>
  <c r="L369" i="1"/>
  <c r="BK370" i="1"/>
  <c r="AW370" i="1"/>
  <c r="BI370" i="1"/>
  <c r="BB369" i="1"/>
  <c r="AY369" i="1"/>
  <c r="AZ369" i="1"/>
  <c r="R370" i="1" l="1"/>
  <c r="T370" i="1"/>
  <c r="S370" i="1" s="1"/>
  <c r="F370" i="1"/>
  <c r="H369" i="1"/>
  <c r="I369" i="1"/>
  <c r="AA369" i="1"/>
  <c r="K369" i="1"/>
  <c r="AR370" i="1"/>
  <c r="AS370" i="1"/>
  <c r="AX370" i="1"/>
  <c r="BF370" i="1"/>
  <c r="G370" i="1" l="1"/>
  <c r="O370" i="1"/>
  <c r="A370" i="1"/>
  <c r="B370" i="1"/>
  <c r="AU370" i="1"/>
  <c r="BC370" i="1"/>
  <c r="BA370" i="1"/>
  <c r="BD370" i="1"/>
  <c r="BJ371" i="1" s="1"/>
  <c r="M370" i="1" l="1"/>
  <c r="D370" i="1"/>
  <c r="L370" i="1"/>
  <c r="J370" i="1"/>
  <c r="BB370" i="1"/>
  <c r="BI371" i="1"/>
  <c r="AW371" i="1"/>
  <c r="BK371" i="1"/>
  <c r="AZ370" i="1"/>
  <c r="AY370" i="1"/>
  <c r="F371" i="1" l="1"/>
  <c r="T371" i="1"/>
  <c r="S371" i="1" s="1"/>
  <c r="R371" i="1"/>
  <c r="K370" i="1"/>
  <c r="AA370" i="1"/>
  <c r="I370" i="1"/>
  <c r="H370" i="1"/>
  <c r="BF371" i="1"/>
  <c r="AX371" i="1"/>
  <c r="AR371" i="1"/>
  <c r="AS371" i="1"/>
  <c r="A371" i="1" l="1"/>
  <c r="B371" i="1"/>
  <c r="O371" i="1"/>
  <c r="G371" i="1"/>
  <c r="AU371" i="1"/>
  <c r="BA371" i="1"/>
  <c r="BC371" i="1"/>
  <c r="BD371" i="1"/>
  <c r="BJ372" i="1" s="1"/>
  <c r="L371" i="1" l="1"/>
  <c r="H371" i="1" s="1"/>
  <c r="J371" i="1"/>
  <c r="D371" i="1"/>
  <c r="M371" i="1"/>
  <c r="AW372" i="1"/>
  <c r="BI372" i="1"/>
  <c r="BK372" i="1"/>
  <c r="BB371" i="1"/>
  <c r="AZ371" i="1"/>
  <c r="AY371" i="1"/>
  <c r="K371" i="1" l="1"/>
  <c r="AA371" i="1"/>
  <c r="I371" i="1"/>
  <c r="R372" i="1"/>
  <c r="F372" i="1"/>
  <c r="T372" i="1"/>
  <c r="S372" i="1" s="1"/>
  <c r="AR372" i="1"/>
  <c r="AS372" i="1"/>
  <c r="AX372" i="1"/>
  <c r="BF372" i="1"/>
  <c r="O372" i="1" l="1"/>
  <c r="G372" i="1"/>
  <c r="B372" i="1"/>
  <c r="A372" i="1"/>
  <c r="BC372" i="1"/>
  <c r="AU372" i="1"/>
  <c r="BA372" i="1"/>
  <c r="BD372" i="1"/>
  <c r="BJ373" i="1" s="1"/>
  <c r="D372" i="1" l="1"/>
  <c r="L372" i="1"/>
  <c r="J372" i="1"/>
  <c r="M372" i="1"/>
  <c r="BB372" i="1"/>
  <c r="AW373" i="1"/>
  <c r="BK373" i="1"/>
  <c r="BI373" i="1"/>
  <c r="AY372" i="1"/>
  <c r="AZ372" i="1"/>
  <c r="K372" i="1" l="1"/>
  <c r="F373" i="1"/>
  <c r="T373" i="1"/>
  <c r="S373" i="1" s="1"/>
  <c r="R373" i="1"/>
  <c r="AA372" i="1"/>
  <c r="H372" i="1"/>
  <c r="I372" i="1"/>
  <c r="AR373" i="1"/>
  <c r="AS373" i="1"/>
  <c r="AX373" i="1"/>
  <c r="BD373" i="1" s="1"/>
  <c r="BJ374" i="1" s="1"/>
  <c r="BF373" i="1"/>
  <c r="A373" i="1" l="1"/>
  <c r="B373" i="1"/>
  <c r="O373" i="1"/>
  <c r="G373" i="1"/>
  <c r="BK374" i="1"/>
  <c r="BI374" i="1"/>
  <c r="AW374" i="1"/>
  <c r="BA373" i="1"/>
  <c r="AU373" i="1"/>
  <c r="BC373" i="1"/>
  <c r="D373" i="1" l="1"/>
  <c r="L373" i="1"/>
  <c r="H373" i="1" s="1"/>
  <c r="J373" i="1"/>
  <c r="M373" i="1"/>
  <c r="BF374" i="1"/>
  <c r="AX374" i="1"/>
  <c r="AR374" i="1"/>
  <c r="AS374" i="1"/>
  <c r="BB373" i="1"/>
  <c r="AZ373" i="1"/>
  <c r="AY373" i="1"/>
  <c r="AA373" i="1" l="1"/>
  <c r="I373" i="1"/>
  <c r="T374" i="1"/>
  <c r="S374" i="1" s="1"/>
  <c r="F374" i="1"/>
  <c r="R374" i="1"/>
  <c r="K373" i="1"/>
  <c r="BC374" i="1"/>
  <c r="AU374" i="1"/>
  <c r="BA374" i="1"/>
  <c r="BD374" i="1"/>
  <c r="BJ375" i="1" s="1"/>
  <c r="B374" i="1" l="1"/>
  <c r="A374" i="1"/>
  <c r="O374" i="1"/>
  <c r="G374" i="1"/>
  <c r="BB374" i="1"/>
  <c r="AZ374" i="1"/>
  <c r="AY374" i="1"/>
  <c r="BI375" i="1"/>
  <c r="BK375" i="1"/>
  <c r="AW375" i="1"/>
  <c r="D374" i="1" l="1"/>
  <c r="L374" i="1"/>
  <c r="J374" i="1"/>
  <c r="M374" i="1"/>
  <c r="BF375" i="1"/>
  <c r="AX375" i="1"/>
  <c r="AS375" i="1"/>
  <c r="AR375" i="1"/>
  <c r="K374" i="1" l="1"/>
  <c r="R375" i="1"/>
  <c r="F375" i="1"/>
  <c r="T375" i="1"/>
  <c r="S375" i="1" s="1"/>
  <c r="AA374" i="1"/>
  <c r="I374" i="1"/>
  <c r="H374" i="1"/>
  <c r="BA375" i="1"/>
  <c r="AU375" i="1"/>
  <c r="BC375" i="1"/>
  <c r="BD375" i="1"/>
  <c r="BJ376" i="1" s="1"/>
  <c r="G375" i="1" l="1"/>
  <c r="M375" i="1" s="1"/>
  <c r="O375" i="1"/>
  <c r="A375" i="1"/>
  <c r="B375" i="1"/>
  <c r="BI376" i="1"/>
  <c r="AW376" i="1"/>
  <c r="BK376" i="1"/>
  <c r="BB375" i="1"/>
  <c r="AZ375" i="1"/>
  <c r="AY375" i="1"/>
  <c r="T376" i="1" l="1"/>
  <c r="S376" i="1" s="1"/>
  <c r="R376" i="1"/>
  <c r="F376" i="1"/>
  <c r="J375" i="1"/>
  <c r="L375" i="1"/>
  <c r="D375" i="1"/>
  <c r="BF376" i="1"/>
  <c r="AX376" i="1"/>
  <c r="BD376" i="1" s="1"/>
  <c r="BJ377" i="1" s="1"/>
  <c r="AR376" i="1"/>
  <c r="AS376" i="1"/>
  <c r="G376" i="1" l="1"/>
  <c r="M376" i="1" s="1"/>
  <c r="O376" i="1"/>
  <c r="B376" i="1"/>
  <c r="A376" i="1"/>
  <c r="K375" i="1"/>
  <c r="AA375" i="1"/>
  <c r="I375" i="1"/>
  <c r="H375" i="1"/>
  <c r="BI377" i="1"/>
  <c r="BK377" i="1"/>
  <c r="AW377" i="1"/>
  <c r="BC376" i="1"/>
  <c r="AU376" i="1"/>
  <c r="BA376" i="1"/>
  <c r="F377" i="1" l="1"/>
  <c r="T377" i="1"/>
  <c r="S377" i="1" s="1"/>
  <c r="R377" i="1"/>
  <c r="D376" i="1"/>
  <c r="L376" i="1"/>
  <c r="J376" i="1"/>
  <c r="K376" i="1" s="1"/>
  <c r="BB376" i="1"/>
  <c r="AX377" i="1"/>
  <c r="BF377" i="1"/>
  <c r="AS377" i="1"/>
  <c r="AR377" i="1"/>
  <c r="AY376" i="1"/>
  <c r="AZ376" i="1"/>
  <c r="B377" i="1" l="1"/>
  <c r="A377" i="1"/>
  <c r="O377" i="1"/>
  <c r="G377" i="1"/>
  <c r="AA376" i="1"/>
  <c r="H376" i="1"/>
  <c r="I376" i="1"/>
  <c r="AU377" i="1"/>
  <c r="BC377" i="1"/>
  <c r="BA377" i="1"/>
  <c r="BD377" i="1"/>
  <c r="BJ378" i="1" s="1"/>
  <c r="L377" i="1" l="1"/>
  <c r="J377" i="1"/>
  <c r="D377" i="1"/>
  <c r="M377" i="1"/>
  <c r="BB377" i="1"/>
  <c r="BK378" i="1"/>
  <c r="AW378" i="1"/>
  <c r="BI378" i="1"/>
  <c r="AY377" i="1"/>
  <c r="AZ377" i="1"/>
  <c r="R378" i="1" l="1"/>
  <c r="F378" i="1"/>
  <c r="T378" i="1"/>
  <c r="S378" i="1" s="1"/>
  <c r="K377" i="1"/>
  <c r="AA377" i="1"/>
  <c r="H377" i="1"/>
  <c r="I377" i="1"/>
  <c r="AR378" i="1"/>
  <c r="AS378" i="1"/>
  <c r="BF378" i="1"/>
  <c r="AX378" i="1"/>
  <c r="BD378" i="1" s="1"/>
  <c r="BJ379" i="1" s="1"/>
  <c r="O378" i="1" l="1"/>
  <c r="G378" i="1"/>
  <c r="A378" i="1"/>
  <c r="B378" i="1"/>
  <c r="AW379" i="1"/>
  <c r="BI379" i="1"/>
  <c r="BK379" i="1"/>
  <c r="BA378" i="1"/>
  <c r="BC378" i="1"/>
  <c r="AU378" i="1"/>
  <c r="J378" i="1" l="1"/>
  <c r="D378" i="1"/>
  <c r="L378" i="1"/>
  <c r="I378" i="1" s="1"/>
  <c r="M378" i="1"/>
  <c r="AS379" i="1"/>
  <c r="AR379" i="1"/>
  <c r="BF379" i="1"/>
  <c r="AX379" i="1"/>
  <c r="BB378" i="1"/>
  <c r="AY378" i="1"/>
  <c r="AZ378" i="1"/>
  <c r="AA378" i="1" l="1"/>
  <c r="H378" i="1"/>
  <c r="R379" i="1"/>
  <c r="T379" i="1"/>
  <c r="S379" i="1" s="1"/>
  <c r="F379" i="1"/>
  <c r="K378" i="1"/>
  <c r="BA379" i="1"/>
  <c r="AU379" i="1"/>
  <c r="BC379" i="1"/>
  <c r="BD379" i="1"/>
  <c r="BJ380" i="1" s="1"/>
  <c r="O379" i="1" l="1"/>
  <c r="G379" i="1"/>
  <c r="B379" i="1"/>
  <c r="A379" i="1"/>
  <c r="AW380" i="1"/>
  <c r="BK380" i="1"/>
  <c r="BI380" i="1"/>
  <c r="BB379" i="1"/>
  <c r="AZ379" i="1"/>
  <c r="AY379" i="1"/>
  <c r="D379" i="1" l="1"/>
  <c r="J379" i="1"/>
  <c r="L379" i="1"/>
  <c r="M379" i="1"/>
  <c r="AS380" i="1"/>
  <c r="AR380" i="1"/>
  <c r="BF380" i="1"/>
  <c r="AX380" i="1"/>
  <c r="AA379" i="1" l="1"/>
  <c r="H379" i="1"/>
  <c r="I379" i="1"/>
  <c r="T380" i="1"/>
  <c r="S380" i="1" s="1"/>
  <c r="R380" i="1"/>
  <c r="F380" i="1"/>
  <c r="K379" i="1"/>
  <c r="AU380" i="1"/>
  <c r="BA380" i="1"/>
  <c r="BC380" i="1"/>
  <c r="BD380" i="1"/>
  <c r="BJ381" i="1" s="1"/>
  <c r="O380" i="1" l="1"/>
  <c r="G380" i="1"/>
  <c r="B380" i="1"/>
  <c r="A380" i="1"/>
  <c r="BK381" i="1"/>
  <c r="AW381" i="1"/>
  <c r="BI381" i="1"/>
  <c r="BB380" i="1"/>
  <c r="AZ380" i="1"/>
  <c r="AY380" i="1"/>
  <c r="D380" i="1" l="1"/>
  <c r="L380" i="1"/>
  <c r="J380" i="1"/>
  <c r="M380" i="1"/>
  <c r="AR381" i="1"/>
  <c r="AS381" i="1"/>
  <c r="AX381" i="1"/>
  <c r="BF381" i="1"/>
  <c r="K380" i="1" l="1"/>
  <c r="R381" i="1"/>
  <c r="F381" i="1"/>
  <c r="T381" i="1"/>
  <c r="S381" i="1" s="1"/>
  <c r="AA380" i="1"/>
  <c r="I380" i="1"/>
  <c r="H380" i="1"/>
  <c r="BC381" i="1"/>
  <c r="BA381" i="1"/>
  <c r="AU381" i="1"/>
  <c r="BD381" i="1"/>
  <c r="BJ382" i="1" s="1"/>
  <c r="G381" i="1" l="1"/>
  <c r="O381" i="1"/>
  <c r="A381" i="1"/>
  <c r="B381" i="1"/>
  <c r="BB381" i="1"/>
  <c r="BI382" i="1"/>
  <c r="AW382" i="1"/>
  <c r="BK382" i="1"/>
  <c r="AY381" i="1"/>
  <c r="AZ381" i="1"/>
  <c r="J381" i="1" l="1"/>
  <c r="D381" i="1"/>
  <c r="L381" i="1"/>
  <c r="M381" i="1"/>
  <c r="BF382" i="1"/>
  <c r="AX382" i="1"/>
  <c r="AR382" i="1"/>
  <c r="AS382" i="1"/>
  <c r="F382" i="1" l="1"/>
  <c r="R382" i="1"/>
  <c r="T382" i="1"/>
  <c r="S382" i="1" s="1"/>
  <c r="K381" i="1"/>
  <c r="AA381" i="1"/>
  <c r="H381" i="1"/>
  <c r="I381" i="1"/>
  <c r="BA382" i="1"/>
  <c r="AU382" i="1"/>
  <c r="BC382" i="1"/>
  <c r="BD382" i="1"/>
  <c r="BJ383" i="1" s="1"/>
  <c r="A382" i="1" l="1"/>
  <c r="B382" i="1"/>
  <c r="G382" i="1"/>
  <c r="O382" i="1"/>
  <c r="BI383" i="1"/>
  <c r="BK383" i="1"/>
  <c r="AW383" i="1"/>
  <c r="BB382" i="1"/>
  <c r="AY382" i="1"/>
  <c r="AZ382" i="1"/>
  <c r="J382" i="1" l="1"/>
  <c r="D382" i="1"/>
  <c r="L382" i="1"/>
  <c r="M382" i="1"/>
  <c r="AX383" i="1"/>
  <c r="BF383" i="1"/>
  <c r="AR383" i="1"/>
  <c r="AS383" i="1"/>
  <c r="F383" i="1" l="1"/>
  <c r="R383" i="1"/>
  <c r="T383" i="1"/>
  <c r="S383" i="1" s="1"/>
  <c r="K382" i="1"/>
  <c r="AA382" i="1"/>
  <c r="I382" i="1"/>
  <c r="H382" i="1"/>
  <c r="BC383" i="1"/>
  <c r="AU383" i="1"/>
  <c r="BA383" i="1"/>
  <c r="BD383" i="1"/>
  <c r="BJ384" i="1" s="1"/>
  <c r="B383" i="1" l="1"/>
  <c r="A383" i="1"/>
  <c r="O383" i="1"/>
  <c r="G383" i="1"/>
  <c r="BB383" i="1"/>
  <c r="AW384" i="1"/>
  <c r="BK384" i="1"/>
  <c r="BI384" i="1"/>
  <c r="AY383" i="1"/>
  <c r="AZ383" i="1"/>
  <c r="J383" i="1" l="1"/>
  <c r="L383" i="1"/>
  <c r="D383" i="1"/>
  <c r="M383" i="1"/>
  <c r="AR384" i="1"/>
  <c r="AS384" i="1"/>
  <c r="BF384" i="1"/>
  <c r="AX384" i="1"/>
  <c r="F384" i="1" l="1"/>
  <c r="R384" i="1"/>
  <c r="T384" i="1"/>
  <c r="S384" i="1" s="1"/>
  <c r="K383" i="1"/>
  <c r="AA383" i="1"/>
  <c r="H383" i="1"/>
  <c r="I383" i="1"/>
  <c r="AU384" i="1"/>
  <c r="BC384" i="1"/>
  <c r="BA384" i="1"/>
  <c r="BD384" i="1"/>
  <c r="BJ385" i="1" s="1"/>
  <c r="A384" i="1" l="1"/>
  <c r="B384" i="1"/>
  <c r="G384" i="1"/>
  <c r="O384" i="1"/>
  <c r="BB384" i="1"/>
  <c r="BK385" i="1"/>
  <c r="BI385" i="1"/>
  <c r="AW385" i="1"/>
  <c r="AY384" i="1"/>
  <c r="AZ384" i="1"/>
  <c r="L384" i="1" l="1"/>
  <c r="D384" i="1"/>
  <c r="J384" i="1"/>
  <c r="M384" i="1"/>
  <c r="BF385" i="1"/>
  <c r="AX385" i="1"/>
  <c r="BD385" i="1" s="1"/>
  <c r="BJ386" i="1" s="1"/>
  <c r="AR385" i="1"/>
  <c r="AS385" i="1"/>
  <c r="K384" i="1" l="1"/>
  <c r="R385" i="1"/>
  <c r="F385" i="1"/>
  <c r="T385" i="1"/>
  <c r="S385" i="1" s="1"/>
  <c r="AA384" i="1"/>
  <c r="H384" i="1"/>
  <c r="I384" i="1"/>
  <c r="AW386" i="1"/>
  <c r="BK386" i="1"/>
  <c r="BI386" i="1"/>
  <c r="BC385" i="1"/>
  <c r="BA385" i="1"/>
  <c r="AU385" i="1"/>
  <c r="O385" i="1" l="1"/>
  <c r="G385" i="1"/>
  <c r="A385" i="1"/>
  <c r="B385" i="1"/>
  <c r="BB385" i="1"/>
  <c r="AR386" i="1"/>
  <c r="AS386" i="1"/>
  <c r="AX386" i="1"/>
  <c r="BF386" i="1"/>
  <c r="AZ385" i="1"/>
  <c r="AY385" i="1"/>
  <c r="L385" i="1" l="1"/>
  <c r="J385" i="1"/>
  <c r="D385" i="1"/>
  <c r="M385" i="1"/>
  <c r="AU386" i="1"/>
  <c r="BA386" i="1"/>
  <c r="BC386" i="1"/>
  <c r="BD386" i="1"/>
  <c r="BJ387" i="1" s="1"/>
  <c r="K385" i="1" l="1"/>
  <c r="R386" i="1"/>
  <c r="F386" i="1"/>
  <c r="T386" i="1"/>
  <c r="S386" i="1" s="1"/>
  <c r="AA385" i="1"/>
  <c r="I385" i="1"/>
  <c r="H385" i="1"/>
  <c r="AZ386" i="1"/>
  <c r="AY386" i="1"/>
  <c r="BK387" i="1"/>
  <c r="BI387" i="1"/>
  <c r="AW387" i="1"/>
  <c r="BB386" i="1"/>
  <c r="G386" i="1" l="1"/>
  <c r="M386" i="1" s="1"/>
  <c r="O386" i="1"/>
  <c r="A386" i="1"/>
  <c r="B386" i="1"/>
  <c r="AX387" i="1"/>
  <c r="BD387" i="1" s="1"/>
  <c r="BJ388" i="1" s="1"/>
  <c r="BF387" i="1"/>
  <c r="AS387" i="1"/>
  <c r="AR387" i="1"/>
  <c r="R387" i="1" l="1"/>
  <c r="F387" i="1"/>
  <c r="T387" i="1"/>
  <c r="S387" i="1" s="1"/>
  <c r="L386" i="1"/>
  <c r="J386" i="1"/>
  <c r="D386" i="1"/>
  <c r="AW388" i="1"/>
  <c r="BK388" i="1"/>
  <c r="BI388" i="1"/>
  <c r="AU387" i="1"/>
  <c r="BA387" i="1"/>
  <c r="BC387" i="1"/>
  <c r="G387" i="1" l="1"/>
  <c r="M387" i="1" s="1"/>
  <c r="O387" i="1"/>
  <c r="A387" i="1"/>
  <c r="B387" i="1"/>
  <c r="K386" i="1"/>
  <c r="AA386" i="1"/>
  <c r="H386" i="1"/>
  <c r="I386" i="1"/>
  <c r="BB387" i="1"/>
  <c r="AS388" i="1"/>
  <c r="AR388" i="1"/>
  <c r="AX388" i="1"/>
  <c r="BD388" i="1" s="1"/>
  <c r="BJ389" i="1" s="1"/>
  <c r="BF388" i="1"/>
  <c r="AZ387" i="1"/>
  <c r="AY387" i="1"/>
  <c r="T388" i="1" l="1"/>
  <c r="S388" i="1" s="1"/>
  <c r="F388" i="1"/>
  <c r="R388" i="1"/>
  <c r="L387" i="1"/>
  <c r="J387" i="1"/>
  <c r="D387" i="1"/>
  <c r="AW389" i="1"/>
  <c r="BI389" i="1"/>
  <c r="BK389" i="1"/>
  <c r="BA388" i="1"/>
  <c r="BC388" i="1"/>
  <c r="AU388" i="1"/>
  <c r="A388" i="1" l="1"/>
  <c r="B388" i="1"/>
  <c r="O388" i="1"/>
  <c r="G388" i="1"/>
  <c r="M388" i="1" s="1"/>
  <c r="K387" i="1"/>
  <c r="AA387" i="1"/>
  <c r="I387" i="1"/>
  <c r="H387" i="1"/>
  <c r="BB388" i="1"/>
  <c r="AS389" i="1"/>
  <c r="AR389" i="1"/>
  <c r="BF389" i="1"/>
  <c r="AX389" i="1"/>
  <c r="AY388" i="1"/>
  <c r="AZ388" i="1"/>
  <c r="T389" i="1" l="1"/>
  <c r="S389" i="1" s="1"/>
  <c r="R389" i="1"/>
  <c r="F389" i="1"/>
  <c r="J388" i="1"/>
  <c r="L388" i="1"/>
  <c r="D388" i="1"/>
  <c r="AU389" i="1"/>
  <c r="BA389" i="1"/>
  <c r="BC389" i="1"/>
  <c r="BD389" i="1"/>
  <c r="BJ390" i="1" s="1"/>
  <c r="O389" i="1" l="1"/>
  <c r="G389" i="1"/>
  <c r="M389" i="1" s="1"/>
  <c r="A389" i="1"/>
  <c r="B389" i="1"/>
  <c r="K388" i="1"/>
  <c r="AA388" i="1"/>
  <c r="H388" i="1"/>
  <c r="I388" i="1"/>
  <c r="BK390" i="1"/>
  <c r="AW390" i="1"/>
  <c r="BI390" i="1"/>
  <c r="BB389" i="1"/>
  <c r="AZ389" i="1"/>
  <c r="AY389" i="1"/>
  <c r="T390" i="1" l="1"/>
  <c r="S390" i="1" s="1"/>
  <c r="R390" i="1"/>
  <c r="F390" i="1"/>
  <c r="L389" i="1"/>
  <c r="I389" i="1" s="1"/>
  <c r="D389" i="1"/>
  <c r="J389" i="1"/>
  <c r="AR390" i="1"/>
  <c r="AS390" i="1"/>
  <c r="AX390" i="1"/>
  <c r="BF390" i="1"/>
  <c r="K389" i="1" l="1"/>
  <c r="O390" i="1"/>
  <c r="G390" i="1"/>
  <c r="M390" i="1" s="1"/>
  <c r="A390" i="1"/>
  <c r="B390" i="1"/>
  <c r="AA389" i="1"/>
  <c r="H389" i="1"/>
  <c r="BC390" i="1"/>
  <c r="AU390" i="1"/>
  <c r="BA390" i="1"/>
  <c r="BD390" i="1"/>
  <c r="BJ391" i="1" s="1"/>
  <c r="T391" i="1" l="1"/>
  <c r="S391" i="1" s="1"/>
  <c r="R391" i="1"/>
  <c r="F391" i="1"/>
  <c r="D390" i="1"/>
  <c r="L390" i="1"/>
  <c r="J390" i="1"/>
  <c r="BB390" i="1"/>
  <c r="BI391" i="1"/>
  <c r="BK391" i="1"/>
  <c r="AW391" i="1"/>
  <c r="AY390" i="1"/>
  <c r="AZ390" i="1"/>
  <c r="K390" i="1" l="1"/>
  <c r="G391" i="1"/>
  <c r="M391" i="1" s="1"/>
  <c r="O391" i="1"/>
  <c r="A391" i="1"/>
  <c r="B391" i="1"/>
  <c r="AA390" i="1"/>
  <c r="I390" i="1"/>
  <c r="H390" i="1"/>
  <c r="AX391" i="1"/>
  <c r="BD391" i="1" s="1"/>
  <c r="BJ392" i="1" s="1"/>
  <c r="BF391" i="1"/>
  <c r="AR391" i="1"/>
  <c r="AS391" i="1"/>
  <c r="T392" i="1" l="1"/>
  <c r="S392" i="1" s="1"/>
  <c r="F392" i="1"/>
  <c r="R392" i="1"/>
  <c r="L391" i="1"/>
  <c r="J391" i="1"/>
  <c r="D391" i="1"/>
  <c r="AW392" i="1"/>
  <c r="BI392" i="1"/>
  <c r="BK392" i="1"/>
  <c r="BA391" i="1"/>
  <c r="BC391" i="1"/>
  <c r="AU391" i="1"/>
  <c r="K391" i="1" l="1"/>
  <c r="A392" i="1"/>
  <c r="B392" i="1"/>
  <c r="G392" i="1"/>
  <c r="O392" i="1"/>
  <c r="AA391" i="1"/>
  <c r="I391" i="1"/>
  <c r="H391" i="1"/>
  <c r="BB391" i="1"/>
  <c r="AR392" i="1"/>
  <c r="AS392" i="1"/>
  <c r="AX392" i="1"/>
  <c r="BD392" i="1" s="1"/>
  <c r="BJ393" i="1" s="1"/>
  <c r="BF392" i="1"/>
  <c r="AY391" i="1"/>
  <c r="AZ391" i="1"/>
  <c r="J392" i="1" l="1"/>
  <c r="D392" i="1"/>
  <c r="L392" i="1"/>
  <c r="M392" i="1"/>
  <c r="BK393" i="1"/>
  <c r="AW393" i="1"/>
  <c r="BI393" i="1"/>
  <c r="BC392" i="1"/>
  <c r="AU392" i="1"/>
  <c r="BA392" i="1"/>
  <c r="T393" i="1" l="1"/>
  <c r="S393" i="1" s="1"/>
  <c r="F393" i="1"/>
  <c r="R393" i="1"/>
  <c r="K392" i="1"/>
  <c r="AA392" i="1"/>
  <c r="I392" i="1"/>
  <c r="H392" i="1"/>
  <c r="BB392" i="1"/>
  <c r="AR393" i="1"/>
  <c r="AS393" i="1"/>
  <c r="BF393" i="1"/>
  <c r="AX393" i="1"/>
  <c r="AY392" i="1"/>
  <c r="AZ392" i="1"/>
  <c r="B393" i="1" l="1"/>
  <c r="A393" i="1"/>
  <c r="G393" i="1"/>
  <c r="O393" i="1"/>
  <c r="AU393" i="1"/>
  <c r="BC393" i="1"/>
  <c r="BA393" i="1"/>
  <c r="BD393" i="1"/>
  <c r="BJ394" i="1" s="1"/>
  <c r="L393" i="1" l="1"/>
  <c r="D393" i="1"/>
  <c r="J393" i="1"/>
  <c r="M393" i="1"/>
  <c r="BB393" i="1"/>
  <c r="BI394" i="1"/>
  <c r="BK394" i="1"/>
  <c r="AW394" i="1"/>
  <c r="AY393" i="1"/>
  <c r="AZ393" i="1"/>
  <c r="K393" i="1" l="1"/>
  <c r="R394" i="1"/>
  <c r="T394" i="1"/>
  <c r="S394" i="1" s="1"/>
  <c r="F394" i="1"/>
  <c r="AA393" i="1"/>
  <c r="H393" i="1"/>
  <c r="I393" i="1"/>
  <c r="AX394" i="1"/>
  <c r="BF394" i="1"/>
  <c r="AR394" i="1"/>
  <c r="AS394" i="1"/>
  <c r="O394" i="1" l="1"/>
  <c r="G394" i="1"/>
  <c r="M394" i="1" s="1"/>
  <c r="A394" i="1"/>
  <c r="B394" i="1"/>
  <c r="AU394" i="1"/>
  <c r="BA394" i="1"/>
  <c r="BC394" i="1"/>
  <c r="BD394" i="1"/>
  <c r="BJ395" i="1" s="1"/>
  <c r="T395" i="1" l="1"/>
  <c r="S395" i="1" s="1"/>
  <c r="R395" i="1"/>
  <c r="F395" i="1"/>
  <c r="D394" i="1"/>
  <c r="L394" i="1"/>
  <c r="J394" i="1"/>
  <c r="BI395" i="1"/>
  <c r="AW395" i="1"/>
  <c r="BK395" i="1"/>
  <c r="BB394" i="1"/>
  <c r="AY394" i="1"/>
  <c r="AZ394" i="1"/>
  <c r="K394" i="1" l="1"/>
  <c r="G395" i="1"/>
  <c r="M395" i="1" s="1"/>
  <c r="O395" i="1"/>
  <c r="B395" i="1"/>
  <c r="A395" i="1"/>
  <c r="AA394" i="1"/>
  <c r="H394" i="1"/>
  <c r="I394" i="1"/>
  <c r="BF395" i="1"/>
  <c r="AX395" i="1"/>
  <c r="BD395" i="1" s="1"/>
  <c r="BJ396" i="1" s="1"/>
  <c r="AR395" i="1"/>
  <c r="AS395" i="1"/>
  <c r="F396" i="1" l="1"/>
  <c r="R396" i="1"/>
  <c r="T396" i="1"/>
  <c r="S396" i="1" s="1"/>
  <c r="L395" i="1"/>
  <c r="J395" i="1"/>
  <c r="D395" i="1"/>
  <c r="AW396" i="1"/>
  <c r="BI396" i="1"/>
  <c r="BK396" i="1"/>
  <c r="AU395" i="1"/>
  <c r="BC395" i="1"/>
  <c r="BA395" i="1"/>
  <c r="K395" i="1" l="1"/>
  <c r="A396" i="1"/>
  <c r="B396" i="1"/>
  <c r="G396" i="1"/>
  <c r="O396" i="1"/>
  <c r="AA395" i="1"/>
  <c r="H395" i="1"/>
  <c r="I395" i="1"/>
  <c r="BB395" i="1"/>
  <c r="AR396" i="1"/>
  <c r="AS396" i="1"/>
  <c r="BF396" i="1"/>
  <c r="AX396" i="1"/>
  <c r="BD396" i="1" s="1"/>
  <c r="BJ397" i="1" s="1"/>
  <c r="AZ395" i="1"/>
  <c r="AY395" i="1"/>
  <c r="L396" i="1" l="1"/>
  <c r="J396" i="1"/>
  <c r="D396" i="1"/>
  <c r="M396" i="1"/>
  <c r="BK397" i="1"/>
  <c r="AW397" i="1"/>
  <c r="BI397" i="1"/>
  <c r="AU396" i="1"/>
  <c r="BA396" i="1"/>
  <c r="BC396" i="1"/>
  <c r="K396" i="1" l="1"/>
  <c r="R397" i="1"/>
  <c r="T397" i="1"/>
  <c r="S397" i="1" s="1"/>
  <c r="F397" i="1"/>
  <c r="AA396" i="1"/>
  <c r="H396" i="1"/>
  <c r="I396" i="1"/>
  <c r="BB396" i="1"/>
  <c r="AR397" i="1"/>
  <c r="AS397" i="1"/>
  <c r="AX397" i="1"/>
  <c r="BF397" i="1"/>
  <c r="AZ396" i="1"/>
  <c r="AY396" i="1"/>
  <c r="G397" i="1" l="1"/>
  <c r="O397" i="1"/>
  <c r="B397" i="1"/>
  <c r="A397" i="1"/>
  <c r="BC397" i="1"/>
  <c r="AU397" i="1"/>
  <c r="BA397" i="1"/>
  <c r="BD397" i="1"/>
  <c r="BJ398" i="1" s="1"/>
  <c r="L397" i="1" l="1"/>
  <c r="D397" i="1"/>
  <c r="J397" i="1"/>
  <c r="M397" i="1"/>
  <c r="BB397" i="1"/>
  <c r="AW398" i="1"/>
  <c r="BI398" i="1"/>
  <c r="BK398" i="1"/>
  <c r="AY397" i="1"/>
  <c r="AZ397" i="1"/>
  <c r="K397" i="1" l="1"/>
  <c r="F398" i="1"/>
  <c r="R398" i="1"/>
  <c r="T398" i="1"/>
  <c r="S398" i="1" s="1"/>
  <c r="AA397" i="1"/>
  <c r="I397" i="1"/>
  <c r="H397" i="1"/>
  <c r="AS398" i="1"/>
  <c r="AR398" i="1"/>
  <c r="AX398" i="1"/>
  <c r="BD398" i="1" s="1"/>
  <c r="BJ399" i="1" s="1"/>
  <c r="BF398" i="1"/>
  <c r="B398" i="1" l="1"/>
  <c r="A398" i="1"/>
  <c r="O398" i="1"/>
  <c r="G398" i="1"/>
  <c r="M398" i="1" s="1"/>
  <c r="AW399" i="1"/>
  <c r="BK399" i="1"/>
  <c r="BI399" i="1"/>
  <c r="BC398" i="1"/>
  <c r="AU398" i="1"/>
  <c r="BA398" i="1"/>
  <c r="F399" i="1" l="1"/>
  <c r="R399" i="1"/>
  <c r="T399" i="1"/>
  <c r="S399" i="1" s="1"/>
  <c r="L398" i="1"/>
  <c r="D398" i="1"/>
  <c r="J398" i="1"/>
  <c r="BB398" i="1"/>
  <c r="AS399" i="1"/>
  <c r="AR399" i="1"/>
  <c r="AX399" i="1"/>
  <c r="BF399" i="1"/>
  <c r="AZ398" i="1"/>
  <c r="AY398" i="1"/>
  <c r="K398" i="1" l="1"/>
  <c r="A399" i="1"/>
  <c r="B399" i="1"/>
  <c r="O399" i="1"/>
  <c r="G399" i="1"/>
  <c r="M399" i="1" s="1"/>
  <c r="AA398" i="1"/>
  <c r="H398" i="1"/>
  <c r="I398" i="1"/>
  <c r="BC399" i="1"/>
  <c r="AU399" i="1"/>
  <c r="BA399" i="1"/>
  <c r="BD399" i="1"/>
  <c r="BJ400" i="1" s="1"/>
  <c r="T400" i="1" l="1"/>
  <c r="S400" i="1" s="1"/>
  <c r="F400" i="1"/>
  <c r="R400" i="1"/>
  <c r="L399" i="1"/>
  <c r="J399" i="1"/>
  <c r="D399" i="1"/>
  <c r="BB399" i="1"/>
  <c r="BI400" i="1"/>
  <c r="BK400" i="1"/>
  <c r="AW400" i="1"/>
  <c r="AY399" i="1"/>
  <c r="AZ399" i="1"/>
  <c r="K399" i="1" l="1"/>
  <c r="B400" i="1"/>
  <c r="A400" i="1"/>
  <c r="O400" i="1"/>
  <c r="G400" i="1"/>
  <c r="M400" i="1" s="1"/>
  <c r="AA399" i="1"/>
  <c r="I399" i="1"/>
  <c r="H399" i="1"/>
  <c r="BF400" i="1"/>
  <c r="AX400" i="1"/>
  <c r="BD400" i="1" s="1"/>
  <c r="BJ401" i="1" s="1"/>
  <c r="AR400" i="1"/>
  <c r="AS400" i="1"/>
  <c r="T401" i="1" l="1"/>
  <c r="S401" i="1" s="1"/>
  <c r="R401" i="1"/>
  <c r="F401" i="1"/>
  <c r="L400" i="1"/>
  <c r="D400" i="1"/>
  <c r="J400" i="1"/>
  <c r="AW401" i="1"/>
  <c r="BK401" i="1"/>
  <c r="BI401" i="1"/>
  <c r="BC400" i="1"/>
  <c r="AU400" i="1"/>
  <c r="BA400" i="1"/>
  <c r="K400" i="1" l="1"/>
  <c r="G401" i="1"/>
  <c r="M401" i="1" s="1"/>
  <c r="O401" i="1"/>
  <c r="B401" i="1"/>
  <c r="A401" i="1"/>
  <c r="AA400" i="1"/>
  <c r="I400" i="1"/>
  <c r="H400" i="1"/>
  <c r="BB400" i="1"/>
  <c r="AS401" i="1"/>
  <c r="AR401" i="1"/>
  <c r="AX401" i="1"/>
  <c r="BF401" i="1"/>
  <c r="AZ400" i="1"/>
  <c r="AY400" i="1"/>
  <c r="R402" i="1" l="1"/>
  <c r="T402" i="1"/>
  <c r="S402" i="1" s="1"/>
  <c r="F402" i="1"/>
  <c r="D401" i="1"/>
  <c r="J401" i="1"/>
  <c r="L401" i="1"/>
  <c r="I401" i="1" s="1"/>
  <c r="BA401" i="1"/>
  <c r="BC401" i="1"/>
  <c r="AU401" i="1"/>
  <c r="BD401" i="1"/>
  <c r="BJ402" i="1" s="1"/>
  <c r="AA401" i="1" l="1"/>
  <c r="H401" i="1"/>
  <c r="O402" i="1"/>
  <c r="G402" i="1"/>
  <c r="M402" i="1" s="1"/>
  <c r="A402" i="1"/>
  <c r="B402" i="1"/>
  <c r="K401" i="1"/>
  <c r="BI402" i="1"/>
  <c r="AW402" i="1"/>
  <c r="BK402" i="1"/>
  <c r="BB401" i="1"/>
  <c r="AZ401" i="1"/>
  <c r="AY401" i="1"/>
  <c r="R403" i="1" l="1"/>
  <c r="F403" i="1"/>
  <c r="T403" i="1"/>
  <c r="S403" i="1" s="1"/>
  <c r="J402" i="1"/>
  <c r="D402" i="1"/>
  <c r="L402" i="1"/>
  <c r="AX402" i="1"/>
  <c r="BD402" i="1" s="1"/>
  <c r="BJ403" i="1" s="1"/>
  <c r="BF402" i="1"/>
  <c r="AR402" i="1"/>
  <c r="AS402" i="1"/>
  <c r="AA402" i="1" l="1"/>
  <c r="I402" i="1"/>
  <c r="H402" i="1"/>
  <c r="O403" i="1"/>
  <c r="G403" i="1"/>
  <c r="M403" i="1" s="1"/>
  <c r="B403" i="1"/>
  <c r="A403" i="1"/>
  <c r="K402" i="1"/>
  <c r="BI403" i="1"/>
  <c r="AW403" i="1"/>
  <c r="BK403" i="1"/>
  <c r="BC402" i="1"/>
  <c r="BA402" i="1"/>
  <c r="AU402" i="1"/>
  <c r="R404" i="1" l="1"/>
  <c r="T404" i="1"/>
  <c r="S404" i="1" s="1"/>
  <c r="F404" i="1"/>
  <c r="D403" i="1"/>
  <c r="L403" i="1"/>
  <c r="J403" i="1"/>
  <c r="AY402" i="1"/>
  <c r="AZ402" i="1"/>
  <c r="BB402" i="1"/>
  <c r="AX403" i="1"/>
  <c r="BF403" i="1"/>
  <c r="AS403" i="1"/>
  <c r="AR403" i="1"/>
  <c r="K403" i="1" l="1"/>
  <c r="M404" i="1"/>
  <c r="O404" i="1"/>
  <c r="G404" i="1"/>
  <c r="B404" i="1"/>
  <c r="A404" i="1"/>
  <c r="AA403" i="1"/>
  <c r="H403" i="1"/>
  <c r="I403" i="1"/>
  <c r="AU403" i="1"/>
  <c r="BA403" i="1"/>
  <c r="BC403" i="1"/>
  <c r="BD403" i="1"/>
  <c r="BJ404" i="1" s="1"/>
  <c r="R405" i="1" l="1"/>
  <c r="M405" i="1" s="1"/>
  <c r="T405" i="1"/>
  <c r="S405" i="1" s="1"/>
  <c r="F405" i="1"/>
  <c r="L404" i="1"/>
  <c r="D404" i="1"/>
  <c r="J404" i="1"/>
  <c r="AY403" i="1"/>
  <c r="AZ403" i="1"/>
  <c r="AW404" i="1"/>
  <c r="BI404" i="1"/>
  <c r="BK404" i="1"/>
  <c r="BB403" i="1"/>
  <c r="O405" i="1" l="1"/>
  <c r="G405" i="1"/>
  <c r="B405" i="1"/>
  <c r="A405" i="1"/>
  <c r="K404" i="1"/>
  <c r="AA404" i="1"/>
  <c r="H404" i="1"/>
  <c r="I404" i="1"/>
  <c r="T406" i="1"/>
  <c r="S406" i="1" s="1"/>
  <c r="R406" i="1"/>
  <c r="F406" i="1"/>
  <c r="AS404" i="1"/>
  <c r="AR404" i="1"/>
  <c r="BF404" i="1"/>
  <c r="AX404" i="1"/>
  <c r="BD404" i="1" s="1"/>
  <c r="BJ405" i="1" s="1"/>
  <c r="L405" i="1" l="1"/>
  <c r="J405" i="1"/>
  <c r="D405" i="1"/>
  <c r="O406" i="1"/>
  <c r="G406" i="1"/>
  <c r="A406" i="1"/>
  <c r="B406" i="1"/>
  <c r="BK405" i="1"/>
  <c r="AW405" i="1"/>
  <c r="BI405" i="1"/>
  <c r="BA404" i="1"/>
  <c r="AU404" i="1"/>
  <c r="BC404" i="1"/>
  <c r="K405" i="1" l="1"/>
  <c r="H405" i="1"/>
  <c r="I405" i="1"/>
  <c r="AA405" i="1"/>
  <c r="L406" i="1"/>
  <c r="D406" i="1"/>
  <c r="J406" i="1"/>
  <c r="M406" i="1"/>
  <c r="AS405" i="1"/>
  <c r="AR405" i="1"/>
  <c r="AX405" i="1"/>
  <c r="BD405" i="1" s="1"/>
  <c r="BJ406" i="1" s="1"/>
  <c r="BF405" i="1"/>
  <c r="BB404" i="1"/>
  <c r="AY404" i="1"/>
  <c r="AZ404" i="1"/>
  <c r="K406" i="1" l="1"/>
  <c r="AA406" i="1"/>
  <c r="H406" i="1"/>
  <c r="I406" i="1"/>
  <c r="F407" i="1"/>
  <c r="R407" i="1"/>
  <c r="T407" i="1"/>
  <c r="S407" i="1" s="1"/>
  <c r="BI406" i="1"/>
  <c r="BK406" i="1"/>
  <c r="AW406" i="1"/>
  <c r="BC405" i="1"/>
  <c r="AU405" i="1"/>
  <c r="BA405" i="1"/>
  <c r="A407" i="1" l="1"/>
  <c r="B407" i="1"/>
  <c r="O407" i="1"/>
  <c r="G407" i="1"/>
  <c r="BB405" i="1"/>
  <c r="AX406" i="1"/>
  <c r="BF406" i="1"/>
  <c r="AS406" i="1"/>
  <c r="AR406" i="1"/>
  <c r="AY405" i="1"/>
  <c r="AZ405" i="1"/>
  <c r="M407" i="1" l="1"/>
  <c r="J407" i="1"/>
  <c r="D407" i="1"/>
  <c r="L407" i="1"/>
  <c r="BA406" i="1"/>
  <c r="BC406" i="1"/>
  <c r="AU406" i="1"/>
  <c r="BD406" i="1"/>
  <c r="BJ407" i="1" s="1"/>
  <c r="T408" i="1" l="1"/>
  <c r="S408" i="1" s="1"/>
  <c r="R408" i="1"/>
  <c r="F408" i="1"/>
  <c r="H407" i="1"/>
  <c r="I407" i="1"/>
  <c r="AA407" i="1"/>
  <c r="K407" i="1"/>
  <c r="BB406" i="1"/>
  <c r="AW407" i="1"/>
  <c r="BK407" i="1"/>
  <c r="BI407" i="1"/>
  <c r="AZ406" i="1"/>
  <c r="AY406" i="1"/>
  <c r="G408" i="1" l="1"/>
  <c r="O408" i="1"/>
  <c r="B408" i="1"/>
  <c r="A408" i="1"/>
  <c r="AR407" i="1"/>
  <c r="AS407" i="1"/>
  <c r="BF407" i="1"/>
  <c r="AX407" i="1"/>
  <c r="BD407" i="1" s="1"/>
  <c r="BJ408" i="1" s="1"/>
  <c r="M408" i="1" l="1"/>
  <c r="J408" i="1"/>
  <c r="D408" i="1"/>
  <c r="L408" i="1"/>
  <c r="AW408" i="1"/>
  <c r="BI408" i="1"/>
  <c r="BK408" i="1"/>
  <c r="AU407" i="1"/>
  <c r="BC407" i="1"/>
  <c r="BA407" i="1"/>
  <c r="F409" i="1" l="1"/>
  <c r="R409" i="1"/>
  <c r="T409" i="1"/>
  <c r="S409" i="1" s="1"/>
  <c r="H408" i="1"/>
  <c r="I408" i="1"/>
  <c r="AA408" i="1"/>
  <c r="K408" i="1"/>
  <c r="AS408" i="1"/>
  <c r="AR408" i="1"/>
  <c r="BF408" i="1"/>
  <c r="AX408" i="1"/>
  <c r="BD408" i="1" s="1"/>
  <c r="BJ409" i="1" s="1"/>
  <c r="BB407" i="1"/>
  <c r="AZ407" i="1"/>
  <c r="AY407" i="1"/>
  <c r="A409" i="1" l="1"/>
  <c r="B409" i="1"/>
  <c r="O409" i="1"/>
  <c r="G409" i="1"/>
  <c r="BI409" i="1"/>
  <c r="AW409" i="1"/>
  <c r="BK409" i="1"/>
  <c r="AU408" i="1"/>
  <c r="BC408" i="1"/>
  <c r="BA408" i="1"/>
  <c r="BB408" i="1" s="1"/>
  <c r="M409" i="1" l="1"/>
  <c r="J409" i="1"/>
  <c r="D409" i="1"/>
  <c r="L409" i="1"/>
  <c r="AX409" i="1"/>
  <c r="BD409" i="1" s="1"/>
  <c r="BJ410" i="1" s="1"/>
  <c r="BF409" i="1"/>
  <c r="AR409" i="1"/>
  <c r="AS409" i="1"/>
  <c r="AZ408" i="1"/>
  <c r="AY408" i="1"/>
  <c r="R410" i="1" l="1"/>
  <c r="F410" i="1"/>
  <c r="T410" i="1"/>
  <c r="S410" i="1" s="1"/>
  <c r="I409" i="1"/>
  <c r="H409" i="1"/>
  <c r="AA409" i="1"/>
  <c r="K409" i="1"/>
  <c r="BI410" i="1"/>
  <c r="AW410" i="1"/>
  <c r="BK410" i="1"/>
  <c r="BA409" i="1"/>
  <c r="AU409" i="1"/>
  <c r="BC409" i="1"/>
  <c r="O410" i="1" l="1"/>
  <c r="G410" i="1"/>
  <c r="B410" i="1"/>
  <c r="A410" i="1"/>
  <c r="BF410" i="1"/>
  <c r="AX410" i="1"/>
  <c r="BD410" i="1" s="1"/>
  <c r="BJ411" i="1" s="1"/>
  <c r="AS410" i="1"/>
  <c r="AR410" i="1"/>
  <c r="BB409" i="1"/>
  <c r="AY409" i="1"/>
  <c r="AZ409" i="1"/>
  <c r="M410" i="1" l="1"/>
  <c r="D410" i="1"/>
  <c r="L410" i="1"/>
  <c r="J410" i="1"/>
  <c r="BK411" i="1"/>
  <c r="BI411" i="1"/>
  <c r="AW411" i="1"/>
  <c r="BA410" i="1"/>
  <c r="BC410" i="1"/>
  <c r="AU410" i="1"/>
  <c r="K410" i="1" l="1"/>
  <c r="T411" i="1"/>
  <c r="S411" i="1" s="1"/>
  <c r="F411" i="1"/>
  <c r="R411" i="1"/>
  <c r="H410" i="1"/>
  <c r="I410" i="1"/>
  <c r="AA410" i="1"/>
  <c r="BB410" i="1"/>
  <c r="AZ410" i="1"/>
  <c r="AY410" i="1"/>
  <c r="BF411" i="1"/>
  <c r="AX411" i="1"/>
  <c r="BD411" i="1" s="1"/>
  <c r="BJ412" i="1" s="1"/>
  <c r="AR411" i="1"/>
  <c r="AS411" i="1"/>
  <c r="A411" i="1" l="1"/>
  <c r="B411" i="1"/>
  <c r="O411" i="1"/>
  <c r="G411" i="1"/>
  <c r="BK412" i="1"/>
  <c r="AW412" i="1"/>
  <c r="BI412" i="1"/>
  <c r="BA411" i="1"/>
  <c r="BC411" i="1"/>
  <c r="AU411" i="1"/>
  <c r="L411" i="1" l="1"/>
  <c r="J411" i="1"/>
  <c r="D411" i="1"/>
  <c r="M411" i="1"/>
  <c r="BB411" i="1"/>
  <c r="AY411" i="1"/>
  <c r="AZ411" i="1"/>
  <c r="AS412" i="1"/>
  <c r="AR412" i="1"/>
  <c r="AX412" i="1"/>
  <c r="BF412" i="1"/>
  <c r="K411" i="1" l="1"/>
  <c r="T412" i="1"/>
  <c r="S412" i="1" s="1"/>
  <c r="F412" i="1"/>
  <c r="R412" i="1"/>
  <c r="AA411" i="1"/>
  <c r="I411" i="1"/>
  <c r="H411" i="1"/>
  <c r="BC412" i="1"/>
  <c r="AU412" i="1"/>
  <c r="BA412" i="1"/>
  <c r="BD412" i="1"/>
  <c r="BJ413" i="1" s="1"/>
  <c r="A412" i="1" l="1"/>
  <c r="B412" i="1"/>
  <c r="G412" i="1"/>
  <c r="O412" i="1"/>
  <c r="BB412" i="1"/>
  <c r="AW413" i="1"/>
  <c r="BK413" i="1"/>
  <c r="BI413" i="1"/>
  <c r="AY412" i="1"/>
  <c r="AZ412" i="1"/>
  <c r="D412" i="1" l="1"/>
  <c r="L412" i="1"/>
  <c r="J412" i="1"/>
  <c r="M412" i="1"/>
  <c r="AS413" i="1"/>
  <c r="AR413" i="1"/>
  <c r="BF413" i="1"/>
  <c r="AX413" i="1"/>
  <c r="BD413" i="1" s="1"/>
  <c r="BJ414" i="1" s="1"/>
  <c r="K412" i="1" l="1"/>
  <c r="R413" i="1"/>
  <c r="T413" i="1"/>
  <c r="S413" i="1" s="1"/>
  <c r="F413" i="1"/>
  <c r="AA412" i="1"/>
  <c r="I412" i="1"/>
  <c r="H412" i="1"/>
  <c r="BK414" i="1"/>
  <c r="AW414" i="1"/>
  <c r="BI414" i="1"/>
  <c r="AU413" i="1"/>
  <c r="BA413" i="1"/>
  <c r="BC413" i="1"/>
  <c r="O413" i="1" l="1"/>
  <c r="G413" i="1"/>
  <c r="A413" i="1"/>
  <c r="B413" i="1"/>
  <c r="AR414" i="1"/>
  <c r="AS414" i="1"/>
  <c r="AX414" i="1"/>
  <c r="BF414" i="1"/>
  <c r="BB413" i="1"/>
  <c r="AZ413" i="1"/>
  <c r="AY413" i="1"/>
  <c r="L413" i="1" l="1"/>
  <c r="D413" i="1"/>
  <c r="J413" i="1"/>
  <c r="M413" i="1"/>
  <c r="BA414" i="1"/>
  <c r="AU414" i="1"/>
  <c r="BC414" i="1"/>
  <c r="BD414" i="1"/>
  <c r="BJ415" i="1" s="1"/>
  <c r="F414" i="1" l="1"/>
  <c r="T414" i="1"/>
  <c r="S414" i="1" s="1"/>
  <c r="R414" i="1"/>
  <c r="K413" i="1"/>
  <c r="AA413" i="1"/>
  <c r="H413" i="1"/>
  <c r="I413" i="1"/>
  <c r="BK415" i="1"/>
  <c r="BI415" i="1"/>
  <c r="AW415" i="1"/>
  <c r="BB414" i="1"/>
  <c r="AY414" i="1"/>
  <c r="AZ414" i="1"/>
  <c r="A414" i="1" l="1"/>
  <c r="B414" i="1"/>
  <c r="O414" i="1"/>
  <c r="G414" i="1"/>
  <c r="M414" i="1" s="1"/>
  <c r="AX415" i="1"/>
  <c r="BD415" i="1" s="1"/>
  <c r="BJ416" i="1" s="1"/>
  <c r="BF415" i="1"/>
  <c r="AS415" i="1"/>
  <c r="AR415" i="1"/>
  <c r="F415" i="1" l="1"/>
  <c r="T415" i="1"/>
  <c r="S415" i="1" s="1"/>
  <c r="R415" i="1"/>
  <c r="J414" i="1"/>
  <c r="D414" i="1"/>
  <c r="L414" i="1"/>
  <c r="BI416" i="1"/>
  <c r="AW416" i="1"/>
  <c r="BK416" i="1"/>
  <c r="AU415" i="1"/>
  <c r="BA415" i="1"/>
  <c r="BC415" i="1"/>
  <c r="A415" i="1" l="1"/>
  <c r="B415" i="1"/>
  <c r="O415" i="1"/>
  <c r="G415" i="1"/>
  <c r="M415" i="1" s="1"/>
  <c r="K414" i="1"/>
  <c r="AA414" i="1"/>
  <c r="I414" i="1"/>
  <c r="H414" i="1"/>
  <c r="BB415" i="1"/>
  <c r="AZ415" i="1"/>
  <c r="AY415" i="1"/>
  <c r="BF416" i="1"/>
  <c r="AX416" i="1"/>
  <c r="BD416" i="1" s="1"/>
  <c r="BJ417" i="1" s="1"/>
  <c r="AR416" i="1"/>
  <c r="AS416" i="1"/>
  <c r="R416" i="1" l="1"/>
  <c r="F416" i="1"/>
  <c r="T416" i="1"/>
  <c r="S416" i="1" s="1"/>
  <c r="L415" i="1"/>
  <c r="J415" i="1"/>
  <c r="D415" i="1"/>
  <c r="BI417" i="1"/>
  <c r="AW417" i="1"/>
  <c r="BK417" i="1"/>
  <c r="BA416" i="1"/>
  <c r="AU416" i="1"/>
  <c r="BC416" i="1"/>
  <c r="K415" i="1" l="1"/>
  <c r="G416" i="1"/>
  <c r="M416" i="1" s="1"/>
  <c r="O416" i="1"/>
  <c r="A416" i="1"/>
  <c r="B416" i="1"/>
  <c r="AA415" i="1"/>
  <c r="H415" i="1"/>
  <c r="I415" i="1"/>
  <c r="AX417" i="1"/>
  <c r="BD417" i="1" s="1"/>
  <c r="BJ418" i="1" s="1"/>
  <c r="BF417" i="1"/>
  <c r="AR417" i="1"/>
  <c r="AS417" i="1"/>
  <c r="BB416" i="1"/>
  <c r="AZ416" i="1"/>
  <c r="AY416" i="1"/>
  <c r="R417" i="1" l="1"/>
  <c r="F417" i="1"/>
  <c r="T417" i="1"/>
  <c r="S417" i="1" s="1"/>
  <c r="J416" i="1"/>
  <c r="D416" i="1"/>
  <c r="L416" i="1"/>
  <c r="AW418" i="1"/>
  <c r="BK418" i="1"/>
  <c r="BI418" i="1"/>
  <c r="AU417" i="1"/>
  <c r="BC417" i="1"/>
  <c r="BA417" i="1"/>
  <c r="O417" i="1" l="1"/>
  <c r="G417" i="1"/>
  <c r="A417" i="1"/>
  <c r="B417" i="1"/>
  <c r="K416" i="1"/>
  <c r="AA416" i="1"/>
  <c r="I416" i="1"/>
  <c r="H416" i="1"/>
  <c r="BB417" i="1"/>
  <c r="AR418" i="1"/>
  <c r="AS418" i="1"/>
  <c r="BF418" i="1"/>
  <c r="AX418" i="1"/>
  <c r="AZ417" i="1"/>
  <c r="AY417" i="1"/>
  <c r="J19" i="6"/>
  <c r="M417" i="1" l="1"/>
  <c r="D417" i="1"/>
  <c r="L417" i="1"/>
  <c r="J417" i="1"/>
  <c r="BC418" i="1"/>
  <c r="BA418" i="1"/>
  <c r="AU418" i="1"/>
  <c r="BD418" i="1"/>
  <c r="BJ419" i="1" s="1"/>
  <c r="K417" i="1" l="1"/>
  <c r="T418" i="1"/>
  <c r="S418" i="1" s="1"/>
  <c r="F418" i="1"/>
  <c r="R418" i="1"/>
  <c r="AA417" i="1"/>
  <c r="I417" i="1"/>
  <c r="H417" i="1"/>
  <c r="BB418" i="1"/>
  <c r="BI419" i="1"/>
  <c r="BK419" i="1"/>
  <c r="AW419" i="1"/>
  <c r="AY418" i="1"/>
  <c r="AZ418" i="1"/>
  <c r="B418" i="1" l="1"/>
  <c r="A418" i="1"/>
  <c r="G418" i="1"/>
  <c r="O418" i="1"/>
  <c r="AX419" i="1"/>
  <c r="BD419" i="1" s="1"/>
  <c r="BJ420" i="1" s="1"/>
  <c r="BF419" i="1"/>
  <c r="AR419" i="1"/>
  <c r="AS419" i="1"/>
  <c r="M418" i="1" l="1"/>
  <c r="D418" i="1"/>
  <c r="J418" i="1"/>
  <c r="L418" i="1"/>
  <c r="BI420" i="1"/>
  <c r="BK420" i="1"/>
  <c r="AW420" i="1"/>
  <c r="AU419" i="1"/>
  <c r="BA419" i="1"/>
  <c r="BC419" i="1"/>
  <c r="R419" i="1" l="1"/>
  <c r="F419" i="1"/>
  <c r="T419" i="1"/>
  <c r="S419" i="1" s="1"/>
  <c r="K418" i="1"/>
  <c r="AA418" i="1"/>
  <c r="H418" i="1"/>
  <c r="I418" i="1"/>
  <c r="BF420" i="1"/>
  <c r="AX420" i="1"/>
  <c r="BD420" i="1" s="1"/>
  <c r="BJ421" i="1" s="1"/>
  <c r="AR420" i="1"/>
  <c r="AS420" i="1"/>
  <c r="BB419" i="1"/>
  <c r="AZ419" i="1"/>
  <c r="AY419" i="1"/>
  <c r="G419" i="1" l="1"/>
  <c r="O419" i="1"/>
  <c r="B419" i="1"/>
  <c r="A419" i="1"/>
  <c r="BK421" i="1"/>
  <c r="AW421" i="1"/>
  <c r="BI421" i="1"/>
  <c r="BA420" i="1"/>
  <c r="BC420" i="1"/>
  <c r="AU420" i="1"/>
  <c r="J419" i="1" l="1"/>
  <c r="M419" i="1"/>
  <c r="L419" i="1"/>
  <c r="D419" i="1"/>
  <c r="AS421" i="1"/>
  <c r="AR421" i="1"/>
  <c r="AX421" i="1"/>
  <c r="BF421" i="1"/>
  <c r="BB420" i="1"/>
  <c r="AY420" i="1"/>
  <c r="AZ420" i="1"/>
  <c r="R420" i="1" l="1"/>
  <c r="F420" i="1"/>
  <c r="T420" i="1"/>
  <c r="S420" i="1" s="1"/>
  <c r="I419" i="1"/>
  <c r="AA419" i="1"/>
  <c r="H419" i="1"/>
  <c r="K419" i="1"/>
  <c r="BA421" i="1"/>
  <c r="BC421" i="1"/>
  <c r="AU421" i="1"/>
  <c r="BD421" i="1"/>
  <c r="BJ422" i="1" s="1"/>
  <c r="O420" i="1" l="1"/>
  <c r="G420" i="1"/>
  <c r="B420" i="1"/>
  <c r="A420" i="1"/>
  <c r="BI422" i="1"/>
  <c r="AW422" i="1"/>
  <c r="BK422" i="1"/>
  <c r="BB421" i="1"/>
  <c r="AZ421" i="1"/>
  <c r="AY421" i="1"/>
  <c r="M420" i="1" l="1"/>
  <c r="D420" i="1"/>
  <c r="J420" i="1"/>
  <c r="L420" i="1"/>
  <c r="AX422" i="1"/>
  <c r="BF422" i="1"/>
  <c r="AR422" i="1"/>
  <c r="AS422" i="1"/>
  <c r="T421" i="1" l="1"/>
  <c r="S421" i="1" s="1"/>
  <c r="F421" i="1"/>
  <c r="R421" i="1"/>
  <c r="I420" i="1"/>
  <c r="H420" i="1"/>
  <c r="AA420" i="1"/>
  <c r="K420" i="1"/>
  <c r="BA422" i="1"/>
  <c r="BC422" i="1"/>
  <c r="AU422" i="1"/>
  <c r="BD422" i="1"/>
  <c r="BJ423" i="1" s="1"/>
  <c r="B421" i="1" l="1"/>
  <c r="A421" i="1"/>
  <c r="G421" i="1"/>
  <c r="O421" i="1"/>
  <c r="BI423" i="1"/>
  <c r="AW423" i="1"/>
  <c r="BK423" i="1"/>
  <c r="BB422" i="1"/>
  <c r="AZ422" i="1"/>
  <c r="AY422" i="1"/>
  <c r="L421" i="1" l="1"/>
  <c r="H421" i="1" s="1"/>
  <c r="D421" i="1"/>
  <c r="M421" i="1"/>
  <c r="J421" i="1"/>
  <c r="AX423" i="1"/>
  <c r="BF423" i="1"/>
  <c r="AR423" i="1"/>
  <c r="AS423" i="1"/>
  <c r="K421" i="1" l="1"/>
  <c r="AA421" i="1"/>
  <c r="I421" i="1"/>
  <c r="R422" i="1"/>
  <c r="T422" i="1"/>
  <c r="S422" i="1" s="1"/>
  <c r="F422" i="1"/>
  <c r="BA423" i="1"/>
  <c r="AU423" i="1"/>
  <c r="BC423" i="1"/>
  <c r="BD423" i="1"/>
  <c r="BJ424" i="1" s="1"/>
  <c r="G422" i="1" l="1"/>
  <c r="O422" i="1"/>
  <c r="A422" i="1"/>
  <c r="B422" i="1"/>
  <c r="BK424" i="1"/>
  <c r="AW424" i="1"/>
  <c r="BI424" i="1"/>
  <c r="BB423" i="1"/>
  <c r="AZ423" i="1"/>
  <c r="AY423" i="1"/>
  <c r="M422" i="1" l="1"/>
  <c r="D422" i="1"/>
  <c r="J422" i="1"/>
  <c r="L422" i="1"/>
  <c r="AR424" i="1"/>
  <c r="AS424" i="1"/>
  <c r="BF424" i="1"/>
  <c r="AX424" i="1"/>
  <c r="BD424" i="1" s="1"/>
  <c r="BJ425" i="1" s="1"/>
  <c r="T423" i="1" l="1"/>
  <c r="S423" i="1" s="1"/>
  <c r="F423" i="1"/>
  <c r="R423" i="1"/>
  <c r="I422" i="1"/>
  <c r="H422" i="1"/>
  <c r="AA422" i="1"/>
  <c r="K422" i="1"/>
  <c r="BK425" i="1"/>
  <c r="AW425" i="1"/>
  <c r="BI425" i="1"/>
  <c r="BC424" i="1"/>
  <c r="BA424" i="1"/>
  <c r="AU424" i="1"/>
  <c r="B423" i="1" l="1"/>
  <c r="A423" i="1"/>
  <c r="O423" i="1"/>
  <c r="G423" i="1"/>
  <c r="AR425" i="1"/>
  <c r="AS425" i="1"/>
  <c r="AX425" i="1"/>
  <c r="BF425" i="1"/>
  <c r="BB424" i="1"/>
  <c r="AZ424" i="1"/>
  <c r="AY424" i="1"/>
  <c r="M423" i="1" l="1"/>
  <c r="J423" i="1"/>
  <c r="D423" i="1"/>
  <c r="L423" i="1"/>
  <c r="AU425" i="1"/>
  <c r="BA425" i="1"/>
  <c r="BC425" i="1"/>
  <c r="BD425" i="1"/>
  <c r="BJ426" i="1" s="1"/>
  <c r="R424" i="1" l="1"/>
  <c r="F424" i="1"/>
  <c r="T424" i="1"/>
  <c r="S424" i="1" s="1"/>
  <c r="H423" i="1"/>
  <c r="I423" i="1"/>
  <c r="AA423" i="1"/>
  <c r="K423" i="1"/>
  <c r="BK426" i="1"/>
  <c r="BI426" i="1"/>
  <c r="AW426" i="1"/>
  <c r="BB425" i="1"/>
  <c r="AY425" i="1"/>
  <c r="AZ425" i="1"/>
  <c r="O424" i="1" l="1"/>
  <c r="G424" i="1"/>
  <c r="A424" i="1"/>
  <c r="B424" i="1"/>
  <c r="AX426" i="1"/>
  <c r="BF426" i="1"/>
  <c r="AR426" i="1"/>
  <c r="AS426" i="1"/>
  <c r="M424" i="1" l="1"/>
  <c r="D424" i="1"/>
  <c r="L424" i="1"/>
  <c r="J424" i="1"/>
  <c r="BC426" i="1"/>
  <c r="BA426" i="1"/>
  <c r="AU426" i="1"/>
  <c r="BD426" i="1"/>
  <c r="BJ427" i="1" s="1"/>
  <c r="K424" i="1" l="1"/>
  <c r="T425" i="1"/>
  <c r="S425" i="1" s="1"/>
  <c r="R425" i="1"/>
  <c r="F425" i="1"/>
  <c r="H424" i="1"/>
  <c r="AA424" i="1"/>
  <c r="I424" i="1"/>
  <c r="E6" i="6"/>
  <c r="E16" i="6"/>
  <c r="E7" i="6"/>
  <c r="E15" i="6"/>
  <c r="E8" i="6"/>
  <c r="E14" i="6"/>
  <c r="E9" i="6"/>
  <c r="E10" i="6"/>
  <c r="E13" i="6"/>
  <c r="E12" i="6"/>
  <c r="E11" i="6"/>
  <c r="I12" i="6"/>
  <c r="I11" i="6"/>
  <c r="I13" i="6"/>
  <c r="I10" i="6"/>
  <c r="I9" i="6"/>
  <c r="I14" i="6"/>
  <c r="I8" i="6"/>
  <c r="I15" i="6"/>
  <c r="I7" i="6"/>
  <c r="I16" i="6"/>
  <c r="I6" i="6"/>
  <c r="BB426" i="1"/>
  <c r="BI427" i="1"/>
  <c r="AW427" i="1"/>
  <c r="BK427" i="1"/>
  <c r="AZ426" i="1"/>
  <c r="AY426" i="1"/>
  <c r="O425" i="1" l="1"/>
  <c r="G425" i="1"/>
  <c r="B425" i="1"/>
  <c r="A425" i="1"/>
  <c r="F6" i="6"/>
  <c r="F7" i="6"/>
  <c r="F8" i="6"/>
  <c r="F9" i="6"/>
  <c r="F10" i="6"/>
  <c r="F11" i="6"/>
  <c r="F12" i="6"/>
  <c r="F13" i="6"/>
  <c r="F14" i="6"/>
  <c r="F15" i="6"/>
  <c r="F16" i="6"/>
  <c r="BF427" i="1"/>
  <c r="AX427" i="1"/>
  <c r="AS427" i="1"/>
  <c r="AR427" i="1"/>
  <c r="M425" i="1" l="1"/>
  <c r="J425" i="1"/>
  <c r="L425" i="1"/>
  <c r="D425" i="1"/>
  <c r="D7" i="6"/>
  <c r="D8" i="6"/>
  <c r="D9" i="6"/>
  <c r="D10" i="6"/>
  <c r="D11" i="6"/>
  <c r="D6" i="6"/>
  <c r="D12" i="6"/>
  <c r="D13" i="6"/>
  <c r="D14" i="6"/>
  <c r="D15" i="6"/>
  <c r="D16" i="6"/>
  <c r="G6" i="6"/>
  <c r="G7" i="6"/>
  <c r="G8" i="6"/>
  <c r="G9" i="6"/>
  <c r="G10" i="6"/>
  <c r="G11" i="6"/>
  <c r="G13" i="6"/>
  <c r="G14" i="6"/>
  <c r="G15" i="6"/>
  <c r="G16" i="6"/>
  <c r="G12" i="6"/>
  <c r="BC427" i="1"/>
  <c r="BA427" i="1"/>
  <c r="AU427" i="1"/>
  <c r="BD427" i="1"/>
  <c r="BJ428" i="1" s="1"/>
  <c r="AA425" i="1" l="1"/>
  <c r="I425" i="1"/>
  <c r="H425" i="1"/>
  <c r="T426" i="1"/>
  <c r="S426" i="1" s="1"/>
  <c r="R426" i="1"/>
  <c r="F426" i="1"/>
  <c r="K425" i="1"/>
  <c r="L13" i="6"/>
  <c r="L14" i="6"/>
  <c r="L15" i="6"/>
  <c r="L16" i="6"/>
  <c r="BB427" i="1"/>
  <c r="BK428" i="1"/>
  <c r="AW428" i="1"/>
  <c r="BI428" i="1"/>
  <c r="AZ427" i="1"/>
  <c r="AY427" i="1"/>
  <c r="G426" i="1" l="1"/>
  <c r="O426" i="1"/>
  <c r="B426" i="1"/>
  <c r="A426" i="1"/>
  <c r="AR428" i="1"/>
  <c r="AS428" i="1"/>
  <c r="AX428" i="1"/>
  <c r="BF428" i="1"/>
  <c r="M426" i="1" l="1"/>
  <c r="L426" i="1"/>
  <c r="D426" i="1"/>
  <c r="J426" i="1"/>
  <c r="AU428" i="1"/>
  <c r="BA428" i="1"/>
  <c r="BC428" i="1"/>
  <c r="BD428" i="1"/>
  <c r="BJ429" i="1" s="1"/>
  <c r="R427" i="1" l="1"/>
  <c r="F427" i="1"/>
  <c r="T427" i="1"/>
  <c r="S427" i="1" s="1"/>
  <c r="K426" i="1"/>
  <c r="AA426" i="1"/>
  <c r="I426" i="1"/>
  <c r="H426" i="1"/>
  <c r="AZ428" i="1"/>
  <c r="AY428" i="1"/>
  <c r="AW429" i="1"/>
  <c r="BI429" i="1"/>
  <c r="BK429" i="1"/>
  <c r="BB428" i="1"/>
  <c r="O427" i="1" l="1"/>
  <c r="G427" i="1"/>
  <c r="B427" i="1"/>
  <c r="A427" i="1"/>
  <c r="AR429" i="1"/>
  <c r="AS429" i="1"/>
  <c r="AX429" i="1"/>
  <c r="BF429" i="1"/>
  <c r="M427" i="1" l="1"/>
  <c r="L427" i="1"/>
  <c r="J427" i="1"/>
  <c r="D427" i="1"/>
  <c r="BC429" i="1"/>
  <c r="BA429" i="1"/>
  <c r="AU429" i="1"/>
  <c r="BD429" i="1"/>
  <c r="BJ430" i="1" s="1"/>
  <c r="R428" i="1" l="1"/>
  <c r="F428" i="1"/>
  <c r="T428" i="1"/>
  <c r="S428" i="1" s="1"/>
  <c r="K427" i="1"/>
  <c r="AA427" i="1"/>
  <c r="H427" i="1"/>
  <c r="I427" i="1"/>
  <c r="BB429" i="1"/>
  <c r="AW430" i="1"/>
  <c r="BK430" i="1"/>
  <c r="BI430" i="1"/>
  <c r="AY429" i="1"/>
  <c r="AZ429" i="1"/>
  <c r="O428" i="1" l="1"/>
  <c r="G428" i="1"/>
  <c r="B428" i="1"/>
  <c r="A428" i="1"/>
  <c r="AR430" i="1"/>
  <c r="AS430" i="1"/>
  <c r="AX430" i="1"/>
  <c r="BF430" i="1"/>
  <c r="M428" i="1" l="1"/>
  <c r="D428" i="1"/>
  <c r="J428" i="1"/>
  <c r="L428" i="1"/>
  <c r="BA430" i="1"/>
  <c r="BC430" i="1"/>
  <c r="AU430" i="1"/>
  <c r="BD430" i="1"/>
  <c r="BJ431" i="1" s="1"/>
  <c r="AA428" i="1" l="1"/>
  <c r="I428" i="1"/>
  <c r="H428" i="1"/>
  <c r="K428" i="1"/>
  <c r="F429" i="1"/>
  <c r="R429" i="1"/>
  <c r="T429" i="1"/>
  <c r="S429" i="1" s="1"/>
  <c r="AW431" i="1"/>
  <c r="BK431" i="1"/>
  <c r="BI431" i="1"/>
  <c r="BB430" i="1"/>
  <c r="AZ430" i="1"/>
  <c r="AY430" i="1"/>
  <c r="B429" i="1" l="1"/>
  <c r="A429" i="1"/>
  <c r="O429" i="1"/>
  <c r="G429" i="1"/>
  <c r="AS431" i="1"/>
  <c r="AR431" i="1"/>
  <c r="AX431" i="1"/>
  <c r="BD431" i="1" s="1"/>
  <c r="BJ432" i="1" s="1"/>
  <c r="BF431" i="1"/>
  <c r="M429" i="1" l="1"/>
  <c r="L429" i="1"/>
  <c r="J429" i="1"/>
  <c r="D429" i="1"/>
  <c r="AW432" i="1"/>
  <c r="BI432" i="1"/>
  <c r="BK432" i="1"/>
  <c r="AU431" i="1"/>
  <c r="BA431" i="1"/>
  <c r="BC431" i="1"/>
  <c r="K429" i="1" l="1"/>
  <c r="T430" i="1"/>
  <c r="S430" i="1" s="1"/>
  <c r="F430" i="1"/>
  <c r="R430" i="1"/>
  <c r="I429" i="1"/>
  <c r="H429" i="1"/>
  <c r="AA429" i="1"/>
  <c r="AY431" i="1"/>
  <c r="AZ431" i="1"/>
  <c r="AS432" i="1"/>
  <c r="AR432" i="1"/>
  <c r="BF432" i="1"/>
  <c r="AX432" i="1"/>
  <c r="BD432" i="1" s="1"/>
  <c r="BJ433" i="1" s="1"/>
  <c r="BB431" i="1"/>
  <c r="A430" i="1" l="1"/>
  <c r="B430" i="1"/>
  <c r="O430" i="1"/>
  <c r="G430" i="1"/>
  <c r="AW433" i="1"/>
  <c r="BI433" i="1"/>
  <c r="BK433" i="1"/>
  <c r="BC432" i="1"/>
  <c r="AU432" i="1"/>
  <c r="BA432" i="1"/>
  <c r="L430" i="1" l="1"/>
  <c r="D430" i="1"/>
  <c r="M430" i="1"/>
  <c r="J430" i="1"/>
  <c r="BB432" i="1"/>
  <c r="AS433" i="1"/>
  <c r="AR433" i="1"/>
  <c r="BF433" i="1"/>
  <c r="AX433" i="1"/>
  <c r="BD433" i="1" s="1"/>
  <c r="BJ434" i="1" s="1"/>
  <c r="AY432" i="1"/>
  <c r="AZ432" i="1"/>
  <c r="K430" i="1" l="1"/>
  <c r="AA430" i="1"/>
  <c r="H430" i="1"/>
  <c r="I430" i="1"/>
  <c r="F431" i="1"/>
  <c r="T431" i="1"/>
  <c r="S431" i="1" s="1"/>
  <c r="R431" i="1"/>
  <c r="BJ5" i="1"/>
  <c r="AY8" i="1" s="1"/>
  <c r="AW434" i="1"/>
  <c r="BI434" i="1"/>
  <c r="BK434" i="1"/>
  <c r="BC433" i="1"/>
  <c r="BA433" i="1"/>
  <c r="AU433" i="1"/>
  <c r="A431" i="1" l="1"/>
  <c r="B431" i="1"/>
  <c r="G431" i="1"/>
  <c r="O431" i="1"/>
  <c r="BB433" i="1"/>
  <c r="AW5" i="1"/>
  <c r="AS434" i="1"/>
  <c r="AS5" i="1" s="1"/>
  <c r="AR434" i="1"/>
  <c r="AR5" i="1" s="1"/>
  <c r="BF434" i="1"/>
  <c r="AX434" i="1"/>
  <c r="BD434" i="1" s="1"/>
  <c r="AY433" i="1"/>
  <c r="AZ433" i="1"/>
  <c r="M431" i="1" l="1"/>
  <c r="L431" i="1"/>
  <c r="J431" i="1"/>
  <c r="D431" i="1"/>
  <c r="BE9" i="1"/>
  <c r="H10" i="1" s="1"/>
  <c r="AX5" i="1"/>
  <c r="AU434" i="1"/>
  <c r="BC434" i="1"/>
  <c r="BA434" i="1"/>
  <c r="K431" i="1" l="1"/>
  <c r="R432" i="1"/>
  <c r="F432" i="1"/>
  <c r="T432" i="1"/>
  <c r="S432" i="1" s="1"/>
  <c r="I431" i="1"/>
  <c r="H431" i="1"/>
  <c r="AA431" i="1"/>
  <c r="BE10" i="1"/>
  <c r="BC5" i="1"/>
  <c r="BE7" i="1"/>
  <c r="BB434" i="1"/>
  <c r="AY434" i="1"/>
  <c r="AZ434" i="1"/>
  <c r="G432" i="1" l="1"/>
  <c r="O432" i="1"/>
  <c r="A432" i="1"/>
  <c r="B432" i="1"/>
  <c r="BE11" i="1"/>
  <c r="H9" i="1"/>
  <c r="BF7" i="1"/>
  <c r="BE8" i="1"/>
  <c r="BF8" i="1" s="1"/>
  <c r="M432" i="1" l="1"/>
  <c r="D432" i="1"/>
  <c r="J432" i="1"/>
  <c r="L432" i="1"/>
  <c r="K432" i="1" l="1"/>
  <c r="T433" i="1"/>
  <c r="S433" i="1" s="1"/>
  <c r="F433" i="1"/>
  <c r="R433" i="1"/>
  <c r="I432" i="1"/>
  <c r="AA432" i="1"/>
  <c r="H432" i="1"/>
  <c r="A433" i="1" l="1"/>
  <c r="B433" i="1"/>
  <c r="O433" i="1"/>
  <c r="G433" i="1"/>
  <c r="M433" i="1" l="1"/>
  <c r="J433" i="1"/>
  <c r="D433" i="1"/>
  <c r="L433" i="1"/>
  <c r="AA433" i="1" l="1"/>
  <c r="H433" i="1"/>
  <c r="I433" i="1"/>
  <c r="F434" i="1"/>
  <c r="T434" i="1"/>
  <c r="S434" i="1" s="1"/>
  <c r="R434" i="1"/>
  <c r="K433" i="1"/>
  <c r="B434" i="1" l="1"/>
  <c r="B5" i="1" s="1"/>
  <c r="A434" i="1"/>
  <c r="A5" i="1" s="1"/>
  <c r="E17" i="6"/>
  <c r="E19" i="6" s="1"/>
  <c r="F5" i="1"/>
  <c r="I17" i="6"/>
  <c r="I19" i="6" s="1"/>
  <c r="S5" i="1"/>
  <c r="H8" i="1" s="1"/>
  <c r="O434" i="1"/>
  <c r="G434" i="1"/>
  <c r="N10" i="1" l="1"/>
  <c r="C27" i="6" s="1"/>
  <c r="L434" i="1"/>
  <c r="D434" i="1"/>
  <c r="J434" i="1"/>
  <c r="F17" i="6"/>
  <c r="F19" i="6" s="1"/>
  <c r="G5" i="1"/>
  <c r="M434" i="1"/>
  <c r="N7" i="1" l="1"/>
  <c r="C30" i="6" s="1"/>
  <c r="I434" i="1"/>
  <c r="H434" i="1"/>
  <c r="D17" i="6"/>
  <c r="N9" i="1"/>
  <c r="N11" i="1" s="1"/>
  <c r="C37" i="6" s="1"/>
  <c r="L5" i="1"/>
  <c r="AA434" i="1"/>
  <c r="K434" i="1"/>
  <c r="G17" i="6"/>
  <c r="G19" i="6" s="1"/>
  <c r="N8" i="1" l="1"/>
  <c r="C32" i="6" s="1"/>
  <c r="O7" i="1"/>
  <c r="L17" i="6"/>
  <c r="D19" i="6"/>
  <c r="K19" i="6" s="1"/>
  <c r="AA5" i="1"/>
  <c r="AA9" i="1"/>
  <c r="AA8" i="1" s="1"/>
  <c r="D10" i="1" s="1"/>
  <c r="O8" i="1" l="1"/>
  <c r="U8" i="1"/>
  <c r="AU10" i="1"/>
  <c r="AV10" i="1" s="1"/>
  <c r="E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<sst xmlns="http://schemas.openxmlformats.org/spreadsheetml/2006/main" count="137" uniqueCount="99">
  <si>
    <t>Total pago</t>
  </si>
  <si>
    <t>AMORTIZAÇÃO</t>
  </si>
  <si>
    <t>JUROS</t>
  </si>
  <si>
    <t>Amortização</t>
  </si>
  <si>
    <t>SAC</t>
  </si>
  <si>
    <t>At. Monetária</t>
  </si>
  <si>
    <t>https://www.habitacaodigital.caixa.gov.br/</t>
  </si>
  <si>
    <t>Documento Descritivo de Crédito</t>
  </si>
  <si>
    <t>Confira sempre os valores no seu Documento Descritivo de Crédito.</t>
  </si>
  <si>
    <t xml:space="preserve">Para chegar nos valores mais próximos, adicione as </t>
  </si>
  <si>
    <t>correções monetárias e o seguro a cada mês.</t>
  </si>
  <si>
    <t>Juros</t>
  </si>
  <si>
    <t>Saldo Devedor</t>
  </si>
  <si>
    <t>Taxa</t>
  </si>
  <si>
    <t>Seguro</t>
  </si>
  <si>
    <t>Parcela do banco</t>
  </si>
  <si>
    <r>
      <t>Autor</t>
    </r>
    <r>
      <rPr>
        <sz val="11"/>
        <color rgb="FF000000"/>
        <rFont val="Calibri"/>
        <family val="2"/>
        <scheme val="minor"/>
      </rPr>
      <t>: Alessandro Rodolpho Gonçalves da Silva</t>
    </r>
  </si>
  <si>
    <t>instagram.com/amigodopairico</t>
  </si>
  <si>
    <t>alessandrogon.com.br / amigodopairico.com.br</t>
  </si>
  <si>
    <t xml:space="preserve">O conteúdo e formato desta planilha encontram-se protegidos pelas </t>
  </si>
  <si>
    <t xml:space="preserve">leis brasileiras e internacionais sobre propriedade intelectual </t>
  </si>
  <si>
    <t xml:space="preserve">e industrial. É expressamente proibida a reprodução, transferência, </t>
  </si>
  <si>
    <t xml:space="preserve">negociação ou distribuição do conteúdo, total ou parcial, desta </t>
  </si>
  <si>
    <t xml:space="preserve">planilha sem o consentimento expresso e por escrito do proprietário, </t>
  </si>
  <si>
    <t>sujeitando-se o infrator às penalidades cíveis e criminais cabíveis.</t>
  </si>
  <si>
    <t>ANOS</t>
  </si>
  <si>
    <t>Faltam</t>
  </si>
  <si>
    <t>Ano</t>
  </si>
  <si>
    <t>Triênio</t>
  </si>
  <si>
    <t>T/V</t>
  </si>
  <si>
    <t>AT. MONET.</t>
  </si>
  <si>
    <t>PREV. AT. MON.</t>
  </si>
  <si>
    <t>TRIÊNIO</t>
  </si>
  <si>
    <t>TOTAIS</t>
  </si>
  <si>
    <t>ANO 1 AO 3</t>
  </si>
  <si>
    <t>ANO 4 AO 6</t>
  </si>
  <si>
    <t>ANO 7 AO 9</t>
  </si>
  <si>
    <t>ANO 10 AO 12</t>
  </si>
  <si>
    <t>ANO 13 AO 15</t>
  </si>
  <si>
    <t>ANO 16 AO 18</t>
  </si>
  <si>
    <t>ANO 19 AO 21</t>
  </si>
  <si>
    <t>ANO 22 AO 24</t>
  </si>
  <si>
    <t>ANO 25 AO 27</t>
  </si>
  <si>
    <t>ANO 28 AO 30</t>
  </si>
  <si>
    <t>PARCELAS</t>
  </si>
  <si>
    <t>DIF. DÍVIDA</t>
  </si>
  <si>
    <t>ADIANTAMENTO</t>
  </si>
  <si>
    <t>Financiado</t>
  </si>
  <si>
    <t>ACOMPANHAMENTO A CADA 3 ANOS</t>
  </si>
  <si>
    <t>Parcela 1</t>
  </si>
  <si>
    <t>Década</t>
  </si>
  <si>
    <t>% $</t>
  </si>
  <si>
    <t>VALOR ÚTIL</t>
  </si>
  <si>
    <t>% VU</t>
  </si>
  <si>
    <t>FLUXO DE $</t>
  </si>
  <si>
    <t>Caixa</t>
  </si>
  <si>
    <t>Itaú</t>
  </si>
  <si>
    <t>Santander</t>
  </si>
  <si>
    <t>Bradesco</t>
  </si>
  <si>
    <t>Outros</t>
  </si>
  <si>
    <t>BB</t>
  </si>
  <si>
    <t>CET REAL</t>
  </si>
  <si>
    <t>ONDE TE AJUDO MAIS ➡️ amigodopairico.com.br/paq</t>
  </si>
  <si>
    <t>Momento</t>
  </si>
  <si>
    <t>Dias</t>
  </si>
  <si>
    <t>Nominal</t>
  </si>
  <si>
    <t>Efetiva</t>
  </si>
  <si>
    <t>% Amort Parcela</t>
  </si>
  <si>
    <t>TIR</t>
  </si>
  <si>
    <t>Pagaria em juros:</t>
  </si>
  <si>
    <t>DO AMIGO DO PAI RICO</t>
  </si>
  <si>
    <t>VERSÃO SAC ESSENCIAL DO SIMULADOR DE AMORTIZAÇÕES</t>
  </si>
  <si>
    <t>DADOS</t>
  </si>
  <si>
    <t>Taxa de juros</t>
  </si>
  <si>
    <t>Valor financiado</t>
  </si>
  <si>
    <t>Correção Monetária</t>
  </si>
  <si>
    <t>ATENÇÃO: Esta planilha deve ser usada apenas para simulações</t>
  </si>
  <si>
    <t>e planejamentos futuros.</t>
  </si>
  <si>
    <t>SE NÃO FIZER NADA</t>
  </si>
  <si>
    <t>Meses</t>
  </si>
  <si>
    <t>Correção monetária</t>
  </si>
  <si>
    <t>Juros totais pagos</t>
  </si>
  <si>
    <t>Total inicial</t>
  </si>
  <si>
    <t>Passa a quitar em</t>
  </si>
  <si>
    <t>Parcelas a menos</t>
  </si>
  <si>
    <t>Juros pagos</t>
  </si>
  <si>
    <t>ECONOMIA TOTAL</t>
  </si>
  <si>
    <t>COM ESTRATÉGIA</t>
  </si>
  <si>
    <t>Amortização Ad</t>
  </si>
  <si>
    <t>Banco</t>
  </si>
  <si>
    <t>cada parcela</t>
  </si>
  <si>
    <t>Juros + Seguro total</t>
  </si>
  <si>
    <t>QUANTO É APROVEITADO</t>
  </si>
  <si>
    <t>DO VALOR QUE VOCÊ PAGA</t>
  </si>
  <si>
    <t xml:space="preserve">        ⬇️</t>
  </si>
  <si>
    <t>Passa a pagar em juros:</t>
  </si>
  <si>
    <t>Quita em:</t>
  </si>
  <si>
    <t>meses a menos</t>
  </si>
  <si>
    <t>ECONOMIZA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</si>
</sst>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%"/>
    <numFmt numFmtId="166" formatCode="[$-416]mmm\-yy;@"/>
    <numFmt numFmtId="167" formatCode="&quot;R$&quot;\ #,##0"/>
  </numFmts>
  <fonts count="6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rgb="FF521B93"/>
      <name val="Calibri"/>
      <family val="2"/>
      <scheme val="minor"/>
    </font>
    <font>
      <sz val="12"/>
      <color rgb="FF008F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08F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6"/>
      <color rgb="FF008F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83D8D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222">
    <xf numFmtId="0" fontId="0" fillId="0" borderId="0" xfId="0"/>
    <xf numFmtId="4" fontId="0" fillId="0" borderId="0" xfId="0" applyNumberFormat="1"/>
    <xf numFmtId="10" fontId="0" fillId="0" borderId="0" xfId="0" applyNumberFormat="1"/>
    <xf numFmtId="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0" fontId="18" fillId="0" borderId="0" xfId="0" applyFont="1" applyAlignment="1" applyProtection="1">
      <alignment horizontal="center" vertical="center"/>
      <protection locked="0"/>
    </xf>
    <xf numFmtId="4" fontId="5" fillId="0" borderId="0" xfId="0" applyNumberFormat="1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4" fontId="8" fillId="0" borderId="0" xfId="0" applyNumberFormat="1" applyFont="1" applyProtection="1">
      <protection locked="0"/>
    </xf>
    <xf numFmtId="4" fontId="10" fillId="0" borderId="0" xfId="0" applyNumberFormat="1" applyFont="1" applyProtection="1">
      <protection locked="0"/>
    </xf>
    <xf numFmtId="4" fontId="0" fillId="8" borderId="0" xfId="0" applyNumberFormat="1" applyFill="1" applyProtection="1"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" fillId="0" borderId="0" xfId="0" applyFont="1" applyProtection="1">
      <protection locked="0"/>
    </xf>
    <xf numFmtId="4" fontId="7" fillId="0" borderId="0" xfId="0" applyNumberFormat="1" applyFont="1" applyProtection="1">
      <protection locked="0"/>
    </xf>
    <xf numFmtId="4" fontId="24" fillId="12" borderId="0" xfId="0" applyNumberFormat="1" applyFont="1" applyFill="1" applyProtection="1">
      <protection locked="0"/>
    </xf>
    <xf numFmtId="10" fontId="26" fillId="0" borderId="0" xfId="0" applyNumberFormat="1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1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1" fontId="20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4" fontId="0" fillId="0" borderId="1" xfId="0" applyNumberForma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4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9" fontId="0" fillId="0" borderId="0" xfId="0" applyNumberFormat="1" applyProtection="1">
      <protection locked="0"/>
    </xf>
    <xf numFmtId="4" fontId="0" fillId="0" borderId="0" xfId="0" applyNumberFormat="1" applyAlignment="1" applyProtection="1">
      <alignment horizontal="center"/>
      <protection locked="0"/>
    </xf>
    <xf numFmtId="10" fontId="10" fillId="0" borderId="0" xfId="0" applyNumberFormat="1" applyFont="1" applyProtection="1">
      <protection locked="0"/>
    </xf>
    <xf numFmtId="0" fontId="0" fillId="0" borderId="0" xfId="0" applyAlignment="1" applyProtection="1">
      <alignment wrapText="1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4" fontId="1" fillId="0" borderId="0" xfId="0" applyNumberFormat="1" applyFont="1" applyAlignment="1">
      <alignment horizontal="center" vertical="center"/>
    </xf>
    <xf numFmtId="4" fontId="4" fillId="16" borderId="0" xfId="0" applyNumberFormat="1" applyFont="1" applyFill="1" applyAlignment="1">
      <alignment horizontal="center" vertical="center"/>
    </xf>
    <xf numFmtId="0" fontId="4" fillId="16" borderId="0" xfId="0" applyFont="1" applyFill="1" applyAlignment="1">
      <alignment horizontal="center"/>
    </xf>
    <xf numFmtId="0" fontId="2" fillId="0" borderId="0" xfId="0" applyFont="1"/>
    <xf numFmtId="0" fontId="16" fillId="0" borderId="0" xfId="0" applyFont="1"/>
    <xf numFmtId="4" fontId="39" fillId="0" borderId="0" xfId="0" applyNumberFormat="1" applyFont="1"/>
    <xf numFmtId="0" fontId="39" fillId="0" borderId="0" xfId="0" applyFont="1"/>
    <xf numFmtId="4" fontId="2" fillId="0" borderId="0" xfId="0" applyNumberFormat="1" applyFont="1" applyAlignment="1">
      <alignment horizontal="right"/>
    </xf>
    <xf numFmtId="164" fontId="40" fillId="6" borderId="0" xfId="0" applyNumberFormat="1" applyFont="1" applyFill="1" applyProtection="1">
      <protection locked="0"/>
    </xf>
    <xf numFmtId="0" fontId="1" fillId="13" borderId="0" xfId="0" applyFont="1" applyFill="1" applyAlignment="1">
      <alignment vertical="center"/>
    </xf>
    <xf numFmtId="4" fontId="2" fillId="13" borderId="0" xfId="0" applyNumberFormat="1" applyFont="1" applyFill="1" applyAlignment="1">
      <alignment vertical="center"/>
    </xf>
    <xf numFmtId="10" fontId="19" fillId="0" borderId="0" xfId="0" applyNumberFormat="1" applyFont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4" fontId="39" fillId="2" borderId="0" xfId="0" applyNumberFormat="1" applyFont="1" applyFill="1" applyAlignment="1">
      <alignment vertical="center"/>
    </xf>
    <xf numFmtId="0" fontId="31" fillId="17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4" fontId="39" fillId="0" borderId="0" xfId="0" applyNumberFormat="1" applyFont="1" applyAlignment="1">
      <alignment vertical="center"/>
    </xf>
    <xf numFmtId="0" fontId="16" fillId="0" borderId="0" xfId="0" applyFont="1" applyAlignment="1" applyProtection="1">
      <alignment horizontal="right"/>
      <protection locked="0"/>
    </xf>
    <xf numFmtId="4" fontId="41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" fontId="3" fillId="0" borderId="0" xfId="0" applyNumberFormat="1" applyFont="1" applyAlignment="1" applyProtection="1">
      <alignment horizontal="center" vertical="center"/>
      <protection locked="0"/>
    </xf>
    <xf numFmtId="4" fontId="39" fillId="9" borderId="0" xfId="0" applyNumberFormat="1" applyFont="1" applyFill="1" applyAlignment="1">
      <alignment vertical="center"/>
    </xf>
    <xf numFmtId="10" fontId="11" fillId="0" borderId="0" xfId="0" applyNumberFormat="1" applyFont="1" applyAlignment="1" applyProtection="1">
      <alignment horizontal="center"/>
      <protection locked="0"/>
    </xf>
    <xf numFmtId="4" fontId="15" fillId="0" borderId="0" xfId="0" applyNumberFormat="1" applyFont="1" applyProtection="1">
      <protection locked="0"/>
    </xf>
    <xf numFmtId="10" fontId="31" fillId="0" borderId="0" xfId="0" applyNumberFormat="1" applyFont="1" applyProtection="1">
      <protection locked="0"/>
    </xf>
    <xf numFmtId="4" fontId="9" fillId="8" borderId="0" xfId="0" applyNumberFormat="1" applyFont="1" applyFill="1" applyProtection="1">
      <protection locked="0"/>
    </xf>
    <xf numFmtId="4" fontId="14" fillId="0" borderId="0" xfId="0" applyNumberFormat="1" applyFont="1" applyProtection="1">
      <protection locked="0"/>
    </xf>
    <xf numFmtId="164" fontId="27" fillId="0" borderId="0" xfId="0" applyNumberFormat="1" applyFont="1" applyProtection="1">
      <protection locked="0"/>
    </xf>
    <xf numFmtId="4" fontId="12" fillId="0" borderId="1" xfId="0" applyNumberFormat="1" applyFont="1" applyBorder="1" applyAlignment="1" applyProtection="1">
      <alignment horizontal="center"/>
      <protection locked="0"/>
    </xf>
    <xf numFmtId="4" fontId="27" fillId="0" borderId="0" xfId="0" applyNumberFormat="1" applyFont="1" applyProtection="1">
      <protection locked="0"/>
    </xf>
    <xf numFmtId="0" fontId="37" fillId="0" borderId="1" xfId="0" applyFont="1" applyBorder="1" applyAlignment="1" applyProtection="1">
      <alignment horizontal="left"/>
      <protection locked="0"/>
    </xf>
    <xf numFmtId="4" fontId="38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46" fillId="0" borderId="0" xfId="0" applyFont="1" applyAlignment="1" applyProtection="1">
      <alignment horizontal="center"/>
      <protection locked="0"/>
    </xf>
    <xf numFmtId="10" fontId="47" fillId="0" borderId="0" xfId="0" applyNumberFormat="1" applyFont="1" applyAlignment="1" applyProtection="1">
      <alignment horizontal="right"/>
      <protection locked="0"/>
    </xf>
    <xf numFmtId="10" fontId="21" fillId="11" borderId="0" xfId="0" applyNumberFormat="1" applyFont="1" applyFill="1" applyAlignment="1" applyProtection="1">
      <alignment horizontal="center" vertical="center"/>
      <protection locked="0"/>
    </xf>
    <xf numFmtId="4" fontId="48" fillId="12" borderId="0" xfId="0" applyNumberFormat="1" applyFont="1" applyFill="1" applyProtection="1">
      <protection locked="0"/>
    </xf>
    <xf numFmtId="4" fontId="16" fillId="0" borderId="0" xfId="0" applyNumberFormat="1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14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34" fillId="0" borderId="0" xfId="0" applyFont="1" applyProtection="1">
      <protection locked="0"/>
    </xf>
    <xf numFmtId="165" fontId="49" fillId="4" borderId="0" xfId="0" quotePrefix="1" applyNumberFormat="1" applyFont="1" applyFill="1" applyAlignment="1" applyProtection="1">
      <alignment horizontal="right"/>
      <protection locked="0"/>
    </xf>
    <xf numFmtId="164" fontId="49" fillId="4" borderId="0" xfId="0" applyNumberFormat="1" applyFont="1" applyFill="1" applyAlignment="1" applyProtection="1">
      <alignment horizontal="right"/>
      <protection locked="0"/>
    </xf>
    <xf numFmtId="0" fontId="49" fillId="4" borderId="0" xfId="0" applyFont="1" applyFill="1" applyAlignment="1" applyProtection="1">
      <alignment horizontal="right"/>
      <protection locked="0"/>
    </xf>
    <xf numFmtId="164" fontId="49" fillId="4" borderId="0" xfId="0" applyNumberFormat="1" applyFont="1" applyFill="1" applyProtection="1">
      <protection locked="0"/>
    </xf>
    <xf numFmtId="0" fontId="27" fillId="0" borderId="0" xfId="0" applyFont="1" applyAlignment="1" applyProtection="1">
      <alignment horizontal="center"/>
      <protection locked="0"/>
    </xf>
    <xf numFmtId="0" fontId="29" fillId="15" borderId="0" xfId="1" applyFont="1" applyFill="1" applyAlignment="1" applyProtection="1">
      <alignment vertical="center"/>
      <protection locked="0"/>
    </xf>
    <xf numFmtId="0" fontId="21" fillId="15" borderId="0" xfId="0" applyFont="1" applyFill="1" applyAlignment="1" applyProtection="1">
      <alignment vertical="center"/>
      <protection locked="0"/>
    </xf>
    <xf numFmtId="4" fontId="21" fillId="15" borderId="0" xfId="0" applyNumberFormat="1" applyFont="1" applyFill="1" applyAlignment="1" applyProtection="1">
      <alignment vertical="center"/>
      <protection locked="0"/>
    </xf>
    <xf numFmtId="2" fontId="21" fillId="15" borderId="0" xfId="0" applyNumberFormat="1" applyFont="1" applyFill="1" applyAlignment="1" applyProtection="1">
      <alignment vertical="center"/>
      <protection locked="0"/>
    </xf>
    <xf numFmtId="0" fontId="42" fillId="15" borderId="0" xfId="0" applyFont="1" applyFill="1" applyAlignment="1" applyProtection="1">
      <alignment vertical="center"/>
      <protection locked="0"/>
    </xf>
    <xf numFmtId="0" fontId="30" fillId="15" borderId="0" xfId="0" applyFont="1" applyFill="1" applyAlignment="1" applyProtection="1">
      <alignment horizontal="center" vertical="center"/>
      <protection locked="0"/>
    </xf>
    <xf numFmtId="0" fontId="21" fillId="15" borderId="0" xfId="0" applyFont="1" applyFill="1" applyAlignment="1" applyProtection="1">
      <alignment horizontal="left" vertical="center"/>
      <protection locked="0"/>
    </xf>
    <xf numFmtId="0" fontId="1" fillId="6" borderId="0" xfId="0" applyFont="1" applyFill="1" applyProtection="1">
      <protection locked="0"/>
    </xf>
    <xf numFmtId="4" fontId="50" fillId="13" borderId="0" xfId="0" applyNumberFormat="1" applyFont="1" applyFill="1" applyProtection="1">
      <protection locked="0"/>
    </xf>
    <xf numFmtId="3" fontId="16" fillId="0" borderId="0" xfId="0" applyNumberFormat="1" applyFont="1"/>
    <xf numFmtId="0" fontId="17" fillId="0" borderId="0" xfId="0" applyFont="1"/>
    <xf numFmtId="4" fontId="16" fillId="0" borderId="0" xfId="0" applyNumberFormat="1" applyFont="1"/>
    <xf numFmtId="0" fontId="2" fillId="5" borderId="0" xfId="0" applyFont="1" applyFill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4" fontId="1" fillId="0" borderId="0" xfId="0" applyNumberFormat="1" applyFont="1" applyAlignment="1" applyProtection="1">
      <alignment vertical="center"/>
      <protection locked="0"/>
    </xf>
    <xf numFmtId="0" fontId="44" fillId="0" borderId="0" xfId="1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2" fillId="0" borderId="0" xfId="1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3" fontId="53" fillId="7" borderId="0" xfId="0" applyNumberFormat="1" applyFont="1" applyFill="1" applyAlignment="1" applyProtection="1">
      <alignment vertical="center"/>
      <protection locked="0"/>
    </xf>
    <xf numFmtId="10" fontId="16" fillId="7" borderId="0" xfId="0" applyNumberFormat="1" applyFont="1" applyFill="1" applyAlignment="1" applyProtection="1">
      <alignment vertical="center"/>
      <protection locked="0"/>
    </xf>
    <xf numFmtId="10" fontId="42" fillId="15" borderId="0" xfId="0" applyNumberFormat="1" applyFont="1" applyFill="1" applyAlignment="1">
      <alignment horizontal="right" vertical="center"/>
    </xf>
    <xf numFmtId="166" fontId="32" fillId="0" borderId="0" xfId="0" applyNumberFormat="1" applyFont="1" applyProtection="1">
      <protection locked="0"/>
    </xf>
    <xf numFmtId="166" fontId="32" fillId="6" borderId="0" xfId="0" applyNumberFormat="1" applyFont="1" applyFill="1" applyProtection="1">
      <protection locked="0"/>
    </xf>
    <xf numFmtId="10" fontId="45" fillId="0" borderId="0" xfId="0" applyNumberFormat="1" applyFont="1" applyAlignment="1">
      <alignment horizontal="center"/>
    </xf>
    <xf numFmtId="3" fontId="16" fillId="0" borderId="0" xfId="0" applyNumberFormat="1" applyFont="1" applyAlignment="1">
      <alignment vertical="center"/>
    </xf>
    <xf numFmtId="3" fontId="54" fillId="0" borderId="0" xfId="0" applyNumberFormat="1" applyFont="1" applyAlignment="1">
      <alignment vertical="center"/>
    </xf>
    <xf numFmtId="4" fontId="56" fillId="0" borderId="0" xfId="0" applyNumberFormat="1" applyFont="1" applyAlignment="1" applyProtection="1">
      <alignment horizontal="right" vertical="center"/>
      <protection locked="0"/>
    </xf>
    <xf numFmtId="3" fontId="11" fillId="0" borderId="0" xfId="0" applyNumberFormat="1" applyFont="1" applyProtection="1">
      <protection locked="0"/>
    </xf>
    <xf numFmtId="1" fontId="31" fillId="0" borderId="0" xfId="0" applyNumberFormat="1" applyFont="1" applyAlignment="1" applyProtection="1">
      <alignment horizontal="left" vertical="center"/>
      <protection locked="0"/>
    </xf>
    <xf numFmtId="3" fontId="35" fillId="15" borderId="0" xfId="0" applyNumberFormat="1" applyFont="1" applyFill="1"/>
    <xf numFmtId="3" fontId="42" fillId="15" borderId="0" xfId="0" applyNumberFormat="1" applyFont="1" applyFill="1" applyAlignment="1">
      <alignment vertical="center"/>
    </xf>
    <xf numFmtId="0" fontId="44" fillId="5" borderId="0" xfId="1" applyFont="1" applyFill="1" applyAlignment="1" applyProtection="1">
      <alignment vertical="center"/>
      <protection locked="0"/>
    </xf>
    <xf numFmtId="0" fontId="1" fillId="5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textRotation="90"/>
      <protection locked="0"/>
    </xf>
    <xf numFmtId="166" fontId="57" fillId="0" borderId="0" xfId="0" applyNumberFormat="1" applyFont="1" applyProtection="1">
      <protection locked="0"/>
    </xf>
    <xf numFmtId="3" fontId="11" fillId="0" borderId="0" xfId="0" applyNumberFormat="1" applyFont="1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42" fillId="14" borderId="0" xfId="0" applyFont="1" applyFill="1" applyAlignment="1">
      <alignment vertical="center"/>
    </xf>
    <xf numFmtId="4" fontId="16" fillId="0" borderId="0" xfId="0" applyNumberFormat="1" applyFont="1" applyAlignment="1">
      <alignment horizontal="right" vertical="center"/>
    </xf>
    <xf numFmtId="10" fontId="16" fillId="19" borderId="0" xfId="0" applyNumberFormat="1" applyFont="1" applyFill="1" applyAlignment="1">
      <alignment vertical="center"/>
    </xf>
    <xf numFmtId="3" fontId="16" fillId="7" borderId="0" xfId="0" applyNumberFormat="1" applyFont="1" applyFill="1" applyAlignment="1">
      <alignment horizontal="center" vertical="center"/>
    </xf>
    <xf numFmtId="1" fontId="31" fillId="0" borderId="0" xfId="0" applyNumberFormat="1" applyFont="1" applyAlignment="1">
      <alignment horizontal="left" vertical="center"/>
    </xf>
    <xf numFmtId="0" fontId="52" fillId="0" borderId="0" xfId="1" applyFont="1" applyFill="1" applyAlignment="1" applyProtection="1">
      <alignment vertical="center"/>
    </xf>
    <xf numFmtId="0" fontId="16" fillId="0" borderId="0" xfId="0" applyFont="1" applyAlignment="1">
      <alignment horizontal="right" vertical="center"/>
    </xf>
    <xf numFmtId="3" fontId="53" fillId="19" borderId="0" xfId="0" applyNumberFormat="1" applyFont="1" applyFill="1" applyAlignment="1">
      <alignment vertical="center"/>
    </xf>
    <xf numFmtId="10" fontId="21" fillId="11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56" fillId="0" borderId="0" xfId="0" applyNumberFormat="1" applyFont="1" applyAlignment="1">
      <alignment horizontal="right" vertical="center"/>
    </xf>
    <xf numFmtId="3" fontId="56" fillId="0" borderId="0" xfId="0" applyNumberFormat="1" applyFont="1" applyAlignment="1">
      <alignment horizontal="right" vertical="center"/>
    </xf>
    <xf numFmtId="10" fontId="47" fillId="0" borderId="0" xfId="0" applyNumberFormat="1" applyFont="1" applyAlignment="1">
      <alignment horizontal="right"/>
    </xf>
    <xf numFmtId="4" fontId="15" fillId="0" borderId="0" xfId="0" applyNumberFormat="1" applyFont="1"/>
    <xf numFmtId="0" fontId="3" fillId="0" borderId="0" xfId="0" applyFont="1" applyAlignment="1">
      <alignment horizontal="right"/>
    </xf>
    <xf numFmtId="4" fontId="36" fillId="0" borderId="0" xfId="0" applyNumberFormat="1" applyFont="1" applyAlignment="1">
      <alignment horizontal="left"/>
    </xf>
    <xf numFmtId="4" fontId="11" fillId="0" borderId="0" xfId="0" applyNumberFormat="1" applyFont="1"/>
    <xf numFmtId="0" fontId="17" fillId="0" borderId="0" xfId="0" applyFont="1" applyAlignment="1">
      <alignment vertical="center"/>
    </xf>
    <xf numFmtId="0" fontId="4" fillId="0" borderId="0" xfId="0" applyFont="1" applyAlignment="1">
      <alignment textRotation="90"/>
    </xf>
    <xf numFmtId="0" fontId="4" fillId="0" borderId="1" xfId="0" applyFont="1" applyBorder="1" applyAlignment="1">
      <alignment horizontal="center"/>
    </xf>
    <xf numFmtId="1" fontId="20" fillId="0" borderId="0" xfId="0" applyNumberFormat="1" applyFont="1"/>
    <xf numFmtId="4" fontId="4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6" fontId="57" fillId="0" borderId="0" xfId="0" applyNumberFormat="1" applyFont="1"/>
    <xf numFmtId="0" fontId="13" fillId="0" borderId="0" xfId="0" applyFont="1"/>
    <xf numFmtId="4" fontId="14" fillId="0" borderId="0" xfId="0" applyNumberFormat="1" applyFont="1"/>
    <xf numFmtId="4" fontId="7" fillId="0" borderId="0" xfId="0" applyNumberFormat="1" applyFont="1"/>
    <xf numFmtId="10" fontId="31" fillId="0" borderId="0" xfId="0" applyNumberFormat="1" applyFont="1"/>
    <xf numFmtId="4" fontId="38" fillId="0" borderId="0" xfId="0" applyNumberFormat="1" applyFont="1" applyAlignment="1">
      <alignment horizontal="left"/>
    </xf>
    <xf numFmtId="0" fontId="18" fillId="0" borderId="0" xfId="0" applyFont="1" applyAlignment="1">
      <alignment horizontal="center" vertical="center"/>
    </xf>
    <xf numFmtId="4" fontId="8" fillId="0" borderId="0" xfId="0" applyNumberFormat="1" applyFont="1"/>
    <xf numFmtId="0" fontId="25" fillId="0" borderId="0" xfId="0" applyFont="1" applyAlignment="1">
      <alignment horizontal="center"/>
    </xf>
    <xf numFmtId="0" fontId="1" fillId="19" borderId="0" xfId="0" applyFont="1" applyFill="1"/>
    <xf numFmtId="166" fontId="32" fillId="19" borderId="0" xfId="0" applyNumberFormat="1" applyFont="1" applyFill="1"/>
    <xf numFmtId="0" fontId="51" fillId="0" borderId="0" xfId="0" applyFont="1" applyAlignment="1">
      <alignment horizontal="center"/>
    </xf>
    <xf numFmtId="4" fontId="9" fillId="0" borderId="0" xfId="0" applyNumberFormat="1" applyFont="1"/>
    <xf numFmtId="0" fontId="18" fillId="0" borderId="0" xfId="0" applyFont="1" applyAlignment="1">
      <alignment horizontal="left" vertical="center"/>
    </xf>
    <xf numFmtId="4" fontId="35" fillId="15" borderId="0" xfId="0" applyNumberFormat="1" applyFont="1" applyFill="1"/>
    <xf numFmtId="10" fontId="43" fillId="18" borderId="0" xfId="0" applyNumberFormat="1" applyFont="1" applyFill="1"/>
    <xf numFmtId="4" fontId="0" fillId="10" borderId="0" xfId="0" applyNumberFormat="1" applyFill="1"/>
    <xf numFmtId="4" fontId="5" fillId="0" borderId="0" xfId="0" applyNumberFormat="1" applyFont="1"/>
    <xf numFmtId="4" fontId="24" fillId="19" borderId="0" xfId="0" applyNumberFormat="1" applyFont="1" applyFill="1"/>
    <xf numFmtId="1" fontId="3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" fontId="50" fillId="13" borderId="0" xfId="0" applyNumberFormat="1" applyFont="1" applyFill="1"/>
    <xf numFmtId="10" fontId="26" fillId="0" borderId="0" xfId="0" applyNumberFormat="1" applyFont="1" applyAlignment="1">
      <alignment horizontal="center"/>
    </xf>
    <xf numFmtId="166" fontId="32" fillId="0" borderId="0" xfId="0" applyNumberFormat="1" applyFont="1"/>
    <xf numFmtId="4" fontId="48" fillId="19" borderId="0" xfId="0" applyNumberFormat="1" applyFont="1" applyFill="1"/>
    <xf numFmtId="4" fontId="13" fillId="15" borderId="0" xfId="0" applyNumberFormat="1" applyFont="1" applyFill="1"/>
    <xf numFmtId="4" fontId="0" fillId="3" borderId="0" xfId="0" applyNumberFormat="1" applyFill="1"/>
    <xf numFmtId="4" fontId="9" fillId="19" borderId="0" xfId="0" applyNumberFormat="1" applyFont="1" applyFill="1"/>
    <xf numFmtId="4" fontId="0" fillId="19" borderId="0" xfId="0" applyNumberFormat="1" applyFill="1"/>
    <xf numFmtId="164" fontId="58" fillId="7" borderId="0" xfId="0" quotePrefix="1" applyNumberFormat="1" applyFont="1" applyFill="1" applyProtection="1">
      <protection locked="0"/>
    </xf>
    <xf numFmtId="164" fontId="58" fillId="4" borderId="0" xfId="0" applyNumberFormat="1" applyFont="1" applyFill="1" applyProtection="1">
      <protection locked="0"/>
    </xf>
    <xf numFmtId="1" fontId="14" fillId="0" borderId="0" xfId="0" applyNumberFormat="1" applyFont="1" applyAlignment="1" applyProtection="1">
      <alignment horizontal="left" vertical="center"/>
      <protection locked="0"/>
    </xf>
    <xf numFmtId="3" fontId="55" fillId="0" borderId="0" xfId="0" applyNumberFormat="1" applyFont="1" applyProtection="1">
      <protection locked="0"/>
    </xf>
    <xf numFmtId="3" fontId="55" fillId="0" borderId="0" xfId="0" applyNumberFormat="1" applyFont="1" applyAlignment="1" applyProtection="1">
      <alignment horizontal="right"/>
      <protection locked="0"/>
    </xf>
    <xf numFmtId="3" fontId="59" fillId="0" borderId="0" xfId="0" applyNumberFormat="1" applyFont="1" applyAlignment="1" applyProtection="1">
      <alignment horizontal="right" vertical="center"/>
      <protection locked="0"/>
    </xf>
    <xf numFmtId="164" fontId="16" fillId="7" borderId="0" xfId="0" applyNumberFormat="1" applyFont="1" applyFill="1" applyAlignment="1" applyProtection="1">
      <alignment vertical="center"/>
      <protection locked="0"/>
    </xf>
    <xf numFmtId="1" fontId="28" fillId="0" borderId="0" xfId="0" applyNumberFormat="1" applyFont="1" applyAlignment="1" applyProtection="1">
      <alignment horizontal="left" vertical="center"/>
      <protection locked="0"/>
    </xf>
    <xf numFmtId="167" fontId="16" fillId="0" borderId="0" xfId="0" applyNumberFormat="1" applyFont="1" applyAlignment="1" applyProtection="1">
      <alignment vertical="center"/>
      <protection locked="0"/>
    </xf>
    <xf numFmtId="4" fontId="60" fillId="12" borderId="0" xfId="0" applyNumberFormat="1" applyFont="1" applyFill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horizontal="righ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61" fillId="0" borderId="0" xfId="0" applyFont="1" applyAlignment="1">
      <alignment horizontal="right"/>
    </xf>
    <xf numFmtId="167" fontId="61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 vertical="center"/>
    </xf>
    <xf numFmtId="3" fontId="5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textRotation="90"/>
    </xf>
    <xf numFmtId="0" fontId="4" fillId="0" borderId="1" xfId="0" applyFont="1" applyBorder="1" applyAlignment="1">
      <alignment horizontal="center" textRotation="90"/>
    </xf>
    <xf numFmtId="3" fontId="55" fillId="0" borderId="0" xfId="0" applyNumberFormat="1" applyFont="1" applyAlignment="1">
      <alignment horizontal="center"/>
    </xf>
    <xf numFmtId="0" fontId="42" fillId="15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" fillId="19" borderId="0" xfId="0" applyNumberFormat="1" applyFont="1" applyFill="1" applyAlignment="1">
      <alignment horizontal="center"/>
    </xf>
    <xf numFmtId="0" fontId="42" fillId="15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  <xf numFmtId="0" fontId="42" fillId="14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textRotation="90"/>
      <protection locked="0"/>
    </xf>
    <xf numFmtId="0" fontId="4" fillId="0" borderId="1" xfId="0" applyFont="1" applyBorder="1" applyAlignment="1" applyProtection="1">
      <alignment horizontal="center" textRotation="90"/>
      <protection locked="0"/>
    </xf>
    <xf numFmtId="3" fontId="2" fillId="7" borderId="0" xfId="0" applyNumberFormat="1" applyFont="1" applyFill="1" applyAlignment="1" applyProtection="1">
      <alignment horizontal="center"/>
      <protection locked="0"/>
    </xf>
  </cellXfs>
  <cellStyles count="2">
    <cellStyle name="Hiperlink" xfId="1" builtinId="8"/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B8B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B8B6"/>
        </patternFill>
      </fill>
    </dxf>
  </dxfs>
  <tableStyles count="0" defaultTableStyle="TableStyleMedium2" defaultPivotStyle="PivotStyleLight16"/>
  <colors>
    <mruColors>
      <color rgb="FF008F00"/>
      <color rgb="FF083D8D"/>
      <color rgb="FF521B93"/>
      <color rgb="FF8EA4C0"/>
      <color rgb="FF0B4992"/>
      <color rgb="FFFF7E79"/>
      <color rgb="FFFFC4AB"/>
      <color rgb="FFC51252"/>
      <color rgb="FFFFB8B6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0" i="0" u="none" strike="noStrike" kern="1200" spc="0" baseline="0">
                <a:solidFill>
                  <a:schemeClr val="tx1"/>
                </a:solidFill>
              </a:rPr>
              <a:t>Evolução do Saldo Devedor e Dinheiro Investido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SAC @amigodopairico'!$M$13</c:f>
              <c:strCache>
                <c:ptCount val="1"/>
                <c:pt idx="0">
                  <c:v>Saldo Devedor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'BASE SAC @amigodopairico'!$M$14:$M$374</c:f>
              <c:numCache>
                <c:formatCode>#,##0.00</c:formatCode>
                <c:ptCount val="361"/>
                <c:pt idx="1">
                  <c:v>395655.20514138817</c:v>
                </c:pt>
                <c:pt idx="2">
                  <c:v>395308.08907997032</c:v>
                </c:pt>
                <c:pt idx="3">
                  <c:v>394958.64490096708</c:v>
                </c:pt>
                <c:pt idx="4">
                  <c:v>394606.8656726848</c:v>
                </c:pt>
                <c:pt idx="5">
                  <c:v>394252.74444647721</c:v>
                </c:pt>
                <c:pt idx="6">
                  <c:v>393896.27425670688</c:v>
                </c:pt>
                <c:pt idx="7">
                  <c:v>393537.44812070648</c:v>
                </c:pt>
                <c:pt idx="8">
                  <c:v>393176.25903874019</c:v>
                </c:pt>
                <c:pt idx="9">
                  <c:v>392812.69999396498</c:v>
                </c:pt>
                <c:pt idx="10">
                  <c:v>392446.76395239163</c:v>
                </c:pt>
                <c:pt idx="11">
                  <c:v>392078.44386284583</c:v>
                </c:pt>
                <c:pt idx="12">
                  <c:v>391707.73265692894</c:v>
                </c:pt>
                <c:pt idx="13">
                  <c:v>391334.62324897904</c:v>
                </c:pt>
                <c:pt idx="14">
                  <c:v>390959.10853603162</c:v>
                </c:pt>
                <c:pt idx="15">
                  <c:v>390581.18139778014</c:v>
                </c:pt>
                <c:pt idx="16">
                  <c:v>390200.83469653659</c:v>
                </c:pt>
                <c:pt idx="17">
                  <c:v>389818.0612771922</c:v>
                </c:pt>
                <c:pt idx="18">
                  <c:v>389432.85396717745</c:v>
                </c:pt>
                <c:pt idx="19">
                  <c:v>389045.20557642251</c:v>
                </c:pt>
                <c:pt idx="20">
                  <c:v>388655.10889731749</c:v>
                </c:pt>
                <c:pt idx="21">
                  <c:v>388262.55670467246</c:v>
                </c:pt>
                <c:pt idx="22">
                  <c:v>387867.54175567726</c:v>
                </c:pt>
                <c:pt idx="23">
                  <c:v>387470.0567898617</c:v>
                </c:pt>
                <c:pt idx="24">
                  <c:v>387070.09452905512</c:v>
                </c:pt>
                <c:pt idx="25">
                  <c:v>386667.64767734613</c:v>
                </c:pt>
                <c:pt idx="26">
                  <c:v>386262.70892104227</c:v>
                </c:pt>
                <c:pt idx="27">
                  <c:v>385855.27092862944</c:v>
                </c:pt>
                <c:pt idx="28">
                  <c:v>385445.32635073119</c:v>
                </c:pt>
                <c:pt idx="29">
                  <c:v>385032.86782006838</c:v>
                </c:pt>
                <c:pt idx="30">
                  <c:v>384617.88795141788</c:v>
                </c:pt>
                <c:pt idx="31">
                  <c:v>384200.379341572</c:v>
                </c:pt>
                <c:pt idx="32">
                  <c:v>383780.33456929744</c:v>
                </c:pt>
                <c:pt idx="33">
                  <c:v>383357.74619529414</c:v>
                </c:pt>
                <c:pt idx="34">
                  <c:v>382932.60676215397</c:v>
                </c:pt>
                <c:pt idx="35">
                  <c:v>382504.90879431961</c:v>
                </c:pt>
                <c:pt idx="36">
                  <c:v>382074.64479804307</c:v>
                </c:pt>
                <c:pt idx="37">
                  <c:v>381641.8072613441</c:v>
                </c:pt>
                <c:pt idx="38">
                  <c:v>381206.38865396869</c:v>
                </c:pt>
                <c:pt idx="39">
                  <c:v>380768.38142734719</c:v>
                </c:pt>
                <c:pt idx="40">
                  <c:v>380327.77801455272</c:v>
                </c:pt>
                <c:pt idx="41">
                  <c:v>379884.57083025895</c:v>
                </c:pt>
                <c:pt idx="42">
                  <c:v>379438.75227069843</c:v>
                </c:pt>
                <c:pt idx="43">
                  <c:v>378990.31471362</c:v>
                </c:pt>
                <c:pt idx="44">
                  <c:v>378539.25051824696</c:v>
                </c:pt>
                <c:pt idx="45">
                  <c:v>378085.5520252345</c:v>
                </c:pt>
                <c:pt idx="46">
                  <c:v>377629.2115566273</c:v>
                </c:pt>
                <c:pt idx="47">
                  <c:v>377170.22141581692</c:v>
                </c:pt>
                <c:pt idx="48">
                  <c:v>376708.57388749922</c:v>
                </c:pt>
                <c:pt idx="49">
                  <c:v>376244.26123763144</c:v>
                </c:pt>
                <c:pt idx="50">
                  <c:v>375777.27571338939</c:v>
                </c:pt>
                <c:pt idx="51">
                  <c:v>375307.60954312462</c:v>
                </c:pt>
                <c:pt idx="52">
                  <c:v>374835.25493632094</c:v>
                </c:pt>
                <c:pt idx="53">
                  <c:v>374360.20408355148</c:v>
                </c:pt>
                <c:pt idx="54">
                  <c:v>373882.44915643532</c:v>
                </c:pt>
                <c:pt idx="55">
                  <c:v>373401.98230759398</c:v>
                </c:pt>
                <c:pt idx="56">
                  <c:v>372918.79567060788</c:v>
                </c:pt>
                <c:pt idx="57">
                  <c:v>372432.88135997282</c:v>
                </c:pt>
                <c:pt idx="58">
                  <c:v>371944.23147105594</c:v>
                </c:pt>
                <c:pt idx="59">
                  <c:v>371452.838080052</c:v>
                </c:pt>
                <c:pt idx="60">
                  <c:v>370958.69324393943</c:v>
                </c:pt>
                <c:pt idx="61">
                  <c:v>370461.78900043602</c:v>
                </c:pt>
                <c:pt idx="62">
                  <c:v>369962.11736795498</c:v>
                </c:pt>
                <c:pt idx="63">
                  <c:v>369459.67034556012</c:v>
                </c:pt>
                <c:pt idx="64">
                  <c:v>368954.43991292192</c:v>
                </c:pt>
                <c:pt idx="65">
                  <c:v>368446.41803027259</c:v>
                </c:pt>
                <c:pt idx="66">
                  <c:v>367935.59663836152</c:v>
                </c:pt>
                <c:pt idx="67">
                  <c:v>367421.96765841031</c:v>
                </c:pt>
                <c:pt idx="68">
                  <c:v>366905.52299206809</c:v>
                </c:pt>
                <c:pt idx="69">
                  <c:v>366386.25452136621</c:v>
                </c:pt>
                <c:pt idx="70">
                  <c:v>365864.15410867328</c:v>
                </c:pt>
                <c:pt idx="71">
                  <c:v>365339.21359664964</c:v>
                </c:pt>
                <c:pt idx="72">
                  <c:v>364811.42480820214</c:v>
                </c:pt>
                <c:pt idx="73">
                  <c:v>364280.77954643854</c:v>
                </c:pt>
                <c:pt idx="74">
                  <c:v>363747.26959462179</c:v>
                </c:pt>
                <c:pt idx="75">
                  <c:v>363210.88671612431</c:v>
                </c:pt>
                <c:pt idx="76">
                  <c:v>362671.62265438208</c:v>
                </c:pt>
                <c:pt idx="77">
                  <c:v>362129.46913284855</c:v>
                </c:pt>
                <c:pt idx="78">
                  <c:v>361584.41785494855</c:v>
                </c:pt>
                <c:pt idx="79">
                  <c:v>361036.46050403203</c:v>
                </c:pt>
                <c:pt idx="80">
                  <c:v>360485.58874332748</c:v>
                </c:pt>
                <c:pt idx="81">
                  <c:v>359931.79421589558</c:v>
                </c:pt>
                <c:pt idx="82">
                  <c:v>359375.06854458246</c:v>
                </c:pt>
                <c:pt idx="83">
                  <c:v>358815.40333197283</c:v>
                </c:pt>
                <c:pt idx="84">
                  <c:v>358252.79016034317</c:v>
                </c:pt>
                <c:pt idx="85">
                  <c:v>357687.2205916146</c:v>
                </c:pt>
                <c:pt idx="86">
                  <c:v>357118.6861673058</c:v>
                </c:pt>
                <c:pt idx="87">
                  <c:v>356547.1784084856</c:v>
                </c:pt>
                <c:pt idx="88">
                  <c:v>355972.68881572544</c:v>
                </c:pt>
                <c:pt idx="89">
                  <c:v>355395.208869052</c:v>
                </c:pt>
                <c:pt idx="90">
                  <c:v>354814.7300278992</c:v>
                </c:pt>
                <c:pt idx="91">
                  <c:v>354231.24373106065</c:v>
                </c:pt>
                <c:pt idx="92">
                  <c:v>353644.74139664153</c:v>
                </c:pt>
                <c:pt idx="93">
                  <c:v>353055.21442201029</c:v>
                </c:pt>
                <c:pt idx="94">
                  <c:v>352462.65418375068</c:v>
                </c:pt>
                <c:pt idx="95">
                  <c:v>351867.05203761306</c:v>
                </c:pt>
                <c:pt idx="96">
                  <c:v>351268.39931846608</c:v>
                </c:pt>
                <c:pt idx="97">
                  <c:v>350666.68734024785</c:v>
                </c:pt>
                <c:pt idx="98">
                  <c:v>350061.90739591722</c:v>
                </c:pt>
                <c:pt idx="99">
                  <c:v>349454.05075740465</c:v>
                </c:pt>
                <c:pt idx="100">
                  <c:v>348843.10867556324</c:v>
                </c:pt>
                <c:pt idx="101">
                  <c:v>348229.07238011941</c:v>
                </c:pt>
                <c:pt idx="102">
                  <c:v>347611.9330796235</c:v>
                </c:pt>
                <c:pt idx="103">
                  <c:v>346991.68196140026</c:v>
                </c:pt>
                <c:pt idx="104">
                  <c:v>346368.31019149895</c:v>
                </c:pt>
                <c:pt idx="105">
                  <c:v>345741.80891464377</c:v>
                </c:pt>
                <c:pt idx="106">
                  <c:v>345112.16925418371</c:v>
                </c:pt>
                <c:pt idx="107">
                  <c:v>344479.38231204241</c:v>
                </c:pt>
                <c:pt idx="108">
                  <c:v>343843.43916866777</c:v>
                </c:pt>
                <c:pt idx="109">
                  <c:v>343204.33088298165</c:v>
                </c:pt>
                <c:pt idx="110">
                  <c:v>342562.0484923292</c:v>
                </c:pt>
                <c:pt idx="111">
                  <c:v>341916.58301242802</c:v>
                </c:pt>
                <c:pt idx="112">
                  <c:v>341267.92543731735</c:v>
                </c:pt>
                <c:pt idx="113">
                  <c:v>340616.06673930696</c:v>
                </c:pt>
                <c:pt idx="114">
                  <c:v>339960.99786892574</c:v>
                </c:pt>
                <c:pt idx="115">
                  <c:v>339302.70975487045</c:v>
                </c:pt>
                <c:pt idx="116">
                  <c:v>338641.19330395421</c:v>
                </c:pt>
                <c:pt idx="117">
                  <c:v>337976.43940105464</c:v>
                </c:pt>
                <c:pt idx="118">
                  <c:v>337308.43890906195</c:v>
                </c:pt>
                <c:pt idx="119">
                  <c:v>336637.18266882707</c:v>
                </c:pt>
                <c:pt idx="120">
                  <c:v>335962.66149910912</c:v>
                </c:pt>
                <c:pt idx="121">
                  <c:v>335284.86619652336</c:v>
                </c:pt>
                <c:pt idx="122">
                  <c:v>334603.78753548831</c:v>
                </c:pt>
                <c:pt idx="123">
                  <c:v>333919.4162681732</c:v>
                </c:pt>
                <c:pt idx="124">
                  <c:v>333231.74312444497</c:v>
                </c:pt>
                <c:pt idx="125">
                  <c:v>332540.75881181523</c:v>
                </c:pt>
                <c:pt idx="126">
                  <c:v>331846.45401538693</c:v>
                </c:pt>
                <c:pt idx="127">
                  <c:v>331148.81939780101</c:v>
                </c:pt>
                <c:pt idx="128">
                  <c:v>330447.84559918259</c:v>
                </c:pt>
                <c:pt idx="129">
                  <c:v>329743.52323708747</c:v>
                </c:pt>
                <c:pt idx="130">
                  <c:v>329035.84290644788</c:v>
                </c:pt>
                <c:pt idx="131">
                  <c:v>328324.79517951841</c:v>
                </c:pt>
                <c:pt idx="132">
                  <c:v>327610.37060582155</c:v>
                </c:pt>
                <c:pt idx="133">
                  <c:v>326892.55971209338</c:v>
                </c:pt>
                <c:pt idx="134">
                  <c:v>326171.35300222854</c:v>
                </c:pt>
                <c:pt idx="135">
                  <c:v>325446.74095722556</c:v>
                </c:pt>
                <c:pt idx="136">
                  <c:v>324718.71403513144</c:v>
                </c:pt>
                <c:pt idx="137">
                  <c:v>323987.26267098665</c:v>
                </c:pt>
                <c:pt idx="138">
                  <c:v>323252.37727676943</c:v>
                </c:pt>
                <c:pt idx="139">
                  <c:v>322514.04824134003</c:v>
                </c:pt>
                <c:pt idx="140">
                  <c:v>321772.26593038492</c:v>
                </c:pt>
                <c:pt idx="141">
                  <c:v>321027.02068636066</c:v>
                </c:pt>
                <c:pt idx="142">
                  <c:v>320278.30282843736</c:v>
                </c:pt>
                <c:pt idx="143">
                  <c:v>319526.10265244229</c:v>
                </c:pt>
                <c:pt idx="144">
                  <c:v>318770.41043080331</c:v>
                </c:pt>
                <c:pt idx="145">
                  <c:v>318011.21641249157</c:v>
                </c:pt>
                <c:pt idx="146">
                  <c:v>317248.51082296454</c:v>
                </c:pt>
                <c:pt idx="147">
                  <c:v>316482.28386410855</c:v>
                </c:pt>
                <c:pt idx="148">
                  <c:v>315712.52571418119</c:v>
                </c:pt>
                <c:pt idx="149">
                  <c:v>314939.22652775346</c:v>
                </c:pt>
                <c:pt idx="150">
                  <c:v>314162.37643565168</c:v>
                </c:pt>
                <c:pt idx="151">
                  <c:v>313381.96554489917</c:v>
                </c:pt>
                <c:pt idx="152">
                  <c:v>312597.98393865785</c:v>
                </c:pt>
                <c:pt idx="153">
                  <c:v>311810.42167616938</c:v>
                </c:pt>
                <c:pt idx="154">
                  <c:v>311019.26879269612</c:v>
                </c:pt>
                <c:pt idx="155">
                  <c:v>310224.51529946201</c:v>
                </c:pt>
                <c:pt idx="156">
                  <c:v>309426.15118359309</c:v>
                </c:pt>
                <c:pt idx="157">
                  <c:v>308624.16640805762</c:v>
                </c:pt>
                <c:pt idx="158">
                  <c:v>307818.55091160629</c:v>
                </c:pt>
                <c:pt idx="159">
                  <c:v>307009.29460871185</c:v>
                </c:pt>
                <c:pt idx="160">
                  <c:v>306196.38738950877</c:v>
                </c:pt>
                <c:pt idx="161">
                  <c:v>305379.81911973248</c:v>
                </c:pt>
                <c:pt idx="162">
                  <c:v>304559.57964065822</c:v>
                </c:pt>
                <c:pt idx="163">
                  <c:v>303735.65876904002</c:v>
                </c:pt>
                <c:pt idx="164">
                  <c:v>302908.04629704898</c:v>
                </c:pt>
                <c:pt idx="165">
                  <c:v>302076.73199221148</c:v>
                </c:pt>
                <c:pt idx="166">
                  <c:v>301241.70559734729</c:v>
                </c:pt>
                <c:pt idx="167">
                  <c:v>300402.95683050697</c:v>
                </c:pt>
                <c:pt idx="168">
                  <c:v>299560.47538490931</c:v>
                </c:pt>
                <c:pt idx="169">
                  <c:v>298714.25092887855</c:v>
                </c:pt>
                <c:pt idx="170">
                  <c:v>297864.27310578094</c:v>
                </c:pt>
                <c:pt idx="171">
                  <c:v>297010.5315339613</c:v>
                </c:pt>
                <c:pt idx="172">
                  <c:v>296153.01580667926</c:v>
                </c:pt>
                <c:pt idx="173">
                  <c:v>295291.71549204522</c:v>
                </c:pt>
                <c:pt idx="174">
                  <c:v>294426.62013295555</c:v>
                </c:pt>
                <c:pt idx="175">
                  <c:v>293557.71924702829</c:v>
                </c:pt>
                <c:pt idx="176">
                  <c:v>292685.0023265378</c:v>
                </c:pt>
                <c:pt idx="177">
                  <c:v>291808.45883834956</c:v>
                </c:pt>
                <c:pt idx="178">
                  <c:v>290928.07822385425</c:v>
                </c:pt>
                <c:pt idx="179">
                  <c:v>290043.84989890183</c:v>
                </c:pt>
                <c:pt idx="180">
                  <c:v>289155.7632537352</c:v>
                </c:pt>
                <c:pt idx="181">
                  <c:v>288263.80765292334</c:v>
                </c:pt>
                <c:pt idx="182">
                  <c:v>287367.97243529424</c:v>
                </c:pt>
                <c:pt idx="183">
                  <c:v>286468.2469138676</c:v>
                </c:pt>
                <c:pt idx="184">
                  <c:v>285564.62037578685</c:v>
                </c:pt>
                <c:pt idx="185">
                  <c:v>284657.08208225115</c:v>
                </c:pt>
                <c:pt idx="186">
                  <c:v>283745.62126844662</c:v>
                </c:pt>
                <c:pt idx="187">
                  <c:v>282830.22714347765</c:v>
                </c:pt>
                <c:pt idx="188">
                  <c:v>281910.88889029738</c:v>
                </c:pt>
                <c:pt idx="189">
                  <c:v>280987.59566563828</c:v>
                </c:pt>
                <c:pt idx="190">
                  <c:v>280060.33659994166</c:v>
                </c:pt>
                <c:pt idx="191">
                  <c:v>279129.10079728748</c:v>
                </c:pt>
                <c:pt idx="192">
                  <c:v>278193.8773353232</c:v>
                </c:pt>
                <c:pt idx="193">
                  <c:v>277254.65526519262</c:v>
                </c:pt>
                <c:pt idx="194">
                  <c:v>276311.42361146392</c:v>
                </c:pt>
                <c:pt idx="195">
                  <c:v>275364.17137205746</c:v>
                </c:pt>
                <c:pt idx="196">
                  <c:v>274412.88751817314</c:v>
                </c:pt>
                <c:pt idx="197">
                  <c:v>273457.56099421741</c:v>
                </c:pt>
                <c:pt idx="198">
                  <c:v>272498.18071772938</c:v>
                </c:pt>
                <c:pt idx="199">
                  <c:v>271534.73557930696</c:v>
                </c:pt>
                <c:pt idx="200">
                  <c:v>270567.21444253228</c:v>
                </c:pt>
                <c:pt idx="201">
                  <c:v>269595.60614389658</c:v>
                </c:pt>
                <c:pt idx="202">
                  <c:v>268619.89949272474</c:v>
                </c:pt>
                <c:pt idx="203">
                  <c:v>267640.08327109914</c:v>
                </c:pt>
                <c:pt idx="204">
                  <c:v>266656.1462337831</c:v>
                </c:pt>
                <c:pt idx="205">
                  <c:v>265668.07710814389</c:v>
                </c:pt>
                <c:pt idx="206">
                  <c:v>264675.86459407478</c:v>
                </c:pt>
                <c:pt idx="207">
                  <c:v>263679.49736391706</c:v>
                </c:pt>
                <c:pt idx="208">
                  <c:v>262678.96406238119</c:v>
                </c:pt>
                <c:pt idx="209">
                  <c:v>261674.25330646744</c:v>
                </c:pt>
                <c:pt idx="210">
                  <c:v>260665.35368538581</c:v>
                </c:pt>
                <c:pt idx="211">
                  <c:v>259652.25376047561</c:v>
                </c:pt>
                <c:pt idx="212">
                  <c:v>258634.9420651242</c:v>
                </c:pt>
                <c:pt idx="213">
                  <c:v>257613.40710468506</c:v>
                </c:pt>
                <c:pt idx="214">
                  <c:v>256587.63735639548</c:v>
                </c:pt>
                <c:pt idx="215">
                  <c:v>255557.62126929336</c:v>
                </c:pt>
                <c:pt idx="216">
                  <c:v>254523.34726413336</c:v>
                </c:pt>
                <c:pt idx="217">
                  <c:v>253484.80373330243</c:v>
                </c:pt>
                <c:pt idx="218">
                  <c:v>252441.9790407345</c:v>
                </c:pt>
                <c:pt idx="219">
                  <c:v>251394.86152182461</c:v>
                </c:pt>
                <c:pt idx="220">
                  <c:v>250343.43948334217</c:v>
                </c:pt>
                <c:pt idx="221">
                  <c:v>249287.70120334349</c:v>
                </c:pt>
                <c:pt idx="222">
                  <c:v>248227.63493108356</c:v>
                </c:pt>
                <c:pt idx="223">
                  <c:v>247163.22888692698</c:v>
                </c:pt>
                <c:pt idx="224">
                  <c:v>246094.47126225807</c:v>
                </c:pt>
                <c:pt idx="225">
                  <c:v>245021.35021939021</c:v>
                </c:pt>
                <c:pt idx="226">
                  <c:v>243943.85389147419</c:v>
                </c:pt>
                <c:pt idx="227">
                  <c:v>242861.97038240582</c:v>
                </c:pt>
                <c:pt idx="228">
                  <c:v>241775.68776673242</c:v>
                </c:pt>
                <c:pt idx="229">
                  <c:v>240684.99408955863</c:v>
                </c:pt>
                <c:pt idx="230">
                  <c:v>239589.87736645114</c:v>
                </c:pt>
                <c:pt idx="231">
                  <c:v>238490.32558334235</c:v>
                </c:pt>
                <c:pt idx="232">
                  <c:v>237386.32669643313</c:v>
                </c:pt>
                <c:pt idx="233">
                  <c:v>236277.86863209456</c:v>
                </c:pt>
                <c:pt idx="234">
                  <c:v>235164.93928676852</c:v>
                </c:pt>
                <c:pt idx="235">
                  <c:v>234047.52652686721</c:v>
                </c:pt>
                <c:pt idx="236">
                  <c:v>232925.61818867153</c:v>
                </c:pt>
                <c:pt idx="237">
                  <c:v>231799.20207822841</c:v>
                </c:pt>
                <c:pt idx="238">
                  <c:v>230668.26597124673</c:v>
                </c:pt>
                <c:pt idx="239">
                  <c:v>229532.79761299223</c:v>
                </c:pt>
                <c:pt idx="240">
                  <c:v>228392.78471818104</c:v>
                </c:pt>
                <c:pt idx="241">
                  <c:v>227248.21497087189</c:v>
                </c:pt>
                <c:pt idx="242">
                  <c:v>226099.07602435703</c:v>
                </c:pt>
                <c:pt idx="243">
                  <c:v>224945.35550105179</c:v>
                </c:pt>
                <c:pt idx="244">
                  <c:v>223787.04099238268</c:v>
                </c:pt>
                <c:pt idx="245">
                  <c:v>222624.12005867399</c:v>
                </c:pt>
                <c:pt idx="246">
                  <c:v>221456.58022903296</c:v>
                </c:pt>
                <c:pt idx="247">
                  <c:v>220284.40900123329</c:v>
                </c:pt>
                <c:pt idx="248">
                  <c:v>219107.59384159712</c:v>
                </c:pt>
                <c:pt idx="249">
                  <c:v>217926.12218487536</c:v>
                </c:pt>
                <c:pt idx="250">
                  <c:v>216739.98143412627</c:v>
                </c:pt>
                <c:pt idx="251">
                  <c:v>215549.15896059215</c:v>
                </c:pt>
                <c:pt idx="252">
                  <c:v>214353.64210357447</c:v>
                </c:pt>
                <c:pt idx="253">
                  <c:v>213153.41817030692</c:v>
                </c:pt>
                <c:pt idx="254">
                  <c:v>211948.47443582653</c:v>
                </c:pt>
                <c:pt idx="255">
                  <c:v>210738.7981428428</c:v>
                </c:pt>
                <c:pt idx="256">
                  <c:v>209524.37650160471</c:v>
                </c:pt>
                <c:pt idx="257">
                  <c:v>208305.19668976567</c:v>
                </c:pt>
                <c:pt idx="258">
                  <c:v>207081.24585224612</c:v>
                </c:pt>
                <c:pt idx="259">
                  <c:v>205852.51110109384</c:v>
                </c:pt>
                <c:pt idx="260">
                  <c:v>204618.9795153419</c:v>
                </c:pt>
                <c:pt idx="261">
                  <c:v>203380.63814086415</c:v>
                </c:pt>
                <c:pt idx="262">
                  <c:v>202137.47399022811</c:v>
                </c:pt>
                <c:pt idx="263">
                  <c:v>200889.47404254513</c:v>
                </c:pt>
                <c:pt idx="264">
                  <c:v>199636.62524331789</c:v>
                </c:pt>
                <c:pt idx="265">
                  <c:v>198378.91450428497</c:v>
                </c:pt>
                <c:pt idx="266">
                  <c:v>197116.32870326255</c:v>
                </c:pt>
                <c:pt idx="267">
                  <c:v>195848.85468398279</c:v>
                </c:pt>
                <c:pt idx="268">
                  <c:v>194576.4792559293</c:v>
                </c:pt>
                <c:pt idx="269">
                  <c:v>193299.1891941691</c:v>
                </c:pt>
                <c:pt idx="270">
                  <c:v>192016.97123918112</c:v>
                </c:pt>
                <c:pt idx="271">
                  <c:v>190729.81209668115</c:v>
                </c:pt>
                <c:pt idx="272">
                  <c:v>189437.69843744315</c:v>
                </c:pt>
                <c:pt idx="273">
                  <c:v>188140.61689711633</c:v>
                </c:pt>
                <c:pt idx="274">
                  <c:v>186838.55407603868</c:v>
                </c:pt>
                <c:pt idx="275">
                  <c:v>185531.49653904588</c:v>
                </c:pt>
                <c:pt idx="276">
                  <c:v>184219.4308152759</c:v>
                </c:pt>
                <c:pt idx="277">
                  <c:v>182902.34339796918</c:v>
                </c:pt>
                <c:pt idx="278">
                  <c:v>181580.22074426385</c:v>
                </c:pt>
                <c:pt idx="279">
                  <c:v>180253.04927498617</c:v>
                </c:pt>
                <c:pt idx="280">
                  <c:v>178920.8153744356</c:v>
                </c:pt>
                <c:pt idx="281">
                  <c:v>177583.50539016447</c:v>
                </c:pt>
                <c:pt idx="282">
                  <c:v>176241.10563275215</c:v>
                </c:pt>
                <c:pt idx="283">
                  <c:v>174893.60237557313</c:v>
                </c:pt>
                <c:pt idx="284">
                  <c:v>173540.98185455904</c:v>
                </c:pt>
                <c:pt idx="285">
                  <c:v>172183.23026795406</c:v>
                </c:pt>
                <c:pt idx="286">
                  <c:v>170820.33377606387</c:v>
                </c:pt>
                <c:pt idx="287">
                  <c:v>169452.27850099711</c:v>
                </c:pt>
                <c:pt idx="288">
                  <c:v>168079.05052639983</c:v>
                </c:pt>
                <c:pt idx="289">
                  <c:v>166700.63589718184</c:v>
                </c:pt>
                <c:pt idx="290">
                  <c:v>165317.02061923523</c:v>
                </c:pt>
                <c:pt idx="291">
                  <c:v>163928.19065914414</c:v>
                </c:pt>
                <c:pt idx="292">
                  <c:v>162534.13194388564</c:v>
                </c:pt>
                <c:pt idx="293">
                  <c:v>161134.83036052133</c:v>
                </c:pt>
                <c:pt idx="294">
                  <c:v>159730.27175587878</c:v>
                </c:pt>
                <c:pt idx="295">
                  <c:v>158320.44193622295</c:v>
                </c:pt>
                <c:pt idx="296">
                  <c:v>156905.3266669164</c:v>
                </c:pt>
                <c:pt idx="297">
                  <c:v>155484.91167206824</c:v>
                </c:pt>
                <c:pt idx="298">
                  <c:v>154059.18263417089</c:v>
                </c:pt>
                <c:pt idx="299">
                  <c:v>152628.12519372403</c:v>
                </c:pt>
                <c:pt idx="300">
                  <c:v>151191.72494884531</c:v>
                </c:pt>
                <c:pt idx="301">
                  <c:v>149749.96745486683</c:v>
                </c:pt>
                <c:pt idx="302">
                  <c:v>148302.83822391662</c:v>
                </c:pt>
                <c:pt idx="303">
                  <c:v>146850.32272448446</c:v>
                </c:pt>
                <c:pt idx="304">
                  <c:v>145392.4063809709</c:v>
                </c:pt>
                <c:pt idx="305">
                  <c:v>143929.07457321891</c:v>
                </c:pt>
                <c:pt idx="306">
                  <c:v>142460.3126360265</c:v>
                </c:pt>
                <c:pt idx="307">
                  <c:v>140986.10585863996</c:v>
                </c:pt>
                <c:pt idx="308">
                  <c:v>139506.43948422599</c:v>
                </c:pt>
                <c:pt idx="309">
                  <c:v>138021.29870932171</c:v>
                </c:pt>
                <c:pt idx="310">
                  <c:v>136530.66868326106</c:v>
                </c:pt>
                <c:pt idx="311">
                  <c:v>135034.53450757626</c:v>
                </c:pt>
                <c:pt idx="312">
                  <c:v>133532.88123537277</c:v>
                </c:pt>
                <c:pt idx="313">
                  <c:v>132025.69387067584</c:v>
                </c:pt>
                <c:pt idx="314">
                  <c:v>130512.95736774709</c:v>
                </c:pt>
                <c:pt idx="315">
                  <c:v>128994.65663036896</c:v>
                </c:pt>
                <c:pt idx="316">
                  <c:v>127470.77651109506</c:v>
                </c:pt>
                <c:pt idx="317">
                  <c:v>125941.30181046399</c:v>
                </c:pt>
                <c:pt idx="318">
                  <c:v>124406.21727617423</c:v>
                </c:pt>
                <c:pt idx="319">
                  <c:v>122865.50760221732</c:v>
                </c:pt>
                <c:pt idx="320">
                  <c:v>121319.15742796657</c:v>
                </c:pt>
                <c:pt idx="321">
                  <c:v>119767.15133721779</c:v>
                </c:pt>
                <c:pt idx="322">
                  <c:v>118209.47385717902</c:v>
                </c:pt>
                <c:pt idx="323">
                  <c:v>116646.10945740518</c:v>
                </c:pt>
                <c:pt idx="324">
                  <c:v>115077.04254867359</c:v>
                </c:pt>
                <c:pt idx="325">
                  <c:v>113502.25748179597</c:v>
                </c:pt>
                <c:pt idx="326">
                  <c:v>111921.73854636196</c:v>
                </c:pt>
                <c:pt idx="327">
                  <c:v>110335.46996940883</c:v>
                </c:pt>
                <c:pt idx="328">
                  <c:v>108743.43591401153</c:v>
                </c:pt>
                <c:pt idx="329">
                  <c:v>107145.62047778648</c:v>
                </c:pt>
                <c:pt idx="330">
                  <c:v>105542.00769130228</c:v>
                </c:pt>
                <c:pt idx="331">
                  <c:v>103932.58151638931</c:v>
                </c:pt>
                <c:pt idx="332">
                  <c:v>102317.32584433976</c:v>
                </c:pt>
                <c:pt idx="333">
                  <c:v>100696.22449398848</c:v>
                </c:pt>
                <c:pt idx="334">
                  <c:v>99069.261209664182</c:v>
                </c:pt>
                <c:pt idx="335">
                  <c:v>97436.419658999439</c:v>
                </c:pt>
                <c:pt idx="336">
                  <c:v>95797.683430586418</c:v>
                </c:pt>
                <c:pt idx="337">
                  <c:v>94153.03603146394</c:v>
                </c:pt>
                <c:pt idx="338">
                  <c:v>92502.460884420056</c:v>
                </c:pt>
                <c:pt idx="339">
                  <c:v>90845.941325091801</c:v>
                </c:pt>
                <c:pt idx="340">
                  <c:v>89183.460598842619</c:v>
                </c:pt>
                <c:pt idx="341">
                  <c:v>87515.001857394484</c:v>
                </c:pt>
                <c:pt idx="342">
                  <c:v>85840.548155189666</c:v>
                </c:pt>
                <c:pt idx="343">
                  <c:v>84160.082445453707</c:v>
                </c:pt>
                <c:pt idx="344">
                  <c:v>82473.587575927202</c:v>
                </c:pt>
                <c:pt idx="345">
                  <c:v>80781.04628423012</c:v>
                </c:pt>
                <c:pt idx="346">
                  <c:v>79082.441192817176</c:v>
                </c:pt>
                <c:pt idx="347">
                  <c:v>77377.754803477117</c:v>
                </c:pt>
                <c:pt idx="348">
                  <c:v>75666.969491322132</c:v>
                </c:pt>
                <c:pt idx="349">
                  <c:v>73950.067498205623</c:v>
                </c:pt>
                <c:pt idx="350">
                  <c:v>72227.030925497442</c:v>
                </c:pt>
                <c:pt idx="351">
                  <c:v>70497.841726134968</c:v>
                </c:pt>
                <c:pt idx="352">
                  <c:v>68762.481695855313</c:v>
                </c:pt>
                <c:pt idx="353">
                  <c:v>67020.932463498946</c:v>
                </c:pt>
                <c:pt idx="354">
                  <c:v>65273.175480256374</c:v>
                </c:pt>
                <c:pt idx="355">
                  <c:v>63519.192007708341</c:v>
                </c:pt>
                <c:pt idx="356">
                  <c:v>61758.963104482966</c:v>
                </c:pt>
                <c:pt idx="357">
                  <c:v>59992.469611321707</c:v>
                </c:pt>
                <c:pt idx="358">
                  <c:v>58219.692134307144</c:v>
                </c:pt>
                <c:pt idx="359">
                  <c:v>56440.61102595782</c:v>
                </c:pt>
                <c:pt idx="360">
                  <c:v>54655.206363836682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5-4D4E-BBCF-E2C6925A523D}"/>
            </c:ext>
          </c:extLst>
        </c:ser>
        <c:ser>
          <c:idx val="1"/>
          <c:order val="1"/>
          <c:tx>
            <c:v>Dinheiro investido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'@amigodopairico'!#REF!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5-4D4E-BBCF-E2C6925A5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030272"/>
        <c:axId val="655029824"/>
      </c:lineChart>
      <c:catAx>
        <c:axId val="65503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029824"/>
        <c:crosses val="autoZero"/>
        <c:auto val="1"/>
        <c:lblAlgn val="ctr"/>
        <c:lblOffset val="100"/>
        <c:noMultiLvlLbl val="0"/>
      </c:catAx>
      <c:valAx>
        <c:axId val="65502982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0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784268</xdr:colOff>
      <xdr:row>26</xdr:row>
      <xdr:rowOff>149266</xdr:rowOff>
    </xdr:from>
    <xdr:to>
      <xdr:col>78</xdr:col>
      <xdr:colOff>271384</xdr:colOff>
      <xdr:row>37</xdr:row>
      <xdr:rowOff>9832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37787960" y="5336728"/>
          <a:ext cx="3639039" cy="25471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Autor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Alessandro Rodolpho Gonçalves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Silva</a:t>
          </a:r>
          <a:b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@amigodopairico</a:t>
          </a:r>
          <a:b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alessandrogon.com.br / amigodopairico.com.br</a:t>
          </a:r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conteúdo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desta planilha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encontra-se protegid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pelas leis brasileiras e internacionais sobre propriedade intelectual e industrial.</a:t>
          </a:r>
          <a:r>
            <a:rPr lang="pt-BR" b="0">
              <a:effectLst/>
            </a:rPr>
            <a:t>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É expressamente proibida a reprodução, transferência,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negociação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 distribuição do conteúdo, total ou parcial, desta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planilha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 o consentimento expresso e por escrito do proprietário,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sujeitando-se o infrator às penalidades cíveis e criminais cabíveis.</a:t>
          </a:r>
          <a:endParaRPr lang="pt-BR" b="0">
            <a:effectLst/>
          </a:endParaRPr>
        </a:p>
      </xdr:txBody>
    </xdr:sp>
    <xdr:clientData/>
  </xdr:twoCellAnchor>
  <xdr:twoCellAnchor>
    <xdr:from>
      <xdr:col>68</xdr:col>
      <xdr:colOff>469901</xdr:colOff>
      <xdr:row>109</xdr:row>
      <xdr:rowOff>152399</xdr:rowOff>
    </xdr:from>
    <xdr:to>
      <xdr:col>72</xdr:col>
      <xdr:colOff>773446</xdr:colOff>
      <xdr:row>120</xdr:row>
      <xdr:rowOff>39356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33321670" y="25611014"/>
          <a:ext cx="3625084" cy="25734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Autor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Alessandro Rodolpho Gonçalves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 Silva</a:t>
          </a:r>
          <a:b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@amigodopairico</a:t>
          </a:r>
          <a:b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alessandrogon.com.br / amigodopairico.com.br</a:t>
          </a:r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conteúdo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desta planilha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encontra-se protegid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pelas leis brasileiras e internacionais sobre propriedade intelectual e industrial.</a:t>
          </a:r>
          <a:r>
            <a:rPr lang="pt-BR" b="0">
              <a:effectLst/>
            </a:rPr>
            <a:t>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É expressamente proibida a reprodução, transferência,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negociação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 distribuição do conteúdo, total ou parcial, desta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planilha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 o consentimento expresso e por escrito do proprietário,</a:t>
          </a:r>
          <a:r>
            <a:rPr lang="pt-B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sujeitando-se o infrator às penalidades cíveis e criminais cabíveis.</a:t>
          </a:r>
          <a:endParaRPr lang="pt-BR" b="0">
            <a:effectLst/>
          </a:endParaRPr>
        </a:p>
      </xdr:txBody>
    </xdr:sp>
    <xdr:clientData/>
  </xdr:twoCellAnchor>
  <xdr:twoCellAnchor>
    <xdr:from>
      <xdr:col>28</xdr:col>
      <xdr:colOff>272142</xdr:colOff>
      <xdr:row>14</xdr:row>
      <xdr:rowOff>36286</xdr:rowOff>
    </xdr:from>
    <xdr:to>
      <xdr:col>29</xdr:col>
      <xdr:colOff>948212</xdr:colOff>
      <xdr:row>19</xdr:row>
      <xdr:rowOff>49177</xdr:rowOff>
    </xdr:to>
    <xdr:sp macro="" textlink="">
      <xdr:nvSpPr>
        <xdr:cNvPr id="2" name="CaixaDeTexto 3">
          <a:extLst>
            <a:ext uri="{FF2B5EF4-FFF2-40B4-BE49-F238E27FC236}">
              <a16:creationId xmlns:a16="http://schemas.microsoft.com/office/drawing/2014/main" id="{67C123F9-6A80-E745-BB71-C1EC80107BD5}"/>
            </a:ext>
          </a:extLst>
        </xdr:cNvPr>
        <xdr:cNvSpPr txBox="1"/>
      </xdr:nvSpPr>
      <xdr:spPr>
        <a:xfrm>
          <a:off x="272142" y="2022929"/>
          <a:ext cx="1002641" cy="1237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⚓️ 0% a 15%</a:t>
          </a:r>
          <a:r>
            <a:rPr lang="pt-BR" sz="1100"/>
            <a:t> 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🐢 15% a 30%</a:t>
          </a:r>
          <a:r>
            <a:rPr lang="pt-BR" sz="1100"/>
            <a:t>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🛵 30% a 50%</a:t>
          </a:r>
          <a:r>
            <a:rPr lang="pt-BR" sz="1100"/>
            <a:t> 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🚙 50% a 70%</a:t>
          </a:r>
          <a:r>
            <a:rPr lang="pt-BR" sz="1100"/>
            <a:t>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🏎</a:t>
          </a:r>
          <a:r>
            <a:rPr lang="pt-BR" sz="1100"/>
            <a:t>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70% a 90%</a:t>
          </a:r>
          <a:r>
            <a:rPr lang="pt-BR" sz="1100"/>
            <a:t> 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🛩 + de 90%</a:t>
          </a:r>
          <a:r>
            <a:rPr lang="pt-BR" sz="1100"/>
            <a:t>  </a:t>
          </a:r>
        </a:p>
      </xdr:txBody>
    </xdr:sp>
    <xdr:clientData/>
  </xdr:twoCellAnchor>
  <xdr:twoCellAnchor>
    <xdr:from>
      <xdr:col>29</xdr:col>
      <xdr:colOff>1013128</xdr:colOff>
      <xdr:row>14</xdr:row>
      <xdr:rowOff>36286</xdr:rowOff>
    </xdr:from>
    <xdr:to>
      <xdr:col>30</xdr:col>
      <xdr:colOff>730098</xdr:colOff>
      <xdr:row>19</xdr:row>
      <xdr:rowOff>49177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225FAAF-1893-3849-82C2-B089621CC1EC}"/>
            </a:ext>
          </a:extLst>
        </xdr:cNvPr>
        <xdr:cNvSpPr txBox="1"/>
      </xdr:nvSpPr>
      <xdr:spPr>
        <a:xfrm>
          <a:off x="1339699" y="2022929"/>
          <a:ext cx="1204685" cy="1237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🔙  Abaixo de 0%</a:t>
          </a:r>
        </a:p>
        <a:p>
          <a:r>
            <a:rPr lang="pt-BR" sz="1100"/>
            <a:t>🥾 De 0% a 10%</a:t>
          </a:r>
        </a:p>
        <a:p>
          <a:r>
            <a:rPr lang="pt-BR" sz="1100"/>
            <a:t>🛴 De 10% a 20%</a:t>
          </a:r>
        </a:p>
        <a:p>
          <a:r>
            <a:rPr lang="pt-BR" sz="1100"/>
            <a:t>🚴‍♂️</a:t>
          </a:r>
          <a:r>
            <a:rPr lang="pt-BR" sz="1100" baseline="0"/>
            <a:t> De 20% a 50%</a:t>
          </a:r>
          <a:endParaRPr lang="pt-BR" sz="1100"/>
        </a:p>
        <a:p>
          <a:r>
            <a:rPr lang="pt-BR" sz="1100"/>
            <a:t>🚖 De 50% a 75%</a:t>
          </a:r>
        </a:p>
        <a:p>
          <a:r>
            <a:rPr lang="pt-BR" sz="1100"/>
            <a:t>🚁 Acima de 75%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1025770</xdr:colOff>
      <xdr:row>21</xdr:row>
      <xdr:rowOff>185614</xdr:rowOff>
    </xdr:from>
    <xdr:to>
      <xdr:col>9</xdr:col>
      <xdr:colOff>1201616</xdr:colOff>
      <xdr:row>39</xdr:row>
      <xdr:rowOff>166076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6951C2-D63C-A64D-BA98-785167493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migodopairico.com.br/pa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CF67-68E1-BA49-815F-8F839C182D13}">
  <sheetPr codeName="Planilha1"/>
  <dimension ref="A1:DA434"/>
  <sheetViews>
    <sheetView showGridLines="0" tabSelected="1" topLeftCell="A4" zoomScale="170" zoomScaleNormal="170" workbookViewId="0">
      <pane ySplit="10" topLeftCell="A14" activePane="bottomLeft" state="frozen"/>
      <selection activeCell="A4" sqref="A4"/>
      <selection pane="bottomLeft" activeCell="A5" sqref="A5"/>
    </sheetView>
  </sheetViews>
  <sheetFormatPr baseColWidth="10" defaultColWidth="10.83203125" defaultRowHeight="19" outlineLevelRow="1" outlineLevelCol="1" x14ac:dyDescent="0.2"/>
  <cols>
    <col min="1" max="2" width="5.33203125" style="7" customWidth="1"/>
    <col min="3" max="3" width="11" style="17" customWidth="1"/>
    <col min="4" max="4" width="11.83203125" style="17" customWidth="1"/>
    <col min="5" max="5" width="5.6640625" style="7" customWidth="1"/>
    <col min="6" max="6" width="10.6640625" style="7" customWidth="1"/>
    <col min="7" max="7" width="12.33203125" style="7" customWidth="1"/>
    <col min="8" max="8" width="5.83203125" style="23" customWidth="1"/>
    <col min="9" max="9" width="5.83203125" style="78" customWidth="1"/>
    <col min="10" max="10" width="11.5" style="8" hidden="1" customWidth="1" outlineLevel="1"/>
    <col min="11" max="11" width="7" style="8" hidden="1" customWidth="1" outlineLevel="1"/>
    <col min="12" max="12" width="12" style="8" customWidth="1" collapsed="1"/>
    <col min="13" max="13" width="13.83203125" style="7" customWidth="1"/>
    <col min="14" max="14" width="12.5" style="7" customWidth="1"/>
    <col min="15" max="15" width="2.83203125" style="10" customWidth="1"/>
    <col min="16" max="16" width="4.5" style="10" customWidth="1"/>
    <col min="17" max="17" width="4" style="23" hidden="1" customWidth="1"/>
    <col min="18" max="18" width="5.1640625" style="23" customWidth="1"/>
    <col min="19" max="19" width="10.33203125" style="7" customWidth="1"/>
    <col min="20" max="20" width="10.83203125" style="34" hidden="1" customWidth="1" outlineLevel="1"/>
    <col min="21" max="21" width="10.83203125" style="7" collapsed="1"/>
    <col min="22" max="26" width="10.83203125" style="7"/>
    <col min="27" max="27" width="11.5" style="14" hidden="1" customWidth="1" outlineLevel="1"/>
    <col min="28" max="28" width="10.83203125" style="7" collapsed="1"/>
    <col min="29" max="29" width="4.33203125" style="7" customWidth="1"/>
    <col min="30" max="30" width="19.5" style="7" customWidth="1"/>
    <col min="31" max="31" width="14.6640625" style="7" customWidth="1"/>
    <col min="32" max="32" width="36.83203125" style="7" customWidth="1"/>
    <col min="33" max="33" width="6.83203125" style="7" customWidth="1"/>
    <col min="34" max="34" width="8.83203125" style="22" hidden="1" customWidth="1" outlineLevel="1"/>
    <col min="35" max="36" width="8" style="7" hidden="1" customWidth="1" outlineLevel="1"/>
    <col min="37" max="37" width="3.5" style="73" hidden="1" customWidth="1" outlineLevel="1"/>
    <col min="38" max="38" width="10.83203125" style="7" collapsed="1"/>
    <col min="39" max="43" width="10.83203125" style="7"/>
    <col min="44" max="45" width="5.33203125" style="7" hidden="1" customWidth="1"/>
    <col min="46" max="46" width="11" style="17" hidden="1" customWidth="1"/>
    <col min="47" max="47" width="11.83203125" style="17" hidden="1" customWidth="1"/>
    <col min="48" max="48" width="5.6640625" style="7" hidden="1" customWidth="1"/>
    <col min="49" max="49" width="10.6640625" style="7" hidden="1" customWidth="1"/>
    <col min="50" max="50" width="12.33203125" style="7" hidden="1" customWidth="1"/>
    <col min="51" max="51" width="5" style="23" hidden="1" customWidth="1"/>
    <col min="52" max="52" width="5" style="78" hidden="1" customWidth="1"/>
    <col min="53" max="53" width="11.5" style="8" hidden="1" customWidth="1" outlineLevel="1"/>
    <col min="54" max="54" width="7" style="8" hidden="1" customWidth="1" outlineLevel="1"/>
    <col min="55" max="55" width="12" style="8" hidden="1" customWidth="1" collapsed="1"/>
    <col min="56" max="56" width="13.83203125" style="7" hidden="1" customWidth="1"/>
    <col min="57" max="57" width="12.5" style="7" hidden="1" customWidth="1"/>
    <col min="58" max="58" width="2.83203125" style="10" hidden="1" customWidth="1"/>
    <col min="59" max="59" width="4.5" style="10" hidden="1" customWidth="1"/>
    <col min="60" max="60" width="4" style="23" hidden="1" customWidth="1"/>
    <col min="61" max="61" width="5.1640625" style="23" hidden="1" customWidth="1"/>
    <col min="62" max="62" width="12.6640625" style="7" hidden="1" customWidth="1"/>
    <col min="63" max="63" width="10.83203125" style="34" hidden="1" customWidth="1" outlineLevel="1"/>
    <col min="64" max="64" width="10.83203125" style="7" collapsed="1"/>
    <col min="65" max="16384" width="10.83203125" style="7"/>
  </cols>
  <sheetData>
    <row r="1" spans="1:63" hidden="1" x14ac:dyDescent="0.2">
      <c r="O1" s="25"/>
      <c r="P1" s="25"/>
      <c r="T1" s="7"/>
      <c r="BF1" s="25"/>
      <c r="BG1" s="25"/>
      <c r="BK1" s="7"/>
    </row>
    <row r="2" spans="1:63" hidden="1" x14ac:dyDescent="0.2">
      <c r="O2" s="25"/>
      <c r="P2" s="25"/>
      <c r="T2" s="7"/>
      <c r="BF2" s="25"/>
      <c r="BG2" s="25"/>
      <c r="BK2" s="7"/>
    </row>
    <row r="3" spans="1:63" hidden="1" x14ac:dyDescent="0.2">
      <c r="N3" s="79"/>
      <c r="O3" s="25"/>
      <c r="P3" s="25"/>
      <c r="S3" s="79"/>
      <c r="T3" s="79"/>
      <c r="BE3" s="79"/>
      <c r="BF3" s="25"/>
      <c r="BG3" s="25"/>
      <c r="BJ3" s="79"/>
      <c r="BK3" s="79"/>
    </row>
    <row r="4" spans="1:63" s="91" customFormat="1" x14ac:dyDescent="0.2">
      <c r="H4" s="94"/>
      <c r="I4" s="96"/>
      <c r="J4" s="92"/>
      <c r="K4" s="92"/>
      <c r="L4" s="92"/>
      <c r="N4" s="93"/>
      <c r="Q4" s="94"/>
      <c r="R4" s="94"/>
      <c r="S4" s="93"/>
      <c r="T4" s="93"/>
      <c r="AA4" s="92"/>
      <c r="AD4" s="90" t="s">
        <v>62</v>
      </c>
      <c r="AE4" s="90"/>
      <c r="AK4" s="95"/>
      <c r="AY4" s="94"/>
      <c r="AZ4" s="96"/>
      <c r="BA4" s="92"/>
      <c r="BB4" s="92"/>
      <c r="BC4" s="92"/>
      <c r="BE4" s="93"/>
      <c r="BH4" s="94"/>
      <c r="BI4" s="94"/>
      <c r="BJ4" s="93"/>
      <c r="BK4" s="93"/>
    </row>
    <row r="5" spans="1:63" s="103" customFormat="1" ht="26" x14ac:dyDescent="0.3">
      <c r="A5" s="121">
        <f>SUM(A15:A1187)</f>
        <v>9725</v>
      </c>
      <c r="B5" s="121">
        <f>SUM(B15:B1187)</f>
        <v>29175</v>
      </c>
      <c r="D5" s="193" t="s">
        <v>4</v>
      </c>
      <c r="E5" s="192"/>
      <c r="F5" s="121">
        <f>SUM(F15:F1187)</f>
        <v>814601.51402243937</v>
      </c>
      <c r="G5" s="121">
        <f>SUM(G15:G1187)</f>
        <v>561741.28805841005</v>
      </c>
      <c r="J5" s="104"/>
      <c r="K5" s="104"/>
      <c r="L5" s="121">
        <f>SUM(L15:L1187)</f>
        <v>1415242.8020808485</v>
      </c>
      <c r="N5" s="121">
        <f>SUM(N15:N1187)</f>
        <v>0</v>
      </c>
      <c r="Q5" s="106"/>
      <c r="R5" s="106"/>
      <c r="S5" s="121">
        <f>SUM(S15:S1187)</f>
        <v>165744.67625427066</v>
      </c>
      <c r="T5" s="108"/>
      <c r="AA5" s="121">
        <f>SUM(AA15:AA1187)</f>
        <v>-1415242.8020808485</v>
      </c>
      <c r="AD5" s="105"/>
      <c r="AE5" s="105"/>
      <c r="AK5" s="109"/>
      <c r="AR5" s="129">
        <f>SUM(AR15:AR1187)</f>
        <v>9725</v>
      </c>
      <c r="AS5" s="129">
        <f>SUM(AS15:AS1187)</f>
        <v>29175</v>
      </c>
      <c r="AT5" s="130"/>
      <c r="AU5" s="130"/>
      <c r="AV5" s="129"/>
      <c r="AW5" s="129">
        <f>SUM(AW15:AW1187)</f>
        <v>814601.51402243937</v>
      </c>
      <c r="AX5" s="129">
        <f>SUM(AX15:AX1187)</f>
        <v>561741.28805841005</v>
      </c>
      <c r="AY5" s="211" t="s">
        <v>4</v>
      </c>
      <c r="AZ5" s="211"/>
      <c r="BA5" s="131"/>
      <c r="BB5" s="131"/>
      <c r="BC5" s="129">
        <f>SUM(BC15:BC1187)</f>
        <v>1415242.8020808485</v>
      </c>
      <c r="BD5" s="130"/>
      <c r="BE5" s="129">
        <f>SUM(BE15:BE1187)</f>
        <v>0</v>
      </c>
      <c r="BF5" s="130"/>
      <c r="BG5" s="130"/>
      <c r="BH5" s="132"/>
      <c r="BI5" s="132"/>
      <c r="BJ5" s="129">
        <f>SUM(BJ15:BJ1187)</f>
        <v>165744.67625427066</v>
      </c>
      <c r="BK5" s="133"/>
    </row>
    <row r="6" spans="1:63" s="103" customFormat="1" outlineLevel="1" x14ac:dyDescent="0.2">
      <c r="B6" s="216" t="s">
        <v>72</v>
      </c>
      <c r="C6" s="216"/>
      <c r="D6" s="216"/>
      <c r="F6" s="218" t="s">
        <v>78</v>
      </c>
      <c r="G6" s="218"/>
      <c r="H6" s="218"/>
      <c r="I6" s="218"/>
      <c r="J6" s="104"/>
      <c r="K6" s="104"/>
      <c r="L6" s="104"/>
      <c r="M6" s="217" t="s">
        <v>87</v>
      </c>
      <c r="N6" s="217"/>
      <c r="Q6" s="106"/>
      <c r="R6" s="106"/>
      <c r="S6" s="108"/>
      <c r="T6" s="108"/>
      <c r="AA6" s="104"/>
      <c r="AD6" s="105"/>
      <c r="AE6" s="105"/>
      <c r="AK6" s="109"/>
      <c r="AR6" s="130"/>
      <c r="AS6" s="212" t="s">
        <v>72</v>
      </c>
      <c r="AT6" s="212"/>
      <c r="AU6" s="212"/>
      <c r="AV6" s="130"/>
      <c r="AW6" s="213" t="s">
        <v>78</v>
      </c>
      <c r="AX6" s="213"/>
      <c r="AY6" s="213"/>
      <c r="AZ6" s="213"/>
      <c r="BA6" s="134"/>
      <c r="BB6" s="131"/>
      <c r="BC6" s="131"/>
      <c r="BD6" s="214" t="s">
        <v>87</v>
      </c>
      <c r="BE6" s="214"/>
      <c r="BF6" s="130"/>
      <c r="BG6" s="130"/>
      <c r="BH6" s="132"/>
      <c r="BI6" s="132"/>
      <c r="BJ6" s="133"/>
      <c r="BK6" s="133"/>
    </row>
    <row r="7" spans="1:63" s="103" customFormat="1" ht="21" outlineLevel="1" x14ac:dyDescent="0.25">
      <c r="B7" s="77"/>
      <c r="C7" s="77" t="s">
        <v>73</v>
      </c>
      <c r="D7" s="195">
        <v>0.105</v>
      </c>
      <c r="E7" s="117">
        <f>((1+D7)^(1/12))-1</f>
        <v>8.355155683635207E-3</v>
      </c>
      <c r="F7" s="106"/>
      <c r="G7" s="77" t="s">
        <v>79</v>
      </c>
      <c r="H7" s="221">
        <v>389</v>
      </c>
      <c r="I7" s="221"/>
      <c r="J7" s="104"/>
      <c r="K7" s="104"/>
      <c r="L7" s="104"/>
      <c r="M7" s="77" t="s">
        <v>83</v>
      </c>
      <c r="N7" s="123">
        <f>IF(M434&lt;G15,COUNTIF(L15:L434,"&gt;1"),"⚠️ MAIS DE 420")</f>
        <v>389</v>
      </c>
      <c r="O7" s="122" t="str">
        <f>" "&amp;TEXT(N7/12,"0,0") &amp;  " anos"</f>
        <v xml:space="preserve"> 32,4 anos</v>
      </c>
      <c r="Q7" s="106"/>
      <c r="R7" s="106"/>
      <c r="S7" s="108"/>
      <c r="T7" s="108"/>
      <c r="X7" s="85" t="s">
        <v>65</v>
      </c>
      <c r="Y7" s="189">
        <v>7.6600000000000001E-2</v>
      </c>
      <c r="AA7" s="89" t="s">
        <v>68</v>
      </c>
      <c r="AD7" s="102" t="s">
        <v>71</v>
      </c>
      <c r="AE7" s="125"/>
      <c r="AF7" s="126"/>
      <c r="AK7" s="109"/>
      <c r="AR7" s="130"/>
      <c r="AS7" s="135"/>
      <c r="AT7" s="135" t="s">
        <v>73</v>
      </c>
      <c r="AU7" s="136">
        <f>D7</f>
        <v>0.105</v>
      </c>
      <c r="AV7" s="117">
        <f>((1+AU7)^(1/12))-1</f>
        <v>8.355155683635207E-3</v>
      </c>
      <c r="AW7" s="132"/>
      <c r="AX7" s="135" t="s">
        <v>79</v>
      </c>
      <c r="AY7" s="215">
        <f>H7</f>
        <v>389</v>
      </c>
      <c r="AZ7" s="215"/>
      <c r="BA7" s="137">
        <v>360</v>
      </c>
      <c r="BB7" s="131"/>
      <c r="BC7" s="131"/>
      <c r="BD7" s="135" t="s">
        <v>83</v>
      </c>
      <c r="BE7" s="123">
        <f>IF(BD434&lt;AX15,COUNTIF(BC15:BC434,"&gt;1"),"⚠️ MAIS DE 420")</f>
        <v>389</v>
      </c>
      <c r="BF7" s="138" t="str">
        <f>" "&amp;TEXT(BE7/12,"0,0") &amp;  " anos"</f>
        <v xml:space="preserve"> 32,4 anos</v>
      </c>
      <c r="BG7" s="130"/>
      <c r="BH7" s="132"/>
      <c r="BI7" s="132"/>
      <c r="BJ7" s="133"/>
      <c r="BK7" s="133"/>
    </row>
    <row r="8" spans="1:63" s="103" customFormat="1" outlineLevel="1" x14ac:dyDescent="0.25">
      <c r="B8" s="110"/>
      <c r="C8" s="111" t="s">
        <v>74</v>
      </c>
      <c r="D8" s="112">
        <v>396000</v>
      </c>
      <c r="E8" s="106"/>
      <c r="F8" s="106"/>
      <c r="G8" s="77" t="s">
        <v>80</v>
      </c>
      <c r="H8" s="207">
        <f>S5</f>
        <v>165744.67625427066</v>
      </c>
      <c r="I8" s="207"/>
      <c r="J8" s="199" t="s">
        <v>92</v>
      </c>
      <c r="K8" s="104"/>
      <c r="L8" s="104"/>
      <c r="M8" s="77" t="s">
        <v>84</v>
      </c>
      <c r="N8" s="123">
        <f>H7-N7</f>
        <v>0</v>
      </c>
      <c r="O8" s="191" t="str">
        <f>" "&amp;TEXT(N8/12,"0,0") &amp;  " anos a menos"</f>
        <v xml:space="preserve"> 0,0 anos a menos</v>
      </c>
      <c r="Q8" s="106"/>
      <c r="R8" s="106"/>
      <c r="S8" s="108"/>
      <c r="T8" s="108"/>
      <c r="U8" s="197">
        <f>IF(N8&gt;0,N5/N8,0)</f>
        <v>0</v>
      </c>
      <c r="V8" s="196" t="s">
        <v>90</v>
      </c>
      <c r="X8" s="86"/>
      <c r="Y8" s="88">
        <f>Y7/12</f>
        <v>6.3833333333333337E-3</v>
      </c>
      <c r="AA8" s="67">
        <f>(1+AA9)^12-1</f>
        <v>0.13146250933692127</v>
      </c>
      <c r="AD8" s="18" t="s">
        <v>70</v>
      </c>
      <c r="AE8" s="105"/>
      <c r="AK8" s="109"/>
      <c r="AR8" s="130"/>
      <c r="AS8" s="139"/>
      <c r="AT8" s="140" t="s">
        <v>74</v>
      </c>
      <c r="AU8" s="141">
        <f>D8</f>
        <v>396000</v>
      </c>
      <c r="AV8" s="132"/>
      <c r="AW8" s="132"/>
      <c r="AX8" s="135" t="s">
        <v>80</v>
      </c>
      <c r="AY8" s="207">
        <f>BJ5</f>
        <v>165744.67625427066</v>
      </c>
      <c r="AZ8" s="207"/>
      <c r="BA8" s="118">
        <f>BG5</f>
        <v>0</v>
      </c>
      <c r="BB8" s="131"/>
      <c r="BC8" s="131"/>
      <c r="BD8" s="135" t="s">
        <v>84</v>
      </c>
      <c r="BE8" s="123">
        <f>AY7-BE7</f>
        <v>0</v>
      </c>
      <c r="BF8" s="138" t="str">
        <f>" "&amp;TEXT(BE8/12,"0,0") &amp;  " anos a menos"</f>
        <v xml:space="preserve"> 0,0 anos a menos</v>
      </c>
      <c r="BG8" s="130"/>
      <c r="BH8" s="132"/>
      <c r="BI8" s="132"/>
      <c r="BJ8" s="133"/>
      <c r="BK8" s="133"/>
    </row>
    <row r="9" spans="1:63" s="103" customFormat="1" outlineLevel="1" x14ac:dyDescent="0.2">
      <c r="B9" s="110"/>
      <c r="C9" s="111" t="s">
        <v>75</v>
      </c>
      <c r="D9" s="113">
        <v>1.6999999999999999E-3</v>
      </c>
      <c r="E9" s="106"/>
      <c r="F9" s="106"/>
      <c r="G9" s="77" t="s">
        <v>82</v>
      </c>
      <c r="H9" s="207">
        <f>BE10</f>
        <v>1415242.8020808485</v>
      </c>
      <c r="I9" s="207"/>
      <c r="J9" s="199" t="s">
        <v>93</v>
      </c>
      <c r="K9" s="104"/>
      <c r="L9" s="104"/>
      <c r="M9" s="77" t="s">
        <v>0</v>
      </c>
      <c r="N9" s="124">
        <f>SUM(L15:L434)+SUM(N15:N434)</f>
        <v>1415242.8020808485</v>
      </c>
      <c r="Q9" s="106"/>
      <c r="R9" s="106"/>
      <c r="S9" s="108"/>
      <c r="T9" s="108"/>
      <c r="X9" s="87" t="s">
        <v>66</v>
      </c>
      <c r="Y9" s="190">
        <f>(1+Y8)^12-1</f>
        <v>7.9347350937556849E-2</v>
      </c>
      <c r="AA9" s="35">
        <f>IRR(AA14:AA434)</f>
        <v>1.0345738539501603E-2</v>
      </c>
      <c r="AD9" s="105"/>
      <c r="AE9" s="105"/>
      <c r="AK9" s="109"/>
      <c r="AR9" s="130"/>
      <c r="AS9" s="139"/>
      <c r="AT9" s="140" t="s">
        <v>75</v>
      </c>
      <c r="AU9" s="136">
        <f>D9</f>
        <v>1.6999999999999999E-3</v>
      </c>
      <c r="AV9" s="132"/>
      <c r="AW9" s="132"/>
      <c r="AX9" s="135" t="s">
        <v>81</v>
      </c>
      <c r="AY9" s="208">
        <f>CF9</f>
        <v>0</v>
      </c>
      <c r="AZ9" s="208"/>
      <c r="BA9" s="119">
        <f>CH9</f>
        <v>0</v>
      </c>
      <c r="BB9" s="131"/>
      <c r="BC9" s="131"/>
      <c r="BD9" s="140" t="s">
        <v>85</v>
      </c>
      <c r="BE9" s="124">
        <f>SUM(AW15:AW434)+AR5+AS5</f>
        <v>853501.51402243937</v>
      </c>
      <c r="BF9" s="130"/>
      <c r="BG9" s="130"/>
      <c r="BH9" s="132"/>
      <c r="BI9" s="132"/>
      <c r="BJ9" s="133"/>
      <c r="BK9" s="133"/>
    </row>
    <row r="10" spans="1:63" s="103" customFormat="1" outlineLevel="1" x14ac:dyDescent="0.2">
      <c r="B10" s="110"/>
      <c r="C10" s="77" t="s">
        <v>61</v>
      </c>
      <c r="D10" s="114">
        <f>AA8</f>
        <v>0.13146250933692127</v>
      </c>
      <c r="E10" s="117">
        <f>(1+D10)^(1/12)-1</f>
        <v>1.0345738539501603E-2</v>
      </c>
      <c r="F10" s="106"/>
      <c r="G10" s="77" t="s">
        <v>91</v>
      </c>
      <c r="H10" s="208">
        <f>BE9</f>
        <v>853501.51402243937</v>
      </c>
      <c r="I10" s="208"/>
      <c r="J10" s="106" t="s">
        <v>94</v>
      </c>
      <c r="K10" s="104"/>
      <c r="L10" s="104"/>
      <c r="M10" s="111" t="s">
        <v>85</v>
      </c>
      <c r="N10" s="124">
        <f>SUM(F15:F434)+A5+B5</f>
        <v>853501.51402243937</v>
      </c>
      <c r="Q10" s="106"/>
      <c r="R10" s="106"/>
      <c r="S10" s="108"/>
      <c r="T10" s="108"/>
      <c r="AA10" s="104"/>
      <c r="AD10" s="105"/>
      <c r="AE10" s="105"/>
      <c r="AK10" s="109"/>
      <c r="AR10" s="130"/>
      <c r="AS10" s="139"/>
      <c r="AT10" s="135" t="s">
        <v>61</v>
      </c>
      <c r="AU10" s="114">
        <f>D10</f>
        <v>0.13146250933692127</v>
      </c>
      <c r="AV10" s="117">
        <f>(1+AU10)^(1/12)-1</f>
        <v>1.0345738539501603E-2</v>
      </c>
      <c r="AW10" s="132"/>
      <c r="AX10" s="135" t="s">
        <v>82</v>
      </c>
      <c r="AY10" s="207">
        <f>CF10</f>
        <v>0</v>
      </c>
      <c r="AZ10" s="207"/>
      <c r="BA10" s="118">
        <f>CH10</f>
        <v>0</v>
      </c>
      <c r="BB10" s="131"/>
      <c r="BC10" s="131"/>
      <c r="BD10" s="135" t="s">
        <v>0</v>
      </c>
      <c r="BE10" s="124">
        <f>SUM(BC15:BC434)+SUM(BE15:BE434)</f>
        <v>1415242.8020808485</v>
      </c>
      <c r="BF10" s="130"/>
      <c r="BG10" s="130"/>
      <c r="BH10" s="132"/>
      <c r="BI10" s="132"/>
      <c r="BJ10" s="133"/>
      <c r="BK10" s="133"/>
    </row>
    <row r="11" spans="1:63" s="103" customFormat="1" ht="21" outlineLevel="1" x14ac:dyDescent="0.2">
      <c r="C11" s="111" t="s">
        <v>89</v>
      </c>
      <c r="D11" s="75" t="s">
        <v>55</v>
      </c>
      <c r="I11" s="107"/>
      <c r="J11" s="104"/>
      <c r="K11" s="104"/>
      <c r="L11" s="104"/>
      <c r="M11" s="120" t="s">
        <v>86</v>
      </c>
      <c r="N11" s="194">
        <f>H9-N9</f>
        <v>0</v>
      </c>
      <c r="Q11" s="106"/>
      <c r="R11" s="106"/>
      <c r="S11" s="108"/>
      <c r="T11" s="108"/>
      <c r="AA11" s="104"/>
      <c r="AD11" s="105"/>
      <c r="AE11" s="105"/>
      <c r="AK11" s="109"/>
      <c r="AR11" s="130"/>
      <c r="AS11" s="130"/>
      <c r="AT11" s="140" t="s">
        <v>89</v>
      </c>
      <c r="AU11" s="142" t="str">
        <f>D11</f>
        <v>Caixa</v>
      </c>
      <c r="AV11" s="130"/>
      <c r="AW11" s="130"/>
      <c r="AX11" s="130"/>
      <c r="AY11" s="130"/>
      <c r="AZ11" s="143"/>
      <c r="BA11" s="131"/>
      <c r="BB11" s="131"/>
      <c r="BC11" s="131"/>
      <c r="BD11" s="144" t="s">
        <v>86</v>
      </c>
      <c r="BE11" s="145">
        <f>AY10-BE10</f>
        <v>-1415242.8020808485</v>
      </c>
      <c r="BF11" s="130"/>
      <c r="BG11" s="130"/>
      <c r="BH11" s="132"/>
      <c r="BI11" s="132"/>
      <c r="BJ11" s="133"/>
      <c r="BK11" s="133"/>
    </row>
    <row r="12" spans="1:63" ht="10" customHeight="1" outlineLevel="1" x14ac:dyDescent="0.2">
      <c r="C12" s="74"/>
      <c r="D12" s="63"/>
      <c r="F12" s="24"/>
      <c r="O12" s="23"/>
      <c r="P12" s="23"/>
      <c r="Q12" s="219"/>
      <c r="R12" s="127"/>
      <c r="S12" s="108"/>
      <c r="T12" s="108"/>
      <c r="AA12" s="7"/>
      <c r="AG12" s="22"/>
      <c r="AI12" s="22"/>
      <c r="AJ12" s="22"/>
      <c r="AR12"/>
      <c r="AS12"/>
      <c r="AT12" s="146"/>
      <c r="AU12" s="147"/>
      <c r="AV12"/>
      <c r="AW12" s="148"/>
      <c r="AX12"/>
      <c r="AY12" s="4"/>
      <c r="AZ12" s="149"/>
      <c r="BA12" s="150"/>
      <c r="BB12" s="150"/>
      <c r="BC12" s="1"/>
      <c r="BD12" s="1"/>
      <c r="BE12" s="1"/>
      <c r="BF12" s="151"/>
      <c r="BG12" s="151"/>
      <c r="BH12" s="209"/>
      <c r="BI12" s="152"/>
      <c r="BJ12" s="133"/>
      <c r="BK12" s="133"/>
    </row>
    <row r="13" spans="1:63" s="27" customFormat="1" ht="16" x14ac:dyDescent="0.2">
      <c r="A13" s="29" t="s">
        <v>13</v>
      </c>
      <c r="B13" s="29" t="s">
        <v>14</v>
      </c>
      <c r="C13" s="29" t="s">
        <v>63</v>
      </c>
      <c r="D13" s="29" t="s">
        <v>67</v>
      </c>
      <c r="E13" s="26"/>
      <c r="F13" s="29" t="s">
        <v>11</v>
      </c>
      <c r="G13" s="30" t="s">
        <v>3</v>
      </c>
      <c r="H13" s="18"/>
      <c r="I13" s="70"/>
      <c r="J13" s="30" t="s">
        <v>52</v>
      </c>
      <c r="K13" s="30" t="s">
        <v>53</v>
      </c>
      <c r="L13" s="30" t="s">
        <v>15</v>
      </c>
      <c r="M13" s="29" t="s">
        <v>12</v>
      </c>
      <c r="N13" s="29" t="s">
        <v>88</v>
      </c>
      <c r="O13" s="29" t="s">
        <v>29</v>
      </c>
      <c r="P13" s="29" t="s">
        <v>51</v>
      </c>
      <c r="Q13" s="220"/>
      <c r="R13" s="31" t="s">
        <v>26</v>
      </c>
      <c r="S13" s="31" t="s">
        <v>5</v>
      </c>
      <c r="T13" s="29" t="s">
        <v>30</v>
      </c>
      <c r="AA13" s="68" t="s">
        <v>54</v>
      </c>
      <c r="AE13" s="28"/>
      <c r="AG13" s="22"/>
      <c r="AH13" s="30" t="s">
        <v>50</v>
      </c>
      <c r="AI13" s="29" t="s">
        <v>28</v>
      </c>
      <c r="AJ13" s="29" t="s">
        <v>27</v>
      </c>
      <c r="AK13" s="29" t="s">
        <v>64</v>
      </c>
      <c r="AQ13" s="28"/>
      <c r="AR13" s="153" t="s">
        <v>13</v>
      </c>
      <c r="AS13" s="153" t="s">
        <v>14</v>
      </c>
      <c r="AT13" s="153" t="s">
        <v>63</v>
      </c>
      <c r="AU13" s="153" t="s">
        <v>67</v>
      </c>
      <c r="AV13" s="154"/>
      <c r="AW13" s="153" t="s">
        <v>11</v>
      </c>
      <c r="AX13" s="155" t="s">
        <v>3</v>
      </c>
      <c r="AY13" s="4"/>
      <c r="AZ13" s="156"/>
      <c r="BA13" s="155" t="s">
        <v>52</v>
      </c>
      <c r="BB13" s="155" t="s">
        <v>53</v>
      </c>
      <c r="BC13" s="155" t="s">
        <v>15</v>
      </c>
      <c r="BD13" s="153" t="s">
        <v>12</v>
      </c>
      <c r="BE13" s="153" t="s">
        <v>88</v>
      </c>
      <c r="BF13" s="153" t="s">
        <v>29</v>
      </c>
      <c r="BG13" s="153" t="s">
        <v>51</v>
      </c>
      <c r="BH13" s="210"/>
      <c r="BI13" s="157" t="s">
        <v>26</v>
      </c>
      <c r="BJ13" s="157" t="s">
        <v>5</v>
      </c>
      <c r="BK13" s="153" t="s">
        <v>30</v>
      </c>
    </row>
    <row r="14" spans="1:63" ht="5" customHeight="1" x14ac:dyDescent="0.2">
      <c r="C14" s="128">
        <f>DATE(YEAR(C15),MONTH(C15)-1,1)</f>
        <v>46023</v>
      </c>
      <c r="F14" s="66"/>
      <c r="G14" s="19"/>
      <c r="H14" s="64"/>
      <c r="I14" s="71"/>
      <c r="J14" s="19"/>
      <c r="K14" s="19"/>
      <c r="L14" s="19"/>
      <c r="M14" s="19"/>
      <c r="N14" s="8"/>
      <c r="O14" s="8"/>
      <c r="P14" s="8"/>
      <c r="Q14" s="9"/>
      <c r="R14" s="9"/>
      <c r="S14" s="13"/>
      <c r="T14" s="11"/>
      <c r="AA14" s="69">
        <f>D8</f>
        <v>396000</v>
      </c>
      <c r="AG14" s="22"/>
      <c r="AH14" s="6"/>
      <c r="AI14" s="22"/>
      <c r="AJ14" s="22"/>
      <c r="AK14" s="72">
        <f t="shared" ref="AK14:AK77" si="0">DAY(DATE(YEAR(C14),MONTH(C14)+1,1)-1)</f>
        <v>31</v>
      </c>
      <c r="AQ14" s="8"/>
      <c r="AR14"/>
      <c r="AS14"/>
      <c r="AT14" s="158">
        <f>DATE(YEAR(AT15),MONTH(AT15)-1,1)</f>
        <v>46023</v>
      </c>
      <c r="AU14" s="159"/>
      <c r="AV14"/>
      <c r="AW14" s="160"/>
      <c r="AX14" s="161"/>
      <c r="AY14" s="162"/>
      <c r="AZ14" s="163"/>
      <c r="BA14" s="161"/>
      <c r="BB14" s="161"/>
      <c r="BC14" s="161"/>
      <c r="BD14" s="161"/>
      <c r="BE14" s="1"/>
      <c r="BF14" s="1"/>
      <c r="BG14" s="1"/>
      <c r="BH14" s="164"/>
      <c r="BI14" s="164"/>
      <c r="BJ14" s="165"/>
      <c r="BK14" s="166"/>
    </row>
    <row r="15" spans="1:63" x14ac:dyDescent="0.25">
      <c r="A15" s="18">
        <v>25</v>
      </c>
      <c r="B15" s="97">
        <v>75</v>
      </c>
      <c r="C15" s="116">
        <v>46054</v>
      </c>
      <c r="D15" s="2">
        <f>IFERROR(G15/D8,0)</f>
        <v>2.5706940874035988E-3</v>
      </c>
      <c r="E15" s="169">
        <v>1</v>
      </c>
      <c r="F15" s="165">
        <f>IF(OR(D8&lt;1,N14&gt;D8),0,(D8-N14)*IF(D$11&lt;&gt;"BB",$E$7,(1+$D$7)^(AK14/365)-1))</f>
        <v>3308.6416507195418</v>
      </c>
      <c r="G15" s="170">
        <f>IF(R15=0,0,IF(D8&lt;1,0,(D8-N14)/R15))</f>
        <v>1017.9948586118252</v>
      </c>
      <c r="H15" s="164" t="str">
        <f t="shared" ref="H15:H24" si="1">IF(OR(G15=0,L15&lt;1),"",IF(G15/L15&gt;90%,"🛩",IF(G15/L15&gt;70%,"🏎",IF(G15/L15&gt;50%,"🚙",IF(G15/L15&gt;30%,"🛵",IF(G15/L15&gt;15%,"🐢","⚓️"))))))</f>
        <v>🐢</v>
      </c>
      <c r="I15" s="171" t="str">
        <f t="shared" ref="I15:I78" si="2">IFERROR(IF((G15+N15-S15)/L15&lt;0,"🔙",IF((G15+N15-S15)/L15&lt;10%,"🥾",IF((G15+N15-S15)/L15&lt;20%,"🛴",IF((G15+N15-S15)/L15&lt;50%,"🚴‍♂️",IF((G15+N15-S15)/L15&lt;75%,"🚖","🚁"))))),"")</f>
        <v>🥾</v>
      </c>
      <c r="J15" s="172">
        <f t="shared" ref="J15:J78" si="3">G15+N15-S15</f>
        <v>344.79485861182525</v>
      </c>
      <c r="K15" s="173">
        <f t="shared" ref="K15:K78" si="4">IFERROR(J15/(L15+N15),0)</f>
        <v>7.789093545065115E-2</v>
      </c>
      <c r="L15" s="174">
        <f t="shared" ref="L15:L78" si="5">G15+F15+A15+B15</f>
        <v>4426.6365093313671</v>
      </c>
      <c r="M15" s="175">
        <f>IF(R15=0,0,MAX(0,D8-G15+S15-N14))</f>
        <v>395655.20514138817</v>
      </c>
      <c r="N15" s="20"/>
      <c r="O15" s="37" t="str">
        <f t="shared" ref="O15:O50" si="6">IF(AND(N15&lt;&gt;"",N15&lt;R15),"V","")</f>
        <v/>
      </c>
      <c r="P15" s="62"/>
      <c r="Q15" s="16" t="str">
        <f t="shared" ref="Q15:Q78" si="7">IF(N15=0,"",IF(N15&gt;M15,"🚫",IF(INT(N15/G15&lt;1),"👍",INT(N15/G15)&amp;"x")))</f>
        <v/>
      </c>
      <c r="R15" s="60">
        <f>H7</f>
        <v>389</v>
      </c>
      <c r="S15" s="98">
        <f>D8*$T15</f>
        <v>673.19999999999993</v>
      </c>
      <c r="T15" s="21">
        <f>D9</f>
        <v>1.6999999999999999E-3</v>
      </c>
      <c r="AA15" s="14">
        <f t="shared" ref="AA15:AA78" si="8">-(L15+N15)</f>
        <v>-4426.6365093313671</v>
      </c>
      <c r="AH15" s="6">
        <f t="shared" ref="AH15:AH78" si="9">ROUNDUP(E15/120,0)</f>
        <v>1</v>
      </c>
      <c r="AI15" s="6">
        <f t="shared" ref="AI15:AI78" si="10">ROUNDUP(E15/36,0)</f>
        <v>1</v>
      </c>
      <c r="AJ15" s="12">
        <f t="shared" ref="AJ15:AJ78" si="11">ROUNDUP(E15/12,0)</f>
        <v>1</v>
      </c>
      <c r="AK15" s="72">
        <f t="shared" si="0"/>
        <v>28</v>
      </c>
      <c r="AQ15" s="8"/>
      <c r="AR15" s="4">
        <f>A15</f>
        <v>25</v>
      </c>
      <c r="AS15" s="167">
        <f>B15</f>
        <v>75</v>
      </c>
      <c r="AT15" s="168">
        <f>C15</f>
        <v>46054</v>
      </c>
      <c r="AU15" s="2">
        <f>IFERROR(AX15/AU8,0)</f>
        <v>2.5706940874035988E-3</v>
      </c>
      <c r="AV15" s="169">
        <v>1</v>
      </c>
      <c r="AW15" s="165">
        <f>IF(OR(AU8&lt;1,BE14&gt;AU8),0,(AU8-BE14)*IF(AU$11&lt;&gt;"BB",$E$7,(1+$D$7)^(BY14/365)-1))</f>
        <v>3308.6416507195418</v>
      </c>
      <c r="AX15" s="170">
        <f>IF(BI15=0,0,IF(AU8&lt;1,0,(AU8-BE14)/BI15))</f>
        <v>1017.9948586118252</v>
      </c>
      <c r="AY15" s="164" t="str">
        <f t="shared" ref="AY15:AY24" si="12">IF(OR(AX15=0,BC15&lt;1),"",IF(AX15/BC15&gt;90%,"🛩",IF(AX15/BC15&gt;70%,"🏎",IF(AX15/BC15&gt;50%,"🚙",IF(AX15/BC15&gt;30%,"🛵",IF(AX15/BC15&gt;15%,"🐢","⚓️"))))))</f>
        <v>🐢</v>
      </c>
      <c r="AZ15" s="171" t="str">
        <f t="shared" ref="AZ15:AZ78" si="13">IFERROR(IF((AX15+BE15-BJ15)/BC15&lt;0,"🔙",IF((AX15+BE15-BJ15)/BC15&lt;10%,"🥾",IF((AX15+BE15-BJ15)/BC15&lt;20%,"🛴",IF((AX15+BE15-BJ15)/BC15&lt;50%,"🚴‍♂️",IF((AX15+BE15-BJ15)/BC15&lt;75%,"🚖","🚁"))))),"")</f>
        <v>🥾</v>
      </c>
      <c r="BA15" s="172">
        <f t="shared" ref="BA15:BA78" si="14">AX15+BE15-BJ15</f>
        <v>344.79485861182525</v>
      </c>
      <c r="BB15" s="173">
        <f t="shared" ref="BB15:BB78" si="15">IFERROR(BA15/(BC15+BE15),0)</f>
        <v>7.789093545065115E-2</v>
      </c>
      <c r="BC15" s="174">
        <f t="shared" ref="BC15:BC78" si="16">AX15+AW15+AR15+AS15</f>
        <v>4426.6365093313671</v>
      </c>
      <c r="BD15" s="175">
        <f>IF(BI15=0,0,MAX(0,AU8-AX15+BJ15-BE14))</f>
        <v>395655.20514138817</v>
      </c>
      <c r="BE15" s="176"/>
      <c r="BF15" s="177" t="str">
        <f t="shared" ref="BF15:BF50" si="17">IF(AND(BE15&lt;&gt;"",BE15&lt;BI15),"V","")</f>
        <v/>
      </c>
      <c r="BG15" s="178"/>
      <c r="BH15" s="179" t="str">
        <f t="shared" ref="BH15:BH78" si="18">IF(BE15=0,"",IF(BE15&gt;BD15,"🚫",IF(INT(BE15/AX15&lt;1),"👍",INT(BE15/AX15)&amp;"x")))</f>
        <v/>
      </c>
      <c r="BI15" s="180">
        <f>AY7</f>
        <v>389</v>
      </c>
      <c r="BJ15" s="181">
        <f>AU8*$BK15</f>
        <v>673.19999999999993</v>
      </c>
      <c r="BK15" s="182">
        <f>AU9</f>
        <v>1.6999999999999999E-3</v>
      </c>
    </row>
    <row r="16" spans="1:63" x14ac:dyDescent="0.25">
      <c r="A16" s="7">
        <f t="shared" ref="A16:A79" si="19">IF(INT(F16)&gt;0,A15,0)</f>
        <v>25</v>
      </c>
      <c r="B16" s="7">
        <f t="shared" ref="B16:B79" si="20">IF(F16&gt;0.1,B15,0)</f>
        <v>75</v>
      </c>
      <c r="C16" s="115">
        <f t="shared" ref="C16:C79" si="21">DATE(YEAR(C15),MONTH(C15)+1,1)</f>
        <v>46082</v>
      </c>
      <c r="D16" s="2">
        <f t="shared" ref="D16:D78" si="22">IFERROR(G16/M15,0)</f>
        <v>2.5773195876288659E-3</v>
      </c>
      <c r="E16" s="169">
        <f t="shared" ref="E16:E79" si="23">E15+1</f>
        <v>2</v>
      </c>
      <c r="F16" s="165">
        <f t="shared" ref="F16:F79" si="24">IF(OR(M15&lt;1,N15&gt;M15),0,(M15-N15)*IF(D$11&lt;&gt;"BB",$E$7,(1+$D$7)^(AK15/365)-1))</f>
        <v>3305.7608359969231</v>
      </c>
      <c r="G16" s="170">
        <f>IF(R16=0,0,IF(M15&lt;1,0,IF(AND(((M15-N15)/R16)&lt;G15,O15&lt;&gt;"V"),G15,  (M15-N15)/R16)))</f>
        <v>1019.729910158217</v>
      </c>
      <c r="H16" s="164" t="str">
        <f t="shared" si="1"/>
        <v>🐢</v>
      </c>
      <c r="I16" s="171" t="str">
        <f t="shared" si="2"/>
        <v>🥾</v>
      </c>
      <c r="J16" s="172">
        <f t="shared" si="3"/>
        <v>347.11606141785717</v>
      </c>
      <c r="K16" s="173">
        <f t="shared" si="4"/>
        <v>7.8435608913978883E-2</v>
      </c>
      <c r="L16" s="174">
        <f t="shared" si="5"/>
        <v>4425.4907461551402</v>
      </c>
      <c r="M16" s="175">
        <f t="shared" ref="M16:M79" si="25">IF(R16=0,0,MAX(0,M15-G16+S16-N15))</f>
        <v>395308.08907997032</v>
      </c>
      <c r="N16" s="20"/>
      <c r="O16" s="37" t="str">
        <f t="shared" si="6"/>
        <v/>
      </c>
      <c r="P16" s="62" t="str">
        <f t="shared" ref="P16:P79" si="26">IF(N15=0,"",(L15-L16)/N15)</f>
        <v/>
      </c>
      <c r="Q16" s="16" t="str">
        <f t="shared" si="7"/>
        <v/>
      </c>
      <c r="R16" s="60">
        <f t="shared" ref="R16:R79" si="27">IF(M15=0,0,IF(OR(N15=0,O15="V"),R15-1,IF(OR(D$11="BRADESCO",D$11="BB"),R15-ROUNDDOWN(N15/(M15/R15),0)-1,ROUNDUP((M15-N15+S15-(M15/R15))/(L15-F16-A16-B16),0)+1)))</f>
        <v>388</v>
      </c>
      <c r="S16" s="98">
        <f t="shared" ref="S16:S79" si="28">M15*$T16</f>
        <v>672.6138487403598</v>
      </c>
      <c r="T16" s="21">
        <f t="shared" ref="T16:T79" si="29">IF(M15&gt;0,T15,0)</f>
        <v>1.6999999999999999E-3</v>
      </c>
      <c r="AA16" s="14">
        <f t="shared" si="8"/>
        <v>-4425.4907461551402</v>
      </c>
      <c r="AH16" s="6">
        <f t="shared" si="9"/>
        <v>1</v>
      </c>
      <c r="AI16" s="6">
        <f t="shared" si="10"/>
        <v>1</v>
      </c>
      <c r="AJ16" s="12">
        <f t="shared" si="11"/>
        <v>1</v>
      </c>
      <c r="AK16" s="72">
        <f t="shared" si="0"/>
        <v>31</v>
      </c>
      <c r="AQ16" s="8"/>
      <c r="AR16">
        <f t="shared" ref="AR16:AR79" si="30">IF(INT(AW16)&gt;0,AR15,0)</f>
        <v>25</v>
      </c>
      <c r="AS16">
        <f t="shared" ref="AS16:AS79" si="31">IF(AW16&gt;0.1,AS15,0)</f>
        <v>75</v>
      </c>
      <c r="AT16" s="183">
        <f t="shared" ref="AT16:AT79" si="32">DATE(YEAR(AT15),MONTH(AT15)+1,1)</f>
        <v>46082</v>
      </c>
      <c r="AU16" s="2">
        <f t="shared" ref="AU16:AU79" si="33">IFERROR(AX16/BD15,0)</f>
        <v>2.5773195876288659E-3</v>
      </c>
      <c r="AV16" s="169">
        <f t="shared" ref="AV16:AV79" si="34">AV15+1</f>
        <v>2</v>
      </c>
      <c r="AW16" s="165">
        <f t="shared" ref="AW16:AW79" si="35">IF(OR(BD15&lt;1,BE15&gt;BD15),0,(BD15-BE15)*IF(AU$11&lt;&gt;"BB",$E$7,(1+$D$7)^(BY15/365)-1))</f>
        <v>3305.7608359969231</v>
      </c>
      <c r="AX16" s="170">
        <f>IF(BI16=0,0,IF(BD15&lt;1,0,IF(AND(((BD15-BE15)/BI16)&lt;AX15,BF15&lt;&gt;"V"),AX15,  (BD15-BE15)/BI16)))</f>
        <v>1019.729910158217</v>
      </c>
      <c r="AY16" s="164" t="str">
        <f t="shared" si="12"/>
        <v>🐢</v>
      </c>
      <c r="AZ16" s="171" t="str">
        <f t="shared" si="13"/>
        <v>🥾</v>
      </c>
      <c r="BA16" s="172">
        <f t="shared" si="14"/>
        <v>347.11606141785717</v>
      </c>
      <c r="BB16" s="173">
        <f t="shared" si="15"/>
        <v>7.8435608913978883E-2</v>
      </c>
      <c r="BC16" s="174">
        <f t="shared" si="16"/>
        <v>4425.4907461551402</v>
      </c>
      <c r="BD16" s="175">
        <f t="shared" ref="BD16:BD79" si="36">IF(BI16=0,0,MAX(0,BD15-AX16+BJ16-BE15))</f>
        <v>395308.08907997032</v>
      </c>
      <c r="BE16" s="176"/>
      <c r="BF16" s="177" t="str">
        <f t="shared" si="17"/>
        <v/>
      </c>
      <c r="BG16" s="178" t="str">
        <f t="shared" ref="BG16:BG79" si="37">IF(BE15=0,"",(BC15-BC16)/BE15)</f>
        <v/>
      </c>
      <c r="BH16" s="179" t="str">
        <f t="shared" si="18"/>
        <v/>
      </c>
      <c r="BI16" s="180">
        <f t="shared" ref="BI16:BI79" si="38">IF(BD15=0,0,IF(OR(BE15=0,BF15="V"),BI15-1,IF(OR(AU$11="BRADESCO",AU$11="BB"),BI15-ROUNDDOWN(BE15/(BD15/BI15),0)-1,ROUNDUP((BD15-BE15+BJ15-(BD15/BI15))/(BC15-AW16-AR16-AS16),0)+1)))</f>
        <v>388</v>
      </c>
      <c r="BJ16" s="181">
        <f>BD15*$BK15</f>
        <v>672.6138487403598</v>
      </c>
      <c r="BK16" s="182">
        <f t="shared" ref="BK16:BK79" si="39">IF(BD15&gt;0,BK15,0)</f>
        <v>1.6999999999999999E-3</v>
      </c>
    </row>
    <row r="17" spans="1:105" x14ac:dyDescent="0.25">
      <c r="A17" s="7">
        <f t="shared" si="19"/>
        <v>25</v>
      </c>
      <c r="B17" s="7">
        <f t="shared" si="20"/>
        <v>75</v>
      </c>
      <c r="C17" s="115">
        <f t="shared" si="21"/>
        <v>46113</v>
      </c>
      <c r="D17" s="2">
        <f t="shared" si="22"/>
        <v>2.5839793281653748E-3</v>
      </c>
      <c r="E17" s="169">
        <f t="shared" si="23"/>
        <v>3</v>
      </c>
      <c r="F17" s="165">
        <f t="shared" si="24"/>
        <v>3302.8606272634865</v>
      </c>
      <c r="G17" s="170">
        <f t="shared" ref="G17:G80" si="40">IF(R17=0,0,IF(M16&lt;1,0,IF(AND(AND(((M16-N16)/R17)&lt;G16,O16&lt;&gt;"V"),D$11&lt;&gt;"BRADESCO"),G16,  (M16-N16)/R17)))</f>
        <v>1021.4679304391998</v>
      </c>
      <c r="H17" s="164" t="str">
        <f t="shared" si="1"/>
        <v>🐢</v>
      </c>
      <c r="I17" s="171" t="str">
        <f t="shared" si="2"/>
        <v>🥾</v>
      </c>
      <c r="J17" s="172">
        <f t="shared" si="3"/>
        <v>349.44417900325027</v>
      </c>
      <c r="K17" s="173">
        <f t="shared" si="4"/>
        <v>7.8982420596877573E-2</v>
      </c>
      <c r="L17" s="174">
        <f t="shared" si="5"/>
        <v>4424.3285577026863</v>
      </c>
      <c r="M17" s="175">
        <f t="shared" si="25"/>
        <v>394958.64490096708</v>
      </c>
      <c r="N17" s="20"/>
      <c r="O17" s="37" t="str">
        <f t="shared" si="6"/>
        <v/>
      </c>
      <c r="P17" s="62" t="str">
        <f t="shared" si="26"/>
        <v/>
      </c>
      <c r="Q17" s="16" t="str">
        <f t="shared" si="7"/>
        <v/>
      </c>
      <c r="R17" s="60">
        <f t="shared" si="27"/>
        <v>387</v>
      </c>
      <c r="S17" s="98">
        <f t="shared" si="28"/>
        <v>672.02375143594952</v>
      </c>
      <c r="T17" s="21">
        <f t="shared" si="29"/>
        <v>1.6999999999999999E-3</v>
      </c>
      <c r="AA17" s="14">
        <f t="shared" si="8"/>
        <v>-4424.3285577026863</v>
      </c>
      <c r="AG17" s="32"/>
      <c r="AH17" s="6">
        <f t="shared" si="9"/>
        <v>1</v>
      </c>
      <c r="AI17" s="6">
        <f t="shared" si="10"/>
        <v>1</v>
      </c>
      <c r="AJ17" s="12">
        <f t="shared" si="11"/>
        <v>1</v>
      </c>
      <c r="AK17" s="72">
        <f t="shared" si="0"/>
        <v>30</v>
      </c>
      <c r="AP17" s="8"/>
      <c r="AQ17" s="8"/>
      <c r="AR17">
        <f t="shared" si="30"/>
        <v>25</v>
      </c>
      <c r="AS17">
        <f t="shared" si="31"/>
        <v>75</v>
      </c>
      <c r="AT17" s="183">
        <f t="shared" si="32"/>
        <v>46113</v>
      </c>
      <c r="AU17" s="2">
        <f t="shared" si="33"/>
        <v>2.5839793281653748E-3</v>
      </c>
      <c r="AV17" s="169">
        <f t="shared" si="34"/>
        <v>3</v>
      </c>
      <c r="AW17" s="165">
        <f t="shared" si="35"/>
        <v>3302.8606272634865</v>
      </c>
      <c r="AX17" s="170">
        <f t="shared" ref="AX17:AX80" si="41">IF(BI17=0,0,IF(BD16&lt;1,0,IF(AND(AND(((BD16-BE16)/BI17)&lt;AX16,BF16&lt;&gt;"V"),AU$11&lt;&gt;"BRADESCO"),AX16,  (BD16-BE16)/BI17)))</f>
        <v>1021.4679304391998</v>
      </c>
      <c r="AY17" s="164" t="str">
        <f t="shared" si="12"/>
        <v>🐢</v>
      </c>
      <c r="AZ17" s="171" t="str">
        <f t="shared" si="13"/>
        <v>🥾</v>
      </c>
      <c r="BA17" s="172">
        <f t="shared" si="14"/>
        <v>349.44417900325027</v>
      </c>
      <c r="BB17" s="173">
        <f t="shared" si="15"/>
        <v>7.8982420596877573E-2</v>
      </c>
      <c r="BC17" s="174">
        <f t="shared" si="16"/>
        <v>4424.3285577026863</v>
      </c>
      <c r="BD17" s="175">
        <f t="shared" si="36"/>
        <v>394958.64490096708</v>
      </c>
      <c r="BE17" s="176"/>
      <c r="BF17" s="177" t="str">
        <f t="shared" si="17"/>
        <v/>
      </c>
      <c r="BG17" s="178" t="str">
        <f t="shared" si="37"/>
        <v/>
      </c>
      <c r="BH17" s="179" t="str">
        <f t="shared" si="18"/>
        <v/>
      </c>
      <c r="BI17" s="180">
        <f t="shared" si="38"/>
        <v>387</v>
      </c>
      <c r="BJ17" s="181">
        <f t="shared" ref="BJ17:BJ80" si="42">BD16*$BK16</f>
        <v>672.02375143594952</v>
      </c>
      <c r="BK17" s="182">
        <f t="shared" si="39"/>
        <v>1.6999999999999999E-3</v>
      </c>
      <c r="CX17" s="80"/>
      <c r="DA17" s="80"/>
    </row>
    <row r="18" spans="1:105" x14ac:dyDescent="0.25">
      <c r="A18" s="7">
        <f t="shared" si="19"/>
        <v>25</v>
      </c>
      <c r="B18" s="7">
        <f t="shared" si="20"/>
        <v>75</v>
      </c>
      <c r="C18" s="115">
        <f t="shared" si="21"/>
        <v>46143</v>
      </c>
      <c r="D18" s="2">
        <f t="shared" si="22"/>
        <v>2.5906735751295333E-3</v>
      </c>
      <c r="E18" s="169">
        <f t="shared" si="23"/>
        <v>4</v>
      </c>
      <c r="F18" s="165">
        <f t="shared" si="24"/>
        <v>3299.9409667451746</v>
      </c>
      <c r="G18" s="170">
        <f t="shared" si="40"/>
        <v>1023.2089246139043</v>
      </c>
      <c r="H18" s="164" t="str">
        <f t="shared" si="1"/>
        <v>🐢</v>
      </c>
      <c r="I18" s="171" t="str">
        <f t="shared" si="2"/>
        <v>🥾</v>
      </c>
      <c r="J18" s="172">
        <f t="shared" si="3"/>
        <v>351.77922828226031</v>
      </c>
      <c r="K18" s="173">
        <f t="shared" si="4"/>
        <v>7.9531383046612267E-2</v>
      </c>
      <c r="L18" s="174">
        <f t="shared" si="5"/>
        <v>4423.1498913590785</v>
      </c>
      <c r="M18" s="175">
        <f t="shared" si="25"/>
        <v>394606.8656726848</v>
      </c>
      <c r="N18" s="20"/>
      <c r="O18" s="37" t="str">
        <f t="shared" si="6"/>
        <v/>
      </c>
      <c r="P18" s="62" t="str">
        <f t="shared" si="26"/>
        <v/>
      </c>
      <c r="Q18" s="16" t="str">
        <f t="shared" si="7"/>
        <v/>
      </c>
      <c r="R18" s="60">
        <f t="shared" si="27"/>
        <v>386</v>
      </c>
      <c r="S18" s="98">
        <f t="shared" si="28"/>
        <v>671.42969633164398</v>
      </c>
      <c r="T18" s="21">
        <f t="shared" si="29"/>
        <v>1.6999999999999999E-3</v>
      </c>
      <c r="AA18" s="14">
        <f t="shared" si="8"/>
        <v>-4423.1498913590785</v>
      </c>
      <c r="AD18" s="18"/>
      <c r="AH18" s="6">
        <f t="shared" si="9"/>
        <v>1</v>
      </c>
      <c r="AI18" s="6">
        <f t="shared" si="10"/>
        <v>1</v>
      </c>
      <c r="AJ18" s="12">
        <f t="shared" si="11"/>
        <v>1</v>
      </c>
      <c r="AK18" s="72">
        <f t="shared" si="0"/>
        <v>31</v>
      </c>
      <c r="AP18" s="8"/>
      <c r="AQ18" s="8"/>
      <c r="AR18">
        <f t="shared" si="30"/>
        <v>25</v>
      </c>
      <c r="AS18">
        <f t="shared" si="31"/>
        <v>75</v>
      </c>
      <c r="AT18" s="183">
        <f t="shared" si="32"/>
        <v>46143</v>
      </c>
      <c r="AU18" s="2">
        <f t="shared" si="33"/>
        <v>2.5906735751295333E-3</v>
      </c>
      <c r="AV18" s="169">
        <f t="shared" si="34"/>
        <v>4</v>
      </c>
      <c r="AW18" s="165">
        <f t="shared" si="35"/>
        <v>3299.9409667451746</v>
      </c>
      <c r="AX18" s="170">
        <f t="shared" si="41"/>
        <v>1023.2089246139043</v>
      </c>
      <c r="AY18" s="164" t="str">
        <f t="shared" si="12"/>
        <v>🐢</v>
      </c>
      <c r="AZ18" s="171" t="str">
        <f t="shared" si="13"/>
        <v>🥾</v>
      </c>
      <c r="BA18" s="172">
        <f t="shared" si="14"/>
        <v>351.77922828226031</v>
      </c>
      <c r="BB18" s="173">
        <f t="shared" si="15"/>
        <v>7.9531383046612267E-2</v>
      </c>
      <c r="BC18" s="174">
        <f t="shared" si="16"/>
        <v>4423.1498913590785</v>
      </c>
      <c r="BD18" s="175">
        <f t="shared" si="36"/>
        <v>394606.8656726848</v>
      </c>
      <c r="BE18" s="176"/>
      <c r="BF18" s="177" t="str">
        <f t="shared" si="17"/>
        <v/>
      </c>
      <c r="BG18" s="178" t="str">
        <f t="shared" si="37"/>
        <v/>
      </c>
      <c r="BH18" s="179" t="str">
        <f t="shared" si="18"/>
        <v/>
      </c>
      <c r="BI18" s="180">
        <f t="shared" si="38"/>
        <v>386</v>
      </c>
      <c r="BJ18" s="181">
        <f t="shared" si="42"/>
        <v>671.42969633164398</v>
      </c>
      <c r="BK18" s="182">
        <f t="shared" si="39"/>
        <v>1.6999999999999999E-3</v>
      </c>
      <c r="CN18" s="18"/>
    </row>
    <row r="19" spans="1:105" x14ac:dyDescent="0.25">
      <c r="A19" s="7">
        <f t="shared" si="19"/>
        <v>25</v>
      </c>
      <c r="B19" s="7">
        <f t="shared" si="20"/>
        <v>75</v>
      </c>
      <c r="C19" s="115">
        <f t="shared" si="21"/>
        <v>46174</v>
      </c>
      <c r="D19" s="2">
        <f t="shared" si="22"/>
        <v>2.5974025974025974E-3</v>
      </c>
      <c r="E19" s="169">
        <f t="shared" si="23"/>
        <v>5</v>
      </c>
      <c r="F19" s="165">
        <f t="shared" si="24"/>
        <v>3297.001796526607</v>
      </c>
      <c r="G19" s="170">
        <f t="shared" si="40"/>
        <v>1024.9528978511294</v>
      </c>
      <c r="H19" s="164" t="str">
        <f t="shared" si="1"/>
        <v>🐢</v>
      </c>
      <c r="I19" s="171" t="str">
        <f t="shared" si="2"/>
        <v>🥾</v>
      </c>
      <c r="J19" s="172">
        <f t="shared" si="3"/>
        <v>354.1212262075652</v>
      </c>
      <c r="K19" s="173">
        <f t="shared" si="4"/>
        <v>8.0082508908969632E-2</v>
      </c>
      <c r="L19" s="174">
        <f t="shared" si="5"/>
        <v>4421.9546943777368</v>
      </c>
      <c r="M19" s="175">
        <f t="shared" si="25"/>
        <v>394252.74444647721</v>
      </c>
      <c r="N19" s="20"/>
      <c r="O19" s="37" t="str">
        <f t="shared" si="6"/>
        <v/>
      </c>
      <c r="P19" s="62" t="str">
        <f t="shared" si="26"/>
        <v/>
      </c>
      <c r="Q19" s="16" t="str">
        <f t="shared" si="7"/>
        <v/>
      </c>
      <c r="R19" s="60">
        <f t="shared" si="27"/>
        <v>385</v>
      </c>
      <c r="S19" s="98">
        <f t="shared" si="28"/>
        <v>670.83167164356416</v>
      </c>
      <c r="T19" s="21">
        <f t="shared" si="29"/>
        <v>1.6999999999999999E-3</v>
      </c>
      <c r="AA19" s="14">
        <f t="shared" si="8"/>
        <v>-4421.9546943777368</v>
      </c>
      <c r="AG19" s="81"/>
      <c r="AH19" s="6">
        <f t="shared" si="9"/>
        <v>1</v>
      </c>
      <c r="AI19" s="6">
        <f t="shared" si="10"/>
        <v>1</v>
      </c>
      <c r="AJ19" s="12">
        <f t="shared" si="11"/>
        <v>1</v>
      </c>
      <c r="AK19" s="72">
        <f t="shared" si="0"/>
        <v>30</v>
      </c>
      <c r="AP19" s="8"/>
      <c r="AQ19" s="8"/>
      <c r="AR19">
        <f t="shared" si="30"/>
        <v>25</v>
      </c>
      <c r="AS19">
        <f t="shared" si="31"/>
        <v>75</v>
      </c>
      <c r="AT19" s="183">
        <f t="shared" si="32"/>
        <v>46174</v>
      </c>
      <c r="AU19" s="2">
        <f t="shared" si="33"/>
        <v>2.5974025974025974E-3</v>
      </c>
      <c r="AV19" s="169">
        <f t="shared" si="34"/>
        <v>5</v>
      </c>
      <c r="AW19" s="165">
        <f t="shared" si="35"/>
        <v>3297.001796526607</v>
      </c>
      <c r="AX19" s="170">
        <f t="shared" si="41"/>
        <v>1024.9528978511294</v>
      </c>
      <c r="AY19" s="164" t="str">
        <f t="shared" si="12"/>
        <v>🐢</v>
      </c>
      <c r="AZ19" s="171" t="str">
        <f t="shared" si="13"/>
        <v>🥾</v>
      </c>
      <c r="BA19" s="172">
        <f t="shared" si="14"/>
        <v>354.1212262075652</v>
      </c>
      <c r="BB19" s="173">
        <f t="shared" si="15"/>
        <v>8.0082508908969632E-2</v>
      </c>
      <c r="BC19" s="174">
        <f t="shared" si="16"/>
        <v>4421.9546943777368</v>
      </c>
      <c r="BD19" s="175">
        <f t="shared" si="36"/>
        <v>394252.74444647721</v>
      </c>
      <c r="BE19" s="176"/>
      <c r="BF19" s="177" t="str">
        <f t="shared" si="17"/>
        <v/>
      </c>
      <c r="BG19" s="178" t="str">
        <f t="shared" si="37"/>
        <v/>
      </c>
      <c r="BH19" s="179" t="str">
        <f t="shared" si="18"/>
        <v/>
      </c>
      <c r="BI19" s="180">
        <f t="shared" si="38"/>
        <v>385</v>
      </c>
      <c r="BJ19" s="181">
        <f t="shared" si="42"/>
        <v>670.83167164356416</v>
      </c>
      <c r="BK19" s="182">
        <f t="shared" si="39"/>
        <v>1.6999999999999999E-3</v>
      </c>
      <c r="CN19" s="18"/>
    </row>
    <row r="20" spans="1:105" x14ac:dyDescent="0.25">
      <c r="A20" s="7">
        <f t="shared" si="19"/>
        <v>25</v>
      </c>
      <c r="B20" s="7">
        <f t="shared" si="20"/>
        <v>75</v>
      </c>
      <c r="C20" s="115">
        <f t="shared" si="21"/>
        <v>46204</v>
      </c>
      <c r="D20" s="2">
        <f t="shared" si="22"/>
        <v>2.6041666666666665E-3</v>
      </c>
      <c r="E20" s="169">
        <f t="shared" si="23"/>
        <v>6</v>
      </c>
      <c r="F20" s="165">
        <f t="shared" si="24"/>
        <v>3294.0430585507629</v>
      </c>
      <c r="G20" s="170">
        <f t="shared" si="40"/>
        <v>1026.6998553293677</v>
      </c>
      <c r="H20" s="164" t="str">
        <f t="shared" si="1"/>
        <v>🐢</v>
      </c>
      <c r="I20" s="171" t="str">
        <f t="shared" si="2"/>
        <v>🥾</v>
      </c>
      <c r="J20" s="172">
        <f t="shared" si="3"/>
        <v>356.47018977035646</v>
      </c>
      <c r="K20" s="173">
        <f t="shared" si="4"/>
        <v>8.0635810929226587E-2</v>
      </c>
      <c r="L20" s="174">
        <f t="shared" si="5"/>
        <v>4420.7429138801308</v>
      </c>
      <c r="M20" s="175">
        <f t="shared" si="25"/>
        <v>393896.27425670688</v>
      </c>
      <c r="N20" s="20"/>
      <c r="O20" s="37" t="str">
        <f t="shared" si="6"/>
        <v/>
      </c>
      <c r="P20" s="62" t="str">
        <f t="shared" si="26"/>
        <v/>
      </c>
      <c r="Q20" s="16" t="str">
        <f t="shared" si="7"/>
        <v/>
      </c>
      <c r="R20" s="60">
        <f t="shared" si="27"/>
        <v>384</v>
      </c>
      <c r="S20" s="98">
        <f t="shared" si="28"/>
        <v>670.22966555901121</v>
      </c>
      <c r="T20" s="21">
        <f t="shared" si="29"/>
        <v>1.6999999999999999E-3</v>
      </c>
      <c r="AA20" s="14">
        <f t="shared" si="8"/>
        <v>-4420.7429138801308</v>
      </c>
      <c r="AE20" s="8"/>
      <c r="AH20" s="6">
        <f t="shared" si="9"/>
        <v>1</v>
      </c>
      <c r="AI20" s="6">
        <f t="shared" si="10"/>
        <v>1</v>
      </c>
      <c r="AJ20" s="12">
        <f t="shared" si="11"/>
        <v>1</v>
      </c>
      <c r="AK20" s="72">
        <f t="shared" si="0"/>
        <v>31</v>
      </c>
      <c r="AP20" s="8"/>
      <c r="AQ20" s="8"/>
      <c r="AR20">
        <f t="shared" si="30"/>
        <v>25</v>
      </c>
      <c r="AS20">
        <f t="shared" si="31"/>
        <v>75</v>
      </c>
      <c r="AT20" s="183">
        <f t="shared" si="32"/>
        <v>46204</v>
      </c>
      <c r="AU20" s="2">
        <f t="shared" si="33"/>
        <v>2.6041666666666665E-3</v>
      </c>
      <c r="AV20" s="169">
        <f t="shared" si="34"/>
        <v>6</v>
      </c>
      <c r="AW20" s="165">
        <f t="shared" si="35"/>
        <v>3294.0430585507629</v>
      </c>
      <c r="AX20" s="170">
        <f t="shared" si="41"/>
        <v>1026.6998553293677</v>
      </c>
      <c r="AY20" s="164" t="str">
        <f t="shared" si="12"/>
        <v>🐢</v>
      </c>
      <c r="AZ20" s="171" t="str">
        <f t="shared" si="13"/>
        <v>🥾</v>
      </c>
      <c r="BA20" s="172">
        <f t="shared" si="14"/>
        <v>356.47018977035646</v>
      </c>
      <c r="BB20" s="173">
        <f t="shared" si="15"/>
        <v>8.0635810929226587E-2</v>
      </c>
      <c r="BC20" s="174">
        <f t="shared" si="16"/>
        <v>4420.7429138801308</v>
      </c>
      <c r="BD20" s="175">
        <f t="shared" si="36"/>
        <v>393896.27425670688</v>
      </c>
      <c r="BE20" s="176"/>
      <c r="BF20" s="177" t="str">
        <f t="shared" si="17"/>
        <v/>
      </c>
      <c r="BG20" s="178" t="str">
        <f t="shared" si="37"/>
        <v/>
      </c>
      <c r="BH20" s="179" t="str">
        <f t="shared" si="18"/>
        <v/>
      </c>
      <c r="BI20" s="180">
        <f t="shared" si="38"/>
        <v>384</v>
      </c>
      <c r="BJ20" s="181">
        <f t="shared" si="42"/>
        <v>670.22966555901121</v>
      </c>
      <c r="BK20" s="182">
        <f t="shared" si="39"/>
        <v>1.6999999999999999E-3</v>
      </c>
      <c r="CN20" s="18"/>
      <c r="CQ20" s="18"/>
      <c r="CR20" s="18"/>
      <c r="CT20" s="32"/>
    </row>
    <row r="21" spans="1:105" x14ac:dyDescent="0.25">
      <c r="A21" s="7">
        <f t="shared" si="19"/>
        <v>25</v>
      </c>
      <c r="B21" s="7">
        <f t="shared" si="20"/>
        <v>75</v>
      </c>
      <c r="C21" s="115">
        <f t="shared" si="21"/>
        <v>46235</v>
      </c>
      <c r="D21" s="2">
        <f t="shared" si="22"/>
        <v>2.6109660574412533E-3</v>
      </c>
      <c r="E21" s="169">
        <f t="shared" si="23"/>
        <v>7</v>
      </c>
      <c r="F21" s="165">
        <f t="shared" si="24"/>
        <v>3291.0646946186566</v>
      </c>
      <c r="G21" s="170">
        <f t="shared" si="40"/>
        <v>1028.4498022368325</v>
      </c>
      <c r="H21" s="164" t="str">
        <f t="shared" si="1"/>
        <v>🐢</v>
      </c>
      <c r="I21" s="171" t="str">
        <f t="shared" si="2"/>
        <v>🥾</v>
      </c>
      <c r="J21" s="172">
        <f t="shared" si="3"/>
        <v>358.82613600043089</v>
      </c>
      <c r="K21" s="173">
        <f t="shared" si="4"/>
        <v>8.1191301953130346E-2</v>
      </c>
      <c r="L21" s="174">
        <f t="shared" si="5"/>
        <v>4419.5144968554887</v>
      </c>
      <c r="M21" s="175">
        <f t="shared" si="25"/>
        <v>393537.44812070648</v>
      </c>
      <c r="N21" s="20"/>
      <c r="O21" s="37" t="str">
        <f t="shared" si="6"/>
        <v/>
      </c>
      <c r="P21" s="62" t="str">
        <f t="shared" si="26"/>
        <v/>
      </c>
      <c r="Q21" s="16" t="str">
        <f t="shared" si="7"/>
        <v/>
      </c>
      <c r="R21" s="60">
        <f t="shared" si="27"/>
        <v>383</v>
      </c>
      <c r="S21" s="98">
        <f t="shared" si="28"/>
        <v>669.62366623640162</v>
      </c>
      <c r="T21" s="21">
        <f t="shared" si="29"/>
        <v>1.6999999999999999E-3</v>
      </c>
      <c r="AA21" s="14">
        <f t="shared" si="8"/>
        <v>-4419.5144968554887</v>
      </c>
      <c r="AE21" s="8"/>
      <c r="AH21" s="6">
        <f t="shared" si="9"/>
        <v>1</v>
      </c>
      <c r="AI21" s="6">
        <f t="shared" si="10"/>
        <v>1</v>
      </c>
      <c r="AJ21" s="12">
        <f t="shared" si="11"/>
        <v>1</v>
      </c>
      <c r="AK21" s="72">
        <f t="shared" si="0"/>
        <v>31</v>
      </c>
      <c r="AP21" s="8"/>
      <c r="AQ21" s="8"/>
      <c r="AR21">
        <f t="shared" si="30"/>
        <v>25</v>
      </c>
      <c r="AS21">
        <f t="shared" si="31"/>
        <v>75</v>
      </c>
      <c r="AT21" s="183">
        <f t="shared" si="32"/>
        <v>46235</v>
      </c>
      <c r="AU21" s="2">
        <f t="shared" si="33"/>
        <v>2.6109660574412533E-3</v>
      </c>
      <c r="AV21" s="169">
        <f t="shared" si="34"/>
        <v>7</v>
      </c>
      <c r="AW21" s="165">
        <f t="shared" si="35"/>
        <v>3291.0646946186566</v>
      </c>
      <c r="AX21" s="170">
        <f t="shared" si="41"/>
        <v>1028.4498022368325</v>
      </c>
      <c r="AY21" s="164" t="str">
        <f t="shared" si="12"/>
        <v>🐢</v>
      </c>
      <c r="AZ21" s="171" t="str">
        <f t="shared" si="13"/>
        <v>🥾</v>
      </c>
      <c r="BA21" s="172">
        <f t="shared" si="14"/>
        <v>358.82613600043089</v>
      </c>
      <c r="BB21" s="173">
        <f t="shared" si="15"/>
        <v>8.1191301953130346E-2</v>
      </c>
      <c r="BC21" s="174">
        <f t="shared" si="16"/>
        <v>4419.5144968554887</v>
      </c>
      <c r="BD21" s="175">
        <f t="shared" si="36"/>
        <v>393537.44812070648</v>
      </c>
      <c r="BE21" s="176"/>
      <c r="BF21" s="177" t="str">
        <f t="shared" si="17"/>
        <v/>
      </c>
      <c r="BG21" s="178" t="str">
        <f t="shared" si="37"/>
        <v/>
      </c>
      <c r="BH21" s="179" t="str">
        <f t="shared" si="18"/>
        <v/>
      </c>
      <c r="BI21" s="180">
        <f t="shared" si="38"/>
        <v>383</v>
      </c>
      <c r="BJ21" s="181">
        <f t="shared" si="42"/>
        <v>669.62366623640162</v>
      </c>
      <c r="BK21" s="182">
        <f t="shared" si="39"/>
        <v>1.6999999999999999E-3</v>
      </c>
      <c r="CN21" s="18"/>
      <c r="CW21" s="79"/>
    </row>
    <row r="22" spans="1:105" x14ac:dyDescent="0.25">
      <c r="A22" s="7">
        <f t="shared" si="19"/>
        <v>25</v>
      </c>
      <c r="B22" s="7">
        <f t="shared" si="20"/>
        <v>75</v>
      </c>
      <c r="C22" s="115">
        <f t="shared" si="21"/>
        <v>46266</v>
      </c>
      <c r="D22" s="2">
        <f t="shared" si="22"/>
        <v>2.617801047120419E-3</v>
      </c>
      <c r="E22" s="169">
        <f t="shared" si="23"/>
        <v>8</v>
      </c>
      <c r="F22" s="165">
        <f t="shared" si="24"/>
        <v>3288.0666463890161</v>
      </c>
      <c r="G22" s="170">
        <f t="shared" si="40"/>
        <v>1030.202743771483</v>
      </c>
      <c r="H22" s="164" t="str">
        <f t="shared" si="1"/>
        <v>🐢</v>
      </c>
      <c r="I22" s="171" t="str">
        <f t="shared" si="2"/>
        <v>🥾</v>
      </c>
      <c r="J22" s="172">
        <f t="shared" si="3"/>
        <v>361.18908196628206</v>
      </c>
      <c r="K22" s="173">
        <f t="shared" si="4"/>
        <v>8.1748994927889951E-2</v>
      </c>
      <c r="L22" s="174">
        <f t="shared" si="5"/>
        <v>4418.2693901604989</v>
      </c>
      <c r="M22" s="175">
        <f t="shared" si="25"/>
        <v>393176.25903874019</v>
      </c>
      <c r="N22" s="20"/>
      <c r="O22" s="37" t="str">
        <f t="shared" si="6"/>
        <v/>
      </c>
      <c r="P22" s="62" t="str">
        <f t="shared" si="26"/>
        <v/>
      </c>
      <c r="Q22" s="16" t="str">
        <f t="shared" si="7"/>
        <v/>
      </c>
      <c r="R22" s="60">
        <f t="shared" si="27"/>
        <v>382</v>
      </c>
      <c r="S22" s="98">
        <f t="shared" si="28"/>
        <v>669.01366180520097</v>
      </c>
      <c r="T22" s="21">
        <f t="shared" si="29"/>
        <v>1.6999999999999999E-3</v>
      </c>
      <c r="AA22" s="14">
        <f t="shared" si="8"/>
        <v>-4418.2693901604989</v>
      </c>
      <c r="AE22" s="32"/>
      <c r="AH22" s="6">
        <f t="shared" si="9"/>
        <v>1</v>
      </c>
      <c r="AI22" s="6">
        <f t="shared" si="10"/>
        <v>1</v>
      </c>
      <c r="AJ22" s="12">
        <f t="shared" si="11"/>
        <v>1</v>
      </c>
      <c r="AK22" s="72">
        <f t="shared" si="0"/>
        <v>30</v>
      </c>
      <c r="AP22" s="8"/>
      <c r="AQ22" s="8"/>
      <c r="AR22">
        <f t="shared" si="30"/>
        <v>25</v>
      </c>
      <c r="AS22">
        <f t="shared" si="31"/>
        <v>75</v>
      </c>
      <c r="AT22" s="183">
        <f t="shared" si="32"/>
        <v>46266</v>
      </c>
      <c r="AU22" s="2">
        <f t="shared" si="33"/>
        <v>2.617801047120419E-3</v>
      </c>
      <c r="AV22" s="169">
        <f t="shared" si="34"/>
        <v>8</v>
      </c>
      <c r="AW22" s="165">
        <f t="shared" si="35"/>
        <v>3288.0666463890161</v>
      </c>
      <c r="AX22" s="170">
        <f t="shared" si="41"/>
        <v>1030.202743771483</v>
      </c>
      <c r="AY22" s="164" t="str">
        <f t="shared" si="12"/>
        <v>🐢</v>
      </c>
      <c r="AZ22" s="171" t="str">
        <f>IFERROR(IF((AX22+BE22-BJ22)/BC22&lt;0,"🔙",IF((AX22+BE22-BJ22)/BC22&lt;10%,"🥾",IF((AX22+BE22-BJ22)/BC22&lt;20%,"🛴",IF((AX22+BE22-BJ22)/BC22&lt;50%,"🚴‍♂️",IF((AX22+BE22-BJ22)/BC22&lt;75%,"🚖","🚁"))))),"")</f>
        <v>🥾</v>
      </c>
      <c r="BA22" s="172">
        <f>AX22+BE22-BJ22</f>
        <v>361.18908196628206</v>
      </c>
      <c r="BB22" s="173">
        <f>IFERROR(BA22/(BC22+BE22),0)</f>
        <v>8.1748994927889951E-2</v>
      </c>
      <c r="BC22" s="174">
        <f t="shared" si="16"/>
        <v>4418.2693901604989</v>
      </c>
      <c r="BD22" s="175">
        <f t="shared" si="36"/>
        <v>393176.25903874019</v>
      </c>
      <c r="BE22" s="176"/>
      <c r="BF22" s="177" t="str">
        <f>IF(AND(BE22&lt;&gt;"",BE22&lt;BI22),"V","")</f>
        <v/>
      </c>
      <c r="BG22" s="178" t="str">
        <f t="shared" si="37"/>
        <v/>
      </c>
      <c r="BH22" s="179" t="str">
        <f>IF(BE22=0,"",IF(BE22&gt;BD22,"🚫",IF(INT(BE22/AX22&lt;1),"👍",INT(BE22/AX22)&amp;"x")))</f>
        <v/>
      </c>
      <c r="BI22" s="180">
        <f t="shared" si="38"/>
        <v>382</v>
      </c>
      <c r="BJ22" s="181">
        <f t="shared" si="42"/>
        <v>669.01366180520097</v>
      </c>
      <c r="BK22" s="182">
        <f t="shared" si="39"/>
        <v>1.6999999999999999E-3</v>
      </c>
      <c r="CN22" s="18"/>
    </row>
    <row r="23" spans="1:105" x14ac:dyDescent="0.25">
      <c r="A23" s="7">
        <f t="shared" si="19"/>
        <v>25</v>
      </c>
      <c r="B23" s="7">
        <f t="shared" si="20"/>
        <v>75</v>
      </c>
      <c r="C23" s="115">
        <f t="shared" si="21"/>
        <v>46296</v>
      </c>
      <c r="D23" s="2">
        <f t="shared" si="22"/>
        <v>2.6246719160104987E-3</v>
      </c>
      <c r="E23" s="169">
        <f t="shared" si="23"/>
        <v>9</v>
      </c>
      <c r="F23" s="165">
        <f t="shared" si="24"/>
        <v>3285.0488553779587</v>
      </c>
      <c r="G23" s="170">
        <f t="shared" si="40"/>
        <v>1031.9586851410504</v>
      </c>
      <c r="H23" s="164" t="str">
        <f t="shared" si="1"/>
        <v>🐢</v>
      </c>
      <c r="I23" s="171" t="str">
        <f t="shared" si="2"/>
        <v>🥾</v>
      </c>
      <c r="J23" s="172">
        <f t="shared" si="3"/>
        <v>363.55904477519209</v>
      </c>
      <c r="K23" s="173">
        <f t="shared" si="4"/>
        <v>8.2308902903179784E-2</v>
      </c>
      <c r="L23" s="174">
        <f t="shared" si="5"/>
        <v>4417.0075405190091</v>
      </c>
      <c r="M23" s="175">
        <f t="shared" si="25"/>
        <v>392812.69999396498</v>
      </c>
      <c r="N23" s="20"/>
      <c r="O23" s="37" t="str">
        <f t="shared" si="6"/>
        <v/>
      </c>
      <c r="P23" s="62" t="str">
        <f t="shared" si="26"/>
        <v/>
      </c>
      <c r="Q23" s="16" t="str">
        <f t="shared" si="7"/>
        <v/>
      </c>
      <c r="R23" s="60">
        <f t="shared" si="27"/>
        <v>381</v>
      </c>
      <c r="S23" s="98">
        <f t="shared" si="28"/>
        <v>668.39964036585832</v>
      </c>
      <c r="T23" s="21">
        <f t="shared" si="29"/>
        <v>1.6999999999999999E-3</v>
      </c>
      <c r="AA23" s="14">
        <f t="shared" si="8"/>
        <v>-4417.0075405190091</v>
      </c>
      <c r="AE23" s="32"/>
      <c r="AH23" s="6">
        <f t="shared" si="9"/>
        <v>1</v>
      </c>
      <c r="AI23" s="6">
        <f t="shared" si="10"/>
        <v>1</v>
      </c>
      <c r="AJ23" s="12">
        <f t="shared" si="11"/>
        <v>1</v>
      </c>
      <c r="AK23" s="72">
        <f t="shared" si="0"/>
        <v>31</v>
      </c>
      <c r="AQ23" s="8"/>
      <c r="AR23">
        <f t="shared" si="30"/>
        <v>25</v>
      </c>
      <c r="AS23">
        <f t="shared" si="31"/>
        <v>75</v>
      </c>
      <c r="AT23" s="183">
        <f t="shared" si="32"/>
        <v>46296</v>
      </c>
      <c r="AU23" s="2">
        <f t="shared" si="33"/>
        <v>2.6246719160104987E-3</v>
      </c>
      <c r="AV23" s="169">
        <f t="shared" si="34"/>
        <v>9</v>
      </c>
      <c r="AW23" s="165">
        <f>IF(OR(BD22&lt;1,BE22&gt;BD22),0,(BD22-BE22)*IF(AU$11&lt;&gt;"BB",$E$7,(1+$D$7)^(BY22/365)-1))</f>
        <v>3285.0488553779587</v>
      </c>
      <c r="AX23" s="170">
        <f>IF(BI23=0,0,IF(BD22&lt;1,0,IF(AND(AND(((BD22-BE22)/BI23)&lt;AX22,BF22&lt;&gt;"V"),AU$11&lt;&gt;"BRADESCO"),AX22,  (BD22-BE22)/BI23)))</f>
        <v>1031.9586851410504</v>
      </c>
      <c r="AY23" s="164" t="str">
        <f t="shared" si="12"/>
        <v>🐢</v>
      </c>
      <c r="AZ23" s="171" t="str">
        <f>IFERROR(IF((AX23+BE23-BJ23)/BC23&lt;0,"🔙",IF((AX23+BE23-BJ23)/BC23&lt;10%,"🥾",IF((AX23+BE23-BJ23)/BC23&lt;20%,"🛴",IF((AX23+BE23-BJ23)/BC23&lt;50%,"🚴‍♂️",IF((AX23+BE23-BJ23)/BC23&lt;75%,"🚖","🚁"))))),"")</f>
        <v>🥾</v>
      </c>
      <c r="BA23" s="172">
        <f>AX23+BE23-BJ23</f>
        <v>363.55904477519209</v>
      </c>
      <c r="BB23" s="173">
        <f>IFERROR(BA23/(BC23+BE23),0)</f>
        <v>8.2308902903179784E-2</v>
      </c>
      <c r="BC23" s="174">
        <f t="shared" si="16"/>
        <v>4417.0075405190091</v>
      </c>
      <c r="BD23" s="175">
        <f>IF(BI23=0,0,MAX(0,BD22-AX23+BJ23-BE22))</f>
        <v>392812.69999396498</v>
      </c>
      <c r="BE23" s="176"/>
      <c r="BF23" s="177" t="str">
        <f>IF(AND(BE23&lt;&gt;"",BE23&lt;BI23),"V","")</f>
        <v/>
      </c>
      <c r="BG23" s="178" t="str">
        <f>IF(BE22=0,"",(BC22-BC23)/BE22)</f>
        <v/>
      </c>
      <c r="BH23" s="179" t="str">
        <f>IF(BE23=0,"",IF(BE23&gt;BD23,"🚫",IF(INT(BE23/AX23&lt;1),"👍",INT(BE23/AX23)&amp;"x")))</f>
        <v/>
      </c>
      <c r="BI23" s="180">
        <f>IF(BD22=0,0,IF(OR(BE22=0,BF22="V"),BI22-1,IF(OR(AU$11="BRADESCO",AU$11="BB"),BI22-ROUNDDOWN(BE22/(BD22/BI22),0)-1,ROUNDUP((BD22-BE22+BJ22-(BD22/BI22))/(BC22-AW23-AR23-AS23),0)+1)))</f>
        <v>381</v>
      </c>
      <c r="BJ23" s="181">
        <f t="shared" si="42"/>
        <v>668.39964036585832</v>
      </c>
      <c r="BK23" s="182">
        <f t="shared" si="39"/>
        <v>1.6999999999999999E-3</v>
      </c>
      <c r="CN23" s="18"/>
    </row>
    <row r="24" spans="1:105" x14ac:dyDescent="0.25">
      <c r="A24" s="7">
        <f t="shared" si="19"/>
        <v>25</v>
      </c>
      <c r="B24" s="7">
        <f t="shared" si="20"/>
        <v>75</v>
      </c>
      <c r="C24" s="115">
        <f t="shared" si="21"/>
        <v>46327</v>
      </c>
      <c r="D24" s="2">
        <f t="shared" si="22"/>
        <v>2.631578947368421E-3</v>
      </c>
      <c r="E24" s="169">
        <f t="shared" si="23"/>
        <v>10</v>
      </c>
      <c r="F24" s="165">
        <f t="shared" si="24"/>
        <v>3282.0112629586679</v>
      </c>
      <c r="G24" s="170">
        <f t="shared" si="40"/>
        <v>1033.7176315630657</v>
      </c>
      <c r="H24" s="164" t="str">
        <f t="shared" si="1"/>
        <v>🐢</v>
      </c>
      <c r="I24" s="171" t="str">
        <f t="shared" si="2"/>
        <v>🥾</v>
      </c>
      <c r="J24" s="172">
        <f t="shared" si="3"/>
        <v>365.93604157332527</v>
      </c>
      <c r="K24" s="173">
        <f t="shared" si="4"/>
        <v>8.2871039032155008E-2</v>
      </c>
      <c r="L24" s="174">
        <f t="shared" si="5"/>
        <v>4415.7288945217333</v>
      </c>
      <c r="M24" s="175">
        <f t="shared" si="25"/>
        <v>392446.76395239163</v>
      </c>
      <c r="N24" s="20"/>
      <c r="O24" s="37" t="str">
        <f t="shared" si="6"/>
        <v/>
      </c>
      <c r="P24" s="62" t="str">
        <f t="shared" si="26"/>
        <v/>
      </c>
      <c r="Q24" s="16" t="str">
        <f t="shared" si="7"/>
        <v/>
      </c>
      <c r="R24" s="60">
        <f t="shared" si="27"/>
        <v>380</v>
      </c>
      <c r="S24" s="98">
        <f t="shared" si="28"/>
        <v>667.78158998974038</v>
      </c>
      <c r="T24" s="21">
        <f t="shared" si="29"/>
        <v>1.6999999999999999E-3</v>
      </c>
      <c r="AA24" s="14">
        <f t="shared" si="8"/>
        <v>-4415.7288945217333</v>
      </c>
      <c r="AE24" s="32"/>
      <c r="AH24" s="6">
        <f t="shared" si="9"/>
        <v>1</v>
      </c>
      <c r="AI24" s="6">
        <f t="shared" si="10"/>
        <v>1</v>
      </c>
      <c r="AJ24" s="12">
        <f t="shared" si="11"/>
        <v>1</v>
      </c>
      <c r="AK24" s="72">
        <f t="shared" si="0"/>
        <v>30</v>
      </c>
      <c r="AQ24" s="8"/>
      <c r="AR24">
        <f t="shared" si="30"/>
        <v>25</v>
      </c>
      <c r="AS24">
        <f t="shared" si="31"/>
        <v>75</v>
      </c>
      <c r="AT24" s="183">
        <f t="shared" si="32"/>
        <v>46327</v>
      </c>
      <c r="AU24" s="2">
        <f t="shared" si="33"/>
        <v>2.631578947368421E-3</v>
      </c>
      <c r="AV24" s="169">
        <f t="shared" si="34"/>
        <v>10</v>
      </c>
      <c r="AW24" s="165">
        <f>IF(OR(BD23&lt;1,BE23&gt;BD23),0,(BD23-BE23)*IF(AU$11&lt;&gt;"BB",$E$7,(1+$D$7)^(BY23/365)-1))</f>
        <v>3282.0112629586679</v>
      </c>
      <c r="AX24" s="170">
        <f>IF(BI24=0,0,IF(BD23&lt;1,0,IF(AND(AND(((BD23-BE23)/BI24)&lt;AX23,BF23&lt;&gt;"V"),AU$11&lt;&gt;"BRADESCO"),AX23,  (BD23-BE23)/BI24)))</f>
        <v>1033.7176315630657</v>
      </c>
      <c r="AY24" s="164" t="str">
        <f t="shared" si="12"/>
        <v>🐢</v>
      </c>
      <c r="AZ24" s="171" t="str">
        <f t="shared" si="13"/>
        <v>🥾</v>
      </c>
      <c r="BA24" s="172">
        <f t="shared" si="14"/>
        <v>365.93604157332527</v>
      </c>
      <c r="BB24" s="173">
        <f t="shared" si="15"/>
        <v>8.2871039032155008E-2</v>
      </c>
      <c r="BC24" s="174">
        <f t="shared" si="16"/>
        <v>4415.7288945217333</v>
      </c>
      <c r="BD24" s="175">
        <f>IF(BI24=0,0,MAX(0,BD23-AX24+BJ24-BE23))</f>
        <v>392446.76395239163</v>
      </c>
      <c r="BE24" s="176"/>
      <c r="BF24" s="177" t="str">
        <f t="shared" si="17"/>
        <v/>
      </c>
      <c r="BG24" s="178" t="str">
        <f>IF(BE23=0,"",(BC23-BC24)/BE23)</f>
        <v/>
      </c>
      <c r="BH24" s="179" t="str">
        <f t="shared" si="18"/>
        <v/>
      </c>
      <c r="BI24" s="180">
        <f>IF(BD23=0,0,IF(OR(BE23=0,BF23="V"),BI23-1,IF(OR(AU$11="BRADESCO",AU$11="BB"),BI23-ROUNDDOWN(BE23/(BD23/BI23),0)-1,ROUNDUP((BD23-BE23+BJ23-(BD23/BI23))/(BC23-AW24-AR24-AS24),0)+1)))</f>
        <v>380</v>
      </c>
      <c r="BJ24" s="181">
        <f t="shared" si="42"/>
        <v>667.78158998974038</v>
      </c>
      <c r="BK24" s="182">
        <f t="shared" si="39"/>
        <v>1.6999999999999999E-3</v>
      </c>
      <c r="CN24" s="18"/>
    </row>
    <row r="25" spans="1:105" x14ac:dyDescent="0.25">
      <c r="A25" s="7">
        <f t="shared" si="19"/>
        <v>25</v>
      </c>
      <c r="B25" s="7">
        <f t="shared" si="20"/>
        <v>75</v>
      </c>
      <c r="C25" s="115">
        <f t="shared" si="21"/>
        <v>46357</v>
      </c>
      <c r="D25" s="2">
        <f t="shared" si="22"/>
        <v>2.6385224274406332E-3</v>
      </c>
      <c r="E25" s="169">
        <f t="shared" si="23"/>
        <v>11</v>
      </c>
      <c r="F25" s="165">
        <f t="shared" si="24"/>
        <v>3278.9538103610694</v>
      </c>
      <c r="G25" s="170">
        <f t="shared" si="40"/>
        <v>1035.4795882648855</v>
      </c>
      <c r="H25" s="164" t="str">
        <f>IF(OR(G25=0,L25&lt;1),"",IF(G25/L25&gt;90%,"🛩",IF(G25/L25&gt;70%,"🏎",IF(G25/L25&gt;50%,"🚙",IF(G25/L25&gt;30%,"🛵",IF(G25/L25&gt;15%,"🐢","⚓️"))))))</f>
        <v>🐢</v>
      </c>
      <c r="I25" s="171" t="str">
        <f t="shared" si="2"/>
        <v>🥾</v>
      </c>
      <c r="J25" s="172">
        <f t="shared" si="3"/>
        <v>368.32008954581977</v>
      </c>
      <c r="K25" s="173">
        <f t="shared" si="4"/>
        <v>8.3435416572478757E-2</v>
      </c>
      <c r="L25" s="174">
        <f t="shared" si="5"/>
        <v>4414.4333986259553</v>
      </c>
      <c r="M25" s="175">
        <f t="shared" si="25"/>
        <v>392078.44386284583</v>
      </c>
      <c r="N25" s="20"/>
      <c r="O25" s="37" t="str">
        <f t="shared" si="6"/>
        <v/>
      </c>
      <c r="P25" s="62" t="str">
        <f t="shared" si="26"/>
        <v/>
      </c>
      <c r="Q25" s="16" t="str">
        <f t="shared" si="7"/>
        <v/>
      </c>
      <c r="R25" s="60">
        <f t="shared" si="27"/>
        <v>379</v>
      </c>
      <c r="S25" s="98">
        <f t="shared" si="28"/>
        <v>667.15949871906571</v>
      </c>
      <c r="T25" s="21">
        <f t="shared" si="29"/>
        <v>1.6999999999999999E-3</v>
      </c>
      <c r="AA25" s="14">
        <f t="shared" si="8"/>
        <v>-4414.4333986259553</v>
      </c>
      <c r="AD25" s="82" t="s">
        <v>76</v>
      </c>
      <c r="AE25" s="8"/>
      <c r="AH25" s="6">
        <f t="shared" si="9"/>
        <v>1</v>
      </c>
      <c r="AI25" s="6">
        <f t="shared" si="10"/>
        <v>1</v>
      </c>
      <c r="AJ25" s="12">
        <f t="shared" si="11"/>
        <v>1</v>
      </c>
      <c r="AK25" s="72">
        <f t="shared" si="0"/>
        <v>31</v>
      </c>
      <c r="AQ25" s="8"/>
      <c r="AR25">
        <f t="shared" si="30"/>
        <v>25</v>
      </c>
      <c r="AS25">
        <f t="shared" si="31"/>
        <v>75</v>
      </c>
      <c r="AT25" s="183">
        <f t="shared" si="32"/>
        <v>46357</v>
      </c>
      <c r="AU25" s="2">
        <f t="shared" si="33"/>
        <v>2.6385224274406332E-3</v>
      </c>
      <c r="AV25" s="169">
        <f t="shared" si="34"/>
        <v>11</v>
      </c>
      <c r="AW25" s="165">
        <f t="shared" si="35"/>
        <v>3278.9538103610694</v>
      </c>
      <c r="AX25" s="170">
        <f t="shared" si="41"/>
        <v>1035.4795882648855</v>
      </c>
      <c r="AY25" s="164" t="str">
        <f>IF(OR(AX25=0,BC25&lt;1),"",IF(AX25/BC25&gt;90%,"🛩",IF(AX25/BC25&gt;70%,"🏎",IF(AX25/BC25&gt;50%,"🚙",IF(AX25/BC25&gt;30%,"🛵",IF(AX25/BC25&gt;15%,"🐢","⚓️"))))))</f>
        <v>🐢</v>
      </c>
      <c r="AZ25" s="171" t="str">
        <f t="shared" si="13"/>
        <v>🥾</v>
      </c>
      <c r="BA25" s="172">
        <f t="shared" si="14"/>
        <v>368.32008954581977</v>
      </c>
      <c r="BB25" s="173">
        <f t="shared" si="15"/>
        <v>8.3435416572478757E-2</v>
      </c>
      <c r="BC25" s="174">
        <f t="shared" si="16"/>
        <v>4414.4333986259553</v>
      </c>
      <c r="BD25" s="175">
        <f t="shared" si="36"/>
        <v>392078.44386284583</v>
      </c>
      <c r="BE25" s="176"/>
      <c r="BF25" s="177" t="str">
        <f t="shared" si="17"/>
        <v/>
      </c>
      <c r="BG25" s="178" t="str">
        <f t="shared" si="37"/>
        <v/>
      </c>
      <c r="BH25" s="179" t="str">
        <f t="shared" si="18"/>
        <v/>
      </c>
      <c r="BI25" s="180">
        <f t="shared" si="38"/>
        <v>379</v>
      </c>
      <c r="BJ25" s="181">
        <f t="shared" si="42"/>
        <v>667.15949871906571</v>
      </c>
      <c r="BK25" s="182">
        <f t="shared" si="39"/>
        <v>1.6999999999999999E-3</v>
      </c>
      <c r="CN25" s="18"/>
    </row>
    <row r="26" spans="1:105" x14ac:dyDescent="0.25">
      <c r="A26" s="7">
        <f t="shared" si="19"/>
        <v>25</v>
      </c>
      <c r="B26" s="7">
        <f t="shared" si="20"/>
        <v>75</v>
      </c>
      <c r="C26" s="115">
        <f t="shared" si="21"/>
        <v>46388</v>
      </c>
      <c r="D26" s="2">
        <f t="shared" si="22"/>
        <v>2.6455026455026458E-3</v>
      </c>
      <c r="E26" s="169">
        <f t="shared" si="23"/>
        <v>12</v>
      </c>
      <c r="F26" s="165">
        <f t="shared" si="24"/>
        <v>3275.8764386715038</v>
      </c>
      <c r="G26" s="170">
        <f t="shared" si="40"/>
        <v>1037.2445604837192</v>
      </c>
      <c r="H26" s="164" t="str">
        <f t="shared" ref="H26:H89" si="43">IF(OR(G26=0,L26&lt;1),"",IF(G26/L26&gt;90%,"🛩",IF(G26/L26&gt;70%,"🏎",IF(G26/L26&gt;50%,"🚙",IF(G26/L26&gt;30%,"🛵",IF(G26/L26&gt;15%,"🐢","⚓️"))))))</f>
        <v>🐢</v>
      </c>
      <c r="I26" s="171" t="str">
        <f t="shared" si="2"/>
        <v>🥾</v>
      </c>
      <c r="J26" s="172">
        <f t="shared" si="3"/>
        <v>370.71120591688134</v>
      </c>
      <c r="K26" s="173">
        <f t="shared" si="4"/>
        <v>8.4002048887362096E-2</v>
      </c>
      <c r="L26" s="174">
        <f t="shared" si="5"/>
        <v>4413.1209991552232</v>
      </c>
      <c r="M26" s="175">
        <f t="shared" si="25"/>
        <v>391707.73265692894</v>
      </c>
      <c r="N26" s="20"/>
      <c r="O26" s="37" t="str">
        <f t="shared" si="6"/>
        <v/>
      </c>
      <c r="P26" s="62" t="str">
        <f t="shared" si="26"/>
        <v/>
      </c>
      <c r="Q26" s="16" t="str">
        <f t="shared" si="7"/>
        <v/>
      </c>
      <c r="R26" s="60">
        <f t="shared" si="27"/>
        <v>378</v>
      </c>
      <c r="S26" s="98">
        <f t="shared" si="28"/>
        <v>666.53335456683783</v>
      </c>
      <c r="T26" s="21">
        <f t="shared" si="29"/>
        <v>1.6999999999999999E-3</v>
      </c>
      <c r="AA26" s="14">
        <f t="shared" si="8"/>
        <v>-4413.1209991552232</v>
      </c>
      <c r="AD26" s="82" t="s">
        <v>77</v>
      </c>
      <c r="AE26" s="8"/>
      <c r="AH26" s="6">
        <f t="shared" si="9"/>
        <v>1</v>
      </c>
      <c r="AI26" s="6">
        <f t="shared" si="10"/>
        <v>1</v>
      </c>
      <c r="AJ26" s="12">
        <f t="shared" si="11"/>
        <v>1</v>
      </c>
      <c r="AK26" s="72">
        <f t="shared" si="0"/>
        <v>31</v>
      </c>
      <c r="AP26" s="32"/>
      <c r="AQ26" s="8"/>
      <c r="AR26">
        <f t="shared" si="30"/>
        <v>25</v>
      </c>
      <c r="AS26">
        <f t="shared" si="31"/>
        <v>75</v>
      </c>
      <c r="AT26" s="183">
        <f t="shared" si="32"/>
        <v>46388</v>
      </c>
      <c r="AU26" s="2">
        <f t="shared" si="33"/>
        <v>2.6455026455026458E-3</v>
      </c>
      <c r="AV26" s="169">
        <f t="shared" si="34"/>
        <v>12</v>
      </c>
      <c r="AW26" s="165">
        <f t="shared" si="35"/>
        <v>3275.8764386715038</v>
      </c>
      <c r="AX26" s="170">
        <f t="shared" si="41"/>
        <v>1037.2445604837192</v>
      </c>
      <c r="AY26" s="164" t="str">
        <f t="shared" ref="AY26:AY89" si="44">IF(OR(AX26=0,BC26&lt;1),"",IF(AX26/BC26&gt;90%,"🛩",IF(AX26/BC26&gt;70%,"🏎",IF(AX26/BC26&gt;50%,"🚙",IF(AX26/BC26&gt;30%,"🛵",IF(AX26/BC26&gt;15%,"🐢","⚓️"))))))</f>
        <v>🐢</v>
      </c>
      <c r="AZ26" s="171" t="str">
        <f t="shared" si="13"/>
        <v>🥾</v>
      </c>
      <c r="BA26" s="172">
        <f t="shared" si="14"/>
        <v>370.71120591688134</v>
      </c>
      <c r="BB26" s="173">
        <f t="shared" si="15"/>
        <v>8.4002048887362096E-2</v>
      </c>
      <c r="BC26" s="174">
        <f t="shared" si="16"/>
        <v>4413.1209991552232</v>
      </c>
      <c r="BD26" s="175">
        <f t="shared" si="36"/>
        <v>391707.73265692894</v>
      </c>
      <c r="BE26" s="176"/>
      <c r="BF26" s="177" t="str">
        <f t="shared" si="17"/>
        <v/>
      </c>
      <c r="BG26" s="178" t="str">
        <f t="shared" si="37"/>
        <v/>
      </c>
      <c r="BH26" s="179" t="str">
        <f t="shared" si="18"/>
        <v/>
      </c>
      <c r="BI26" s="180">
        <f t="shared" si="38"/>
        <v>378</v>
      </c>
      <c r="BJ26" s="181">
        <f t="shared" si="42"/>
        <v>666.53335456683783</v>
      </c>
      <c r="BK26" s="182">
        <f t="shared" si="39"/>
        <v>1.6999999999999999E-3</v>
      </c>
      <c r="CN26" s="18"/>
    </row>
    <row r="27" spans="1:105" x14ac:dyDescent="0.25">
      <c r="A27" s="7">
        <f t="shared" si="19"/>
        <v>25</v>
      </c>
      <c r="B27" s="7">
        <f t="shared" si="20"/>
        <v>75</v>
      </c>
      <c r="C27" s="115">
        <f t="shared" si="21"/>
        <v>46419</v>
      </c>
      <c r="D27" s="2">
        <f t="shared" si="22"/>
        <v>2.6525198938992041E-3</v>
      </c>
      <c r="E27" s="169">
        <f t="shared" si="23"/>
        <v>13</v>
      </c>
      <c r="F27" s="165">
        <f t="shared" si="24"/>
        <v>3272.7790888324002</v>
      </c>
      <c r="G27" s="170">
        <f t="shared" si="40"/>
        <v>1039.0125534666549</v>
      </c>
      <c r="H27" s="164" t="str">
        <f t="shared" si="43"/>
        <v>🐢</v>
      </c>
      <c r="I27" s="171" t="str">
        <f t="shared" si="2"/>
        <v>🥾</v>
      </c>
      <c r="J27" s="172">
        <f t="shared" si="3"/>
        <v>373.10940794987573</v>
      </c>
      <c r="K27" s="173">
        <f t="shared" si="4"/>
        <v>8.4570949446615862E-2</v>
      </c>
      <c r="L27" s="174">
        <f t="shared" si="5"/>
        <v>4411.7916422990547</v>
      </c>
      <c r="M27" s="175">
        <f t="shared" si="25"/>
        <v>391334.62324897904</v>
      </c>
      <c r="N27" s="20"/>
      <c r="O27" s="37" t="str">
        <f t="shared" si="6"/>
        <v/>
      </c>
      <c r="P27" s="62" t="str">
        <f t="shared" si="26"/>
        <v/>
      </c>
      <c r="Q27" s="16" t="str">
        <f t="shared" si="7"/>
        <v/>
      </c>
      <c r="R27" s="60">
        <f t="shared" si="27"/>
        <v>377</v>
      </c>
      <c r="S27" s="98">
        <f t="shared" si="28"/>
        <v>665.9031455167792</v>
      </c>
      <c r="T27" s="21">
        <f t="shared" si="29"/>
        <v>1.6999999999999999E-3</v>
      </c>
      <c r="AA27" s="14">
        <f t="shared" si="8"/>
        <v>-4411.7916422990547</v>
      </c>
      <c r="AD27" s="82" t="s">
        <v>8</v>
      </c>
      <c r="AE27" s="32"/>
      <c r="AH27" s="6">
        <f t="shared" si="9"/>
        <v>1</v>
      </c>
      <c r="AI27" s="6">
        <f t="shared" si="10"/>
        <v>1</v>
      </c>
      <c r="AJ27" s="12">
        <f t="shared" si="11"/>
        <v>2</v>
      </c>
      <c r="AK27" s="72">
        <f t="shared" si="0"/>
        <v>28</v>
      </c>
      <c r="AQ27" s="8"/>
      <c r="AR27">
        <f t="shared" si="30"/>
        <v>25</v>
      </c>
      <c r="AS27">
        <f t="shared" si="31"/>
        <v>75</v>
      </c>
      <c r="AT27" s="183">
        <f t="shared" si="32"/>
        <v>46419</v>
      </c>
      <c r="AU27" s="2">
        <f t="shared" si="33"/>
        <v>2.6525198938992041E-3</v>
      </c>
      <c r="AV27" s="169">
        <f t="shared" si="34"/>
        <v>13</v>
      </c>
      <c r="AW27" s="165">
        <f t="shared" si="35"/>
        <v>3272.7790888324002</v>
      </c>
      <c r="AX27" s="170">
        <f t="shared" si="41"/>
        <v>1039.0125534666549</v>
      </c>
      <c r="AY27" s="164" t="str">
        <f t="shared" si="44"/>
        <v>🐢</v>
      </c>
      <c r="AZ27" s="171" t="str">
        <f t="shared" si="13"/>
        <v>🥾</v>
      </c>
      <c r="BA27" s="172">
        <f t="shared" si="14"/>
        <v>373.10940794987573</v>
      </c>
      <c r="BB27" s="173">
        <f t="shared" si="15"/>
        <v>8.4570949446615862E-2</v>
      </c>
      <c r="BC27" s="174">
        <f t="shared" si="16"/>
        <v>4411.7916422990547</v>
      </c>
      <c r="BD27" s="175">
        <f t="shared" si="36"/>
        <v>391334.62324897904</v>
      </c>
      <c r="BE27" s="184"/>
      <c r="BF27" s="177" t="str">
        <f t="shared" si="17"/>
        <v/>
      </c>
      <c r="BG27" s="178" t="str">
        <f t="shared" si="37"/>
        <v/>
      </c>
      <c r="BH27" s="179" t="str">
        <f t="shared" si="18"/>
        <v/>
      </c>
      <c r="BI27" s="180">
        <f t="shared" si="38"/>
        <v>377</v>
      </c>
      <c r="BJ27" s="181">
        <f t="shared" si="42"/>
        <v>665.9031455167792</v>
      </c>
      <c r="BK27" s="182">
        <f t="shared" si="39"/>
        <v>1.6999999999999999E-3</v>
      </c>
      <c r="CN27" s="18"/>
    </row>
    <row r="28" spans="1:105" x14ac:dyDescent="0.25">
      <c r="A28" s="7">
        <f t="shared" si="19"/>
        <v>25</v>
      </c>
      <c r="B28" s="7">
        <f t="shared" si="20"/>
        <v>75</v>
      </c>
      <c r="C28" s="115">
        <f t="shared" si="21"/>
        <v>46447</v>
      </c>
      <c r="D28" s="2">
        <f t="shared" si="22"/>
        <v>2.6595744680851068E-3</v>
      </c>
      <c r="E28" s="169">
        <f t="shared" si="23"/>
        <v>14</v>
      </c>
      <c r="F28" s="165">
        <f t="shared" si="24"/>
        <v>3269.6617016419495</v>
      </c>
      <c r="G28" s="170">
        <f t="shared" si="40"/>
        <v>1040.783572470689</v>
      </c>
      <c r="H28" s="164" t="str">
        <f t="shared" si="43"/>
        <v>🐢</v>
      </c>
      <c r="I28" s="171" t="str">
        <f t="shared" si="2"/>
        <v>🥾</v>
      </c>
      <c r="J28" s="172">
        <f t="shared" si="3"/>
        <v>375.51471294742464</v>
      </c>
      <c r="K28" s="173">
        <f t="shared" si="4"/>
        <v>8.514213182771585E-2</v>
      </c>
      <c r="L28" s="174">
        <f t="shared" si="5"/>
        <v>4410.4452741126388</v>
      </c>
      <c r="M28" s="175">
        <f t="shared" si="25"/>
        <v>390959.10853603162</v>
      </c>
      <c r="N28" s="20"/>
      <c r="O28" s="37" t="str">
        <f t="shared" si="6"/>
        <v/>
      </c>
      <c r="P28" s="62" t="str">
        <f t="shared" si="26"/>
        <v/>
      </c>
      <c r="Q28" s="16" t="str">
        <f t="shared" si="7"/>
        <v/>
      </c>
      <c r="R28" s="60">
        <f t="shared" si="27"/>
        <v>376</v>
      </c>
      <c r="S28" s="98">
        <f t="shared" si="28"/>
        <v>665.26885952326438</v>
      </c>
      <c r="T28" s="21">
        <f t="shared" si="29"/>
        <v>1.6999999999999999E-3</v>
      </c>
      <c r="AA28" s="14">
        <f t="shared" si="8"/>
        <v>-4410.4452741126388</v>
      </c>
      <c r="AD28" s="82" t="s">
        <v>9</v>
      </c>
      <c r="AE28" s="32"/>
      <c r="AF28" s="33"/>
      <c r="AH28" s="6">
        <f t="shared" si="9"/>
        <v>1</v>
      </c>
      <c r="AI28" s="6">
        <f t="shared" si="10"/>
        <v>1</v>
      </c>
      <c r="AJ28" s="12">
        <f t="shared" si="11"/>
        <v>2</v>
      </c>
      <c r="AK28" s="72">
        <f t="shared" si="0"/>
        <v>31</v>
      </c>
      <c r="AQ28" s="8"/>
      <c r="AR28">
        <f t="shared" si="30"/>
        <v>25</v>
      </c>
      <c r="AS28">
        <f t="shared" si="31"/>
        <v>75</v>
      </c>
      <c r="AT28" s="183">
        <f t="shared" si="32"/>
        <v>46447</v>
      </c>
      <c r="AU28" s="2">
        <f t="shared" si="33"/>
        <v>2.6595744680851068E-3</v>
      </c>
      <c r="AV28" s="169">
        <f t="shared" si="34"/>
        <v>14</v>
      </c>
      <c r="AW28" s="165">
        <f t="shared" si="35"/>
        <v>3269.6617016419495</v>
      </c>
      <c r="AX28" s="170">
        <f t="shared" si="41"/>
        <v>1040.783572470689</v>
      </c>
      <c r="AY28" s="164" t="str">
        <f t="shared" si="44"/>
        <v>🐢</v>
      </c>
      <c r="AZ28" s="171" t="str">
        <f t="shared" si="13"/>
        <v>🥾</v>
      </c>
      <c r="BA28" s="172">
        <f t="shared" si="14"/>
        <v>375.51471294742464</v>
      </c>
      <c r="BB28" s="173">
        <f t="shared" si="15"/>
        <v>8.514213182771585E-2</v>
      </c>
      <c r="BC28" s="174">
        <f t="shared" si="16"/>
        <v>4410.4452741126388</v>
      </c>
      <c r="BD28" s="175">
        <f t="shared" si="36"/>
        <v>390959.10853603162</v>
      </c>
      <c r="BE28" s="176"/>
      <c r="BF28" s="177" t="str">
        <f t="shared" si="17"/>
        <v/>
      </c>
      <c r="BG28" s="178" t="str">
        <f t="shared" si="37"/>
        <v/>
      </c>
      <c r="BH28" s="179" t="str">
        <f t="shared" si="18"/>
        <v/>
      </c>
      <c r="BI28" s="180">
        <f t="shared" si="38"/>
        <v>376</v>
      </c>
      <c r="BJ28" s="181">
        <f t="shared" si="42"/>
        <v>665.26885952326438</v>
      </c>
      <c r="BK28" s="182">
        <f t="shared" si="39"/>
        <v>1.6999999999999999E-3</v>
      </c>
    </row>
    <row r="29" spans="1:105" x14ac:dyDescent="0.25">
      <c r="A29" s="7">
        <f t="shared" si="19"/>
        <v>25</v>
      </c>
      <c r="B29" s="7">
        <f t="shared" si="20"/>
        <v>75</v>
      </c>
      <c r="C29" s="115">
        <f t="shared" si="21"/>
        <v>46478</v>
      </c>
      <c r="D29" s="2">
        <f t="shared" si="22"/>
        <v>2.6666666666666666E-3</v>
      </c>
      <c r="E29" s="169">
        <f t="shared" si="23"/>
        <v>15</v>
      </c>
      <c r="F29" s="165">
        <f t="shared" si="24"/>
        <v>3266.5242177537784</v>
      </c>
      <c r="G29" s="170">
        <f t="shared" si="40"/>
        <v>1042.557622762751</v>
      </c>
      <c r="H29" s="164" t="str">
        <f t="shared" si="43"/>
        <v>🐢</v>
      </c>
      <c r="I29" s="171" t="str">
        <f t="shared" si="2"/>
        <v>🥾</v>
      </c>
      <c r="J29" s="172">
        <f t="shared" si="3"/>
        <v>377.92713825149724</v>
      </c>
      <c r="K29" s="173">
        <f t="shared" si="4"/>
        <v>8.5715609716879887E-2</v>
      </c>
      <c r="L29" s="174">
        <f t="shared" si="5"/>
        <v>4409.0818405165292</v>
      </c>
      <c r="M29" s="175">
        <f t="shared" si="25"/>
        <v>390581.18139778014</v>
      </c>
      <c r="N29" s="20"/>
      <c r="O29" s="37" t="str">
        <f t="shared" si="6"/>
        <v/>
      </c>
      <c r="P29" s="62" t="str">
        <f t="shared" si="26"/>
        <v/>
      </c>
      <c r="Q29" s="16" t="str">
        <f t="shared" si="7"/>
        <v/>
      </c>
      <c r="R29" s="60">
        <f t="shared" si="27"/>
        <v>375</v>
      </c>
      <c r="S29" s="98">
        <f t="shared" si="28"/>
        <v>664.63048451125371</v>
      </c>
      <c r="T29" s="21">
        <f t="shared" si="29"/>
        <v>1.6999999999999999E-3</v>
      </c>
      <c r="AA29" s="14">
        <f t="shared" si="8"/>
        <v>-4409.0818405165292</v>
      </c>
      <c r="AD29" s="82" t="s">
        <v>10</v>
      </c>
      <c r="AE29" s="32"/>
      <c r="AF29" s="32"/>
      <c r="AH29" s="6">
        <f t="shared" si="9"/>
        <v>1</v>
      </c>
      <c r="AI29" s="6">
        <f t="shared" si="10"/>
        <v>1</v>
      </c>
      <c r="AJ29" s="12">
        <f t="shared" si="11"/>
        <v>2</v>
      </c>
      <c r="AK29" s="72">
        <f t="shared" si="0"/>
        <v>30</v>
      </c>
      <c r="AQ29" s="8"/>
      <c r="AR29">
        <f t="shared" si="30"/>
        <v>25</v>
      </c>
      <c r="AS29">
        <f t="shared" si="31"/>
        <v>75</v>
      </c>
      <c r="AT29" s="183">
        <f t="shared" si="32"/>
        <v>46478</v>
      </c>
      <c r="AU29" s="2">
        <f t="shared" si="33"/>
        <v>2.6666666666666666E-3</v>
      </c>
      <c r="AV29" s="169">
        <f t="shared" si="34"/>
        <v>15</v>
      </c>
      <c r="AW29" s="165">
        <f t="shared" si="35"/>
        <v>3266.5242177537784</v>
      </c>
      <c r="AX29" s="170">
        <f t="shared" si="41"/>
        <v>1042.557622762751</v>
      </c>
      <c r="AY29" s="164" t="str">
        <f t="shared" si="44"/>
        <v>🐢</v>
      </c>
      <c r="AZ29" s="171" t="str">
        <f t="shared" si="13"/>
        <v>🥾</v>
      </c>
      <c r="BA29" s="172">
        <f t="shared" si="14"/>
        <v>377.92713825149724</v>
      </c>
      <c r="BB29" s="173">
        <f t="shared" si="15"/>
        <v>8.5715609716879887E-2</v>
      </c>
      <c r="BC29" s="174">
        <f t="shared" si="16"/>
        <v>4409.0818405165292</v>
      </c>
      <c r="BD29" s="175">
        <f t="shared" si="36"/>
        <v>390581.18139778014</v>
      </c>
      <c r="BE29" s="176"/>
      <c r="BF29" s="177" t="str">
        <f t="shared" si="17"/>
        <v/>
      </c>
      <c r="BG29" s="178" t="str">
        <f t="shared" si="37"/>
        <v/>
      </c>
      <c r="BH29" s="179" t="str">
        <f t="shared" si="18"/>
        <v/>
      </c>
      <c r="BI29" s="180">
        <f t="shared" si="38"/>
        <v>375</v>
      </c>
      <c r="BJ29" s="181">
        <f t="shared" si="42"/>
        <v>664.63048451125371</v>
      </c>
      <c r="BK29" s="182">
        <f t="shared" si="39"/>
        <v>1.6999999999999999E-3</v>
      </c>
    </row>
    <row r="30" spans="1:105" x14ac:dyDescent="0.25">
      <c r="A30" s="7">
        <f t="shared" si="19"/>
        <v>25</v>
      </c>
      <c r="B30" s="7">
        <f t="shared" si="20"/>
        <v>75</v>
      </c>
      <c r="C30" s="115">
        <f t="shared" si="21"/>
        <v>46508</v>
      </c>
      <c r="D30" s="2">
        <f t="shared" si="22"/>
        <v>2.6737967914438505E-3</v>
      </c>
      <c r="E30" s="169">
        <f t="shared" si="23"/>
        <v>16</v>
      </c>
      <c r="F30" s="165">
        <f t="shared" si="24"/>
        <v>3263.3665776766165</v>
      </c>
      <c r="G30" s="170">
        <f t="shared" si="40"/>
        <v>1044.3347096197331</v>
      </c>
      <c r="H30" s="164" t="str">
        <f t="shared" si="43"/>
        <v>🐢</v>
      </c>
      <c r="I30" s="171" t="str">
        <f t="shared" si="2"/>
        <v>🥾</v>
      </c>
      <c r="J30" s="172">
        <f t="shared" si="3"/>
        <v>380.34670124350691</v>
      </c>
      <c r="K30" s="173">
        <f t="shared" si="4"/>
        <v>8.6291396910158732E-2</v>
      </c>
      <c r="L30" s="174">
        <f t="shared" si="5"/>
        <v>4407.7012872963496</v>
      </c>
      <c r="M30" s="175">
        <f t="shared" si="25"/>
        <v>390200.83469653659</v>
      </c>
      <c r="N30" s="20"/>
      <c r="O30" s="37" t="str">
        <f t="shared" si="6"/>
        <v/>
      </c>
      <c r="P30" s="62" t="str">
        <f t="shared" si="26"/>
        <v/>
      </c>
      <c r="Q30" s="16" t="str">
        <f t="shared" si="7"/>
        <v/>
      </c>
      <c r="R30" s="60">
        <f t="shared" si="27"/>
        <v>374</v>
      </c>
      <c r="S30" s="98">
        <f t="shared" si="28"/>
        <v>663.98800837622616</v>
      </c>
      <c r="T30" s="21">
        <f t="shared" si="29"/>
        <v>1.6999999999999999E-3</v>
      </c>
      <c r="AA30" s="14">
        <f t="shared" si="8"/>
        <v>-4407.7012872963496</v>
      </c>
      <c r="AD30" s="7" t="s">
        <v>6</v>
      </c>
      <c r="AE30" s="8"/>
      <c r="AH30" s="6">
        <f t="shared" si="9"/>
        <v>1</v>
      </c>
      <c r="AI30" s="6">
        <f t="shared" si="10"/>
        <v>1</v>
      </c>
      <c r="AJ30" s="12">
        <f t="shared" si="11"/>
        <v>2</v>
      </c>
      <c r="AK30" s="72">
        <f t="shared" si="0"/>
        <v>31</v>
      </c>
      <c r="AQ30" s="8"/>
      <c r="AR30">
        <f t="shared" si="30"/>
        <v>25</v>
      </c>
      <c r="AS30">
        <f t="shared" si="31"/>
        <v>75</v>
      </c>
      <c r="AT30" s="183">
        <f t="shared" si="32"/>
        <v>46508</v>
      </c>
      <c r="AU30" s="2">
        <f t="shared" si="33"/>
        <v>2.6737967914438505E-3</v>
      </c>
      <c r="AV30" s="169">
        <f t="shared" si="34"/>
        <v>16</v>
      </c>
      <c r="AW30" s="165">
        <f t="shared" si="35"/>
        <v>3263.3665776766165</v>
      </c>
      <c r="AX30" s="170">
        <f t="shared" si="41"/>
        <v>1044.3347096197331</v>
      </c>
      <c r="AY30" s="164" t="str">
        <f t="shared" si="44"/>
        <v>🐢</v>
      </c>
      <c r="AZ30" s="171" t="str">
        <f t="shared" si="13"/>
        <v>🥾</v>
      </c>
      <c r="BA30" s="172">
        <f t="shared" si="14"/>
        <v>380.34670124350691</v>
      </c>
      <c r="BB30" s="173">
        <f t="shared" si="15"/>
        <v>8.6291396910158732E-2</v>
      </c>
      <c r="BC30" s="174">
        <f t="shared" si="16"/>
        <v>4407.7012872963496</v>
      </c>
      <c r="BD30" s="175">
        <f t="shared" si="36"/>
        <v>390200.83469653659</v>
      </c>
      <c r="BE30" s="176"/>
      <c r="BF30" s="177" t="str">
        <f t="shared" si="17"/>
        <v/>
      </c>
      <c r="BG30" s="178" t="str">
        <f t="shared" si="37"/>
        <v/>
      </c>
      <c r="BH30" s="179" t="str">
        <f t="shared" si="18"/>
        <v/>
      </c>
      <c r="BI30" s="180">
        <f t="shared" si="38"/>
        <v>374</v>
      </c>
      <c r="BJ30" s="181">
        <f t="shared" si="42"/>
        <v>663.98800837622616</v>
      </c>
      <c r="BK30" s="182">
        <f t="shared" si="39"/>
        <v>1.6999999999999999E-3</v>
      </c>
    </row>
    <row r="31" spans="1:105" ht="18.75" customHeight="1" x14ac:dyDescent="0.25">
      <c r="A31" s="7">
        <f t="shared" si="19"/>
        <v>25</v>
      </c>
      <c r="B31" s="7">
        <f t="shared" si="20"/>
        <v>75</v>
      </c>
      <c r="C31" s="115">
        <f t="shared" si="21"/>
        <v>46539</v>
      </c>
      <c r="D31" s="2">
        <f t="shared" si="22"/>
        <v>2.6809651474530832E-3</v>
      </c>
      <c r="E31" s="169">
        <f t="shared" si="23"/>
        <v>17</v>
      </c>
      <c r="F31" s="165">
        <f t="shared" si="24"/>
        <v>3260.1887217739695</v>
      </c>
      <c r="G31" s="170">
        <f t="shared" si="40"/>
        <v>1046.1148383285163</v>
      </c>
      <c r="H31" s="164" t="str">
        <f t="shared" si="43"/>
        <v>🐢</v>
      </c>
      <c r="I31" s="171" t="str">
        <f t="shared" si="2"/>
        <v>🥾</v>
      </c>
      <c r="J31" s="172">
        <f t="shared" si="3"/>
        <v>382.77341934440415</v>
      </c>
      <c r="K31" s="173">
        <f t="shared" si="4"/>
        <v>8.6869507314539463E-2</v>
      </c>
      <c r="L31" s="174">
        <f t="shared" si="5"/>
        <v>4406.3035601024858</v>
      </c>
      <c r="M31" s="175">
        <f t="shared" si="25"/>
        <v>389818.0612771922</v>
      </c>
      <c r="N31" s="20"/>
      <c r="O31" s="37" t="str">
        <f t="shared" si="6"/>
        <v/>
      </c>
      <c r="P31" s="62" t="str">
        <f t="shared" si="26"/>
        <v/>
      </c>
      <c r="Q31" s="16" t="str">
        <f t="shared" si="7"/>
        <v/>
      </c>
      <c r="R31" s="60">
        <f t="shared" si="27"/>
        <v>373</v>
      </c>
      <c r="S31" s="98">
        <f t="shared" si="28"/>
        <v>663.34141898411212</v>
      </c>
      <c r="T31" s="21">
        <f t="shared" si="29"/>
        <v>1.6999999999999999E-3</v>
      </c>
      <c r="AA31" s="14">
        <f t="shared" si="8"/>
        <v>-4406.3035601024858</v>
      </c>
      <c r="AD31" s="7" t="s">
        <v>7</v>
      </c>
      <c r="AH31" s="6">
        <f t="shared" si="9"/>
        <v>1</v>
      </c>
      <c r="AI31" s="6">
        <f t="shared" si="10"/>
        <v>1</v>
      </c>
      <c r="AJ31" s="12">
        <f t="shared" si="11"/>
        <v>2</v>
      </c>
      <c r="AK31" s="72">
        <f t="shared" si="0"/>
        <v>30</v>
      </c>
      <c r="AQ31" s="8"/>
      <c r="AR31">
        <f t="shared" si="30"/>
        <v>25</v>
      </c>
      <c r="AS31">
        <f t="shared" si="31"/>
        <v>75</v>
      </c>
      <c r="AT31" s="183">
        <f t="shared" si="32"/>
        <v>46539</v>
      </c>
      <c r="AU31" s="2">
        <f t="shared" si="33"/>
        <v>2.6809651474530832E-3</v>
      </c>
      <c r="AV31" s="169">
        <f t="shared" si="34"/>
        <v>17</v>
      </c>
      <c r="AW31" s="165">
        <f t="shared" si="35"/>
        <v>3260.1887217739695</v>
      </c>
      <c r="AX31" s="170">
        <f t="shared" si="41"/>
        <v>1046.1148383285163</v>
      </c>
      <c r="AY31" s="164" t="str">
        <f t="shared" si="44"/>
        <v>🐢</v>
      </c>
      <c r="AZ31" s="171" t="str">
        <f t="shared" si="13"/>
        <v>🥾</v>
      </c>
      <c r="BA31" s="172">
        <f t="shared" si="14"/>
        <v>382.77341934440415</v>
      </c>
      <c r="BB31" s="173">
        <f t="shared" si="15"/>
        <v>8.6869507314539463E-2</v>
      </c>
      <c r="BC31" s="174">
        <f t="shared" si="16"/>
        <v>4406.3035601024858</v>
      </c>
      <c r="BD31" s="175">
        <f t="shared" si="36"/>
        <v>389818.0612771922</v>
      </c>
      <c r="BE31" s="176"/>
      <c r="BF31" s="177" t="str">
        <f t="shared" si="17"/>
        <v/>
      </c>
      <c r="BG31" s="178" t="str">
        <f t="shared" si="37"/>
        <v/>
      </c>
      <c r="BH31" s="179" t="str">
        <f t="shared" si="18"/>
        <v/>
      </c>
      <c r="BI31" s="180">
        <f t="shared" si="38"/>
        <v>373</v>
      </c>
      <c r="BJ31" s="181">
        <f t="shared" si="42"/>
        <v>663.34141898411212</v>
      </c>
      <c r="BK31" s="182">
        <f t="shared" si="39"/>
        <v>1.6999999999999999E-3</v>
      </c>
    </row>
    <row r="32" spans="1:105" x14ac:dyDescent="0.25">
      <c r="A32" s="7">
        <f t="shared" si="19"/>
        <v>25</v>
      </c>
      <c r="B32" s="7">
        <f t="shared" si="20"/>
        <v>75</v>
      </c>
      <c r="C32" s="115">
        <f t="shared" si="21"/>
        <v>46569</v>
      </c>
      <c r="D32" s="2">
        <f t="shared" si="22"/>
        <v>2.6881720430107529E-3</v>
      </c>
      <c r="E32" s="169">
        <f t="shared" si="23"/>
        <v>18</v>
      </c>
      <c r="F32" s="165">
        <f t="shared" si="24"/>
        <v>3256.9905902637897</v>
      </c>
      <c r="G32" s="170">
        <f t="shared" si="40"/>
        <v>1047.8980141860006</v>
      </c>
      <c r="H32" s="164" t="str">
        <f t="shared" si="43"/>
        <v>🐢</v>
      </c>
      <c r="I32" s="171" t="str">
        <f t="shared" si="2"/>
        <v>🥾</v>
      </c>
      <c r="J32" s="172">
        <f t="shared" si="3"/>
        <v>385.20731001477395</v>
      </c>
      <c r="K32" s="173">
        <f t="shared" si="4"/>
        <v>8.7449954949062728E-2</v>
      </c>
      <c r="L32" s="174">
        <f t="shared" si="5"/>
        <v>4404.8886044497904</v>
      </c>
      <c r="M32" s="175">
        <f t="shared" si="25"/>
        <v>389432.85396717745</v>
      </c>
      <c r="N32" s="20"/>
      <c r="O32" s="37" t="str">
        <f t="shared" si="6"/>
        <v/>
      </c>
      <c r="P32" s="62" t="str">
        <f t="shared" si="26"/>
        <v/>
      </c>
      <c r="Q32" s="16" t="str">
        <f t="shared" si="7"/>
        <v/>
      </c>
      <c r="R32" s="60">
        <f t="shared" si="27"/>
        <v>372</v>
      </c>
      <c r="S32" s="98">
        <f t="shared" si="28"/>
        <v>662.69070417122668</v>
      </c>
      <c r="T32" s="21">
        <f t="shared" si="29"/>
        <v>1.6999999999999999E-3</v>
      </c>
      <c r="AA32" s="14">
        <f t="shared" si="8"/>
        <v>-4404.8886044497904</v>
      </c>
      <c r="AE32" s="32"/>
      <c r="AH32" s="6">
        <f t="shared" si="9"/>
        <v>1</v>
      </c>
      <c r="AI32" s="6">
        <f t="shared" si="10"/>
        <v>1</v>
      </c>
      <c r="AJ32" s="12">
        <f t="shared" si="11"/>
        <v>2</v>
      </c>
      <c r="AK32" s="72">
        <f t="shared" si="0"/>
        <v>31</v>
      </c>
      <c r="AQ32" s="8"/>
      <c r="AR32">
        <f t="shared" si="30"/>
        <v>25</v>
      </c>
      <c r="AS32">
        <f t="shared" si="31"/>
        <v>75</v>
      </c>
      <c r="AT32" s="183">
        <f t="shared" si="32"/>
        <v>46569</v>
      </c>
      <c r="AU32" s="2">
        <f t="shared" si="33"/>
        <v>2.6881720430107529E-3</v>
      </c>
      <c r="AV32" s="169">
        <f t="shared" si="34"/>
        <v>18</v>
      </c>
      <c r="AW32" s="165">
        <f t="shared" si="35"/>
        <v>3256.9905902637897</v>
      </c>
      <c r="AX32" s="170">
        <f t="shared" si="41"/>
        <v>1047.8980141860006</v>
      </c>
      <c r="AY32" s="164" t="str">
        <f t="shared" si="44"/>
        <v>🐢</v>
      </c>
      <c r="AZ32" s="171" t="str">
        <f t="shared" si="13"/>
        <v>🥾</v>
      </c>
      <c r="BA32" s="172">
        <f t="shared" si="14"/>
        <v>385.20731001477395</v>
      </c>
      <c r="BB32" s="173">
        <f t="shared" si="15"/>
        <v>8.7449954949062728E-2</v>
      </c>
      <c r="BC32" s="174">
        <f t="shared" si="16"/>
        <v>4404.8886044497904</v>
      </c>
      <c r="BD32" s="175">
        <f t="shared" si="36"/>
        <v>389432.85396717745</v>
      </c>
      <c r="BE32" s="176"/>
      <c r="BF32" s="177" t="str">
        <f t="shared" si="17"/>
        <v/>
      </c>
      <c r="BG32" s="178" t="str">
        <f t="shared" si="37"/>
        <v/>
      </c>
      <c r="BH32" s="179" t="str">
        <f t="shared" si="18"/>
        <v/>
      </c>
      <c r="BI32" s="180">
        <f t="shared" si="38"/>
        <v>372</v>
      </c>
      <c r="BJ32" s="181">
        <f t="shared" si="42"/>
        <v>662.69070417122668</v>
      </c>
      <c r="BK32" s="182">
        <f t="shared" si="39"/>
        <v>1.6999999999999999E-3</v>
      </c>
    </row>
    <row r="33" spans="1:63" x14ac:dyDescent="0.25">
      <c r="A33" s="7">
        <f t="shared" si="19"/>
        <v>25</v>
      </c>
      <c r="B33" s="7">
        <f t="shared" si="20"/>
        <v>75</v>
      </c>
      <c r="C33" s="115">
        <f t="shared" si="21"/>
        <v>46600</v>
      </c>
      <c r="D33" s="2">
        <f t="shared" si="22"/>
        <v>2.6954177897574121E-3</v>
      </c>
      <c r="E33" s="169">
        <f t="shared" si="23"/>
        <v>19</v>
      </c>
      <c r="F33" s="165">
        <f t="shared" si="24"/>
        <v>3253.772123218142</v>
      </c>
      <c r="G33" s="170">
        <f t="shared" si="40"/>
        <v>1049.6842424991305</v>
      </c>
      <c r="H33" s="164" t="str">
        <f t="shared" si="43"/>
        <v>🐢</v>
      </c>
      <c r="I33" s="171" t="str">
        <f t="shared" si="2"/>
        <v>🥾</v>
      </c>
      <c r="J33" s="172">
        <f t="shared" si="3"/>
        <v>387.64839075492887</v>
      </c>
      <c r="K33" s="173">
        <f t="shared" si="4"/>
        <v>8.8032753945952946E-2</v>
      </c>
      <c r="L33" s="174">
        <f t="shared" si="5"/>
        <v>4403.456365717273</v>
      </c>
      <c r="M33" s="175">
        <f t="shared" si="25"/>
        <v>389045.20557642251</v>
      </c>
      <c r="N33" s="20"/>
      <c r="O33" s="37" t="str">
        <f t="shared" si="6"/>
        <v/>
      </c>
      <c r="P33" s="62" t="str">
        <f t="shared" si="26"/>
        <v/>
      </c>
      <c r="Q33" s="16" t="str">
        <f t="shared" si="7"/>
        <v/>
      </c>
      <c r="R33" s="60">
        <f t="shared" si="27"/>
        <v>371</v>
      </c>
      <c r="S33" s="98">
        <f t="shared" si="28"/>
        <v>662.03585174420164</v>
      </c>
      <c r="T33" s="21">
        <f t="shared" si="29"/>
        <v>1.6999999999999999E-3</v>
      </c>
      <c r="AA33" s="14">
        <f t="shared" si="8"/>
        <v>-4403.456365717273</v>
      </c>
      <c r="AD33" s="83" t="s">
        <v>16</v>
      </c>
      <c r="AE33" s="32"/>
      <c r="AH33" s="6">
        <f t="shared" si="9"/>
        <v>1</v>
      </c>
      <c r="AI33" s="6">
        <f t="shared" si="10"/>
        <v>1</v>
      </c>
      <c r="AJ33" s="12">
        <f t="shared" si="11"/>
        <v>2</v>
      </c>
      <c r="AK33" s="72">
        <f t="shared" si="0"/>
        <v>31</v>
      </c>
      <c r="AQ33" s="8"/>
      <c r="AR33">
        <f t="shared" si="30"/>
        <v>25</v>
      </c>
      <c r="AS33">
        <f t="shared" si="31"/>
        <v>75</v>
      </c>
      <c r="AT33" s="183">
        <f t="shared" si="32"/>
        <v>46600</v>
      </c>
      <c r="AU33" s="2">
        <f t="shared" si="33"/>
        <v>2.6954177897574121E-3</v>
      </c>
      <c r="AV33" s="169">
        <f t="shared" si="34"/>
        <v>19</v>
      </c>
      <c r="AW33" s="165">
        <f t="shared" si="35"/>
        <v>3253.772123218142</v>
      </c>
      <c r="AX33" s="170">
        <f t="shared" si="41"/>
        <v>1049.6842424991305</v>
      </c>
      <c r="AY33" s="164" t="str">
        <f t="shared" si="44"/>
        <v>🐢</v>
      </c>
      <c r="AZ33" s="171" t="str">
        <f t="shared" si="13"/>
        <v>🥾</v>
      </c>
      <c r="BA33" s="172">
        <f t="shared" si="14"/>
        <v>387.64839075492887</v>
      </c>
      <c r="BB33" s="173">
        <f t="shared" si="15"/>
        <v>8.8032753945952946E-2</v>
      </c>
      <c r="BC33" s="174">
        <f t="shared" si="16"/>
        <v>4403.456365717273</v>
      </c>
      <c r="BD33" s="175">
        <f t="shared" si="36"/>
        <v>389045.20557642251</v>
      </c>
      <c r="BE33" s="176"/>
      <c r="BF33" s="177" t="str">
        <f t="shared" si="17"/>
        <v/>
      </c>
      <c r="BG33" s="178" t="str">
        <f t="shared" si="37"/>
        <v/>
      </c>
      <c r="BH33" s="179" t="str">
        <f t="shared" si="18"/>
        <v/>
      </c>
      <c r="BI33" s="180">
        <f t="shared" si="38"/>
        <v>371</v>
      </c>
      <c r="BJ33" s="181">
        <f t="shared" si="42"/>
        <v>662.03585174420164</v>
      </c>
      <c r="BK33" s="182">
        <f t="shared" si="39"/>
        <v>1.6999999999999999E-3</v>
      </c>
    </row>
    <row r="34" spans="1:63" x14ac:dyDescent="0.25">
      <c r="A34" s="7">
        <f t="shared" si="19"/>
        <v>25</v>
      </c>
      <c r="B34" s="7">
        <f t="shared" si="20"/>
        <v>75</v>
      </c>
      <c r="C34" s="115">
        <f t="shared" si="21"/>
        <v>46631</v>
      </c>
      <c r="D34" s="2">
        <f t="shared" si="22"/>
        <v>2.7027027027027024E-3</v>
      </c>
      <c r="E34" s="169">
        <f t="shared" si="23"/>
        <v>20</v>
      </c>
      <c r="F34" s="165">
        <f t="shared" si="24"/>
        <v>3250.5332605628741</v>
      </c>
      <c r="G34" s="170">
        <f t="shared" si="40"/>
        <v>1051.4735285849256</v>
      </c>
      <c r="H34" s="164" t="str">
        <f t="shared" si="43"/>
        <v>🐢</v>
      </c>
      <c r="I34" s="171" t="str">
        <f t="shared" si="2"/>
        <v>🥾</v>
      </c>
      <c r="J34" s="172">
        <f t="shared" si="3"/>
        <v>390.09667910500741</v>
      </c>
      <c r="K34" s="173">
        <f t="shared" si="4"/>
        <v>8.8617918551763E-2</v>
      </c>
      <c r="L34" s="174">
        <f t="shared" si="5"/>
        <v>4402.0067891477993</v>
      </c>
      <c r="M34" s="175">
        <f t="shared" si="25"/>
        <v>388655.10889731749</v>
      </c>
      <c r="N34" s="20"/>
      <c r="O34" s="37" t="str">
        <f t="shared" si="6"/>
        <v/>
      </c>
      <c r="P34" s="62" t="str">
        <f t="shared" si="26"/>
        <v/>
      </c>
      <c r="Q34" s="16" t="str">
        <f t="shared" si="7"/>
        <v/>
      </c>
      <c r="R34" s="60">
        <f t="shared" si="27"/>
        <v>370</v>
      </c>
      <c r="S34" s="98">
        <f t="shared" si="28"/>
        <v>661.37684947991818</v>
      </c>
      <c r="T34" s="21">
        <f t="shared" si="29"/>
        <v>1.6999999999999999E-3</v>
      </c>
      <c r="AA34" s="14">
        <f t="shared" si="8"/>
        <v>-4402.0067891477993</v>
      </c>
      <c r="AD34" s="83" t="s">
        <v>17</v>
      </c>
      <c r="AH34" s="6">
        <f t="shared" si="9"/>
        <v>1</v>
      </c>
      <c r="AI34" s="6">
        <f t="shared" si="10"/>
        <v>1</v>
      </c>
      <c r="AJ34" s="12">
        <f t="shared" si="11"/>
        <v>2</v>
      </c>
      <c r="AK34" s="72">
        <f t="shared" si="0"/>
        <v>30</v>
      </c>
      <c r="AQ34" s="8"/>
      <c r="AR34">
        <f t="shared" si="30"/>
        <v>25</v>
      </c>
      <c r="AS34">
        <f t="shared" si="31"/>
        <v>75</v>
      </c>
      <c r="AT34" s="183">
        <f t="shared" si="32"/>
        <v>46631</v>
      </c>
      <c r="AU34" s="2">
        <f t="shared" si="33"/>
        <v>2.7027027027027024E-3</v>
      </c>
      <c r="AV34" s="169">
        <f t="shared" si="34"/>
        <v>20</v>
      </c>
      <c r="AW34" s="165">
        <f t="shared" si="35"/>
        <v>3250.5332605628741</v>
      </c>
      <c r="AX34" s="170">
        <f t="shared" si="41"/>
        <v>1051.4735285849256</v>
      </c>
      <c r="AY34" s="164" t="str">
        <f t="shared" si="44"/>
        <v>🐢</v>
      </c>
      <c r="AZ34" s="171" t="str">
        <f t="shared" si="13"/>
        <v>🥾</v>
      </c>
      <c r="BA34" s="172">
        <f t="shared" si="14"/>
        <v>390.09667910500741</v>
      </c>
      <c r="BB34" s="173">
        <f t="shared" si="15"/>
        <v>8.8617918551763E-2</v>
      </c>
      <c r="BC34" s="174">
        <f t="shared" si="16"/>
        <v>4402.0067891477993</v>
      </c>
      <c r="BD34" s="175">
        <f t="shared" si="36"/>
        <v>388655.10889731749</v>
      </c>
      <c r="BE34" s="176"/>
      <c r="BF34" s="177" t="str">
        <f t="shared" si="17"/>
        <v/>
      </c>
      <c r="BG34" s="178" t="str">
        <f t="shared" si="37"/>
        <v/>
      </c>
      <c r="BH34" s="179" t="str">
        <f t="shared" si="18"/>
        <v/>
      </c>
      <c r="BI34" s="180">
        <f t="shared" si="38"/>
        <v>370</v>
      </c>
      <c r="BJ34" s="181">
        <f t="shared" si="42"/>
        <v>661.37684947991818</v>
      </c>
      <c r="BK34" s="182">
        <f t="shared" si="39"/>
        <v>1.6999999999999999E-3</v>
      </c>
    </row>
    <row r="35" spans="1:63" x14ac:dyDescent="0.25">
      <c r="A35" s="7">
        <f t="shared" si="19"/>
        <v>25</v>
      </c>
      <c r="B35" s="7">
        <f t="shared" si="20"/>
        <v>75</v>
      </c>
      <c r="C35" s="115">
        <f t="shared" si="21"/>
        <v>46661</v>
      </c>
      <c r="D35" s="2">
        <f t="shared" si="22"/>
        <v>2.7100271002710027E-3</v>
      </c>
      <c r="E35" s="169">
        <f t="shared" si="23"/>
        <v>21</v>
      </c>
      <c r="F35" s="165">
        <f t="shared" si="24"/>
        <v>3247.2739420772828</v>
      </c>
      <c r="G35" s="170">
        <f t="shared" si="40"/>
        <v>1053.265877770508</v>
      </c>
      <c r="H35" s="164" t="str">
        <f t="shared" si="43"/>
        <v>🐢</v>
      </c>
      <c r="I35" s="171" t="str">
        <f t="shared" si="2"/>
        <v>🥾</v>
      </c>
      <c r="J35" s="172">
        <f t="shared" si="3"/>
        <v>392.55219264506832</v>
      </c>
      <c r="K35" s="173">
        <f t="shared" si="4"/>
        <v>8.9205463128531864E-2</v>
      </c>
      <c r="L35" s="174">
        <f t="shared" si="5"/>
        <v>4400.5398198477906</v>
      </c>
      <c r="M35" s="175">
        <f t="shared" si="25"/>
        <v>388262.55670467246</v>
      </c>
      <c r="N35" s="20"/>
      <c r="O35" s="37" t="str">
        <f t="shared" si="6"/>
        <v/>
      </c>
      <c r="P35" s="62" t="str">
        <f t="shared" si="26"/>
        <v/>
      </c>
      <c r="Q35" s="16" t="str">
        <f t="shared" si="7"/>
        <v/>
      </c>
      <c r="R35" s="60">
        <f t="shared" si="27"/>
        <v>369</v>
      </c>
      <c r="S35" s="98">
        <f t="shared" si="28"/>
        <v>660.71368512543972</v>
      </c>
      <c r="T35" s="21">
        <f t="shared" si="29"/>
        <v>1.6999999999999999E-3</v>
      </c>
      <c r="AA35" s="14">
        <f t="shared" si="8"/>
        <v>-4400.5398198477906</v>
      </c>
      <c r="AD35" s="84" t="s">
        <v>18</v>
      </c>
      <c r="AH35" s="6">
        <f t="shared" si="9"/>
        <v>1</v>
      </c>
      <c r="AI35" s="6">
        <f t="shared" si="10"/>
        <v>1</v>
      </c>
      <c r="AJ35" s="12">
        <f t="shared" si="11"/>
        <v>2</v>
      </c>
      <c r="AK35" s="72">
        <f t="shared" si="0"/>
        <v>31</v>
      </c>
      <c r="AQ35" s="8"/>
      <c r="AR35">
        <f t="shared" si="30"/>
        <v>25</v>
      </c>
      <c r="AS35">
        <f t="shared" si="31"/>
        <v>75</v>
      </c>
      <c r="AT35" s="183">
        <f t="shared" si="32"/>
        <v>46661</v>
      </c>
      <c r="AU35" s="2">
        <f t="shared" si="33"/>
        <v>2.7100271002710027E-3</v>
      </c>
      <c r="AV35" s="169">
        <f t="shared" si="34"/>
        <v>21</v>
      </c>
      <c r="AW35" s="165">
        <f t="shared" si="35"/>
        <v>3247.2739420772828</v>
      </c>
      <c r="AX35" s="170">
        <f t="shared" si="41"/>
        <v>1053.265877770508</v>
      </c>
      <c r="AY35" s="164" t="str">
        <f t="shared" si="44"/>
        <v>🐢</v>
      </c>
      <c r="AZ35" s="171" t="str">
        <f t="shared" si="13"/>
        <v>🥾</v>
      </c>
      <c r="BA35" s="172">
        <f t="shared" si="14"/>
        <v>392.55219264506832</v>
      </c>
      <c r="BB35" s="173">
        <f t="shared" si="15"/>
        <v>8.9205463128531864E-2</v>
      </c>
      <c r="BC35" s="174">
        <f t="shared" si="16"/>
        <v>4400.5398198477906</v>
      </c>
      <c r="BD35" s="175">
        <f t="shared" si="36"/>
        <v>388262.55670467246</v>
      </c>
      <c r="BE35" s="176"/>
      <c r="BF35" s="177" t="str">
        <f t="shared" si="17"/>
        <v/>
      </c>
      <c r="BG35" s="178" t="str">
        <f t="shared" si="37"/>
        <v/>
      </c>
      <c r="BH35" s="179" t="str">
        <f t="shared" si="18"/>
        <v/>
      </c>
      <c r="BI35" s="180">
        <f t="shared" si="38"/>
        <v>369</v>
      </c>
      <c r="BJ35" s="181">
        <f t="shared" si="42"/>
        <v>660.71368512543972</v>
      </c>
      <c r="BK35" s="182">
        <f t="shared" si="39"/>
        <v>1.6999999999999999E-3</v>
      </c>
    </row>
    <row r="36" spans="1:63" x14ac:dyDescent="0.25">
      <c r="A36" s="7">
        <f t="shared" si="19"/>
        <v>25</v>
      </c>
      <c r="B36" s="7">
        <f t="shared" si="20"/>
        <v>75</v>
      </c>
      <c r="C36" s="115">
        <f t="shared" si="21"/>
        <v>46692</v>
      </c>
      <c r="D36" s="2">
        <f t="shared" si="22"/>
        <v>2.7173913043478264E-3</v>
      </c>
      <c r="E36" s="169">
        <f t="shared" si="23"/>
        <v>22</v>
      </c>
      <c r="F36" s="165">
        <f t="shared" si="24"/>
        <v>3243.9941073937812</v>
      </c>
      <c r="G36" s="170">
        <f t="shared" si="40"/>
        <v>1055.0612953931318</v>
      </c>
      <c r="H36" s="164" t="str">
        <f t="shared" si="43"/>
        <v>🐢</v>
      </c>
      <c r="I36" s="171" t="str">
        <f t="shared" si="2"/>
        <v>🥾</v>
      </c>
      <c r="J36" s="172">
        <f t="shared" si="3"/>
        <v>395.01494899518866</v>
      </c>
      <c r="K36" s="173">
        <f t="shared" si="4"/>
        <v>8.9795402154957335E-2</v>
      </c>
      <c r="L36" s="174">
        <f t="shared" si="5"/>
        <v>4399.055402786913</v>
      </c>
      <c r="M36" s="175">
        <f t="shared" si="25"/>
        <v>387867.54175567726</v>
      </c>
      <c r="N36" s="20"/>
      <c r="O36" s="37" t="str">
        <f t="shared" si="6"/>
        <v/>
      </c>
      <c r="P36" s="62" t="str">
        <f t="shared" si="26"/>
        <v/>
      </c>
      <c r="Q36" s="16" t="str">
        <f t="shared" si="7"/>
        <v/>
      </c>
      <c r="R36" s="60">
        <f t="shared" si="27"/>
        <v>368</v>
      </c>
      <c r="S36" s="98">
        <f t="shared" si="28"/>
        <v>660.04634639794313</v>
      </c>
      <c r="T36" s="21">
        <f t="shared" si="29"/>
        <v>1.6999999999999999E-3</v>
      </c>
      <c r="AA36" s="14">
        <f t="shared" si="8"/>
        <v>-4399.055402786913</v>
      </c>
      <c r="AH36" s="6">
        <f t="shared" si="9"/>
        <v>1</v>
      </c>
      <c r="AI36" s="6">
        <f t="shared" si="10"/>
        <v>1</v>
      </c>
      <c r="AJ36" s="12">
        <f t="shared" si="11"/>
        <v>2</v>
      </c>
      <c r="AK36" s="72">
        <f t="shared" si="0"/>
        <v>30</v>
      </c>
      <c r="AQ36" s="8"/>
      <c r="AR36">
        <f t="shared" si="30"/>
        <v>25</v>
      </c>
      <c r="AS36">
        <f t="shared" si="31"/>
        <v>75</v>
      </c>
      <c r="AT36" s="183">
        <f t="shared" si="32"/>
        <v>46692</v>
      </c>
      <c r="AU36" s="2">
        <f t="shared" si="33"/>
        <v>2.7173913043478264E-3</v>
      </c>
      <c r="AV36" s="169">
        <f t="shared" si="34"/>
        <v>22</v>
      </c>
      <c r="AW36" s="165">
        <f t="shared" si="35"/>
        <v>3243.9941073937812</v>
      </c>
      <c r="AX36" s="170">
        <f t="shared" si="41"/>
        <v>1055.0612953931318</v>
      </c>
      <c r="AY36" s="164" t="str">
        <f t="shared" si="44"/>
        <v>🐢</v>
      </c>
      <c r="AZ36" s="171" t="str">
        <f t="shared" si="13"/>
        <v>🥾</v>
      </c>
      <c r="BA36" s="172">
        <f t="shared" si="14"/>
        <v>395.01494899518866</v>
      </c>
      <c r="BB36" s="173">
        <f t="shared" si="15"/>
        <v>8.9795402154957335E-2</v>
      </c>
      <c r="BC36" s="174">
        <f t="shared" si="16"/>
        <v>4399.055402786913</v>
      </c>
      <c r="BD36" s="175">
        <f t="shared" si="36"/>
        <v>387867.54175567726</v>
      </c>
      <c r="BE36" s="176"/>
      <c r="BF36" s="177" t="str">
        <f t="shared" si="17"/>
        <v/>
      </c>
      <c r="BG36" s="178" t="str">
        <f t="shared" si="37"/>
        <v/>
      </c>
      <c r="BH36" s="179" t="str">
        <f t="shared" si="18"/>
        <v/>
      </c>
      <c r="BI36" s="180">
        <f t="shared" si="38"/>
        <v>368</v>
      </c>
      <c r="BJ36" s="181">
        <f t="shared" si="42"/>
        <v>660.04634639794313</v>
      </c>
      <c r="BK36" s="182">
        <f t="shared" si="39"/>
        <v>1.6999999999999999E-3</v>
      </c>
    </row>
    <row r="37" spans="1:63" x14ac:dyDescent="0.25">
      <c r="A37" s="7">
        <f t="shared" si="19"/>
        <v>25</v>
      </c>
      <c r="B37" s="7">
        <f t="shared" si="20"/>
        <v>75</v>
      </c>
      <c r="C37" s="115">
        <f t="shared" si="21"/>
        <v>46722</v>
      </c>
      <c r="D37" s="2">
        <f t="shared" si="22"/>
        <v>2.7247956403269754E-3</v>
      </c>
      <c r="E37" s="169">
        <f t="shared" si="23"/>
        <v>23</v>
      </c>
      <c r="F37" s="165">
        <f t="shared" si="24"/>
        <v>3240.6936959975628</v>
      </c>
      <c r="G37" s="170">
        <f t="shared" si="40"/>
        <v>1056.8597868002105</v>
      </c>
      <c r="H37" s="164" t="str">
        <f t="shared" si="43"/>
        <v>🐢</v>
      </c>
      <c r="I37" s="171" t="str">
        <f t="shared" si="2"/>
        <v>🥾</v>
      </c>
      <c r="J37" s="172">
        <f t="shared" si="3"/>
        <v>397.48496581555924</v>
      </c>
      <c r="K37" s="173">
        <f t="shared" si="4"/>
        <v>9.0387750227582178E-2</v>
      </c>
      <c r="L37" s="174">
        <f t="shared" si="5"/>
        <v>4397.5534827977735</v>
      </c>
      <c r="M37" s="175">
        <f t="shared" si="25"/>
        <v>387470.0567898617</v>
      </c>
      <c r="N37" s="198"/>
      <c r="O37" s="37" t="str">
        <f t="shared" si="6"/>
        <v/>
      </c>
      <c r="P37" s="62" t="str">
        <f t="shared" si="26"/>
        <v/>
      </c>
      <c r="Q37" s="16" t="str">
        <f t="shared" si="7"/>
        <v/>
      </c>
      <c r="R37" s="60">
        <f t="shared" si="27"/>
        <v>367</v>
      </c>
      <c r="S37" s="98">
        <f t="shared" si="28"/>
        <v>659.37482098465125</v>
      </c>
      <c r="T37" s="21">
        <f t="shared" si="29"/>
        <v>1.6999999999999999E-3</v>
      </c>
      <c r="AA37" s="14">
        <f t="shared" si="8"/>
        <v>-4397.5534827977735</v>
      </c>
      <c r="AD37" s="84" t="s">
        <v>19</v>
      </c>
      <c r="AH37" s="6">
        <f t="shared" si="9"/>
        <v>1</v>
      </c>
      <c r="AI37" s="6">
        <f t="shared" si="10"/>
        <v>1</v>
      </c>
      <c r="AJ37" s="12">
        <f t="shared" si="11"/>
        <v>2</v>
      </c>
      <c r="AK37" s="72">
        <f t="shared" si="0"/>
        <v>31</v>
      </c>
      <c r="AQ37" s="8"/>
      <c r="AR37">
        <f t="shared" si="30"/>
        <v>25</v>
      </c>
      <c r="AS37">
        <f t="shared" si="31"/>
        <v>75</v>
      </c>
      <c r="AT37" s="183">
        <f t="shared" si="32"/>
        <v>46722</v>
      </c>
      <c r="AU37" s="2">
        <f t="shared" si="33"/>
        <v>2.7247956403269754E-3</v>
      </c>
      <c r="AV37" s="169">
        <f t="shared" si="34"/>
        <v>23</v>
      </c>
      <c r="AW37" s="165">
        <f t="shared" si="35"/>
        <v>3240.6936959975628</v>
      </c>
      <c r="AX37" s="170">
        <f t="shared" si="41"/>
        <v>1056.8597868002105</v>
      </c>
      <c r="AY37" s="164" t="str">
        <f t="shared" si="44"/>
        <v>🐢</v>
      </c>
      <c r="AZ37" s="171" t="str">
        <f t="shared" si="13"/>
        <v>🥾</v>
      </c>
      <c r="BA37" s="172">
        <f t="shared" si="14"/>
        <v>397.48496581555924</v>
      </c>
      <c r="BB37" s="173">
        <f t="shared" si="15"/>
        <v>9.0387750227582178E-2</v>
      </c>
      <c r="BC37" s="174">
        <f t="shared" si="16"/>
        <v>4397.5534827977735</v>
      </c>
      <c r="BD37" s="175">
        <f t="shared" si="36"/>
        <v>387470.0567898617</v>
      </c>
      <c r="BE37" s="176"/>
      <c r="BF37" s="177" t="str">
        <f t="shared" si="17"/>
        <v/>
      </c>
      <c r="BG37" s="178" t="str">
        <f t="shared" si="37"/>
        <v/>
      </c>
      <c r="BH37" s="179" t="str">
        <f t="shared" si="18"/>
        <v/>
      </c>
      <c r="BI37" s="180">
        <f t="shared" si="38"/>
        <v>367</v>
      </c>
      <c r="BJ37" s="181">
        <f t="shared" si="42"/>
        <v>659.37482098465125</v>
      </c>
      <c r="BK37" s="182">
        <f t="shared" si="39"/>
        <v>1.6999999999999999E-3</v>
      </c>
    </row>
    <row r="38" spans="1:63" x14ac:dyDescent="0.25">
      <c r="A38" s="7">
        <f t="shared" si="19"/>
        <v>25</v>
      </c>
      <c r="B38" s="7">
        <f t="shared" si="20"/>
        <v>75</v>
      </c>
      <c r="C38" s="115">
        <f t="shared" si="21"/>
        <v>46753</v>
      </c>
      <c r="D38" s="2">
        <f t="shared" si="22"/>
        <v>2.7322404371584699E-3</v>
      </c>
      <c r="E38" s="169">
        <f t="shared" si="23"/>
        <v>24</v>
      </c>
      <c r="F38" s="165">
        <f t="shared" si="24"/>
        <v>3237.3726472262692</v>
      </c>
      <c r="G38" s="170">
        <f t="shared" si="40"/>
        <v>1058.6613573493489</v>
      </c>
      <c r="H38" s="164" t="str">
        <f t="shared" si="43"/>
        <v>🐢</v>
      </c>
      <c r="I38" s="171" t="str">
        <f t="shared" si="2"/>
        <v>🥾</v>
      </c>
      <c r="J38" s="172">
        <f t="shared" si="3"/>
        <v>399.96226080658403</v>
      </c>
      <c r="K38" s="173">
        <f t="shared" si="4"/>
        <v>9.0982522061995585E-2</v>
      </c>
      <c r="L38" s="174">
        <f t="shared" si="5"/>
        <v>4396.0340045756184</v>
      </c>
      <c r="M38" s="175">
        <f t="shared" si="25"/>
        <v>387070.09452905512</v>
      </c>
      <c r="N38" s="20"/>
      <c r="O38" s="37" t="str">
        <f t="shared" si="6"/>
        <v/>
      </c>
      <c r="P38" s="62" t="str">
        <f t="shared" si="26"/>
        <v/>
      </c>
      <c r="Q38" s="16" t="str">
        <f t="shared" si="7"/>
        <v/>
      </c>
      <c r="R38" s="60">
        <f t="shared" si="27"/>
        <v>366</v>
      </c>
      <c r="S38" s="98">
        <f t="shared" si="28"/>
        <v>658.69909654276489</v>
      </c>
      <c r="T38" s="21">
        <f t="shared" si="29"/>
        <v>1.6999999999999999E-3</v>
      </c>
      <c r="AA38" s="14">
        <f t="shared" si="8"/>
        <v>-4396.0340045756184</v>
      </c>
      <c r="AD38" s="7" t="s">
        <v>20</v>
      </c>
      <c r="AE38" s="32"/>
      <c r="AH38" s="6">
        <f t="shared" si="9"/>
        <v>1</v>
      </c>
      <c r="AI38" s="6">
        <f t="shared" si="10"/>
        <v>1</v>
      </c>
      <c r="AJ38" s="12">
        <f t="shared" si="11"/>
        <v>2</v>
      </c>
      <c r="AK38" s="72">
        <f t="shared" si="0"/>
        <v>31</v>
      </c>
      <c r="AQ38" s="8"/>
      <c r="AR38">
        <f t="shared" si="30"/>
        <v>25</v>
      </c>
      <c r="AS38">
        <f t="shared" si="31"/>
        <v>75</v>
      </c>
      <c r="AT38" s="183">
        <f t="shared" si="32"/>
        <v>46753</v>
      </c>
      <c r="AU38" s="2">
        <f t="shared" si="33"/>
        <v>2.7322404371584699E-3</v>
      </c>
      <c r="AV38" s="169">
        <f t="shared" si="34"/>
        <v>24</v>
      </c>
      <c r="AW38" s="165">
        <f t="shared" si="35"/>
        <v>3237.3726472262692</v>
      </c>
      <c r="AX38" s="170">
        <f t="shared" si="41"/>
        <v>1058.6613573493489</v>
      </c>
      <c r="AY38" s="164" t="str">
        <f t="shared" si="44"/>
        <v>🐢</v>
      </c>
      <c r="AZ38" s="171" t="str">
        <f t="shared" si="13"/>
        <v>🥾</v>
      </c>
      <c r="BA38" s="172">
        <f t="shared" si="14"/>
        <v>399.96226080658403</v>
      </c>
      <c r="BB38" s="173">
        <f t="shared" si="15"/>
        <v>9.0982522061995585E-2</v>
      </c>
      <c r="BC38" s="174">
        <f t="shared" si="16"/>
        <v>4396.0340045756184</v>
      </c>
      <c r="BD38" s="175">
        <f t="shared" si="36"/>
        <v>387070.09452905512</v>
      </c>
      <c r="BE38" s="176"/>
      <c r="BF38" s="177" t="str">
        <f t="shared" si="17"/>
        <v/>
      </c>
      <c r="BG38" s="178" t="str">
        <f t="shared" si="37"/>
        <v/>
      </c>
      <c r="BH38" s="179" t="str">
        <f t="shared" si="18"/>
        <v/>
      </c>
      <c r="BI38" s="180">
        <f t="shared" si="38"/>
        <v>366</v>
      </c>
      <c r="BJ38" s="181">
        <f t="shared" si="42"/>
        <v>658.69909654276489</v>
      </c>
      <c r="BK38" s="182">
        <f t="shared" si="39"/>
        <v>1.6999999999999999E-3</v>
      </c>
    </row>
    <row r="39" spans="1:63" x14ac:dyDescent="0.25">
      <c r="A39" s="7">
        <f t="shared" si="19"/>
        <v>25</v>
      </c>
      <c r="B39" s="7">
        <f t="shared" si="20"/>
        <v>75</v>
      </c>
      <c r="C39" s="115">
        <f t="shared" si="21"/>
        <v>46784</v>
      </c>
      <c r="D39" s="2">
        <f t="shared" si="22"/>
        <v>2.7397260273972603E-3</v>
      </c>
      <c r="E39" s="169">
        <f t="shared" si="23"/>
        <v>25</v>
      </c>
      <c r="F39" s="165">
        <f t="shared" si="24"/>
        <v>3234.0309002696517</v>
      </c>
      <c r="G39" s="170">
        <f t="shared" si="40"/>
        <v>1060.4660124083703</v>
      </c>
      <c r="H39" s="164" t="str">
        <f t="shared" si="43"/>
        <v>🐢</v>
      </c>
      <c r="I39" s="171" t="str">
        <f t="shared" si="2"/>
        <v>🥾</v>
      </c>
      <c r="J39" s="172">
        <f t="shared" si="3"/>
        <v>402.44685170897662</v>
      </c>
      <c r="K39" s="173">
        <f t="shared" si="4"/>
        <v>9.1579732494048813E-2</v>
      </c>
      <c r="L39" s="174">
        <f t="shared" si="5"/>
        <v>4394.4969126780215</v>
      </c>
      <c r="M39" s="175">
        <f t="shared" si="25"/>
        <v>386667.64767734613</v>
      </c>
      <c r="N39" s="20"/>
      <c r="O39" s="37" t="str">
        <f t="shared" si="6"/>
        <v/>
      </c>
      <c r="P39" s="62" t="str">
        <f t="shared" si="26"/>
        <v/>
      </c>
      <c r="Q39" s="16" t="str">
        <f t="shared" si="7"/>
        <v/>
      </c>
      <c r="R39" s="60">
        <f t="shared" si="27"/>
        <v>365</v>
      </c>
      <c r="S39" s="98">
        <f t="shared" si="28"/>
        <v>658.01916069939364</v>
      </c>
      <c r="T39" s="21">
        <f t="shared" si="29"/>
        <v>1.6999999999999999E-3</v>
      </c>
      <c r="AA39" s="14">
        <f t="shared" si="8"/>
        <v>-4394.4969126780215</v>
      </c>
      <c r="AD39" s="7" t="s">
        <v>21</v>
      </c>
      <c r="AH39" s="6">
        <f t="shared" si="9"/>
        <v>1</v>
      </c>
      <c r="AI39" s="6">
        <f t="shared" si="10"/>
        <v>1</v>
      </c>
      <c r="AJ39" s="12">
        <f t="shared" si="11"/>
        <v>3</v>
      </c>
      <c r="AK39" s="72">
        <f t="shared" si="0"/>
        <v>29</v>
      </c>
      <c r="AQ39" s="8"/>
      <c r="AR39">
        <f t="shared" si="30"/>
        <v>25</v>
      </c>
      <c r="AS39">
        <f t="shared" si="31"/>
        <v>75</v>
      </c>
      <c r="AT39" s="183">
        <f t="shared" si="32"/>
        <v>46784</v>
      </c>
      <c r="AU39" s="2">
        <f t="shared" si="33"/>
        <v>2.7397260273972603E-3</v>
      </c>
      <c r="AV39" s="169">
        <f t="shared" si="34"/>
        <v>25</v>
      </c>
      <c r="AW39" s="165">
        <f t="shared" si="35"/>
        <v>3234.0309002696517</v>
      </c>
      <c r="AX39" s="170">
        <f t="shared" si="41"/>
        <v>1060.4660124083703</v>
      </c>
      <c r="AY39" s="164" t="str">
        <f t="shared" si="44"/>
        <v>🐢</v>
      </c>
      <c r="AZ39" s="171" t="str">
        <f t="shared" si="13"/>
        <v>🥾</v>
      </c>
      <c r="BA39" s="172">
        <f t="shared" si="14"/>
        <v>402.44685170897662</v>
      </c>
      <c r="BB39" s="173">
        <f t="shared" si="15"/>
        <v>9.1579732494048813E-2</v>
      </c>
      <c r="BC39" s="174">
        <f t="shared" si="16"/>
        <v>4394.4969126780215</v>
      </c>
      <c r="BD39" s="175">
        <f t="shared" si="36"/>
        <v>386667.64767734613</v>
      </c>
      <c r="BE39" s="176"/>
      <c r="BF39" s="177" t="str">
        <f t="shared" si="17"/>
        <v/>
      </c>
      <c r="BG39" s="178" t="str">
        <f t="shared" si="37"/>
        <v/>
      </c>
      <c r="BH39" s="179" t="str">
        <f t="shared" si="18"/>
        <v/>
      </c>
      <c r="BI39" s="180">
        <f t="shared" si="38"/>
        <v>365</v>
      </c>
      <c r="BJ39" s="181">
        <f t="shared" si="42"/>
        <v>658.01916069939364</v>
      </c>
      <c r="BK39" s="182">
        <f t="shared" si="39"/>
        <v>1.6999999999999999E-3</v>
      </c>
    </row>
    <row r="40" spans="1:63" x14ac:dyDescent="0.25">
      <c r="A40" s="7">
        <f t="shared" si="19"/>
        <v>25</v>
      </c>
      <c r="B40" s="7">
        <f t="shared" si="20"/>
        <v>75</v>
      </c>
      <c r="C40" s="115">
        <f t="shared" si="21"/>
        <v>46813</v>
      </c>
      <c r="D40" s="2">
        <f t="shared" si="22"/>
        <v>2.7472527472527475E-3</v>
      </c>
      <c r="E40" s="169">
        <f t="shared" si="23"/>
        <v>26</v>
      </c>
      <c r="F40" s="165">
        <f t="shared" si="24"/>
        <v>3230.6683941692345</v>
      </c>
      <c r="G40" s="170">
        <f t="shared" si="40"/>
        <v>1062.2737573553466</v>
      </c>
      <c r="H40" s="164" t="str">
        <f t="shared" si="43"/>
        <v>🐢</v>
      </c>
      <c r="I40" s="171" t="str">
        <f t="shared" si="2"/>
        <v>🥾</v>
      </c>
      <c r="J40" s="172">
        <f t="shared" si="3"/>
        <v>404.93875630385821</v>
      </c>
      <c r="K40" s="173">
        <f t="shared" si="4"/>
        <v>9.2179396481085737E-2</v>
      </c>
      <c r="L40" s="174">
        <f t="shared" si="5"/>
        <v>4392.9421515245813</v>
      </c>
      <c r="M40" s="175">
        <f t="shared" si="25"/>
        <v>386262.70892104227</v>
      </c>
      <c r="N40" s="20"/>
      <c r="O40" s="37" t="str">
        <f t="shared" si="6"/>
        <v/>
      </c>
      <c r="P40" s="62" t="str">
        <f t="shared" si="26"/>
        <v/>
      </c>
      <c r="Q40" s="16" t="str">
        <f t="shared" si="7"/>
        <v/>
      </c>
      <c r="R40" s="60">
        <f t="shared" si="27"/>
        <v>364</v>
      </c>
      <c r="S40" s="98">
        <f t="shared" si="28"/>
        <v>657.33500105148835</v>
      </c>
      <c r="T40" s="21">
        <f t="shared" si="29"/>
        <v>1.6999999999999999E-3</v>
      </c>
      <c r="AA40" s="14">
        <f t="shared" si="8"/>
        <v>-4392.9421515245813</v>
      </c>
      <c r="AD40" s="7" t="s">
        <v>22</v>
      </c>
      <c r="AH40" s="6">
        <f t="shared" si="9"/>
        <v>1</v>
      </c>
      <c r="AI40" s="6">
        <f t="shared" si="10"/>
        <v>1</v>
      </c>
      <c r="AJ40" s="12">
        <f t="shared" si="11"/>
        <v>3</v>
      </c>
      <c r="AK40" s="72">
        <f t="shared" si="0"/>
        <v>31</v>
      </c>
      <c r="AQ40" s="8"/>
      <c r="AR40">
        <f t="shared" si="30"/>
        <v>25</v>
      </c>
      <c r="AS40">
        <f t="shared" si="31"/>
        <v>75</v>
      </c>
      <c r="AT40" s="183">
        <f t="shared" si="32"/>
        <v>46813</v>
      </c>
      <c r="AU40" s="2">
        <f t="shared" si="33"/>
        <v>2.7472527472527475E-3</v>
      </c>
      <c r="AV40" s="169">
        <f t="shared" si="34"/>
        <v>26</v>
      </c>
      <c r="AW40" s="165">
        <f t="shared" si="35"/>
        <v>3230.6683941692345</v>
      </c>
      <c r="AX40" s="170">
        <f t="shared" si="41"/>
        <v>1062.2737573553466</v>
      </c>
      <c r="AY40" s="164" t="str">
        <f t="shared" si="44"/>
        <v>🐢</v>
      </c>
      <c r="AZ40" s="171" t="str">
        <f t="shared" si="13"/>
        <v>🥾</v>
      </c>
      <c r="BA40" s="172">
        <f t="shared" si="14"/>
        <v>404.93875630385821</v>
      </c>
      <c r="BB40" s="173">
        <f t="shared" si="15"/>
        <v>9.2179396481085737E-2</v>
      </c>
      <c r="BC40" s="174">
        <f t="shared" si="16"/>
        <v>4392.9421515245813</v>
      </c>
      <c r="BD40" s="175">
        <f t="shared" si="36"/>
        <v>386262.70892104227</v>
      </c>
      <c r="BE40" s="176"/>
      <c r="BF40" s="177" t="str">
        <f t="shared" si="17"/>
        <v/>
      </c>
      <c r="BG40" s="178" t="str">
        <f t="shared" si="37"/>
        <v/>
      </c>
      <c r="BH40" s="179" t="str">
        <f t="shared" si="18"/>
        <v/>
      </c>
      <c r="BI40" s="180">
        <f t="shared" si="38"/>
        <v>364</v>
      </c>
      <c r="BJ40" s="181">
        <f t="shared" si="42"/>
        <v>657.33500105148835</v>
      </c>
      <c r="BK40" s="182">
        <f t="shared" si="39"/>
        <v>1.6999999999999999E-3</v>
      </c>
    </row>
    <row r="41" spans="1:63" x14ac:dyDescent="0.25">
      <c r="A41" s="7">
        <f t="shared" si="19"/>
        <v>25</v>
      </c>
      <c r="B41" s="7">
        <f t="shared" si="20"/>
        <v>75</v>
      </c>
      <c r="C41" s="115">
        <f t="shared" si="21"/>
        <v>46844</v>
      </c>
      <c r="D41" s="2">
        <f t="shared" si="22"/>
        <v>2.7548209366391181E-3</v>
      </c>
      <c r="E41" s="169">
        <f t="shared" si="23"/>
        <v>27</v>
      </c>
      <c r="F41" s="165">
        <f t="shared" si="24"/>
        <v>3227.285067817978</v>
      </c>
      <c r="G41" s="170">
        <f t="shared" si="40"/>
        <v>1064.0845975786287</v>
      </c>
      <c r="H41" s="164" t="str">
        <f t="shared" si="43"/>
        <v>🐢</v>
      </c>
      <c r="I41" s="171" t="str">
        <f t="shared" si="2"/>
        <v>🥾</v>
      </c>
      <c r="J41" s="172">
        <f t="shared" si="3"/>
        <v>407.43799241285694</v>
      </c>
      <c r="K41" s="173">
        <f t="shared" si="4"/>
        <v>9.278152910318907E-2</v>
      </c>
      <c r="L41" s="174">
        <f t="shared" si="5"/>
        <v>4391.3696653966072</v>
      </c>
      <c r="M41" s="175">
        <f t="shared" si="25"/>
        <v>385855.27092862944</v>
      </c>
      <c r="N41" s="20"/>
      <c r="O41" s="37" t="str">
        <f t="shared" si="6"/>
        <v/>
      </c>
      <c r="P41" s="62" t="str">
        <f t="shared" si="26"/>
        <v/>
      </c>
      <c r="Q41" s="16" t="str">
        <f t="shared" si="7"/>
        <v/>
      </c>
      <c r="R41" s="60">
        <f t="shared" si="27"/>
        <v>363</v>
      </c>
      <c r="S41" s="98">
        <f t="shared" si="28"/>
        <v>656.6466051657718</v>
      </c>
      <c r="T41" s="21">
        <f t="shared" si="29"/>
        <v>1.6999999999999999E-3</v>
      </c>
      <c r="AA41" s="14">
        <f t="shared" si="8"/>
        <v>-4391.3696653966072</v>
      </c>
      <c r="AD41" s="7" t="s">
        <v>23</v>
      </c>
      <c r="AH41" s="6">
        <f t="shared" si="9"/>
        <v>1</v>
      </c>
      <c r="AI41" s="6">
        <f t="shared" si="10"/>
        <v>1</v>
      </c>
      <c r="AJ41" s="12">
        <f t="shared" si="11"/>
        <v>3</v>
      </c>
      <c r="AK41" s="72">
        <f t="shared" si="0"/>
        <v>30</v>
      </c>
      <c r="AQ41" s="8"/>
      <c r="AR41">
        <f t="shared" si="30"/>
        <v>25</v>
      </c>
      <c r="AS41">
        <f t="shared" si="31"/>
        <v>75</v>
      </c>
      <c r="AT41" s="183">
        <f t="shared" si="32"/>
        <v>46844</v>
      </c>
      <c r="AU41" s="2">
        <f t="shared" si="33"/>
        <v>2.7548209366391181E-3</v>
      </c>
      <c r="AV41" s="169">
        <f t="shared" si="34"/>
        <v>27</v>
      </c>
      <c r="AW41" s="165">
        <f t="shared" si="35"/>
        <v>3227.285067817978</v>
      </c>
      <c r="AX41" s="170">
        <f t="shared" si="41"/>
        <v>1064.0845975786287</v>
      </c>
      <c r="AY41" s="164" t="str">
        <f t="shared" si="44"/>
        <v>🐢</v>
      </c>
      <c r="AZ41" s="171" t="str">
        <f t="shared" si="13"/>
        <v>🥾</v>
      </c>
      <c r="BA41" s="172">
        <f t="shared" si="14"/>
        <v>407.43799241285694</v>
      </c>
      <c r="BB41" s="173">
        <f t="shared" si="15"/>
        <v>9.278152910318907E-2</v>
      </c>
      <c r="BC41" s="174">
        <f t="shared" si="16"/>
        <v>4391.3696653966072</v>
      </c>
      <c r="BD41" s="175">
        <f t="shared" si="36"/>
        <v>385855.27092862944</v>
      </c>
      <c r="BE41" s="176"/>
      <c r="BF41" s="177" t="str">
        <f t="shared" si="17"/>
        <v/>
      </c>
      <c r="BG41" s="178" t="str">
        <f t="shared" si="37"/>
        <v/>
      </c>
      <c r="BH41" s="179" t="str">
        <f t="shared" si="18"/>
        <v/>
      </c>
      <c r="BI41" s="180">
        <f t="shared" si="38"/>
        <v>363</v>
      </c>
      <c r="BJ41" s="181">
        <f t="shared" si="42"/>
        <v>656.6466051657718</v>
      </c>
      <c r="BK41" s="182">
        <f t="shared" si="39"/>
        <v>1.6999999999999999E-3</v>
      </c>
    </row>
    <row r="42" spans="1:63" x14ac:dyDescent="0.25">
      <c r="A42" s="7">
        <f t="shared" si="19"/>
        <v>25</v>
      </c>
      <c r="B42" s="7">
        <f t="shared" si="20"/>
        <v>75</v>
      </c>
      <c r="C42" s="115">
        <f t="shared" si="21"/>
        <v>46874</v>
      </c>
      <c r="D42" s="2">
        <f t="shared" si="22"/>
        <v>2.7624309392265192E-3</v>
      </c>
      <c r="E42" s="169">
        <f t="shared" si="23"/>
        <v>28</v>
      </c>
      <c r="F42" s="165">
        <f t="shared" si="24"/>
        <v>3223.8808599599411</v>
      </c>
      <c r="G42" s="170">
        <f t="shared" si="40"/>
        <v>1065.8985384768769</v>
      </c>
      <c r="H42" s="164" t="str">
        <f t="shared" si="43"/>
        <v>🐢</v>
      </c>
      <c r="I42" s="171" t="str">
        <f t="shared" si="2"/>
        <v>🥾</v>
      </c>
      <c r="J42" s="172">
        <f t="shared" si="3"/>
        <v>409.94457789820683</v>
      </c>
      <c r="K42" s="173">
        <f t="shared" si="4"/>
        <v>9.3386145564441428E-2</v>
      </c>
      <c r="L42" s="174">
        <f t="shared" si="5"/>
        <v>4389.7793984368182</v>
      </c>
      <c r="M42" s="175">
        <f t="shared" si="25"/>
        <v>385445.32635073119</v>
      </c>
      <c r="N42" s="20"/>
      <c r="O42" s="37" t="str">
        <f t="shared" si="6"/>
        <v/>
      </c>
      <c r="P42" s="62" t="str">
        <f t="shared" si="26"/>
        <v/>
      </c>
      <c r="Q42" s="16" t="str">
        <f t="shared" si="7"/>
        <v/>
      </c>
      <c r="R42" s="60">
        <f t="shared" si="27"/>
        <v>362</v>
      </c>
      <c r="S42" s="98">
        <f t="shared" si="28"/>
        <v>655.95396057867003</v>
      </c>
      <c r="T42" s="21">
        <f t="shared" si="29"/>
        <v>1.6999999999999999E-3</v>
      </c>
      <c r="AA42" s="14">
        <f t="shared" si="8"/>
        <v>-4389.7793984368182</v>
      </c>
      <c r="AD42" s="7" t="s">
        <v>24</v>
      </c>
      <c r="AH42" s="6">
        <f t="shared" si="9"/>
        <v>1</v>
      </c>
      <c r="AI42" s="6">
        <f t="shared" si="10"/>
        <v>1</v>
      </c>
      <c r="AJ42" s="12">
        <f t="shared" si="11"/>
        <v>3</v>
      </c>
      <c r="AK42" s="72">
        <f t="shared" si="0"/>
        <v>31</v>
      </c>
      <c r="AQ42" s="8"/>
      <c r="AR42">
        <f t="shared" si="30"/>
        <v>25</v>
      </c>
      <c r="AS42">
        <f t="shared" si="31"/>
        <v>75</v>
      </c>
      <c r="AT42" s="183">
        <f t="shared" si="32"/>
        <v>46874</v>
      </c>
      <c r="AU42" s="2">
        <f t="shared" si="33"/>
        <v>2.7624309392265192E-3</v>
      </c>
      <c r="AV42" s="169">
        <f t="shared" si="34"/>
        <v>28</v>
      </c>
      <c r="AW42" s="165">
        <f t="shared" si="35"/>
        <v>3223.8808599599411</v>
      </c>
      <c r="AX42" s="170">
        <f t="shared" si="41"/>
        <v>1065.8985384768769</v>
      </c>
      <c r="AY42" s="164" t="str">
        <f t="shared" si="44"/>
        <v>🐢</v>
      </c>
      <c r="AZ42" s="171" t="str">
        <f t="shared" si="13"/>
        <v>🥾</v>
      </c>
      <c r="BA42" s="172">
        <f t="shared" si="14"/>
        <v>409.94457789820683</v>
      </c>
      <c r="BB42" s="173">
        <f t="shared" si="15"/>
        <v>9.3386145564441428E-2</v>
      </c>
      <c r="BC42" s="174">
        <f t="shared" si="16"/>
        <v>4389.7793984368182</v>
      </c>
      <c r="BD42" s="175">
        <f t="shared" si="36"/>
        <v>385445.32635073119</v>
      </c>
      <c r="BE42" s="176"/>
      <c r="BF42" s="177" t="str">
        <f t="shared" si="17"/>
        <v/>
      </c>
      <c r="BG42" s="178" t="str">
        <f t="shared" si="37"/>
        <v/>
      </c>
      <c r="BH42" s="179" t="str">
        <f t="shared" si="18"/>
        <v/>
      </c>
      <c r="BI42" s="180">
        <f t="shared" si="38"/>
        <v>362</v>
      </c>
      <c r="BJ42" s="181">
        <f t="shared" si="42"/>
        <v>655.95396057867003</v>
      </c>
      <c r="BK42" s="182">
        <f t="shared" si="39"/>
        <v>1.6999999999999999E-3</v>
      </c>
    </row>
    <row r="43" spans="1:63" x14ac:dyDescent="0.25">
      <c r="A43" s="7">
        <f t="shared" si="19"/>
        <v>25</v>
      </c>
      <c r="B43" s="7">
        <f t="shared" si="20"/>
        <v>75</v>
      </c>
      <c r="C43" s="115">
        <f t="shared" si="21"/>
        <v>46905</v>
      </c>
      <c r="D43" s="2">
        <f t="shared" si="22"/>
        <v>2.7700831024930748E-3</v>
      </c>
      <c r="E43" s="169">
        <f t="shared" si="23"/>
        <v>29</v>
      </c>
      <c r="F43" s="165">
        <f t="shared" si="24"/>
        <v>3220.4557091899392</v>
      </c>
      <c r="G43" s="170">
        <f t="shared" si="40"/>
        <v>1067.7155854590892</v>
      </c>
      <c r="H43" s="164" t="str">
        <f t="shared" si="43"/>
        <v>🐢</v>
      </c>
      <c r="I43" s="171" t="str">
        <f t="shared" si="2"/>
        <v>🥾</v>
      </c>
      <c r="J43" s="172">
        <f t="shared" si="3"/>
        <v>412.45853066284621</v>
      </c>
      <c r="K43" s="173">
        <f t="shared" si="4"/>
        <v>9.3993261194202135E-2</v>
      </c>
      <c r="L43" s="174">
        <f t="shared" si="5"/>
        <v>4388.1712946490279</v>
      </c>
      <c r="M43" s="175">
        <f t="shared" si="25"/>
        <v>385032.86782006838</v>
      </c>
      <c r="N43" s="20"/>
      <c r="O43" s="37" t="str">
        <f t="shared" si="6"/>
        <v/>
      </c>
      <c r="P43" s="62" t="str">
        <f t="shared" si="26"/>
        <v/>
      </c>
      <c r="Q43" s="16" t="str">
        <f t="shared" si="7"/>
        <v/>
      </c>
      <c r="R43" s="60">
        <f t="shared" si="27"/>
        <v>361</v>
      </c>
      <c r="S43" s="98">
        <f t="shared" si="28"/>
        <v>655.25705479624298</v>
      </c>
      <c r="T43" s="21">
        <f t="shared" si="29"/>
        <v>1.6999999999999999E-3</v>
      </c>
      <c r="AA43" s="14">
        <f t="shared" si="8"/>
        <v>-4388.1712946490279</v>
      </c>
      <c r="AH43" s="6">
        <f t="shared" si="9"/>
        <v>1</v>
      </c>
      <c r="AI43" s="6">
        <f t="shared" si="10"/>
        <v>1</v>
      </c>
      <c r="AJ43" s="12">
        <f t="shared" si="11"/>
        <v>3</v>
      </c>
      <c r="AK43" s="72">
        <f t="shared" si="0"/>
        <v>30</v>
      </c>
      <c r="AQ43" s="8"/>
      <c r="AR43">
        <f t="shared" si="30"/>
        <v>25</v>
      </c>
      <c r="AS43">
        <f t="shared" si="31"/>
        <v>75</v>
      </c>
      <c r="AT43" s="183">
        <f t="shared" si="32"/>
        <v>46905</v>
      </c>
      <c r="AU43" s="2">
        <f t="shared" si="33"/>
        <v>2.7700831024930748E-3</v>
      </c>
      <c r="AV43" s="169">
        <f t="shared" si="34"/>
        <v>29</v>
      </c>
      <c r="AW43" s="165">
        <f t="shared" si="35"/>
        <v>3220.4557091899392</v>
      </c>
      <c r="AX43" s="170">
        <f t="shared" si="41"/>
        <v>1067.7155854590892</v>
      </c>
      <c r="AY43" s="164" t="str">
        <f t="shared" si="44"/>
        <v>🐢</v>
      </c>
      <c r="AZ43" s="171" t="str">
        <f t="shared" si="13"/>
        <v>🥾</v>
      </c>
      <c r="BA43" s="172">
        <f t="shared" si="14"/>
        <v>412.45853066284621</v>
      </c>
      <c r="BB43" s="173">
        <f t="shared" si="15"/>
        <v>9.3993261194202135E-2</v>
      </c>
      <c r="BC43" s="174">
        <f t="shared" si="16"/>
        <v>4388.1712946490279</v>
      </c>
      <c r="BD43" s="175">
        <f t="shared" si="36"/>
        <v>385032.86782006838</v>
      </c>
      <c r="BE43" s="176"/>
      <c r="BF43" s="177" t="str">
        <f t="shared" si="17"/>
        <v/>
      </c>
      <c r="BG43" s="178" t="str">
        <f t="shared" si="37"/>
        <v/>
      </c>
      <c r="BH43" s="179" t="str">
        <f t="shared" si="18"/>
        <v/>
      </c>
      <c r="BI43" s="180">
        <f t="shared" si="38"/>
        <v>361</v>
      </c>
      <c r="BJ43" s="181">
        <f t="shared" si="42"/>
        <v>655.25705479624298</v>
      </c>
      <c r="BK43" s="182">
        <f t="shared" si="39"/>
        <v>1.6999999999999999E-3</v>
      </c>
    </row>
    <row r="44" spans="1:63" x14ac:dyDescent="0.25">
      <c r="A44" s="7">
        <f t="shared" si="19"/>
        <v>25</v>
      </c>
      <c r="B44" s="7">
        <f t="shared" si="20"/>
        <v>75</v>
      </c>
      <c r="C44" s="115">
        <f t="shared" si="21"/>
        <v>46935</v>
      </c>
      <c r="D44" s="2">
        <f t="shared" si="22"/>
        <v>2.7777777777777775E-3</v>
      </c>
      <c r="E44" s="169">
        <f t="shared" si="23"/>
        <v>30</v>
      </c>
      <c r="F44" s="165">
        <f t="shared" si="24"/>
        <v>3217.0095539532076</v>
      </c>
      <c r="G44" s="170">
        <f t="shared" si="40"/>
        <v>1069.5357439446343</v>
      </c>
      <c r="H44" s="164" t="str">
        <f t="shared" si="43"/>
        <v>🐢</v>
      </c>
      <c r="I44" s="171" t="str">
        <f t="shared" si="2"/>
        <v>🥾</v>
      </c>
      <c r="J44" s="172">
        <f t="shared" si="3"/>
        <v>414.97986865051814</v>
      </c>
      <c r="K44" s="173">
        <f t="shared" si="4"/>
        <v>9.4602891448399812E-2</v>
      </c>
      <c r="L44" s="174">
        <f t="shared" si="5"/>
        <v>4386.5452978978419</v>
      </c>
      <c r="M44" s="175">
        <f t="shared" si="25"/>
        <v>384617.88795141788</v>
      </c>
      <c r="N44" s="20"/>
      <c r="O44" s="37" t="str">
        <f t="shared" si="6"/>
        <v/>
      </c>
      <c r="P44" s="62" t="str">
        <f t="shared" si="26"/>
        <v/>
      </c>
      <c r="Q44" s="16" t="str">
        <f t="shared" si="7"/>
        <v/>
      </c>
      <c r="R44" s="60">
        <f t="shared" si="27"/>
        <v>360</v>
      </c>
      <c r="S44" s="98">
        <f t="shared" si="28"/>
        <v>654.55587529411616</v>
      </c>
      <c r="T44" s="21">
        <f t="shared" si="29"/>
        <v>1.6999999999999999E-3</v>
      </c>
      <c r="AA44" s="14">
        <f t="shared" si="8"/>
        <v>-4386.5452978978419</v>
      </c>
      <c r="AH44" s="6">
        <f t="shared" si="9"/>
        <v>1</v>
      </c>
      <c r="AI44" s="6">
        <f t="shared" si="10"/>
        <v>1</v>
      </c>
      <c r="AJ44" s="12">
        <f t="shared" si="11"/>
        <v>3</v>
      </c>
      <c r="AK44" s="72">
        <f t="shared" si="0"/>
        <v>31</v>
      </c>
      <c r="AQ44" s="8"/>
      <c r="AR44">
        <f t="shared" si="30"/>
        <v>25</v>
      </c>
      <c r="AS44">
        <f t="shared" si="31"/>
        <v>75</v>
      </c>
      <c r="AT44" s="183">
        <f t="shared" si="32"/>
        <v>46935</v>
      </c>
      <c r="AU44" s="2">
        <f t="shared" si="33"/>
        <v>2.7777777777777775E-3</v>
      </c>
      <c r="AV44" s="169">
        <f t="shared" si="34"/>
        <v>30</v>
      </c>
      <c r="AW44" s="165">
        <f t="shared" si="35"/>
        <v>3217.0095539532076</v>
      </c>
      <c r="AX44" s="170">
        <f t="shared" si="41"/>
        <v>1069.5357439446343</v>
      </c>
      <c r="AY44" s="164" t="str">
        <f t="shared" si="44"/>
        <v>🐢</v>
      </c>
      <c r="AZ44" s="171" t="str">
        <f t="shared" si="13"/>
        <v>🥾</v>
      </c>
      <c r="BA44" s="172">
        <f t="shared" si="14"/>
        <v>414.97986865051814</v>
      </c>
      <c r="BB44" s="173">
        <f t="shared" si="15"/>
        <v>9.4602891448399812E-2</v>
      </c>
      <c r="BC44" s="174">
        <f t="shared" si="16"/>
        <v>4386.5452978978419</v>
      </c>
      <c r="BD44" s="175">
        <f t="shared" si="36"/>
        <v>384617.88795141788</v>
      </c>
      <c r="BE44" s="176"/>
      <c r="BF44" s="177" t="str">
        <f t="shared" si="17"/>
        <v/>
      </c>
      <c r="BG44" s="178" t="str">
        <f t="shared" si="37"/>
        <v/>
      </c>
      <c r="BH44" s="179" t="str">
        <f t="shared" si="18"/>
        <v/>
      </c>
      <c r="BI44" s="180">
        <f t="shared" si="38"/>
        <v>360</v>
      </c>
      <c r="BJ44" s="181">
        <f t="shared" si="42"/>
        <v>654.55587529411616</v>
      </c>
      <c r="BK44" s="182">
        <f t="shared" si="39"/>
        <v>1.6999999999999999E-3</v>
      </c>
    </row>
    <row r="45" spans="1:63" x14ac:dyDescent="0.25">
      <c r="A45" s="7">
        <f t="shared" si="19"/>
        <v>25</v>
      </c>
      <c r="B45" s="7">
        <f t="shared" si="20"/>
        <v>75</v>
      </c>
      <c r="C45" s="115">
        <f t="shared" si="21"/>
        <v>46966</v>
      </c>
      <c r="D45" s="2">
        <f t="shared" si="22"/>
        <v>2.7855153203342618E-3</v>
      </c>
      <c r="E45" s="169">
        <f t="shared" si="23"/>
        <v>31</v>
      </c>
      <c r="F45" s="165">
        <f t="shared" si="24"/>
        <v>3213.5423325450583</v>
      </c>
      <c r="G45" s="170">
        <f t="shared" si="40"/>
        <v>1071.359019363281</v>
      </c>
      <c r="H45" s="164" t="str">
        <f t="shared" si="43"/>
        <v>🐢</v>
      </c>
      <c r="I45" s="171" t="str">
        <f t="shared" si="2"/>
        <v>🥾</v>
      </c>
      <c r="J45" s="172">
        <f t="shared" si="3"/>
        <v>417.50860984587064</v>
      </c>
      <c r="K45" s="173">
        <f t="shared" si="4"/>
        <v>9.5215051910841286E-2</v>
      </c>
      <c r="L45" s="174">
        <f t="shared" si="5"/>
        <v>4384.9013519083392</v>
      </c>
      <c r="M45" s="175">
        <f t="shared" si="25"/>
        <v>384200.379341572</v>
      </c>
      <c r="N45" s="20"/>
      <c r="O45" s="37" t="str">
        <f t="shared" si="6"/>
        <v/>
      </c>
      <c r="P45" s="62" t="str">
        <f t="shared" si="26"/>
        <v/>
      </c>
      <c r="Q45" s="16" t="str">
        <f t="shared" si="7"/>
        <v/>
      </c>
      <c r="R45" s="60">
        <f t="shared" si="27"/>
        <v>359</v>
      </c>
      <c r="S45" s="98">
        <f t="shared" si="28"/>
        <v>653.85040951741041</v>
      </c>
      <c r="T45" s="21">
        <f t="shared" si="29"/>
        <v>1.6999999999999999E-3</v>
      </c>
      <c r="AA45" s="14">
        <f t="shared" si="8"/>
        <v>-4384.9013519083392</v>
      </c>
      <c r="AH45" s="6">
        <f t="shared" si="9"/>
        <v>1</v>
      </c>
      <c r="AI45" s="6">
        <f t="shared" si="10"/>
        <v>1</v>
      </c>
      <c r="AJ45" s="12">
        <f t="shared" si="11"/>
        <v>3</v>
      </c>
      <c r="AK45" s="72">
        <f t="shared" si="0"/>
        <v>31</v>
      </c>
      <c r="AQ45" s="8"/>
      <c r="AR45">
        <f t="shared" si="30"/>
        <v>25</v>
      </c>
      <c r="AS45">
        <f t="shared" si="31"/>
        <v>75</v>
      </c>
      <c r="AT45" s="183">
        <f t="shared" si="32"/>
        <v>46966</v>
      </c>
      <c r="AU45" s="2">
        <f t="shared" si="33"/>
        <v>2.7855153203342618E-3</v>
      </c>
      <c r="AV45" s="169">
        <f t="shared" si="34"/>
        <v>31</v>
      </c>
      <c r="AW45" s="165">
        <f t="shared" si="35"/>
        <v>3213.5423325450583</v>
      </c>
      <c r="AX45" s="170">
        <f t="shared" si="41"/>
        <v>1071.359019363281</v>
      </c>
      <c r="AY45" s="164" t="str">
        <f t="shared" si="44"/>
        <v>🐢</v>
      </c>
      <c r="AZ45" s="171" t="str">
        <f t="shared" si="13"/>
        <v>🥾</v>
      </c>
      <c r="BA45" s="172">
        <f t="shared" si="14"/>
        <v>417.50860984587064</v>
      </c>
      <c r="BB45" s="173">
        <f t="shared" si="15"/>
        <v>9.5215051910841286E-2</v>
      </c>
      <c r="BC45" s="174">
        <f t="shared" si="16"/>
        <v>4384.9013519083392</v>
      </c>
      <c r="BD45" s="175">
        <f t="shared" si="36"/>
        <v>384200.379341572</v>
      </c>
      <c r="BE45" s="176"/>
      <c r="BF45" s="177" t="str">
        <f t="shared" si="17"/>
        <v/>
      </c>
      <c r="BG45" s="178" t="str">
        <f t="shared" si="37"/>
        <v/>
      </c>
      <c r="BH45" s="179" t="str">
        <f t="shared" si="18"/>
        <v/>
      </c>
      <c r="BI45" s="180">
        <f t="shared" si="38"/>
        <v>359</v>
      </c>
      <c r="BJ45" s="181">
        <f t="shared" si="42"/>
        <v>653.85040951741041</v>
      </c>
      <c r="BK45" s="182">
        <f t="shared" si="39"/>
        <v>1.6999999999999999E-3</v>
      </c>
    </row>
    <row r="46" spans="1:63" x14ac:dyDescent="0.25">
      <c r="A46" s="7">
        <f t="shared" si="19"/>
        <v>25</v>
      </c>
      <c r="B46" s="7">
        <f t="shared" si="20"/>
        <v>75</v>
      </c>
      <c r="C46" s="115">
        <f t="shared" si="21"/>
        <v>46997</v>
      </c>
      <c r="D46" s="2">
        <f t="shared" si="22"/>
        <v>2.7932960893854749E-3</v>
      </c>
      <c r="E46" s="169">
        <f t="shared" si="23"/>
        <v>32</v>
      </c>
      <c r="F46" s="165">
        <f t="shared" si="24"/>
        <v>3210.053983110538</v>
      </c>
      <c r="G46" s="170">
        <f t="shared" si="40"/>
        <v>1073.1854171552291</v>
      </c>
      <c r="H46" s="164" t="str">
        <f t="shared" si="43"/>
        <v>🐢</v>
      </c>
      <c r="I46" s="171" t="str">
        <f t="shared" si="2"/>
        <v>🥾</v>
      </c>
      <c r="J46" s="172">
        <f t="shared" si="3"/>
        <v>420.04477227455675</v>
      </c>
      <c r="K46" s="173">
        <f t="shared" si="4"/>
        <v>9.5829758294536299E-2</v>
      </c>
      <c r="L46" s="174">
        <f t="shared" si="5"/>
        <v>4383.2394002657675</v>
      </c>
      <c r="M46" s="175">
        <f t="shared" si="25"/>
        <v>383780.33456929744</v>
      </c>
      <c r="N46" s="20"/>
      <c r="O46" s="37" t="str">
        <f t="shared" si="6"/>
        <v/>
      </c>
      <c r="P46" s="62" t="str">
        <f t="shared" si="26"/>
        <v/>
      </c>
      <c r="Q46" s="16" t="str">
        <f t="shared" si="7"/>
        <v/>
      </c>
      <c r="R46" s="60">
        <f t="shared" si="27"/>
        <v>358</v>
      </c>
      <c r="S46" s="98">
        <f t="shared" si="28"/>
        <v>653.14064488067231</v>
      </c>
      <c r="T46" s="21">
        <f t="shared" si="29"/>
        <v>1.6999999999999999E-3</v>
      </c>
      <c r="AA46" s="14">
        <f t="shared" si="8"/>
        <v>-4383.2394002657675</v>
      </c>
      <c r="AH46" s="6">
        <f t="shared" si="9"/>
        <v>1</v>
      </c>
      <c r="AI46" s="6">
        <f t="shared" si="10"/>
        <v>1</v>
      </c>
      <c r="AJ46" s="12">
        <f t="shared" si="11"/>
        <v>3</v>
      </c>
      <c r="AK46" s="72">
        <f t="shared" si="0"/>
        <v>30</v>
      </c>
      <c r="AQ46" s="8"/>
      <c r="AR46">
        <f t="shared" si="30"/>
        <v>25</v>
      </c>
      <c r="AS46">
        <f t="shared" si="31"/>
        <v>75</v>
      </c>
      <c r="AT46" s="183">
        <f t="shared" si="32"/>
        <v>46997</v>
      </c>
      <c r="AU46" s="2">
        <f t="shared" si="33"/>
        <v>2.7932960893854749E-3</v>
      </c>
      <c r="AV46" s="169">
        <f t="shared" si="34"/>
        <v>32</v>
      </c>
      <c r="AW46" s="165">
        <f t="shared" si="35"/>
        <v>3210.053983110538</v>
      </c>
      <c r="AX46" s="170">
        <f t="shared" si="41"/>
        <v>1073.1854171552291</v>
      </c>
      <c r="AY46" s="164" t="str">
        <f t="shared" si="44"/>
        <v>🐢</v>
      </c>
      <c r="AZ46" s="171" t="str">
        <f t="shared" si="13"/>
        <v>🥾</v>
      </c>
      <c r="BA46" s="172">
        <f t="shared" si="14"/>
        <v>420.04477227455675</v>
      </c>
      <c r="BB46" s="173">
        <f t="shared" si="15"/>
        <v>9.5829758294536299E-2</v>
      </c>
      <c r="BC46" s="174">
        <f t="shared" si="16"/>
        <v>4383.2394002657675</v>
      </c>
      <c r="BD46" s="175">
        <f t="shared" si="36"/>
        <v>383780.33456929744</v>
      </c>
      <c r="BE46" s="176"/>
      <c r="BF46" s="177" t="str">
        <f t="shared" si="17"/>
        <v/>
      </c>
      <c r="BG46" s="178" t="str">
        <f t="shared" si="37"/>
        <v/>
      </c>
      <c r="BH46" s="179" t="str">
        <f t="shared" si="18"/>
        <v/>
      </c>
      <c r="BI46" s="180">
        <f t="shared" si="38"/>
        <v>358</v>
      </c>
      <c r="BJ46" s="181">
        <f t="shared" si="42"/>
        <v>653.14064488067231</v>
      </c>
      <c r="BK46" s="182">
        <f t="shared" si="39"/>
        <v>1.6999999999999999E-3</v>
      </c>
    </row>
    <row r="47" spans="1:63" x14ac:dyDescent="0.25">
      <c r="A47" s="7">
        <f t="shared" si="19"/>
        <v>25</v>
      </c>
      <c r="B47" s="7">
        <f t="shared" si="20"/>
        <v>75</v>
      </c>
      <c r="C47" s="115">
        <f t="shared" si="21"/>
        <v>47027</v>
      </c>
      <c r="D47" s="2">
        <f t="shared" si="22"/>
        <v>2.8011204481792717E-3</v>
      </c>
      <c r="E47" s="169">
        <f t="shared" si="23"/>
        <v>33</v>
      </c>
      <c r="F47" s="165">
        <f t="shared" si="24"/>
        <v>3206.5444436440866</v>
      </c>
      <c r="G47" s="170">
        <f t="shared" si="40"/>
        <v>1075.0149427711412</v>
      </c>
      <c r="H47" s="164" t="str">
        <f t="shared" si="43"/>
        <v>🐢</v>
      </c>
      <c r="I47" s="171" t="str">
        <f t="shared" si="2"/>
        <v>🥾</v>
      </c>
      <c r="J47" s="172">
        <f t="shared" si="3"/>
        <v>422.58837400333562</v>
      </c>
      <c r="K47" s="173">
        <f t="shared" si="4"/>
        <v>9.6447026443039097E-2</v>
      </c>
      <c r="L47" s="174">
        <f t="shared" si="5"/>
        <v>4381.5593864152279</v>
      </c>
      <c r="M47" s="175">
        <f t="shared" si="25"/>
        <v>383357.74619529414</v>
      </c>
      <c r="N47" s="20"/>
      <c r="O47" s="37" t="str">
        <f t="shared" si="6"/>
        <v/>
      </c>
      <c r="P47" s="62" t="str">
        <f t="shared" si="26"/>
        <v/>
      </c>
      <c r="Q47" s="16" t="str">
        <f t="shared" si="7"/>
        <v/>
      </c>
      <c r="R47" s="60">
        <f t="shared" si="27"/>
        <v>357</v>
      </c>
      <c r="S47" s="98">
        <f t="shared" si="28"/>
        <v>652.42656876780563</v>
      </c>
      <c r="T47" s="21">
        <f t="shared" si="29"/>
        <v>1.6999999999999999E-3</v>
      </c>
      <c r="AA47" s="14">
        <f t="shared" si="8"/>
        <v>-4381.5593864152279</v>
      </c>
      <c r="AH47" s="6">
        <f t="shared" si="9"/>
        <v>1</v>
      </c>
      <c r="AI47" s="6">
        <f t="shared" si="10"/>
        <v>1</v>
      </c>
      <c r="AJ47" s="12">
        <f t="shared" si="11"/>
        <v>3</v>
      </c>
      <c r="AK47" s="72">
        <f t="shared" si="0"/>
        <v>31</v>
      </c>
      <c r="AQ47" s="8"/>
      <c r="AR47">
        <f t="shared" si="30"/>
        <v>25</v>
      </c>
      <c r="AS47">
        <f t="shared" si="31"/>
        <v>75</v>
      </c>
      <c r="AT47" s="183">
        <f t="shared" si="32"/>
        <v>47027</v>
      </c>
      <c r="AU47" s="2">
        <f t="shared" si="33"/>
        <v>2.8011204481792717E-3</v>
      </c>
      <c r="AV47" s="169">
        <f t="shared" si="34"/>
        <v>33</v>
      </c>
      <c r="AW47" s="165">
        <f t="shared" si="35"/>
        <v>3206.5444436440866</v>
      </c>
      <c r="AX47" s="170">
        <f t="shared" si="41"/>
        <v>1075.0149427711412</v>
      </c>
      <c r="AY47" s="164" t="str">
        <f t="shared" si="44"/>
        <v>🐢</v>
      </c>
      <c r="AZ47" s="171" t="str">
        <f t="shared" si="13"/>
        <v>🥾</v>
      </c>
      <c r="BA47" s="172">
        <f t="shared" si="14"/>
        <v>422.58837400333562</v>
      </c>
      <c r="BB47" s="173">
        <f t="shared" si="15"/>
        <v>9.6447026443039097E-2</v>
      </c>
      <c r="BC47" s="174">
        <f t="shared" si="16"/>
        <v>4381.5593864152279</v>
      </c>
      <c r="BD47" s="175">
        <f t="shared" si="36"/>
        <v>383357.74619529414</v>
      </c>
      <c r="BE47" s="176"/>
      <c r="BF47" s="177" t="str">
        <f t="shared" si="17"/>
        <v/>
      </c>
      <c r="BG47" s="178" t="str">
        <f t="shared" si="37"/>
        <v/>
      </c>
      <c r="BH47" s="179" t="str">
        <f t="shared" si="18"/>
        <v/>
      </c>
      <c r="BI47" s="180">
        <f t="shared" si="38"/>
        <v>357</v>
      </c>
      <c r="BJ47" s="181">
        <f t="shared" si="42"/>
        <v>652.42656876780563</v>
      </c>
      <c r="BK47" s="182">
        <f t="shared" si="39"/>
        <v>1.6999999999999999E-3</v>
      </c>
    </row>
    <row r="48" spans="1:63" x14ac:dyDescent="0.25">
      <c r="A48" s="7">
        <f t="shared" si="19"/>
        <v>25</v>
      </c>
      <c r="B48" s="7">
        <f t="shared" si="20"/>
        <v>75</v>
      </c>
      <c r="C48" s="115">
        <f t="shared" si="21"/>
        <v>47058</v>
      </c>
      <c r="D48" s="2">
        <f t="shared" si="22"/>
        <v>2.8089887640449437E-3</v>
      </c>
      <c r="E48" s="169">
        <f t="shared" si="23"/>
        <v>34</v>
      </c>
      <c r="F48" s="165">
        <f t="shared" si="24"/>
        <v>3203.0136519891948</v>
      </c>
      <c r="G48" s="170">
        <f t="shared" si="40"/>
        <v>1076.8476016721745</v>
      </c>
      <c r="H48" s="164" t="str">
        <f t="shared" si="43"/>
        <v>🐢</v>
      </c>
      <c r="I48" s="171" t="str">
        <f t="shared" si="2"/>
        <v>🥾</v>
      </c>
      <c r="J48" s="172">
        <f t="shared" si="3"/>
        <v>425.13943314017456</v>
      </c>
      <c r="K48" s="173">
        <f t="shared" si="4"/>
        <v>9.7066872331806608E-2</v>
      </c>
      <c r="L48" s="174">
        <f t="shared" si="5"/>
        <v>4379.8612536613691</v>
      </c>
      <c r="M48" s="175">
        <f t="shared" si="25"/>
        <v>382932.60676215397</v>
      </c>
      <c r="N48" s="20"/>
      <c r="O48" s="37" t="str">
        <f t="shared" si="6"/>
        <v/>
      </c>
      <c r="P48" s="62" t="str">
        <f t="shared" si="26"/>
        <v/>
      </c>
      <c r="Q48" s="16" t="str">
        <f t="shared" si="7"/>
        <v/>
      </c>
      <c r="R48" s="60">
        <f t="shared" si="27"/>
        <v>356</v>
      </c>
      <c r="S48" s="98">
        <f t="shared" si="28"/>
        <v>651.70816853199995</v>
      </c>
      <c r="T48" s="21">
        <f t="shared" si="29"/>
        <v>1.6999999999999999E-3</v>
      </c>
      <c r="AA48" s="14">
        <f t="shared" si="8"/>
        <v>-4379.8612536613691</v>
      </c>
      <c r="AH48" s="6">
        <f t="shared" si="9"/>
        <v>1</v>
      </c>
      <c r="AI48" s="6">
        <f t="shared" si="10"/>
        <v>1</v>
      </c>
      <c r="AJ48" s="12">
        <f t="shared" si="11"/>
        <v>3</v>
      </c>
      <c r="AK48" s="72">
        <f t="shared" si="0"/>
        <v>30</v>
      </c>
      <c r="AQ48" s="8"/>
      <c r="AR48">
        <f t="shared" si="30"/>
        <v>25</v>
      </c>
      <c r="AS48">
        <f t="shared" si="31"/>
        <v>75</v>
      </c>
      <c r="AT48" s="183">
        <f t="shared" si="32"/>
        <v>47058</v>
      </c>
      <c r="AU48" s="2">
        <f t="shared" si="33"/>
        <v>2.8089887640449437E-3</v>
      </c>
      <c r="AV48" s="169">
        <f t="shared" si="34"/>
        <v>34</v>
      </c>
      <c r="AW48" s="165">
        <f t="shared" si="35"/>
        <v>3203.0136519891948</v>
      </c>
      <c r="AX48" s="170">
        <f t="shared" si="41"/>
        <v>1076.8476016721745</v>
      </c>
      <c r="AY48" s="164" t="str">
        <f t="shared" si="44"/>
        <v>🐢</v>
      </c>
      <c r="AZ48" s="171" t="str">
        <f t="shared" si="13"/>
        <v>🥾</v>
      </c>
      <c r="BA48" s="172">
        <f t="shared" si="14"/>
        <v>425.13943314017456</v>
      </c>
      <c r="BB48" s="173">
        <f t="shared" si="15"/>
        <v>9.7066872331806608E-2</v>
      </c>
      <c r="BC48" s="174">
        <f t="shared" si="16"/>
        <v>4379.8612536613691</v>
      </c>
      <c r="BD48" s="175">
        <f t="shared" si="36"/>
        <v>382932.60676215397</v>
      </c>
      <c r="BE48" s="176"/>
      <c r="BF48" s="177" t="str">
        <f t="shared" si="17"/>
        <v/>
      </c>
      <c r="BG48" s="178" t="str">
        <f t="shared" si="37"/>
        <v/>
      </c>
      <c r="BH48" s="179" t="str">
        <f t="shared" si="18"/>
        <v/>
      </c>
      <c r="BI48" s="180">
        <f t="shared" si="38"/>
        <v>356</v>
      </c>
      <c r="BJ48" s="181">
        <f t="shared" si="42"/>
        <v>651.70816853199995</v>
      </c>
      <c r="BK48" s="182">
        <f t="shared" si="39"/>
        <v>1.6999999999999999E-3</v>
      </c>
    </row>
    <row r="49" spans="1:63" x14ac:dyDescent="0.25">
      <c r="A49" s="7">
        <f t="shared" si="19"/>
        <v>25</v>
      </c>
      <c r="B49" s="7">
        <f t="shared" si="20"/>
        <v>75</v>
      </c>
      <c r="C49" s="115">
        <f t="shared" si="21"/>
        <v>47088</v>
      </c>
      <c r="D49" s="2">
        <f t="shared" si="22"/>
        <v>2.8169014084507039E-3</v>
      </c>
      <c r="E49" s="169">
        <f t="shared" si="23"/>
        <v>35</v>
      </c>
      <c r="F49" s="165">
        <f t="shared" si="24"/>
        <v>3199.4615458380563</v>
      </c>
      <c r="G49" s="170">
        <f t="shared" si="40"/>
        <v>1078.6833993300111</v>
      </c>
      <c r="H49" s="164" t="str">
        <f t="shared" si="43"/>
        <v>🐢</v>
      </c>
      <c r="I49" s="171" t="str">
        <f t="shared" si="2"/>
        <v>🥾</v>
      </c>
      <c r="J49" s="172">
        <f t="shared" si="3"/>
        <v>427.69796783434936</v>
      </c>
      <c r="K49" s="173">
        <f t="shared" si="4"/>
        <v>9.7689312069573556E-2</v>
      </c>
      <c r="L49" s="174">
        <f t="shared" si="5"/>
        <v>4378.1449451680674</v>
      </c>
      <c r="M49" s="175">
        <f t="shared" si="25"/>
        <v>382504.90879431961</v>
      </c>
      <c r="N49" s="198"/>
      <c r="O49" s="37" t="str">
        <f t="shared" si="6"/>
        <v/>
      </c>
      <c r="P49" s="62" t="str">
        <f t="shared" si="26"/>
        <v/>
      </c>
      <c r="Q49" s="16" t="str">
        <f t="shared" si="7"/>
        <v/>
      </c>
      <c r="R49" s="60">
        <f t="shared" si="27"/>
        <v>355</v>
      </c>
      <c r="S49" s="98">
        <f t="shared" si="28"/>
        <v>650.98543149566171</v>
      </c>
      <c r="T49" s="21">
        <f t="shared" si="29"/>
        <v>1.6999999999999999E-3</v>
      </c>
      <c r="AA49" s="14">
        <f t="shared" si="8"/>
        <v>-4378.1449451680674</v>
      </c>
      <c r="AH49" s="6">
        <f t="shared" si="9"/>
        <v>1</v>
      </c>
      <c r="AI49" s="6">
        <f t="shared" si="10"/>
        <v>1</v>
      </c>
      <c r="AJ49" s="12">
        <f t="shared" si="11"/>
        <v>3</v>
      </c>
      <c r="AK49" s="72">
        <f t="shared" si="0"/>
        <v>31</v>
      </c>
      <c r="AQ49" s="8"/>
      <c r="AR49">
        <f t="shared" si="30"/>
        <v>25</v>
      </c>
      <c r="AS49">
        <f t="shared" si="31"/>
        <v>75</v>
      </c>
      <c r="AT49" s="183">
        <f t="shared" si="32"/>
        <v>47088</v>
      </c>
      <c r="AU49" s="2">
        <f t="shared" si="33"/>
        <v>2.8169014084507039E-3</v>
      </c>
      <c r="AV49" s="169">
        <f t="shared" si="34"/>
        <v>35</v>
      </c>
      <c r="AW49" s="165">
        <f t="shared" si="35"/>
        <v>3199.4615458380563</v>
      </c>
      <c r="AX49" s="170">
        <f t="shared" si="41"/>
        <v>1078.6833993300111</v>
      </c>
      <c r="AY49" s="164" t="str">
        <f t="shared" si="44"/>
        <v>🐢</v>
      </c>
      <c r="AZ49" s="171" t="str">
        <f t="shared" si="13"/>
        <v>🥾</v>
      </c>
      <c r="BA49" s="172">
        <f t="shared" si="14"/>
        <v>427.69796783434936</v>
      </c>
      <c r="BB49" s="173">
        <f t="shared" si="15"/>
        <v>9.7689312069573556E-2</v>
      </c>
      <c r="BC49" s="174">
        <f t="shared" si="16"/>
        <v>4378.1449451680674</v>
      </c>
      <c r="BD49" s="175">
        <f t="shared" si="36"/>
        <v>382504.90879431961</v>
      </c>
      <c r="BE49" s="176"/>
      <c r="BF49" s="177" t="str">
        <f t="shared" si="17"/>
        <v/>
      </c>
      <c r="BG49" s="178" t="str">
        <f t="shared" si="37"/>
        <v/>
      </c>
      <c r="BH49" s="179" t="str">
        <f t="shared" si="18"/>
        <v/>
      </c>
      <c r="BI49" s="180">
        <f t="shared" si="38"/>
        <v>355</v>
      </c>
      <c r="BJ49" s="181">
        <f t="shared" si="42"/>
        <v>650.98543149566171</v>
      </c>
      <c r="BK49" s="182">
        <f t="shared" si="39"/>
        <v>1.6999999999999999E-3</v>
      </c>
    </row>
    <row r="50" spans="1:63" x14ac:dyDescent="0.25">
      <c r="A50" s="7">
        <f t="shared" si="19"/>
        <v>25</v>
      </c>
      <c r="B50" s="7">
        <f t="shared" si="20"/>
        <v>75</v>
      </c>
      <c r="C50" s="115">
        <f t="shared" si="21"/>
        <v>47119</v>
      </c>
      <c r="D50" s="2">
        <f t="shared" si="22"/>
        <v>2.8248587570621469E-3</v>
      </c>
      <c r="E50" s="169">
        <f t="shared" si="23"/>
        <v>36</v>
      </c>
      <c r="F50" s="165">
        <f t="shared" si="24"/>
        <v>3195.888062731226</v>
      </c>
      <c r="G50" s="170">
        <f t="shared" si="40"/>
        <v>1080.5223412268915</v>
      </c>
      <c r="H50" s="164" t="str">
        <f t="shared" si="43"/>
        <v>🐢</v>
      </c>
      <c r="I50" s="171" t="str">
        <f t="shared" si="2"/>
        <v>🥾</v>
      </c>
      <c r="J50" s="172">
        <f t="shared" si="3"/>
        <v>430.26399627654826</v>
      </c>
      <c r="K50" s="173">
        <f t="shared" si="4"/>
        <v>9.8314361899745142E-2</v>
      </c>
      <c r="L50" s="174">
        <f t="shared" si="5"/>
        <v>4376.410403958118</v>
      </c>
      <c r="M50" s="175">
        <f t="shared" si="25"/>
        <v>382074.64479804307</v>
      </c>
      <c r="N50" s="20"/>
      <c r="O50" s="37" t="str">
        <f t="shared" si="6"/>
        <v/>
      </c>
      <c r="P50" s="62" t="str">
        <f t="shared" si="26"/>
        <v/>
      </c>
      <c r="Q50" s="16" t="str">
        <f t="shared" si="7"/>
        <v/>
      </c>
      <c r="R50" s="60">
        <f t="shared" si="27"/>
        <v>354</v>
      </c>
      <c r="S50" s="98">
        <f t="shared" si="28"/>
        <v>650.25834495034326</v>
      </c>
      <c r="T50" s="21">
        <f t="shared" si="29"/>
        <v>1.6999999999999999E-3</v>
      </c>
      <c r="AA50" s="14">
        <f t="shared" si="8"/>
        <v>-4376.410403958118</v>
      </c>
      <c r="AH50" s="6">
        <f t="shared" si="9"/>
        <v>1</v>
      </c>
      <c r="AI50" s="6">
        <f t="shared" si="10"/>
        <v>1</v>
      </c>
      <c r="AJ50" s="12">
        <f t="shared" si="11"/>
        <v>3</v>
      </c>
      <c r="AK50" s="72">
        <f t="shared" si="0"/>
        <v>31</v>
      </c>
      <c r="AQ50" s="8"/>
      <c r="AR50">
        <f t="shared" si="30"/>
        <v>25</v>
      </c>
      <c r="AS50">
        <f t="shared" si="31"/>
        <v>75</v>
      </c>
      <c r="AT50" s="183">
        <f t="shared" si="32"/>
        <v>47119</v>
      </c>
      <c r="AU50" s="2">
        <f t="shared" si="33"/>
        <v>2.8248587570621469E-3</v>
      </c>
      <c r="AV50" s="169">
        <f t="shared" si="34"/>
        <v>36</v>
      </c>
      <c r="AW50" s="165">
        <f t="shared" si="35"/>
        <v>3195.888062731226</v>
      </c>
      <c r="AX50" s="170">
        <f t="shared" si="41"/>
        <v>1080.5223412268915</v>
      </c>
      <c r="AY50" s="164" t="str">
        <f t="shared" si="44"/>
        <v>🐢</v>
      </c>
      <c r="AZ50" s="171" t="str">
        <f t="shared" si="13"/>
        <v>🥾</v>
      </c>
      <c r="BA50" s="172">
        <f t="shared" si="14"/>
        <v>430.26399627654826</v>
      </c>
      <c r="BB50" s="173">
        <f t="shared" si="15"/>
        <v>9.8314361899745142E-2</v>
      </c>
      <c r="BC50" s="174">
        <f t="shared" si="16"/>
        <v>4376.410403958118</v>
      </c>
      <c r="BD50" s="175">
        <f t="shared" si="36"/>
        <v>382074.64479804307</v>
      </c>
      <c r="BE50" s="176"/>
      <c r="BF50" s="177" t="str">
        <f t="shared" si="17"/>
        <v/>
      </c>
      <c r="BG50" s="178" t="str">
        <f t="shared" si="37"/>
        <v/>
      </c>
      <c r="BH50" s="179" t="str">
        <f t="shared" si="18"/>
        <v/>
      </c>
      <c r="BI50" s="180">
        <f t="shared" si="38"/>
        <v>354</v>
      </c>
      <c r="BJ50" s="181">
        <f t="shared" si="42"/>
        <v>650.25834495034326</v>
      </c>
      <c r="BK50" s="182">
        <f t="shared" si="39"/>
        <v>1.6999999999999999E-3</v>
      </c>
    </row>
    <row r="51" spans="1:63" x14ac:dyDescent="0.25">
      <c r="A51" s="7">
        <f t="shared" si="19"/>
        <v>25</v>
      </c>
      <c r="B51" s="7">
        <f t="shared" si="20"/>
        <v>75</v>
      </c>
      <c r="C51" s="115">
        <f t="shared" si="21"/>
        <v>47150</v>
      </c>
      <c r="D51" s="2">
        <f t="shared" si="22"/>
        <v>2.8328611898016999E-3</v>
      </c>
      <c r="E51" s="169">
        <f t="shared" si="23"/>
        <v>37</v>
      </c>
      <c r="F51" s="165">
        <f t="shared" si="24"/>
        <v>3192.2931400572725</v>
      </c>
      <c r="G51" s="170">
        <f t="shared" si="40"/>
        <v>1082.3644328556461</v>
      </c>
      <c r="H51" s="164" t="str">
        <f t="shared" si="43"/>
        <v>🐢</v>
      </c>
      <c r="I51" s="171" t="str">
        <f t="shared" si="2"/>
        <v>🥾</v>
      </c>
      <c r="J51" s="172">
        <f t="shared" si="3"/>
        <v>432.83753669897294</v>
      </c>
      <c r="K51" s="173">
        <f t="shared" si="4"/>
        <v>9.8942038201806706E-2</v>
      </c>
      <c r="L51" s="174">
        <f t="shared" si="5"/>
        <v>4374.6575729129181</v>
      </c>
      <c r="M51" s="175">
        <f t="shared" si="25"/>
        <v>381641.8072613441</v>
      </c>
      <c r="N51" s="20"/>
      <c r="O51" s="37"/>
      <c r="P51" s="62" t="str">
        <f t="shared" si="26"/>
        <v/>
      </c>
      <c r="Q51" s="16" t="str">
        <f t="shared" si="7"/>
        <v/>
      </c>
      <c r="R51" s="60">
        <f t="shared" si="27"/>
        <v>353</v>
      </c>
      <c r="S51" s="98">
        <f t="shared" si="28"/>
        <v>649.52689615667316</v>
      </c>
      <c r="T51" s="21">
        <f t="shared" si="29"/>
        <v>1.6999999999999999E-3</v>
      </c>
      <c r="AA51" s="14">
        <f t="shared" si="8"/>
        <v>-4374.6575729129181</v>
      </c>
      <c r="AH51" s="6">
        <f t="shared" si="9"/>
        <v>1</v>
      </c>
      <c r="AI51" s="6">
        <f t="shared" si="10"/>
        <v>2</v>
      </c>
      <c r="AJ51" s="12">
        <f t="shared" si="11"/>
        <v>4</v>
      </c>
      <c r="AK51" s="72">
        <f t="shared" si="0"/>
        <v>28</v>
      </c>
      <c r="AQ51" s="8"/>
      <c r="AR51">
        <f t="shared" si="30"/>
        <v>25</v>
      </c>
      <c r="AS51">
        <f t="shared" si="31"/>
        <v>75</v>
      </c>
      <c r="AT51" s="183">
        <f t="shared" si="32"/>
        <v>47150</v>
      </c>
      <c r="AU51" s="2">
        <f t="shared" si="33"/>
        <v>2.8328611898016999E-3</v>
      </c>
      <c r="AV51" s="169">
        <f t="shared" si="34"/>
        <v>37</v>
      </c>
      <c r="AW51" s="165">
        <f t="shared" si="35"/>
        <v>3192.2931400572725</v>
      </c>
      <c r="AX51" s="170">
        <f t="shared" si="41"/>
        <v>1082.3644328556461</v>
      </c>
      <c r="AY51" s="164" t="str">
        <f t="shared" si="44"/>
        <v>🐢</v>
      </c>
      <c r="AZ51" s="171" t="str">
        <f t="shared" si="13"/>
        <v>🥾</v>
      </c>
      <c r="BA51" s="172">
        <f t="shared" si="14"/>
        <v>432.83753669897294</v>
      </c>
      <c r="BB51" s="173">
        <f t="shared" si="15"/>
        <v>9.8942038201806706E-2</v>
      </c>
      <c r="BC51" s="174">
        <f t="shared" si="16"/>
        <v>4374.6575729129181</v>
      </c>
      <c r="BD51" s="175">
        <f t="shared" si="36"/>
        <v>381641.8072613441</v>
      </c>
      <c r="BE51" s="184"/>
      <c r="BF51" s="177"/>
      <c r="BG51" s="178" t="str">
        <f t="shared" si="37"/>
        <v/>
      </c>
      <c r="BH51" s="179" t="str">
        <f t="shared" si="18"/>
        <v/>
      </c>
      <c r="BI51" s="180">
        <f t="shared" si="38"/>
        <v>353</v>
      </c>
      <c r="BJ51" s="181">
        <f t="shared" si="42"/>
        <v>649.52689615667316</v>
      </c>
      <c r="BK51" s="182">
        <f t="shared" si="39"/>
        <v>1.6999999999999999E-3</v>
      </c>
    </row>
    <row r="52" spans="1:63" x14ac:dyDescent="0.25">
      <c r="A52" s="7">
        <f t="shared" si="19"/>
        <v>25</v>
      </c>
      <c r="B52" s="7">
        <f t="shared" si="20"/>
        <v>75</v>
      </c>
      <c r="C52" s="115">
        <f t="shared" si="21"/>
        <v>47178</v>
      </c>
      <c r="D52" s="2">
        <f t="shared" si="22"/>
        <v>2.840909090909091E-3</v>
      </c>
      <c r="E52" s="169">
        <f t="shared" si="23"/>
        <v>38</v>
      </c>
      <c r="F52" s="165">
        <f t="shared" si="24"/>
        <v>3188.6767150524315</v>
      </c>
      <c r="G52" s="170">
        <f t="shared" si="40"/>
        <v>1084.2096797197275</v>
      </c>
      <c r="H52" s="164" t="str">
        <f t="shared" si="43"/>
        <v>🐢</v>
      </c>
      <c r="I52" s="171" t="str">
        <f t="shared" si="2"/>
        <v>🥾</v>
      </c>
      <c r="J52" s="172">
        <f t="shared" si="3"/>
        <v>435.41860737544266</v>
      </c>
      <c r="K52" s="173">
        <f t="shared" si="4"/>
        <v>9.9572357492751493E-2</v>
      </c>
      <c r="L52" s="174">
        <f t="shared" si="5"/>
        <v>4372.8863947721593</v>
      </c>
      <c r="M52" s="175">
        <f t="shared" si="25"/>
        <v>381206.38865396869</v>
      </c>
      <c r="N52" s="20"/>
      <c r="O52" s="37" t="str">
        <f t="shared" ref="O52:O74" si="45">IF(AND(N52&lt;&gt;"",N52&lt;R52),"V","")</f>
        <v/>
      </c>
      <c r="P52" s="62" t="str">
        <f t="shared" si="26"/>
        <v/>
      </c>
      <c r="Q52" s="16" t="str">
        <f t="shared" si="7"/>
        <v/>
      </c>
      <c r="R52" s="60">
        <f t="shared" si="27"/>
        <v>352</v>
      </c>
      <c r="S52" s="98">
        <f t="shared" si="28"/>
        <v>648.79107234428488</v>
      </c>
      <c r="T52" s="21">
        <f t="shared" si="29"/>
        <v>1.6999999999999999E-3</v>
      </c>
      <c r="AA52" s="14">
        <f t="shared" si="8"/>
        <v>-4372.8863947721593</v>
      </c>
      <c r="AG52" s="8"/>
      <c r="AH52" s="6">
        <f t="shared" si="9"/>
        <v>1</v>
      </c>
      <c r="AI52" s="6">
        <f t="shared" si="10"/>
        <v>2</v>
      </c>
      <c r="AJ52" s="12">
        <f t="shared" si="11"/>
        <v>4</v>
      </c>
      <c r="AK52" s="72">
        <f t="shared" si="0"/>
        <v>31</v>
      </c>
      <c r="AQ52" s="8"/>
      <c r="AR52">
        <f t="shared" si="30"/>
        <v>25</v>
      </c>
      <c r="AS52">
        <f t="shared" si="31"/>
        <v>75</v>
      </c>
      <c r="AT52" s="183">
        <f t="shared" si="32"/>
        <v>47178</v>
      </c>
      <c r="AU52" s="2">
        <f t="shared" si="33"/>
        <v>2.840909090909091E-3</v>
      </c>
      <c r="AV52" s="169">
        <f t="shared" si="34"/>
        <v>38</v>
      </c>
      <c r="AW52" s="165">
        <f t="shared" si="35"/>
        <v>3188.6767150524315</v>
      </c>
      <c r="AX52" s="170">
        <f t="shared" si="41"/>
        <v>1084.2096797197275</v>
      </c>
      <c r="AY52" s="164" t="str">
        <f t="shared" si="44"/>
        <v>🐢</v>
      </c>
      <c r="AZ52" s="171" t="str">
        <f t="shared" si="13"/>
        <v>🥾</v>
      </c>
      <c r="BA52" s="172">
        <f t="shared" si="14"/>
        <v>435.41860737544266</v>
      </c>
      <c r="BB52" s="173">
        <f t="shared" si="15"/>
        <v>9.9572357492751493E-2</v>
      </c>
      <c r="BC52" s="174">
        <f t="shared" si="16"/>
        <v>4372.8863947721593</v>
      </c>
      <c r="BD52" s="175">
        <f t="shared" si="36"/>
        <v>381206.38865396869</v>
      </c>
      <c r="BE52" s="176"/>
      <c r="BF52" s="177" t="str">
        <f t="shared" ref="BF52:BF74" si="46">IF(AND(BE52&lt;&gt;"",BE52&lt;BI52),"V","")</f>
        <v/>
      </c>
      <c r="BG52" s="178" t="str">
        <f t="shared" si="37"/>
        <v/>
      </c>
      <c r="BH52" s="179" t="str">
        <f t="shared" si="18"/>
        <v/>
      </c>
      <c r="BI52" s="180">
        <f t="shared" si="38"/>
        <v>352</v>
      </c>
      <c r="BJ52" s="181">
        <f t="shared" si="42"/>
        <v>648.79107234428488</v>
      </c>
      <c r="BK52" s="182">
        <f t="shared" si="39"/>
        <v>1.6999999999999999E-3</v>
      </c>
    </row>
    <row r="53" spans="1:63" x14ac:dyDescent="0.25">
      <c r="A53" s="7">
        <f t="shared" si="19"/>
        <v>25</v>
      </c>
      <c r="B53" s="7">
        <f t="shared" si="20"/>
        <v>75</v>
      </c>
      <c r="C53" s="115">
        <f t="shared" si="21"/>
        <v>47209</v>
      </c>
      <c r="D53" s="2">
        <f t="shared" si="22"/>
        <v>2.8490028490028491E-3</v>
      </c>
      <c r="E53" s="169">
        <f t="shared" si="23"/>
        <v>39</v>
      </c>
      <c r="F53" s="165">
        <f t="shared" si="24"/>
        <v>3185.038724800258</v>
      </c>
      <c r="G53" s="170">
        <f t="shared" si="40"/>
        <v>1086.0580873332442</v>
      </c>
      <c r="H53" s="164" t="str">
        <f t="shared" si="43"/>
        <v>🐢</v>
      </c>
      <c r="I53" s="171" t="str">
        <f t="shared" si="2"/>
        <v>🛴</v>
      </c>
      <c r="J53" s="172">
        <f t="shared" si="3"/>
        <v>438.00722662149747</v>
      </c>
      <c r="K53" s="173">
        <f t="shared" si="4"/>
        <v>0.10020533642852653</v>
      </c>
      <c r="L53" s="174">
        <f t="shared" si="5"/>
        <v>4371.0968121335027</v>
      </c>
      <c r="M53" s="175">
        <f t="shared" si="25"/>
        <v>380768.38142734719</v>
      </c>
      <c r="N53" s="20"/>
      <c r="O53" s="37" t="str">
        <f t="shared" si="45"/>
        <v/>
      </c>
      <c r="P53" s="62" t="str">
        <f t="shared" si="26"/>
        <v/>
      </c>
      <c r="Q53" s="16" t="str">
        <f t="shared" si="7"/>
        <v/>
      </c>
      <c r="R53" s="60">
        <f t="shared" si="27"/>
        <v>351</v>
      </c>
      <c r="S53" s="98">
        <f t="shared" si="28"/>
        <v>648.05086071174674</v>
      </c>
      <c r="T53" s="21">
        <f t="shared" si="29"/>
        <v>1.6999999999999999E-3</v>
      </c>
      <c r="AA53" s="14">
        <f t="shared" si="8"/>
        <v>-4371.0968121335027</v>
      </c>
      <c r="AH53" s="6">
        <f t="shared" si="9"/>
        <v>1</v>
      </c>
      <c r="AI53" s="6">
        <f t="shared" si="10"/>
        <v>2</v>
      </c>
      <c r="AJ53" s="12">
        <f t="shared" si="11"/>
        <v>4</v>
      </c>
      <c r="AK53" s="72">
        <f t="shared" si="0"/>
        <v>30</v>
      </c>
      <c r="AQ53" s="8"/>
      <c r="AR53">
        <f t="shared" si="30"/>
        <v>25</v>
      </c>
      <c r="AS53">
        <f t="shared" si="31"/>
        <v>75</v>
      </c>
      <c r="AT53" s="183">
        <f t="shared" si="32"/>
        <v>47209</v>
      </c>
      <c r="AU53" s="2">
        <f t="shared" si="33"/>
        <v>2.8490028490028491E-3</v>
      </c>
      <c r="AV53" s="169">
        <f t="shared" si="34"/>
        <v>39</v>
      </c>
      <c r="AW53" s="165">
        <f t="shared" si="35"/>
        <v>3185.038724800258</v>
      </c>
      <c r="AX53" s="170">
        <f t="shared" si="41"/>
        <v>1086.0580873332442</v>
      </c>
      <c r="AY53" s="164" t="str">
        <f t="shared" si="44"/>
        <v>🐢</v>
      </c>
      <c r="AZ53" s="171" t="str">
        <f t="shared" si="13"/>
        <v>🛴</v>
      </c>
      <c r="BA53" s="172">
        <f t="shared" si="14"/>
        <v>438.00722662149747</v>
      </c>
      <c r="BB53" s="173">
        <f t="shared" si="15"/>
        <v>0.10020533642852653</v>
      </c>
      <c r="BC53" s="174">
        <f t="shared" si="16"/>
        <v>4371.0968121335027</v>
      </c>
      <c r="BD53" s="175">
        <f t="shared" si="36"/>
        <v>380768.38142734719</v>
      </c>
      <c r="BE53" s="176"/>
      <c r="BF53" s="177" t="str">
        <f t="shared" si="46"/>
        <v/>
      </c>
      <c r="BG53" s="178" t="str">
        <f t="shared" si="37"/>
        <v/>
      </c>
      <c r="BH53" s="179" t="str">
        <f t="shared" si="18"/>
        <v/>
      </c>
      <c r="BI53" s="180">
        <f t="shared" si="38"/>
        <v>351</v>
      </c>
      <c r="BJ53" s="181">
        <f t="shared" si="42"/>
        <v>648.05086071174674</v>
      </c>
      <c r="BK53" s="182">
        <f t="shared" si="39"/>
        <v>1.6999999999999999E-3</v>
      </c>
    </row>
    <row r="54" spans="1:63" x14ac:dyDescent="0.25">
      <c r="A54" s="7">
        <f t="shared" si="19"/>
        <v>25</v>
      </c>
      <c r="B54" s="7">
        <f t="shared" si="20"/>
        <v>75</v>
      </c>
      <c r="C54" s="115">
        <f t="shared" si="21"/>
        <v>47239</v>
      </c>
      <c r="D54" s="2">
        <f t="shared" si="22"/>
        <v>2.8571428571428567E-3</v>
      </c>
      <c r="E54" s="169">
        <f t="shared" si="23"/>
        <v>40</v>
      </c>
      <c r="F54" s="165">
        <f t="shared" si="24"/>
        <v>3181.3791062312785</v>
      </c>
      <c r="G54" s="170">
        <f t="shared" si="40"/>
        <v>1087.9096612209919</v>
      </c>
      <c r="H54" s="164" t="str">
        <f t="shared" si="43"/>
        <v>🐢</v>
      </c>
      <c r="I54" s="171" t="str">
        <f t="shared" si="2"/>
        <v>🛴</v>
      </c>
      <c r="J54" s="172">
        <f t="shared" si="3"/>
        <v>440.60341279450165</v>
      </c>
      <c r="K54" s="173">
        <f t="shared" si="4"/>
        <v>0.10084099180549637</v>
      </c>
      <c r="L54" s="174">
        <f t="shared" si="5"/>
        <v>4369.2887674522699</v>
      </c>
      <c r="M54" s="175">
        <f t="shared" si="25"/>
        <v>380327.77801455272</v>
      </c>
      <c r="N54" s="20"/>
      <c r="O54" s="37" t="str">
        <f t="shared" si="45"/>
        <v/>
      </c>
      <c r="P54" s="62" t="str">
        <f t="shared" si="26"/>
        <v/>
      </c>
      <c r="Q54" s="16" t="str">
        <f t="shared" si="7"/>
        <v/>
      </c>
      <c r="R54" s="60">
        <f t="shared" si="27"/>
        <v>350</v>
      </c>
      <c r="S54" s="98">
        <f t="shared" si="28"/>
        <v>647.30624842649024</v>
      </c>
      <c r="T54" s="21">
        <f t="shared" si="29"/>
        <v>1.6999999999999999E-3</v>
      </c>
      <c r="AA54" s="14">
        <f t="shared" si="8"/>
        <v>-4369.2887674522699</v>
      </c>
      <c r="AH54" s="6">
        <f t="shared" si="9"/>
        <v>1</v>
      </c>
      <c r="AI54" s="6">
        <f t="shared" si="10"/>
        <v>2</v>
      </c>
      <c r="AJ54" s="12">
        <f t="shared" si="11"/>
        <v>4</v>
      </c>
      <c r="AK54" s="72">
        <f t="shared" si="0"/>
        <v>31</v>
      </c>
      <c r="AQ54" s="8"/>
      <c r="AR54">
        <f t="shared" si="30"/>
        <v>25</v>
      </c>
      <c r="AS54">
        <f t="shared" si="31"/>
        <v>75</v>
      </c>
      <c r="AT54" s="183">
        <f t="shared" si="32"/>
        <v>47239</v>
      </c>
      <c r="AU54" s="2">
        <f t="shared" si="33"/>
        <v>2.8571428571428567E-3</v>
      </c>
      <c r="AV54" s="169">
        <f t="shared" si="34"/>
        <v>40</v>
      </c>
      <c r="AW54" s="165">
        <f t="shared" si="35"/>
        <v>3181.3791062312785</v>
      </c>
      <c r="AX54" s="170">
        <f t="shared" si="41"/>
        <v>1087.9096612209919</v>
      </c>
      <c r="AY54" s="164" t="str">
        <f t="shared" si="44"/>
        <v>🐢</v>
      </c>
      <c r="AZ54" s="171" t="str">
        <f t="shared" si="13"/>
        <v>🛴</v>
      </c>
      <c r="BA54" s="172">
        <f t="shared" si="14"/>
        <v>440.60341279450165</v>
      </c>
      <c r="BB54" s="173">
        <f t="shared" si="15"/>
        <v>0.10084099180549637</v>
      </c>
      <c r="BC54" s="174">
        <f t="shared" si="16"/>
        <v>4369.2887674522699</v>
      </c>
      <c r="BD54" s="175">
        <f t="shared" si="36"/>
        <v>380327.77801455272</v>
      </c>
      <c r="BE54" s="176"/>
      <c r="BF54" s="177" t="str">
        <f t="shared" si="46"/>
        <v/>
      </c>
      <c r="BG54" s="178" t="str">
        <f t="shared" si="37"/>
        <v/>
      </c>
      <c r="BH54" s="179" t="str">
        <f t="shared" si="18"/>
        <v/>
      </c>
      <c r="BI54" s="180">
        <f t="shared" si="38"/>
        <v>350</v>
      </c>
      <c r="BJ54" s="181">
        <f t="shared" si="42"/>
        <v>647.30624842649024</v>
      </c>
      <c r="BK54" s="182">
        <f t="shared" si="39"/>
        <v>1.6999999999999999E-3</v>
      </c>
    </row>
    <row r="55" spans="1:63" x14ac:dyDescent="0.25">
      <c r="A55" s="7">
        <f t="shared" si="19"/>
        <v>25</v>
      </c>
      <c r="B55" s="7">
        <f t="shared" si="20"/>
        <v>75</v>
      </c>
      <c r="C55" s="115">
        <f t="shared" si="21"/>
        <v>47270</v>
      </c>
      <c r="D55" s="2">
        <f t="shared" si="22"/>
        <v>2.8653295128939827E-3</v>
      </c>
      <c r="E55" s="169">
        <f t="shared" si="23"/>
        <v>41</v>
      </c>
      <c r="F55" s="165">
        <f t="shared" si="24"/>
        <v>3177.6977961226394</v>
      </c>
      <c r="G55" s="170">
        <f t="shared" si="40"/>
        <v>1089.7644069184892</v>
      </c>
      <c r="H55" s="164" t="str">
        <f t="shared" si="43"/>
        <v>🐢</v>
      </c>
      <c r="I55" s="171" t="str">
        <f t="shared" si="2"/>
        <v>🛴</v>
      </c>
      <c r="J55" s="172">
        <f t="shared" si="3"/>
        <v>443.20718429374961</v>
      </c>
      <c r="K55" s="173">
        <f t="shared" si="4"/>
        <v>0.10147934056192585</v>
      </c>
      <c r="L55" s="174">
        <f t="shared" si="5"/>
        <v>4367.4622030411283</v>
      </c>
      <c r="M55" s="175">
        <f t="shared" si="25"/>
        <v>379884.57083025895</v>
      </c>
      <c r="N55" s="20"/>
      <c r="O55" s="37" t="str">
        <f t="shared" si="45"/>
        <v/>
      </c>
      <c r="P55" s="62" t="str">
        <f t="shared" si="26"/>
        <v/>
      </c>
      <c r="Q55" s="16" t="str">
        <f t="shared" si="7"/>
        <v/>
      </c>
      <c r="R55" s="60">
        <f t="shared" si="27"/>
        <v>349</v>
      </c>
      <c r="S55" s="98">
        <f t="shared" si="28"/>
        <v>646.55722262473955</v>
      </c>
      <c r="T55" s="21">
        <f t="shared" si="29"/>
        <v>1.6999999999999999E-3</v>
      </c>
      <c r="AA55" s="14">
        <f t="shared" si="8"/>
        <v>-4367.4622030411283</v>
      </c>
      <c r="AH55" s="6">
        <f t="shared" si="9"/>
        <v>1</v>
      </c>
      <c r="AI55" s="6">
        <f t="shared" si="10"/>
        <v>2</v>
      </c>
      <c r="AJ55" s="12">
        <f t="shared" si="11"/>
        <v>4</v>
      </c>
      <c r="AK55" s="72">
        <f t="shared" si="0"/>
        <v>30</v>
      </c>
      <c r="AQ55" s="8"/>
      <c r="AR55">
        <f t="shared" si="30"/>
        <v>25</v>
      </c>
      <c r="AS55">
        <f t="shared" si="31"/>
        <v>75</v>
      </c>
      <c r="AT55" s="183">
        <f t="shared" si="32"/>
        <v>47270</v>
      </c>
      <c r="AU55" s="2">
        <f t="shared" si="33"/>
        <v>2.8653295128939827E-3</v>
      </c>
      <c r="AV55" s="169">
        <f t="shared" si="34"/>
        <v>41</v>
      </c>
      <c r="AW55" s="165">
        <f t="shared" si="35"/>
        <v>3177.6977961226394</v>
      </c>
      <c r="AX55" s="170">
        <f t="shared" si="41"/>
        <v>1089.7644069184892</v>
      </c>
      <c r="AY55" s="164" t="str">
        <f t="shared" si="44"/>
        <v>🐢</v>
      </c>
      <c r="AZ55" s="171" t="str">
        <f t="shared" si="13"/>
        <v>🛴</v>
      </c>
      <c r="BA55" s="172">
        <f t="shared" si="14"/>
        <v>443.20718429374961</v>
      </c>
      <c r="BB55" s="173">
        <f t="shared" si="15"/>
        <v>0.10147934056192585</v>
      </c>
      <c r="BC55" s="174">
        <f t="shared" si="16"/>
        <v>4367.4622030411283</v>
      </c>
      <c r="BD55" s="175">
        <f t="shared" si="36"/>
        <v>379884.57083025895</v>
      </c>
      <c r="BE55" s="176"/>
      <c r="BF55" s="177" t="str">
        <f t="shared" si="46"/>
        <v/>
      </c>
      <c r="BG55" s="178" t="str">
        <f t="shared" si="37"/>
        <v/>
      </c>
      <c r="BH55" s="179" t="str">
        <f t="shared" si="18"/>
        <v/>
      </c>
      <c r="BI55" s="180">
        <f t="shared" si="38"/>
        <v>349</v>
      </c>
      <c r="BJ55" s="181">
        <f t="shared" si="42"/>
        <v>646.55722262473955</v>
      </c>
      <c r="BK55" s="182">
        <f t="shared" si="39"/>
        <v>1.6999999999999999E-3</v>
      </c>
    </row>
    <row r="56" spans="1:63" x14ac:dyDescent="0.25">
      <c r="A56" s="7">
        <f t="shared" si="19"/>
        <v>25</v>
      </c>
      <c r="B56" s="7">
        <f t="shared" si="20"/>
        <v>75</v>
      </c>
      <c r="C56" s="115">
        <f t="shared" si="21"/>
        <v>47300</v>
      </c>
      <c r="D56" s="2">
        <f t="shared" si="22"/>
        <v>2.8735632183908046E-3</v>
      </c>
      <c r="E56" s="169">
        <f t="shared" si="23"/>
        <v>42</v>
      </c>
      <c r="F56" s="165">
        <f t="shared" si="24"/>
        <v>3173.9947310977595</v>
      </c>
      <c r="G56" s="170">
        <f t="shared" si="40"/>
        <v>1091.6223299720084</v>
      </c>
      <c r="H56" s="164" t="str">
        <f t="shared" si="43"/>
        <v>🐢</v>
      </c>
      <c r="I56" s="171" t="str">
        <f t="shared" si="2"/>
        <v>🛴</v>
      </c>
      <c r="J56" s="172">
        <f t="shared" si="3"/>
        <v>445.81855956056825</v>
      </c>
      <c r="K56" s="173">
        <f t="shared" si="4"/>
        <v>0.10212039977948113</v>
      </c>
      <c r="L56" s="174">
        <f t="shared" si="5"/>
        <v>4365.6170610697682</v>
      </c>
      <c r="M56" s="175">
        <f t="shared" si="25"/>
        <v>379438.75227069843</v>
      </c>
      <c r="N56" s="20"/>
      <c r="O56" s="37" t="str">
        <f t="shared" si="45"/>
        <v/>
      </c>
      <c r="P56" s="62" t="str">
        <f t="shared" si="26"/>
        <v/>
      </c>
      <c r="Q56" s="16" t="str">
        <f t="shared" si="7"/>
        <v/>
      </c>
      <c r="R56" s="60">
        <f t="shared" si="27"/>
        <v>348</v>
      </c>
      <c r="S56" s="98">
        <f t="shared" si="28"/>
        <v>645.80377041144015</v>
      </c>
      <c r="T56" s="21">
        <f t="shared" si="29"/>
        <v>1.6999999999999999E-3</v>
      </c>
      <c r="AA56" s="14">
        <f t="shared" si="8"/>
        <v>-4365.6170610697682</v>
      </c>
      <c r="AH56" s="6">
        <f t="shared" si="9"/>
        <v>1</v>
      </c>
      <c r="AI56" s="6">
        <f t="shared" si="10"/>
        <v>2</v>
      </c>
      <c r="AJ56" s="12">
        <f t="shared" si="11"/>
        <v>4</v>
      </c>
      <c r="AK56" s="72">
        <f t="shared" si="0"/>
        <v>31</v>
      </c>
      <c r="AQ56" s="8"/>
      <c r="AR56">
        <f t="shared" si="30"/>
        <v>25</v>
      </c>
      <c r="AS56">
        <f t="shared" si="31"/>
        <v>75</v>
      </c>
      <c r="AT56" s="183">
        <f t="shared" si="32"/>
        <v>47300</v>
      </c>
      <c r="AU56" s="2">
        <f t="shared" si="33"/>
        <v>2.8735632183908046E-3</v>
      </c>
      <c r="AV56" s="169">
        <f t="shared" si="34"/>
        <v>42</v>
      </c>
      <c r="AW56" s="165">
        <f t="shared" si="35"/>
        <v>3173.9947310977595</v>
      </c>
      <c r="AX56" s="170">
        <f t="shared" si="41"/>
        <v>1091.6223299720084</v>
      </c>
      <c r="AY56" s="164" t="str">
        <f t="shared" si="44"/>
        <v>🐢</v>
      </c>
      <c r="AZ56" s="171" t="str">
        <f t="shared" si="13"/>
        <v>🛴</v>
      </c>
      <c r="BA56" s="172">
        <f t="shared" si="14"/>
        <v>445.81855956056825</v>
      </c>
      <c r="BB56" s="173">
        <f t="shared" si="15"/>
        <v>0.10212039977948113</v>
      </c>
      <c r="BC56" s="174">
        <f t="shared" si="16"/>
        <v>4365.6170610697682</v>
      </c>
      <c r="BD56" s="175">
        <f t="shared" si="36"/>
        <v>379438.75227069843</v>
      </c>
      <c r="BE56" s="176"/>
      <c r="BF56" s="177" t="str">
        <f t="shared" si="46"/>
        <v/>
      </c>
      <c r="BG56" s="178" t="str">
        <f t="shared" si="37"/>
        <v/>
      </c>
      <c r="BH56" s="179" t="str">
        <f t="shared" si="18"/>
        <v/>
      </c>
      <c r="BI56" s="180">
        <f t="shared" si="38"/>
        <v>348</v>
      </c>
      <c r="BJ56" s="181">
        <f t="shared" si="42"/>
        <v>645.80377041144015</v>
      </c>
      <c r="BK56" s="182">
        <f t="shared" si="39"/>
        <v>1.6999999999999999E-3</v>
      </c>
    </row>
    <row r="57" spans="1:63" x14ac:dyDescent="0.25">
      <c r="A57" s="7">
        <f t="shared" si="19"/>
        <v>25</v>
      </c>
      <c r="B57" s="7">
        <f t="shared" si="20"/>
        <v>75</v>
      </c>
      <c r="C57" s="115">
        <f t="shared" si="21"/>
        <v>47331</v>
      </c>
      <c r="D57" s="2">
        <f t="shared" si="22"/>
        <v>2.8818443804034585E-3</v>
      </c>
      <c r="E57" s="169">
        <f t="shared" si="23"/>
        <v>43</v>
      </c>
      <c r="F57" s="165">
        <f t="shared" si="24"/>
        <v>3170.2698476259775</v>
      </c>
      <c r="G57" s="170">
        <f t="shared" si="40"/>
        <v>1093.4834359386123</v>
      </c>
      <c r="H57" s="164" t="str">
        <f t="shared" si="43"/>
        <v>🐢</v>
      </c>
      <c r="I57" s="171" t="str">
        <f t="shared" si="2"/>
        <v>🛴</v>
      </c>
      <c r="J57" s="172">
        <f t="shared" si="3"/>
        <v>448.43755707842502</v>
      </c>
      <c r="K57" s="173">
        <f t="shared" si="4"/>
        <v>0.10276418668475062</v>
      </c>
      <c r="L57" s="174">
        <f t="shared" si="5"/>
        <v>4363.7532835645898</v>
      </c>
      <c r="M57" s="175">
        <f t="shared" si="25"/>
        <v>378990.31471362</v>
      </c>
      <c r="N57" s="20"/>
      <c r="O57" s="37" t="str">
        <f t="shared" si="45"/>
        <v/>
      </c>
      <c r="P57" s="62" t="str">
        <f t="shared" si="26"/>
        <v/>
      </c>
      <c r="Q57" s="16" t="str">
        <f t="shared" si="7"/>
        <v/>
      </c>
      <c r="R57" s="60">
        <f t="shared" si="27"/>
        <v>347</v>
      </c>
      <c r="S57" s="98">
        <f t="shared" si="28"/>
        <v>645.04587886018726</v>
      </c>
      <c r="T57" s="21">
        <f t="shared" si="29"/>
        <v>1.6999999999999999E-3</v>
      </c>
      <c r="AA57" s="14">
        <f t="shared" si="8"/>
        <v>-4363.7532835645898</v>
      </c>
      <c r="AH57" s="6">
        <f t="shared" si="9"/>
        <v>1</v>
      </c>
      <c r="AI57" s="6">
        <f t="shared" si="10"/>
        <v>2</v>
      </c>
      <c r="AJ57" s="12">
        <f t="shared" si="11"/>
        <v>4</v>
      </c>
      <c r="AK57" s="72">
        <f t="shared" si="0"/>
        <v>31</v>
      </c>
      <c r="AQ57" s="8"/>
      <c r="AR57">
        <f t="shared" si="30"/>
        <v>25</v>
      </c>
      <c r="AS57">
        <f t="shared" si="31"/>
        <v>75</v>
      </c>
      <c r="AT57" s="183">
        <f t="shared" si="32"/>
        <v>47331</v>
      </c>
      <c r="AU57" s="2">
        <f t="shared" si="33"/>
        <v>2.8818443804034585E-3</v>
      </c>
      <c r="AV57" s="169">
        <f t="shared" si="34"/>
        <v>43</v>
      </c>
      <c r="AW57" s="165">
        <f t="shared" si="35"/>
        <v>3170.2698476259775</v>
      </c>
      <c r="AX57" s="170">
        <f t="shared" si="41"/>
        <v>1093.4834359386123</v>
      </c>
      <c r="AY57" s="164" t="str">
        <f t="shared" si="44"/>
        <v>🐢</v>
      </c>
      <c r="AZ57" s="171" t="str">
        <f t="shared" si="13"/>
        <v>🛴</v>
      </c>
      <c r="BA57" s="172">
        <f t="shared" si="14"/>
        <v>448.43755707842502</v>
      </c>
      <c r="BB57" s="173">
        <f t="shared" si="15"/>
        <v>0.10276418668475062</v>
      </c>
      <c r="BC57" s="174">
        <f t="shared" si="16"/>
        <v>4363.7532835645898</v>
      </c>
      <c r="BD57" s="175">
        <f t="shared" si="36"/>
        <v>378990.31471362</v>
      </c>
      <c r="BE57" s="176"/>
      <c r="BF57" s="177" t="str">
        <f t="shared" si="46"/>
        <v/>
      </c>
      <c r="BG57" s="178" t="str">
        <f t="shared" si="37"/>
        <v/>
      </c>
      <c r="BH57" s="179" t="str">
        <f t="shared" si="18"/>
        <v/>
      </c>
      <c r="BI57" s="180">
        <f t="shared" si="38"/>
        <v>347</v>
      </c>
      <c r="BJ57" s="181">
        <f t="shared" si="42"/>
        <v>645.04587886018726</v>
      </c>
      <c r="BK57" s="182">
        <f t="shared" si="39"/>
        <v>1.6999999999999999E-3</v>
      </c>
    </row>
    <row r="58" spans="1:63" x14ac:dyDescent="0.25">
      <c r="A58" s="7">
        <f t="shared" si="19"/>
        <v>25</v>
      </c>
      <c r="B58" s="7">
        <f t="shared" si="20"/>
        <v>75</v>
      </c>
      <c r="C58" s="115">
        <f t="shared" si="21"/>
        <v>47362</v>
      </c>
      <c r="D58" s="2">
        <f t="shared" si="22"/>
        <v>2.8901734104046246E-3</v>
      </c>
      <c r="E58" s="169">
        <f t="shared" si="23"/>
        <v>44</v>
      </c>
      <c r="F58" s="165">
        <f t="shared" si="24"/>
        <v>3166.5230820221977</v>
      </c>
      <c r="G58" s="170">
        <f t="shared" si="40"/>
        <v>1095.347730386185</v>
      </c>
      <c r="H58" s="164" t="str">
        <f t="shared" si="43"/>
        <v>🐢</v>
      </c>
      <c r="I58" s="171" t="str">
        <f t="shared" si="2"/>
        <v>🛴</v>
      </c>
      <c r="J58" s="172">
        <f t="shared" si="3"/>
        <v>451.06419537303111</v>
      </c>
      <c r="K58" s="173">
        <f t="shared" si="4"/>
        <v>0.10341071865078429</v>
      </c>
      <c r="L58" s="174">
        <f t="shared" si="5"/>
        <v>4361.8708124083823</v>
      </c>
      <c r="M58" s="175">
        <f t="shared" si="25"/>
        <v>378539.25051824696</v>
      </c>
      <c r="N58" s="20"/>
      <c r="O58" s="37" t="str">
        <f t="shared" si="45"/>
        <v/>
      </c>
      <c r="P58" s="62" t="str">
        <f t="shared" si="26"/>
        <v/>
      </c>
      <c r="Q58" s="16" t="str">
        <f t="shared" si="7"/>
        <v/>
      </c>
      <c r="R58" s="60">
        <f t="shared" si="27"/>
        <v>346</v>
      </c>
      <c r="S58" s="98">
        <f t="shared" si="28"/>
        <v>644.28353501315394</v>
      </c>
      <c r="T58" s="21">
        <f t="shared" si="29"/>
        <v>1.6999999999999999E-3</v>
      </c>
      <c r="AA58" s="14">
        <f t="shared" si="8"/>
        <v>-4361.8708124083823</v>
      </c>
      <c r="AH58" s="6">
        <f t="shared" si="9"/>
        <v>1</v>
      </c>
      <c r="AI58" s="6">
        <f t="shared" si="10"/>
        <v>2</v>
      </c>
      <c r="AJ58" s="12">
        <f t="shared" si="11"/>
        <v>4</v>
      </c>
      <c r="AK58" s="72">
        <f t="shared" si="0"/>
        <v>30</v>
      </c>
      <c r="AQ58" s="8"/>
      <c r="AR58">
        <f t="shared" si="30"/>
        <v>25</v>
      </c>
      <c r="AS58">
        <f t="shared" si="31"/>
        <v>75</v>
      </c>
      <c r="AT58" s="183">
        <f t="shared" si="32"/>
        <v>47362</v>
      </c>
      <c r="AU58" s="2">
        <f t="shared" si="33"/>
        <v>2.8901734104046246E-3</v>
      </c>
      <c r="AV58" s="169">
        <f t="shared" si="34"/>
        <v>44</v>
      </c>
      <c r="AW58" s="165">
        <f t="shared" si="35"/>
        <v>3166.5230820221977</v>
      </c>
      <c r="AX58" s="170">
        <f t="shared" si="41"/>
        <v>1095.347730386185</v>
      </c>
      <c r="AY58" s="164" t="str">
        <f t="shared" si="44"/>
        <v>🐢</v>
      </c>
      <c r="AZ58" s="171" t="str">
        <f t="shared" si="13"/>
        <v>🛴</v>
      </c>
      <c r="BA58" s="172">
        <f t="shared" si="14"/>
        <v>451.06419537303111</v>
      </c>
      <c r="BB58" s="173">
        <f t="shared" si="15"/>
        <v>0.10341071865078429</v>
      </c>
      <c r="BC58" s="174">
        <f t="shared" si="16"/>
        <v>4361.8708124083823</v>
      </c>
      <c r="BD58" s="175">
        <f t="shared" si="36"/>
        <v>378539.25051824696</v>
      </c>
      <c r="BE58" s="176"/>
      <c r="BF58" s="177" t="str">
        <f t="shared" si="46"/>
        <v/>
      </c>
      <c r="BG58" s="178" t="str">
        <f t="shared" si="37"/>
        <v/>
      </c>
      <c r="BH58" s="179" t="str">
        <f t="shared" si="18"/>
        <v/>
      </c>
      <c r="BI58" s="180">
        <f t="shared" si="38"/>
        <v>346</v>
      </c>
      <c r="BJ58" s="181">
        <f t="shared" si="42"/>
        <v>644.28353501315394</v>
      </c>
      <c r="BK58" s="182">
        <f t="shared" si="39"/>
        <v>1.6999999999999999E-3</v>
      </c>
    </row>
    <row r="59" spans="1:63" x14ac:dyDescent="0.25">
      <c r="A59" s="7">
        <f t="shared" si="19"/>
        <v>25</v>
      </c>
      <c r="B59" s="7">
        <f t="shared" si="20"/>
        <v>75</v>
      </c>
      <c r="C59" s="115">
        <f t="shared" si="21"/>
        <v>47392</v>
      </c>
      <c r="D59" s="2">
        <f t="shared" si="22"/>
        <v>2.8985507246376812E-3</v>
      </c>
      <c r="E59" s="169">
        <f t="shared" si="23"/>
        <v>45</v>
      </c>
      <c r="F59" s="165">
        <f t="shared" si="24"/>
        <v>3162.7543704465425</v>
      </c>
      <c r="G59" s="170">
        <f t="shared" si="40"/>
        <v>1097.2152188934695</v>
      </c>
      <c r="H59" s="164" t="str">
        <f t="shared" si="43"/>
        <v>🐢</v>
      </c>
      <c r="I59" s="171" t="str">
        <f t="shared" si="2"/>
        <v>🛴</v>
      </c>
      <c r="J59" s="172">
        <f t="shared" si="3"/>
        <v>453.6984930124496</v>
      </c>
      <c r="K59" s="173">
        <f t="shared" si="4"/>
        <v>0.10406001319865352</v>
      </c>
      <c r="L59" s="174">
        <f t="shared" si="5"/>
        <v>4359.9695893400121</v>
      </c>
      <c r="M59" s="175">
        <f t="shared" si="25"/>
        <v>378085.5520252345</v>
      </c>
      <c r="N59" s="20"/>
      <c r="O59" s="37" t="str">
        <f t="shared" si="45"/>
        <v/>
      </c>
      <c r="P59" s="62" t="str">
        <f t="shared" si="26"/>
        <v/>
      </c>
      <c r="Q59" s="16" t="str">
        <f t="shared" si="7"/>
        <v/>
      </c>
      <c r="R59" s="60">
        <f t="shared" si="27"/>
        <v>345</v>
      </c>
      <c r="S59" s="98">
        <f t="shared" si="28"/>
        <v>643.51672588101985</v>
      </c>
      <c r="T59" s="21">
        <f t="shared" si="29"/>
        <v>1.6999999999999999E-3</v>
      </c>
      <c r="AA59" s="14">
        <f t="shared" si="8"/>
        <v>-4359.9695893400121</v>
      </c>
      <c r="AH59" s="6">
        <f t="shared" si="9"/>
        <v>1</v>
      </c>
      <c r="AI59" s="6">
        <f t="shared" si="10"/>
        <v>2</v>
      </c>
      <c r="AJ59" s="12">
        <f t="shared" si="11"/>
        <v>4</v>
      </c>
      <c r="AK59" s="72">
        <f t="shared" si="0"/>
        <v>31</v>
      </c>
      <c r="AQ59" s="8"/>
      <c r="AR59">
        <f t="shared" si="30"/>
        <v>25</v>
      </c>
      <c r="AS59">
        <f t="shared" si="31"/>
        <v>75</v>
      </c>
      <c r="AT59" s="183">
        <f t="shared" si="32"/>
        <v>47392</v>
      </c>
      <c r="AU59" s="2">
        <f t="shared" si="33"/>
        <v>2.8985507246376812E-3</v>
      </c>
      <c r="AV59" s="169">
        <f t="shared" si="34"/>
        <v>45</v>
      </c>
      <c r="AW59" s="165">
        <f t="shared" si="35"/>
        <v>3162.7543704465425</v>
      </c>
      <c r="AX59" s="170">
        <f t="shared" si="41"/>
        <v>1097.2152188934695</v>
      </c>
      <c r="AY59" s="164" t="str">
        <f t="shared" si="44"/>
        <v>🐢</v>
      </c>
      <c r="AZ59" s="171" t="str">
        <f t="shared" si="13"/>
        <v>🛴</v>
      </c>
      <c r="BA59" s="172">
        <f t="shared" si="14"/>
        <v>453.6984930124496</v>
      </c>
      <c r="BB59" s="173">
        <f t="shared" si="15"/>
        <v>0.10406001319865352</v>
      </c>
      <c r="BC59" s="174">
        <f t="shared" si="16"/>
        <v>4359.9695893400121</v>
      </c>
      <c r="BD59" s="175">
        <f t="shared" si="36"/>
        <v>378085.5520252345</v>
      </c>
      <c r="BE59" s="176"/>
      <c r="BF59" s="177" t="str">
        <f t="shared" si="46"/>
        <v/>
      </c>
      <c r="BG59" s="178" t="str">
        <f t="shared" si="37"/>
        <v/>
      </c>
      <c r="BH59" s="179" t="str">
        <f t="shared" si="18"/>
        <v/>
      </c>
      <c r="BI59" s="180">
        <f t="shared" si="38"/>
        <v>345</v>
      </c>
      <c r="BJ59" s="181">
        <f t="shared" si="42"/>
        <v>643.51672588101985</v>
      </c>
      <c r="BK59" s="182">
        <f t="shared" si="39"/>
        <v>1.6999999999999999E-3</v>
      </c>
    </row>
    <row r="60" spans="1:63" x14ac:dyDescent="0.25">
      <c r="A60" s="7">
        <f t="shared" si="19"/>
        <v>25</v>
      </c>
      <c r="B60" s="7">
        <f t="shared" si="20"/>
        <v>75</v>
      </c>
      <c r="C60" s="115">
        <f t="shared" si="21"/>
        <v>47423</v>
      </c>
      <c r="D60" s="2">
        <f t="shared" si="22"/>
        <v>2.9069767441860465E-3</v>
      </c>
      <c r="E60" s="169">
        <f t="shared" si="23"/>
        <v>46</v>
      </c>
      <c r="F60" s="165">
        <f t="shared" si="24"/>
        <v>3158.9636489039926</v>
      </c>
      <c r="G60" s="170">
        <f t="shared" si="40"/>
        <v>1099.0859070501003</v>
      </c>
      <c r="H60" s="164" t="str">
        <f t="shared" si="43"/>
        <v>🐢</v>
      </c>
      <c r="I60" s="171" t="str">
        <f t="shared" si="2"/>
        <v>🛴</v>
      </c>
      <c r="J60" s="172">
        <f t="shared" si="3"/>
        <v>456.34046860720173</v>
      </c>
      <c r="K60" s="173">
        <f t="shared" si="4"/>
        <v>0.10471208799903071</v>
      </c>
      <c r="L60" s="174">
        <f t="shared" si="5"/>
        <v>4358.0495559540932</v>
      </c>
      <c r="M60" s="175">
        <f t="shared" si="25"/>
        <v>377629.2115566273</v>
      </c>
      <c r="N60" s="20"/>
      <c r="O60" s="37" t="str">
        <f t="shared" si="45"/>
        <v/>
      </c>
      <c r="P60" s="62" t="str">
        <f t="shared" si="26"/>
        <v/>
      </c>
      <c r="Q60" s="16" t="str">
        <f t="shared" si="7"/>
        <v/>
      </c>
      <c r="R60" s="60">
        <f t="shared" si="27"/>
        <v>344</v>
      </c>
      <c r="S60" s="98">
        <f t="shared" si="28"/>
        <v>642.7454384428986</v>
      </c>
      <c r="T60" s="21">
        <f t="shared" si="29"/>
        <v>1.6999999999999999E-3</v>
      </c>
      <c r="AA60" s="14">
        <f t="shared" si="8"/>
        <v>-4358.0495559540932</v>
      </c>
      <c r="AH60" s="6">
        <f t="shared" si="9"/>
        <v>1</v>
      </c>
      <c r="AI60" s="6">
        <f t="shared" si="10"/>
        <v>2</v>
      </c>
      <c r="AJ60" s="12">
        <f t="shared" si="11"/>
        <v>4</v>
      </c>
      <c r="AK60" s="72">
        <f t="shared" si="0"/>
        <v>30</v>
      </c>
      <c r="AQ60" s="8"/>
      <c r="AR60">
        <f t="shared" si="30"/>
        <v>25</v>
      </c>
      <c r="AS60">
        <f t="shared" si="31"/>
        <v>75</v>
      </c>
      <c r="AT60" s="183">
        <f t="shared" si="32"/>
        <v>47423</v>
      </c>
      <c r="AU60" s="2">
        <f t="shared" si="33"/>
        <v>2.9069767441860465E-3</v>
      </c>
      <c r="AV60" s="169">
        <f t="shared" si="34"/>
        <v>46</v>
      </c>
      <c r="AW60" s="165">
        <f t="shared" si="35"/>
        <v>3158.9636489039926</v>
      </c>
      <c r="AX60" s="170">
        <f t="shared" si="41"/>
        <v>1099.0859070501003</v>
      </c>
      <c r="AY60" s="164" t="str">
        <f t="shared" si="44"/>
        <v>🐢</v>
      </c>
      <c r="AZ60" s="171" t="str">
        <f t="shared" si="13"/>
        <v>🛴</v>
      </c>
      <c r="BA60" s="172">
        <f t="shared" si="14"/>
        <v>456.34046860720173</v>
      </c>
      <c r="BB60" s="173">
        <f t="shared" si="15"/>
        <v>0.10471208799903071</v>
      </c>
      <c r="BC60" s="174">
        <f t="shared" si="16"/>
        <v>4358.0495559540932</v>
      </c>
      <c r="BD60" s="175">
        <f t="shared" si="36"/>
        <v>377629.2115566273</v>
      </c>
      <c r="BE60" s="176"/>
      <c r="BF60" s="177" t="str">
        <f t="shared" si="46"/>
        <v/>
      </c>
      <c r="BG60" s="178" t="str">
        <f t="shared" si="37"/>
        <v/>
      </c>
      <c r="BH60" s="179" t="str">
        <f t="shared" si="18"/>
        <v/>
      </c>
      <c r="BI60" s="180">
        <f t="shared" si="38"/>
        <v>344</v>
      </c>
      <c r="BJ60" s="181">
        <f t="shared" si="42"/>
        <v>642.7454384428986</v>
      </c>
      <c r="BK60" s="182">
        <f t="shared" si="39"/>
        <v>1.6999999999999999E-3</v>
      </c>
    </row>
    <row r="61" spans="1:63" x14ac:dyDescent="0.25">
      <c r="A61" s="7">
        <f t="shared" si="19"/>
        <v>25</v>
      </c>
      <c r="B61" s="7">
        <f t="shared" si="20"/>
        <v>75</v>
      </c>
      <c r="C61" s="115">
        <f t="shared" si="21"/>
        <v>47453</v>
      </c>
      <c r="D61" s="2">
        <f t="shared" si="22"/>
        <v>2.9154518950437317E-3</v>
      </c>
      <c r="E61" s="169">
        <f t="shared" si="23"/>
        <v>47</v>
      </c>
      <c r="F61" s="165">
        <f t="shared" si="24"/>
        <v>3155.1508532440366</v>
      </c>
      <c r="G61" s="170">
        <f t="shared" si="40"/>
        <v>1100.9598004566394</v>
      </c>
      <c r="H61" s="164" t="str">
        <f t="shared" si="43"/>
        <v>🐢</v>
      </c>
      <c r="I61" s="171" t="str">
        <f t="shared" si="2"/>
        <v>🛴</v>
      </c>
      <c r="J61" s="172">
        <f t="shared" si="3"/>
        <v>458.99014081037308</v>
      </c>
      <c r="K61" s="173">
        <f t="shared" si="4"/>
        <v>0.10536696087378865</v>
      </c>
      <c r="L61" s="174">
        <f t="shared" si="5"/>
        <v>4356.1106537006763</v>
      </c>
      <c r="M61" s="175">
        <f t="shared" si="25"/>
        <v>377170.22141581692</v>
      </c>
      <c r="N61" s="198"/>
      <c r="O61" s="37" t="str">
        <f t="shared" si="45"/>
        <v/>
      </c>
      <c r="P61" s="62" t="str">
        <f t="shared" si="26"/>
        <v/>
      </c>
      <c r="Q61" s="16" t="str">
        <f t="shared" si="7"/>
        <v/>
      </c>
      <c r="R61" s="60">
        <f t="shared" si="27"/>
        <v>343</v>
      </c>
      <c r="S61" s="98">
        <f t="shared" si="28"/>
        <v>641.96965964626634</v>
      </c>
      <c r="T61" s="21">
        <f t="shared" si="29"/>
        <v>1.6999999999999999E-3</v>
      </c>
      <c r="AA61" s="14">
        <f t="shared" si="8"/>
        <v>-4356.1106537006763</v>
      </c>
      <c r="AH61" s="6">
        <f t="shared" si="9"/>
        <v>1</v>
      </c>
      <c r="AI61" s="6">
        <f t="shared" si="10"/>
        <v>2</v>
      </c>
      <c r="AJ61" s="12">
        <f t="shared" si="11"/>
        <v>4</v>
      </c>
      <c r="AK61" s="72">
        <f t="shared" si="0"/>
        <v>31</v>
      </c>
      <c r="AQ61" s="8"/>
      <c r="AR61">
        <f t="shared" si="30"/>
        <v>25</v>
      </c>
      <c r="AS61">
        <f t="shared" si="31"/>
        <v>75</v>
      </c>
      <c r="AT61" s="183">
        <f t="shared" si="32"/>
        <v>47453</v>
      </c>
      <c r="AU61" s="2">
        <f t="shared" si="33"/>
        <v>2.9154518950437317E-3</v>
      </c>
      <c r="AV61" s="169">
        <f t="shared" si="34"/>
        <v>47</v>
      </c>
      <c r="AW61" s="165">
        <f t="shared" si="35"/>
        <v>3155.1508532440366</v>
      </c>
      <c r="AX61" s="170">
        <f t="shared" si="41"/>
        <v>1100.9598004566394</v>
      </c>
      <c r="AY61" s="164" t="str">
        <f t="shared" si="44"/>
        <v>🐢</v>
      </c>
      <c r="AZ61" s="171" t="str">
        <f t="shared" si="13"/>
        <v>🛴</v>
      </c>
      <c r="BA61" s="172">
        <f t="shared" si="14"/>
        <v>458.99014081037308</v>
      </c>
      <c r="BB61" s="173">
        <f t="shared" si="15"/>
        <v>0.10536696087378865</v>
      </c>
      <c r="BC61" s="174">
        <f t="shared" si="16"/>
        <v>4356.1106537006763</v>
      </c>
      <c r="BD61" s="175">
        <f t="shared" si="36"/>
        <v>377170.22141581692</v>
      </c>
      <c r="BE61" s="176"/>
      <c r="BF61" s="177" t="str">
        <f t="shared" si="46"/>
        <v/>
      </c>
      <c r="BG61" s="178" t="str">
        <f t="shared" si="37"/>
        <v/>
      </c>
      <c r="BH61" s="179" t="str">
        <f t="shared" si="18"/>
        <v/>
      </c>
      <c r="BI61" s="180">
        <f t="shared" si="38"/>
        <v>343</v>
      </c>
      <c r="BJ61" s="181">
        <f t="shared" si="42"/>
        <v>641.96965964626634</v>
      </c>
      <c r="BK61" s="182">
        <f t="shared" si="39"/>
        <v>1.6999999999999999E-3</v>
      </c>
    </row>
    <row r="62" spans="1:63" x14ac:dyDescent="0.25">
      <c r="A62" s="7">
        <f t="shared" si="19"/>
        <v>25</v>
      </c>
      <c r="B62" s="7">
        <f t="shared" si="20"/>
        <v>75</v>
      </c>
      <c r="C62" s="115">
        <f t="shared" si="21"/>
        <v>47484</v>
      </c>
      <c r="D62" s="2">
        <f t="shared" si="22"/>
        <v>2.9239766081871343E-3</v>
      </c>
      <c r="E62" s="169">
        <f t="shared" si="23"/>
        <v>48</v>
      </c>
      <c r="F62" s="165">
        <f t="shared" si="24"/>
        <v>3151.3159191603122</v>
      </c>
      <c r="G62" s="170">
        <f t="shared" si="40"/>
        <v>1102.8369047246108</v>
      </c>
      <c r="H62" s="164" t="str">
        <f t="shared" si="43"/>
        <v>🐢</v>
      </c>
      <c r="I62" s="171" t="str">
        <f t="shared" si="2"/>
        <v>🛴</v>
      </c>
      <c r="J62" s="172">
        <f t="shared" si="3"/>
        <v>461.64752831772205</v>
      </c>
      <c r="K62" s="173">
        <f t="shared" si="4"/>
        <v>0.10602464979762112</v>
      </c>
      <c r="L62" s="174">
        <f t="shared" si="5"/>
        <v>4354.1528238849232</v>
      </c>
      <c r="M62" s="175">
        <f t="shared" si="25"/>
        <v>376708.57388749922</v>
      </c>
      <c r="N62" s="20"/>
      <c r="O62" s="37" t="str">
        <f t="shared" si="45"/>
        <v/>
      </c>
      <c r="P62" s="62" t="str">
        <f t="shared" si="26"/>
        <v/>
      </c>
      <c r="Q62" s="16" t="str">
        <f t="shared" si="7"/>
        <v/>
      </c>
      <c r="R62" s="60">
        <f t="shared" si="27"/>
        <v>342</v>
      </c>
      <c r="S62" s="98">
        <f t="shared" si="28"/>
        <v>641.18937640688875</v>
      </c>
      <c r="T62" s="21">
        <f t="shared" si="29"/>
        <v>1.6999999999999999E-3</v>
      </c>
      <c r="AA62" s="14">
        <f t="shared" si="8"/>
        <v>-4354.1528238849232</v>
      </c>
      <c r="AH62" s="6">
        <f t="shared" si="9"/>
        <v>1</v>
      </c>
      <c r="AI62" s="6">
        <f t="shared" si="10"/>
        <v>2</v>
      </c>
      <c r="AJ62" s="12">
        <f t="shared" si="11"/>
        <v>4</v>
      </c>
      <c r="AK62" s="72">
        <f t="shared" si="0"/>
        <v>31</v>
      </c>
      <c r="AQ62" s="8"/>
      <c r="AR62">
        <f t="shared" si="30"/>
        <v>25</v>
      </c>
      <c r="AS62">
        <f t="shared" si="31"/>
        <v>75</v>
      </c>
      <c r="AT62" s="183">
        <f t="shared" si="32"/>
        <v>47484</v>
      </c>
      <c r="AU62" s="2">
        <f t="shared" si="33"/>
        <v>2.9239766081871343E-3</v>
      </c>
      <c r="AV62" s="169">
        <f t="shared" si="34"/>
        <v>48</v>
      </c>
      <c r="AW62" s="165">
        <f t="shared" si="35"/>
        <v>3151.3159191603122</v>
      </c>
      <c r="AX62" s="170">
        <f t="shared" si="41"/>
        <v>1102.8369047246108</v>
      </c>
      <c r="AY62" s="164" t="str">
        <f t="shared" si="44"/>
        <v>🐢</v>
      </c>
      <c r="AZ62" s="171" t="str">
        <f t="shared" si="13"/>
        <v>🛴</v>
      </c>
      <c r="BA62" s="172">
        <f t="shared" si="14"/>
        <v>461.64752831772205</v>
      </c>
      <c r="BB62" s="173">
        <f t="shared" si="15"/>
        <v>0.10602464979762112</v>
      </c>
      <c r="BC62" s="174">
        <f t="shared" si="16"/>
        <v>4354.1528238849232</v>
      </c>
      <c r="BD62" s="175">
        <f t="shared" si="36"/>
        <v>376708.57388749922</v>
      </c>
      <c r="BE62" s="176"/>
      <c r="BF62" s="177" t="str">
        <f t="shared" si="46"/>
        <v/>
      </c>
      <c r="BG62" s="178" t="str">
        <f t="shared" si="37"/>
        <v/>
      </c>
      <c r="BH62" s="179" t="str">
        <f t="shared" si="18"/>
        <v/>
      </c>
      <c r="BI62" s="180">
        <f t="shared" si="38"/>
        <v>342</v>
      </c>
      <c r="BJ62" s="181">
        <f t="shared" si="42"/>
        <v>641.18937640688875</v>
      </c>
      <c r="BK62" s="182">
        <f t="shared" si="39"/>
        <v>1.6999999999999999E-3</v>
      </c>
    </row>
    <row r="63" spans="1:63" x14ac:dyDescent="0.25">
      <c r="A63" s="7">
        <f t="shared" si="19"/>
        <v>25</v>
      </c>
      <c r="B63" s="7">
        <f t="shared" si="20"/>
        <v>75</v>
      </c>
      <c r="C63" s="115">
        <f t="shared" si="21"/>
        <v>47515</v>
      </c>
      <c r="D63" s="2">
        <f t="shared" si="22"/>
        <v>2.9325513196480938E-3</v>
      </c>
      <c r="E63" s="169">
        <f t="shared" si="23"/>
        <v>49</v>
      </c>
      <c r="F63" s="165">
        <f t="shared" si="24"/>
        <v>3147.4587821902524</v>
      </c>
      <c r="G63" s="170">
        <f t="shared" si="40"/>
        <v>1104.7172254765374</v>
      </c>
      <c r="H63" s="164" t="str">
        <f t="shared" si="43"/>
        <v>🐢</v>
      </c>
      <c r="I63" s="171" t="str">
        <f t="shared" si="2"/>
        <v>🛴</v>
      </c>
      <c r="J63" s="172">
        <f t="shared" si="3"/>
        <v>464.31264986778865</v>
      </c>
      <c r="K63" s="173">
        <f t="shared" si="4"/>
        <v>0.10668517289968417</v>
      </c>
      <c r="L63" s="174">
        <f t="shared" si="5"/>
        <v>4352.1760076667897</v>
      </c>
      <c r="M63" s="175">
        <f t="shared" si="25"/>
        <v>376244.26123763144</v>
      </c>
      <c r="N63" s="20"/>
      <c r="O63" s="37" t="str">
        <f t="shared" si="45"/>
        <v/>
      </c>
      <c r="P63" s="62" t="str">
        <f t="shared" si="26"/>
        <v/>
      </c>
      <c r="Q63" s="16" t="str">
        <f t="shared" si="7"/>
        <v/>
      </c>
      <c r="R63" s="60">
        <f t="shared" si="27"/>
        <v>341</v>
      </c>
      <c r="S63" s="98">
        <f t="shared" si="28"/>
        <v>640.4045756087487</v>
      </c>
      <c r="T63" s="21">
        <f t="shared" si="29"/>
        <v>1.6999999999999999E-3</v>
      </c>
      <c r="AA63" s="14">
        <f t="shared" si="8"/>
        <v>-4352.1760076667897</v>
      </c>
      <c r="AH63" s="6">
        <f t="shared" si="9"/>
        <v>1</v>
      </c>
      <c r="AI63" s="6">
        <f t="shared" si="10"/>
        <v>2</v>
      </c>
      <c r="AJ63" s="12">
        <f t="shared" si="11"/>
        <v>5</v>
      </c>
      <c r="AK63" s="72">
        <f t="shared" si="0"/>
        <v>28</v>
      </c>
      <c r="AQ63" s="8"/>
      <c r="AR63">
        <f t="shared" si="30"/>
        <v>25</v>
      </c>
      <c r="AS63">
        <f t="shared" si="31"/>
        <v>75</v>
      </c>
      <c r="AT63" s="183">
        <f t="shared" si="32"/>
        <v>47515</v>
      </c>
      <c r="AU63" s="2">
        <f t="shared" si="33"/>
        <v>2.9325513196480938E-3</v>
      </c>
      <c r="AV63" s="169">
        <f t="shared" si="34"/>
        <v>49</v>
      </c>
      <c r="AW63" s="165">
        <f t="shared" si="35"/>
        <v>3147.4587821902524</v>
      </c>
      <c r="AX63" s="170">
        <f t="shared" si="41"/>
        <v>1104.7172254765374</v>
      </c>
      <c r="AY63" s="164" t="str">
        <f t="shared" si="44"/>
        <v>🐢</v>
      </c>
      <c r="AZ63" s="171" t="str">
        <f t="shared" si="13"/>
        <v>🛴</v>
      </c>
      <c r="BA63" s="172">
        <f t="shared" si="14"/>
        <v>464.31264986778865</v>
      </c>
      <c r="BB63" s="173">
        <f t="shared" si="15"/>
        <v>0.10668517289968417</v>
      </c>
      <c r="BC63" s="174">
        <f t="shared" si="16"/>
        <v>4352.1760076667897</v>
      </c>
      <c r="BD63" s="175">
        <f t="shared" si="36"/>
        <v>376244.26123763144</v>
      </c>
      <c r="BE63" s="176"/>
      <c r="BF63" s="177" t="str">
        <f t="shared" si="46"/>
        <v/>
      </c>
      <c r="BG63" s="178" t="str">
        <f t="shared" si="37"/>
        <v/>
      </c>
      <c r="BH63" s="179" t="str">
        <f t="shared" si="18"/>
        <v/>
      </c>
      <c r="BI63" s="180">
        <f t="shared" si="38"/>
        <v>341</v>
      </c>
      <c r="BJ63" s="181">
        <f t="shared" si="42"/>
        <v>640.4045756087487</v>
      </c>
      <c r="BK63" s="182">
        <f t="shared" si="39"/>
        <v>1.6999999999999999E-3</v>
      </c>
    </row>
    <row r="64" spans="1:63" x14ac:dyDescent="0.25">
      <c r="A64" s="7">
        <f t="shared" si="19"/>
        <v>25</v>
      </c>
      <c r="B64" s="7">
        <f t="shared" si="20"/>
        <v>75</v>
      </c>
      <c r="C64" s="115">
        <f t="shared" si="21"/>
        <v>47543</v>
      </c>
      <c r="D64" s="2">
        <f t="shared" si="22"/>
        <v>2.9411764705882353E-3</v>
      </c>
      <c r="E64" s="169">
        <f t="shared" si="23"/>
        <v>50</v>
      </c>
      <c r="F64" s="165">
        <f t="shared" si="24"/>
        <v>3143.579377714726</v>
      </c>
      <c r="G64" s="170">
        <f t="shared" si="40"/>
        <v>1106.6007683459748</v>
      </c>
      <c r="H64" s="164" t="str">
        <f t="shared" si="43"/>
        <v>🐢</v>
      </c>
      <c r="I64" s="171" t="str">
        <f t="shared" si="2"/>
        <v>🛴</v>
      </c>
      <c r="J64" s="172">
        <f t="shared" si="3"/>
        <v>466.98552424200136</v>
      </c>
      <c r="K64" s="173">
        <f t="shared" si="4"/>
        <v>0.10734854846525826</v>
      </c>
      <c r="L64" s="174">
        <f t="shared" si="5"/>
        <v>4350.1801460607003</v>
      </c>
      <c r="M64" s="175">
        <f t="shared" si="25"/>
        <v>375777.27571338939</v>
      </c>
      <c r="N64" s="20"/>
      <c r="O64" s="37" t="str">
        <f t="shared" si="45"/>
        <v/>
      </c>
      <c r="P64" s="62" t="str">
        <f t="shared" si="26"/>
        <v/>
      </c>
      <c r="Q64" s="16" t="str">
        <f t="shared" si="7"/>
        <v/>
      </c>
      <c r="R64" s="60">
        <f t="shared" si="27"/>
        <v>340</v>
      </c>
      <c r="S64" s="98">
        <f t="shared" si="28"/>
        <v>639.6152441039734</v>
      </c>
      <c r="T64" s="21">
        <f t="shared" si="29"/>
        <v>1.6999999999999999E-3</v>
      </c>
      <c r="AA64" s="14">
        <f t="shared" si="8"/>
        <v>-4350.1801460607003</v>
      </c>
      <c r="AH64" s="6">
        <f t="shared" si="9"/>
        <v>1</v>
      </c>
      <c r="AI64" s="6">
        <f t="shared" si="10"/>
        <v>2</v>
      </c>
      <c r="AJ64" s="12">
        <f t="shared" si="11"/>
        <v>5</v>
      </c>
      <c r="AK64" s="72">
        <f t="shared" si="0"/>
        <v>31</v>
      </c>
      <c r="AQ64" s="8"/>
      <c r="AR64">
        <f t="shared" si="30"/>
        <v>25</v>
      </c>
      <c r="AS64">
        <f t="shared" si="31"/>
        <v>75</v>
      </c>
      <c r="AT64" s="183">
        <f t="shared" si="32"/>
        <v>47543</v>
      </c>
      <c r="AU64" s="2">
        <f t="shared" si="33"/>
        <v>2.9411764705882353E-3</v>
      </c>
      <c r="AV64" s="169">
        <f t="shared" si="34"/>
        <v>50</v>
      </c>
      <c r="AW64" s="165">
        <f t="shared" si="35"/>
        <v>3143.579377714726</v>
      </c>
      <c r="AX64" s="170">
        <f t="shared" si="41"/>
        <v>1106.6007683459748</v>
      </c>
      <c r="AY64" s="164" t="str">
        <f t="shared" si="44"/>
        <v>🐢</v>
      </c>
      <c r="AZ64" s="171" t="str">
        <f t="shared" si="13"/>
        <v>🛴</v>
      </c>
      <c r="BA64" s="172">
        <f t="shared" si="14"/>
        <v>466.98552424200136</v>
      </c>
      <c r="BB64" s="173">
        <f t="shared" si="15"/>
        <v>0.10734854846525826</v>
      </c>
      <c r="BC64" s="174">
        <f t="shared" si="16"/>
        <v>4350.1801460607003</v>
      </c>
      <c r="BD64" s="175">
        <f t="shared" si="36"/>
        <v>375777.27571338939</v>
      </c>
      <c r="BE64" s="176"/>
      <c r="BF64" s="177" t="str">
        <f t="shared" si="46"/>
        <v/>
      </c>
      <c r="BG64" s="178" t="str">
        <f t="shared" si="37"/>
        <v/>
      </c>
      <c r="BH64" s="179" t="str">
        <f t="shared" si="18"/>
        <v/>
      </c>
      <c r="BI64" s="180">
        <f t="shared" si="38"/>
        <v>340</v>
      </c>
      <c r="BJ64" s="181">
        <f t="shared" si="42"/>
        <v>639.6152441039734</v>
      </c>
      <c r="BK64" s="182">
        <f t="shared" si="39"/>
        <v>1.6999999999999999E-3</v>
      </c>
    </row>
    <row r="65" spans="1:63" x14ac:dyDescent="0.25">
      <c r="A65" s="7">
        <f t="shared" si="19"/>
        <v>25</v>
      </c>
      <c r="B65" s="7">
        <f t="shared" si="20"/>
        <v>75</v>
      </c>
      <c r="C65" s="115">
        <f t="shared" si="21"/>
        <v>47574</v>
      </c>
      <c r="D65" s="2">
        <f t="shared" si="22"/>
        <v>2.9498525073746312E-3</v>
      </c>
      <c r="E65" s="169">
        <f t="shared" si="23"/>
        <v>51</v>
      </c>
      <c r="F65" s="165">
        <f t="shared" si="24"/>
        <v>3139.6776409576796</v>
      </c>
      <c r="G65" s="170">
        <f t="shared" si="40"/>
        <v>1108.4875389775498</v>
      </c>
      <c r="H65" s="164" t="str">
        <f t="shared" si="43"/>
        <v>🐢</v>
      </c>
      <c r="I65" s="171" t="str">
        <f t="shared" si="2"/>
        <v>🛴</v>
      </c>
      <c r="J65" s="172">
        <f t="shared" si="3"/>
        <v>469.66617026478787</v>
      </c>
      <c r="K65" s="173">
        <f t="shared" si="4"/>
        <v>0.10801479493743245</v>
      </c>
      <c r="L65" s="174">
        <f t="shared" si="5"/>
        <v>4348.1651799352294</v>
      </c>
      <c r="M65" s="175">
        <f t="shared" si="25"/>
        <v>375307.60954312462</v>
      </c>
      <c r="N65" s="20"/>
      <c r="O65" s="37" t="str">
        <f t="shared" si="45"/>
        <v/>
      </c>
      <c r="P65" s="62" t="str">
        <f t="shared" si="26"/>
        <v/>
      </c>
      <c r="Q65" s="16" t="str">
        <f t="shared" si="7"/>
        <v/>
      </c>
      <c r="R65" s="60">
        <f t="shared" si="27"/>
        <v>339</v>
      </c>
      <c r="S65" s="98">
        <f t="shared" si="28"/>
        <v>638.82136871276191</v>
      </c>
      <c r="T65" s="21">
        <f t="shared" si="29"/>
        <v>1.6999999999999999E-3</v>
      </c>
      <c r="AA65" s="14">
        <f t="shared" si="8"/>
        <v>-4348.1651799352294</v>
      </c>
      <c r="AH65" s="6">
        <f t="shared" si="9"/>
        <v>1</v>
      </c>
      <c r="AI65" s="6">
        <f t="shared" si="10"/>
        <v>2</v>
      </c>
      <c r="AJ65" s="12">
        <f t="shared" si="11"/>
        <v>5</v>
      </c>
      <c r="AK65" s="72">
        <f t="shared" si="0"/>
        <v>30</v>
      </c>
      <c r="AQ65" s="8"/>
      <c r="AR65">
        <f t="shared" si="30"/>
        <v>25</v>
      </c>
      <c r="AS65">
        <f t="shared" si="31"/>
        <v>75</v>
      </c>
      <c r="AT65" s="183">
        <f t="shared" si="32"/>
        <v>47574</v>
      </c>
      <c r="AU65" s="2">
        <f t="shared" si="33"/>
        <v>2.9498525073746312E-3</v>
      </c>
      <c r="AV65" s="169">
        <f t="shared" si="34"/>
        <v>51</v>
      </c>
      <c r="AW65" s="165">
        <f t="shared" si="35"/>
        <v>3139.6776409576796</v>
      </c>
      <c r="AX65" s="170">
        <f t="shared" si="41"/>
        <v>1108.4875389775498</v>
      </c>
      <c r="AY65" s="164" t="str">
        <f t="shared" si="44"/>
        <v>🐢</v>
      </c>
      <c r="AZ65" s="171" t="str">
        <f t="shared" si="13"/>
        <v>🛴</v>
      </c>
      <c r="BA65" s="172">
        <f t="shared" si="14"/>
        <v>469.66617026478787</v>
      </c>
      <c r="BB65" s="173">
        <f t="shared" si="15"/>
        <v>0.10801479493743245</v>
      </c>
      <c r="BC65" s="174">
        <f t="shared" si="16"/>
        <v>4348.1651799352294</v>
      </c>
      <c r="BD65" s="175">
        <f t="shared" si="36"/>
        <v>375307.60954312462</v>
      </c>
      <c r="BE65" s="176"/>
      <c r="BF65" s="177" t="str">
        <f t="shared" si="46"/>
        <v/>
      </c>
      <c r="BG65" s="178" t="str">
        <f t="shared" si="37"/>
        <v/>
      </c>
      <c r="BH65" s="179" t="str">
        <f t="shared" si="18"/>
        <v/>
      </c>
      <c r="BI65" s="180">
        <f t="shared" si="38"/>
        <v>339</v>
      </c>
      <c r="BJ65" s="181">
        <f t="shared" si="42"/>
        <v>638.82136871276191</v>
      </c>
      <c r="BK65" s="182">
        <f t="shared" si="39"/>
        <v>1.6999999999999999E-3</v>
      </c>
    </row>
    <row r="66" spans="1:63" x14ac:dyDescent="0.25">
      <c r="A66" s="7">
        <f t="shared" si="19"/>
        <v>25</v>
      </c>
      <c r="B66" s="7">
        <f t="shared" si="20"/>
        <v>75</v>
      </c>
      <c r="C66" s="115">
        <f t="shared" si="21"/>
        <v>47604</v>
      </c>
      <c r="D66" s="2">
        <f t="shared" si="22"/>
        <v>2.9585798816568047E-3</v>
      </c>
      <c r="E66" s="169">
        <f t="shared" si="23"/>
        <v>52</v>
      </c>
      <c r="F66" s="165">
        <f t="shared" si="24"/>
        <v>3135.7535069857809</v>
      </c>
      <c r="G66" s="170">
        <f t="shared" si="40"/>
        <v>1110.3775430269959</v>
      </c>
      <c r="H66" s="164" t="str">
        <f t="shared" si="43"/>
        <v>🐢</v>
      </c>
      <c r="I66" s="171" t="str">
        <f t="shared" si="2"/>
        <v>🛴</v>
      </c>
      <c r="J66" s="172">
        <f t="shared" si="3"/>
        <v>472.35460680368408</v>
      </c>
      <c r="K66" s="173">
        <f t="shared" si="4"/>
        <v>0.10868393091881007</v>
      </c>
      <c r="L66" s="174">
        <f t="shared" si="5"/>
        <v>4346.1310500127765</v>
      </c>
      <c r="M66" s="175">
        <f t="shared" si="25"/>
        <v>374835.25493632094</v>
      </c>
      <c r="N66" s="20"/>
      <c r="O66" s="37" t="str">
        <f t="shared" si="45"/>
        <v/>
      </c>
      <c r="P66" s="62" t="str">
        <f t="shared" si="26"/>
        <v/>
      </c>
      <c r="Q66" s="16" t="str">
        <f t="shared" si="7"/>
        <v/>
      </c>
      <c r="R66" s="60">
        <f t="shared" si="27"/>
        <v>338</v>
      </c>
      <c r="S66" s="98">
        <f t="shared" si="28"/>
        <v>638.02293622331183</v>
      </c>
      <c r="T66" s="21">
        <f t="shared" si="29"/>
        <v>1.6999999999999999E-3</v>
      </c>
      <c r="AA66" s="14">
        <f t="shared" si="8"/>
        <v>-4346.1310500127765</v>
      </c>
      <c r="AH66" s="6">
        <f t="shared" si="9"/>
        <v>1</v>
      </c>
      <c r="AI66" s="6">
        <f t="shared" si="10"/>
        <v>2</v>
      </c>
      <c r="AJ66" s="12">
        <f t="shared" si="11"/>
        <v>5</v>
      </c>
      <c r="AK66" s="72">
        <f t="shared" si="0"/>
        <v>31</v>
      </c>
      <c r="AQ66" s="8"/>
      <c r="AR66">
        <f t="shared" si="30"/>
        <v>25</v>
      </c>
      <c r="AS66">
        <f t="shared" si="31"/>
        <v>75</v>
      </c>
      <c r="AT66" s="183">
        <f t="shared" si="32"/>
        <v>47604</v>
      </c>
      <c r="AU66" s="2">
        <f t="shared" si="33"/>
        <v>2.9585798816568047E-3</v>
      </c>
      <c r="AV66" s="169">
        <f t="shared" si="34"/>
        <v>52</v>
      </c>
      <c r="AW66" s="165">
        <f t="shared" si="35"/>
        <v>3135.7535069857809</v>
      </c>
      <c r="AX66" s="170">
        <f t="shared" si="41"/>
        <v>1110.3775430269959</v>
      </c>
      <c r="AY66" s="164" t="str">
        <f t="shared" si="44"/>
        <v>🐢</v>
      </c>
      <c r="AZ66" s="171" t="str">
        <f t="shared" si="13"/>
        <v>🛴</v>
      </c>
      <c r="BA66" s="172">
        <f t="shared" si="14"/>
        <v>472.35460680368408</v>
      </c>
      <c r="BB66" s="173">
        <f t="shared" si="15"/>
        <v>0.10868393091881007</v>
      </c>
      <c r="BC66" s="174">
        <f t="shared" si="16"/>
        <v>4346.1310500127765</v>
      </c>
      <c r="BD66" s="175">
        <f t="shared" si="36"/>
        <v>374835.25493632094</v>
      </c>
      <c r="BE66" s="176"/>
      <c r="BF66" s="177" t="str">
        <f t="shared" si="46"/>
        <v/>
      </c>
      <c r="BG66" s="178" t="str">
        <f t="shared" si="37"/>
        <v/>
      </c>
      <c r="BH66" s="179" t="str">
        <f t="shared" si="18"/>
        <v/>
      </c>
      <c r="BI66" s="180">
        <f t="shared" si="38"/>
        <v>338</v>
      </c>
      <c r="BJ66" s="181">
        <f t="shared" si="42"/>
        <v>638.02293622331183</v>
      </c>
      <c r="BK66" s="182">
        <f t="shared" si="39"/>
        <v>1.6999999999999999E-3</v>
      </c>
    </row>
    <row r="67" spans="1:63" x14ac:dyDescent="0.25">
      <c r="A67" s="7">
        <f t="shared" si="19"/>
        <v>25</v>
      </c>
      <c r="B67" s="7">
        <f t="shared" si="20"/>
        <v>75</v>
      </c>
      <c r="C67" s="115">
        <f t="shared" si="21"/>
        <v>47635</v>
      </c>
      <c r="D67" s="2">
        <f t="shared" si="22"/>
        <v>2.967359050445104E-3</v>
      </c>
      <c r="E67" s="169">
        <f t="shared" si="23"/>
        <v>53</v>
      </c>
      <c r="F67" s="165">
        <f t="shared" si="24"/>
        <v>3131.8069107080537</v>
      </c>
      <c r="G67" s="170">
        <f t="shared" si="40"/>
        <v>1112.2707861611898</v>
      </c>
      <c r="H67" s="164" t="str">
        <f t="shared" si="43"/>
        <v>🐢</v>
      </c>
      <c r="I67" s="171" t="str">
        <f t="shared" si="2"/>
        <v>🛴</v>
      </c>
      <c r="J67" s="172">
        <f t="shared" si="3"/>
        <v>475.05085276944419</v>
      </c>
      <c r="K67" s="173">
        <f t="shared" si="4"/>
        <v>0.10935597517323668</v>
      </c>
      <c r="L67" s="174">
        <f t="shared" si="5"/>
        <v>4344.0776968692435</v>
      </c>
      <c r="M67" s="175">
        <f t="shared" si="25"/>
        <v>374360.20408355148</v>
      </c>
      <c r="N67" s="20"/>
      <c r="O67" s="37" t="str">
        <f t="shared" si="45"/>
        <v/>
      </c>
      <c r="P67" s="62" t="str">
        <f t="shared" si="26"/>
        <v/>
      </c>
      <c r="Q67" s="16" t="str">
        <f t="shared" si="7"/>
        <v/>
      </c>
      <c r="R67" s="60">
        <f t="shared" si="27"/>
        <v>337</v>
      </c>
      <c r="S67" s="98">
        <f t="shared" si="28"/>
        <v>637.2199333917456</v>
      </c>
      <c r="T67" s="21">
        <f t="shared" si="29"/>
        <v>1.6999999999999999E-3</v>
      </c>
      <c r="AA67" s="14">
        <f t="shared" si="8"/>
        <v>-4344.0776968692435</v>
      </c>
      <c r="AH67" s="6">
        <f t="shared" si="9"/>
        <v>1</v>
      </c>
      <c r="AI67" s="6">
        <f t="shared" si="10"/>
        <v>2</v>
      </c>
      <c r="AJ67" s="12">
        <f t="shared" si="11"/>
        <v>5</v>
      </c>
      <c r="AK67" s="72">
        <f t="shared" si="0"/>
        <v>30</v>
      </c>
      <c r="AQ67" s="8"/>
      <c r="AR67">
        <f t="shared" si="30"/>
        <v>25</v>
      </c>
      <c r="AS67">
        <f t="shared" si="31"/>
        <v>75</v>
      </c>
      <c r="AT67" s="183">
        <f t="shared" si="32"/>
        <v>47635</v>
      </c>
      <c r="AU67" s="2">
        <f t="shared" si="33"/>
        <v>2.967359050445104E-3</v>
      </c>
      <c r="AV67" s="169">
        <f t="shared" si="34"/>
        <v>53</v>
      </c>
      <c r="AW67" s="165">
        <f t="shared" si="35"/>
        <v>3131.8069107080537</v>
      </c>
      <c r="AX67" s="170">
        <f t="shared" si="41"/>
        <v>1112.2707861611898</v>
      </c>
      <c r="AY67" s="164" t="str">
        <f t="shared" si="44"/>
        <v>🐢</v>
      </c>
      <c r="AZ67" s="171" t="str">
        <f t="shared" si="13"/>
        <v>🛴</v>
      </c>
      <c r="BA67" s="172">
        <f t="shared" si="14"/>
        <v>475.05085276944419</v>
      </c>
      <c r="BB67" s="173">
        <f t="shared" si="15"/>
        <v>0.10935597517323668</v>
      </c>
      <c r="BC67" s="174">
        <f t="shared" si="16"/>
        <v>4344.0776968692435</v>
      </c>
      <c r="BD67" s="175">
        <f t="shared" si="36"/>
        <v>374360.20408355148</v>
      </c>
      <c r="BE67" s="176"/>
      <c r="BF67" s="177" t="str">
        <f t="shared" si="46"/>
        <v/>
      </c>
      <c r="BG67" s="178" t="str">
        <f t="shared" si="37"/>
        <v/>
      </c>
      <c r="BH67" s="179" t="str">
        <f t="shared" si="18"/>
        <v/>
      </c>
      <c r="BI67" s="180">
        <f t="shared" si="38"/>
        <v>337</v>
      </c>
      <c r="BJ67" s="181">
        <f t="shared" si="42"/>
        <v>637.2199333917456</v>
      </c>
      <c r="BK67" s="182">
        <f t="shared" si="39"/>
        <v>1.6999999999999999E-3</v>
      </c>
    </row>
    <row r="68" spans="1:63" x14ac:dyDescent="0.25">
      <c r="A68" s="7">
        <f t="shared" si="19"/>
        <v>25</v>
      </c>
      <c r="B68" s="7">
        <f t="shared" si="20"/>
        <v>75</v>
      </c>
      <c r="C68" s="115">
        <f t="shared" si="21"/>
        <v>47665</v>
      </c>
      <c r="D68" s="2">
        <f t="shared" si="22"/>
        <v>2.976190476190476E-3</v>
      </c>
      <c r="E68" s="169">
        <f t="shared" si="23"/>
        <v>54</v>
      </c>
      <c r="F68" s="165">
        <f t="shared" si="24"/>
        <v>3127.837786875521</v>
      </c>
      <c r="G68" s="170">
        <f t="shared" si="40"/>
        <v>1114.1672740581889</v>
      </c>
      <c r="H68" s="164" t="str">
        <f t="shared" si="43"/>
        <v>🐢</v>
      </c>
      <c r="I68" s="171" t="str">
        <f t="shared" si="2"/>
        <v>🛴</v>
      </c>
      <c r="J68" s="172">
        <f t="shared" si="3"/>
        <v>477.75492711615141</v>
      </c>
      <c r="K68" s="173">
        <f t="shared" si="4"/>
        <v>0.11003094662755054</v>
      </c>
      <c r="L68" s="174">
        <f t="shared" si="5"/>
        <v>4342.0050609337104</v>
      </c>
      <c r="M68" s="175">
        <f t="shared" si="25"/>
        <v>373882.44915643532</v>
      </c>
      <c r="N68" s="20"/>
      <c r="O68" s="37" t="str">
        <f t="shared" si="45"/>
        <v/>
      </c>
      <c r="P68" s="62" t="str">
        <f t="shared" si="26"/>
        <v/>
      </c>
      <c r="Q68" s="16" t="str">
        <f t="shared" si="7"/>
        <v/>
      </c>
      <c r="R68" s="60">
        <f t="shared" si="27"/>
        <v>336</v>
      </c>
      <c r="S68" s="98">
        <f t="shared" si="28"/>
        <v>636.41234694203752</v>
      </c>
      <c r="T68" s="21">
        <f t="shared" si="29"/>
        <v>1.6999999999999999E-3</v>
      </c>
      <c r="AA68" s="14">
        <f t="shared" si="8"/>
        <v>-4342.0050609337104</v>
      </c>
      <c r="AH68" s="6">
        <f t="shared" si="9"/>
        <v>1</v>
      </c>
      <c r="AI68" s="6">
        <f t="shared" si="10"/>
        <v>2</v>
      </c>
      <c r="AJ68" s="12">
        <f t="shared" si="11"/>
        <v>5</v>
      </c>
      <c r="AK68" s="72">
        <f t="shared" si="0"/>
        <v>31</v>
      </c>
      <c r="AQ68" s="8"/>
      <c r="AR68">
        <f t="shared" si="30"/>
        <v>25</v>
      </c>
      <c r="AS68">
        <f t="shared" si="31"/>
        <v>75</v>
      </c>
      <c r="AT68" s="183">
        <f t="shared" si="32"/>
        <v>47665</v>
      </c>
      <c r="AU68" s="2">
        <f t="shared" si="33"/>
        <v>2.976190476190476E-3</v>
      </c>
      <c r="AV68" s="169">
        <f t="shared" si="34"/>
        <v>54</v>
      </c>
      <c r="AW68" s="165">
        <f t="shared" si="35"/>
        <v>3127.837786875521</v>
      </c>
      <c r="AX68" s="170">
        <f t="shared" si="41"/>
        <v>1114.1672740581889</v>
      </c>
      <c r="AY68" s="164" t="str">
        <f t="shared" si="44"/>
        <v>🐢</v>
      </c>
      <c r="AZ68" s="171" t="str">
        <f t="shared" si="13"/>
        <v>🛴</v>
      </c>
      <c r="BA68" s="172">
        <f t="shared" si="14"/>
        <v>477.75492711615141</v>
      </c>
      <c r="BB68" s="173">
        <f t="shared" si="15"/>
        <v>0.11003094662755054</v>
      </c>
      <c r="BC68" s="174">
        <f t="shared" si="16"/>
        <v>4342.0050609337104</v>
      </c>
      <c r="BD68" s="175">
        <f t="shared" si="36"/>
        <v>373882.44915643532</v>
      </c>
      <c r="BE68" s="176"/>
      <c r="BF68" s="177" t="str">
        <f t="shared" si="46"/>
        <v/>
      </c>
      <c r="BG68" s="178" t="str">
        <f t="shared" si="37"/>
        <v/>
      </c>
      <c r="BH68" s="179" t="str">
        <f t="shared" si="18"/>
        <v/>
      </c>
      <c r="BI68" s="180">
        <f t="shared" si="38"/>
        <v>336</v>
      </c>
      <c r="BJ68" s="181">
        <f t="shared" si="42"/>
        <v>636.41234694203752</v>
      </c>
      <c r="BK68" s="182">
        <f t="shared" si="39"/>
        <v>1.6999999999999999E-3</v>
      </c>
    </row>
    <row r="69" spans="1:63" x14ac:dyDescent="0.25">
      <c r="A69" s="7">
        <f t="shared" si="19"/>
        <v>25</v>
      </c>
      <c r="B69" s="7">
        <f t="shared" si="20"/>
        <v>75</v>
      </c>
      <c r="C69" s="115">
        <f t="shared" si="21"/>
        <v>47696</v>
      </c>
      <c r="D69" s="2">
        <f t="shared" si="22"/>
        <v>2.9850746268656717E-3</v>
      </c>
      <c r="E69" s="169">
        <f t="shared" si="23"/>
        <v>55</v>
      </c>
      <c r="F69" s="165">
        <f t="shared" si="24"/>
        <v>3123.8460700808419</v>
      </c>
      <c r="G69" s="170">
        <f t="shared" si="40"/>
        <v>1116.0670124072697</v>
      </c>
      <c r="H69" s="164" t="str">
        <f t="shared" si="43"/>
        <v>🐢</v>
      </c>
      <c r="I69" s="171" t="str">
        <f t="shared" si="2"/>
        <v>🛴</v>
      </c>
      <c r="J69" s="172">
        <f t="shared" si="3"/>
        <v>480.46684884132969</v>
      </c>
      <c r="K69" s="173">
        <f t="shared" si="4"/>
        <v>0.110708864373356</v>
      </c>
      <c r="L69" s="174">
        <f t="shared" si="5"/>
        <v>4339.9130824881113</v>
      </c>
      <c r="M69" s="175">
        <f t="shared" si="25"/>
        <v>373401.98230759398</v>
      </c>
      <c r="N69" s="20"/>
      <c r="O69" s="37" t="str">
        <f t="shared" si="45"/>
        <v/>
      </c>
      <c r="P69" s="62" t="str">
        <f t="shared" si="26"/>
        <v/>
      </c>
      <c r="Q69" s="16" t="str">
        <f t="shared" si="7"/>
        <v/>
      </c>
      <c r="R69" s="60">
        <f t="shared" si="27"/>
        <v>335</v>
      </c>
      <c r="S69" s="98">
        <f t="shared" si="28"/>
        <v>635.60016356593997</v>
      </c>
      <c r="T69" s="21">
        <f t="shared" si="29"/>
        <v>1.6999999999999999E-3</v>
      </c>
      <c r="AA69" s="14">
        <f t="shared" si="8"/>
        <v>-4339.9130824881113</v>
      </c>
      <c r="AH69" s="6">
        <f t="shared" si="9"/>
        <v>1</v>
      </c>
      <c r="AI69" s="6">
        <f t="shared" si="10"/>
        <v>2</v>
      </c>
      <c r="AJ69" s="12">
        <f t="shared" si="11"/>
        <v>5</v>
      </c>
      <c r="AK69" s="72">
        <f t="shared" si="0"/>
        <v>31</v>
      </c>
      <c r="AQ69" s="8"/>
      <c r="AR69">
        <f t="shared" si="30"/>
        <v>25</v>
      </c>
      <c r="AS69">
        <f t="shared" si="31"/>
        <v>75</v>
      </c>
      <c r="AT69" s="183">
        <f t="shared" si="32"/>
        <v>47696</v>
      </c>
      <c r="AU69" s="2">
        <f t="shared" si="33"/>
        <v>2.9850746268656717E-3</v>
      </c>
      <c r="AV69" s="169">
        <f t="shared" si="34"/>
        <v>55</v>
      </c>
      <c r="AW69" s="165">
        <f t="shared" si="35"/>
        <v>3123.8460700808419</v>
      </c>
      <c r="AX69" s="170">
        <f t="shared" si="41"/>
        <v>1116.0670124072697</v>
      </c>
      <c r="AY69" s="164" t="str">
        <f t="shared" si="44"/>
        <v>🐢</v>
      </c>
      <c r="AZ69" s="171" t="str">
        <f t="shared" si="13"/>
        <v>🛴</v>
      </c>
      <c r="BA69" s="172">
        <f t="shared" si="14"/>
        <v>480.46684884132969</v>
      </c>
      <c r="BB69" s="173">
        <f t="shared" si="15"/>
        <v>0.110708864373356</v>
      </c>
      <c r="BC69" s="174">
        <f t="shared" si="16"/>
        <v>4339.9130824881113</v>
      </c>
      <c r="BD69" s="175">
        <f t="shared" si="36"/>
        <v>373401.98230759398</v>
      </c>
      <c r="BE69" s="176"/>
      <c r="BF69" s="177" t="str">
        <f t="shared" si="46"/>
        <v/>
      </c>
      <c r="BG69" s="178" t="str">
        <f t="shared" si="37"/>
        <v/>
      </c>
      <c r="BH69" s="179" t="str">
        <f t="shared" si="18"/>
        <v/>
      </c>
      <c r="BI69" s="180">
        <f t="shared" si="38"/>
        <v>335</v>
      </c>
      <c r="BJ69" s="181">
        <f t="shared" si="42"/>
        <v>635.60016356593997</v>
      </c>
      <c r="BK69" s="182">
        <f t="shared" si="39"/>
        <v>1.6999999999999999E-3</v>
      </c>
    </row>
    <row r="70" spans="1:63" x14ac:dyDescent="0.25">
      <c r="A70" s="7">
        <f t="shared" si="19"/>
        <v>25</v>
      </c>
      <c r="B70" s="7">
        <f t="shared" si="20"/>
        <v>75</v>
      </c>
      <c r="C70" s="115">
        <f t="shared" si="21"/>
        <v>47727</v>
      </c>
      <c r="D70" s="2">
        <f t="shared" si="22"/>
        <v>2.9940119760479044E-3</v>
      </c>
      <c r="E70" s="169">
        <f t="shared" si="23"/>
        <v>56</v>
      </c>
      <c r="F70" s="165">
        <f t="shared" si="24"/>
        <v>3119.8316947579469</v>
      </c>
      <c r="G70" s="170">
        <f t="shared" si="40"/>
        <v>1117.970006908964</v>
      </c>
      <c r="H70" s="164" t="str">
        <f t="shared" si="43"/>
        <v>🐢</v>
      </c>
      <c r="I70" s="171" t="str">
        <f t="shared" si="2"/>
        <v>🛴</v>
      </c>
      <c r="J70" s="172">
        <f t="shared" si="3"/>
        <v>483.18663698605428</v>
      </c>
      <c r="K70" s="173">
        <f t="shared" si="4"/>
        <v>0.11138974766881979</v>
      </c>
      <c r="L70" s="174">
        <f t="shared" si="5"/>
        <v>4337.801701666911</v>
      </c>
      <c r="M70" s="175">
        <f t="shared" si="25"/>
        <v>372918.79567060788</v>
      </c>
      <c r="N70" s="20"/>
      <c r="O70" s="37" t="str">
        <f t="shared" si="45"/>
        <v/>
      </c>
      <c r="P70" s="62" t="str">
        <f t="shared" si="26"/>
        <v/>
      </c>
      <c r="Q70" s="16" t="str">
        <f t="shared" si="7"/>
        <v/>
      </c>
      <c r="R70" s="60">
        <f t="shared" si="27"/>
        <v>334</v>
      </c>
      <c r="S70" s="98">
        <f t="shared" si="28"/>
        <v>634.78336992290974</v>
      </c>
      <c r="T70" s="21">
        <f t="shared" si="29"/>
        <v>1.6999999999999999E-3</v>
      </c>
      <c r="AA70" s="14">
        <f t="shared" si="8"/>
        <v>-4337.801701666911</v>
      </c>
      <c r="AH70" s="6">
        <f t="shared" si="9"/>
        <v>1</v>
      </c>
      <c r="AI70" s="6">
        <f t="shared" si="10"/>
        <v>2</v>
      </c>
      <c r="AJ70" s="12">
        <f t="shared" si="11"/>
        <v>5</v>
      </c>
      <c r="AK70" s="72">
        <f t="shared" si="0"/>
        <v>30</v>
      </c>
      <c r="AQ70" s="8"/>
      <c r="AR70">
        <f t="shared" si="30"/>
        <v>25</v>
      </c>
      <c r="AS70">
        <f t="shared" si="31"/>
        <v>75</v>
      </c>
      <c r="AT70" s="183">
        <f t="shared" si="32"/>
        <v>47727</v>
      </c>
      <c r="AU70" s="2">
        <f t="shared" si="33"/>
        <v>2.9940119760479044E-3</v>
      </c>
      <c r="AV70" s="169">
        <f t="shared" si="34"/>
        <v>56</v>
      </c>
      <c r="AW70" s="165">
        <f t="shared" si="35"/>
        <v>3119.8316947579469</v>
      </c>
      <c r="AX70" s="170">
        <f t="shared" si="41"/>
        <v>1117.970006908964</v>
      </c>
      <c r="AY70" s="164" t="str">
        <f t="shared" si="44"/>
        <v>🐢</v>
      </c>
      <c r="AZ70" s="171" t="str">
        <f t="shared" si="13"/>
        <v>🛴</v>
      </c>
      <c r="BA70" s="172">
        <f t="shared" si="14"/>
        <v>483.18663698605428</v>
      </c>
      <c r="BB70" s="173">
        <f t="shared" si="15"/>
        <v>0.11138974766881979</v>
      </c>
      <c r="BC70" s="174">
        <f t="shared" si="16"/>
        <v>4337.801701666911</v>
      </c>
      <c r="BD70" s="175">
        <f t="shared" si="36"/>
        <v>372918.79567060788</v>
      </c>
      <c r="BE70" s="176"/>
      <c r="BF70" s="177" t="str">
        <f t="shared" si="46"/>
        <v/>
      </c>
      <c r="BG70" s="178" t="str">
        <f t="shared" si="37"/>
        <v/>
      </c>
      <c r="BH70" s="179" t="str">
        <f t="shared" si="18"/>
        <v/>
      </c>
      <c r="BI70" s="180">
        <f t="shared" si="38"/>
        <v>334</v>
      </c>
      <c r="BJ70" s="181">
        <f t="shared" si="42"/>
        <v>634.78336992290974</v>
      </c>
      <c r="BK70" s="182">
        <f t="shared" si="39"/>
        <v>1.6999999999999999E-3</v>
      </c>
    </row>
    <row r="71" spans="1:63" x14ac:dyDescent="0.25">
      <c r="A71" s="7">
        <f t="shared" si="19"/>
        <v>25</v>
      </c>
      <c r="B71" s="7">
        <f t="shared" si="20"/>
        <v>75</v>
      </c>
      <c r="C71" s="115">
        <f t="shared" si="21"/>
        <v>47757</v>
      </c>
      <c r="D71" s="2">
        <f t="shared" si="22"/>
        <v>3.0030030030030034E-3</v>
      </c>
      <c r="E71" s="169">
        <f t="shared" si="23"/>
        <v>57</v>
      </c>
      <c r="F71" s="165">
        <f t="shared" si="24"/>
        <v>3115.794595181676</v>
      </c>
      <c r="G71" s="170">
        <f t="shared" si="40"/>
        <v>1119.8762632750988</v>
      </c>
      <c r="H71" s="164" t="str">
        <f t="shared" si="43"/>
        <v>🐢</v>
      </c>
      <c r="I71" s="171" t="str">
        <f t="shared" si="2"/>
        <v>🛴</v>
      </c>
      <c r="J71" s="172">
        <f t="shared" si="3"/>
        <v>485.91431063506548</v>
      </c>
      <c r="K71" s="173">
        <f t="shared" si="4"/>
        <v>0.11207361594049145</v>
      </c>
      <c r="L71" s="174">
        <f t="shared" si="5"/>
        <v>4335.670858456775</v>
      </c>
      <c r="M71" s="175">
        <f t="shared" si="25"/>
        <v>372432.88135997282</v>
      </c>
      <c r="N71" s="20"/>
      <c r="O71" s="37" t="str">
        <f t="shared" si="45"/>
        <v/>
      </c>
      <c r="P71" s="62" t="str">
        <f t="shared" si="26"/>
        <v/>
      </c>
      <c r="Q71" s="16" t="str">
        <f t="shared" si="7"/>
        <v/>
      </c>
      <c r="R71" s="60">
        <f t="shared" si="27"/>
        <v>333</v>
      </c>
      <c r="S71" s="98">
        <f t="shared" si="28"/>
        <v>633.96195264003336</v>
      </c>
      <c r="T71" s="21">
        <f t="shared" si="29"/>
        <v>1.6999999999999999E-3</v>
      </c>
      <c r="AA71" s="14">
        <f t="shared" si="8"/>
        <v>-4335.670858456775</v>
      </c>
      <c r="AF71" s="36"/>
      <c r="AH71" s="6">
        <f t="shared" si="9"/>
        <v>1</v>
      </c>
      <c r="AI71" s="6">
        <f t="shared" si="10"/>
        <v>2</v>
      </c>
      <c r="AJ71" s="12">
        <f t="shared" si="11"/>
        <v>5</v>
      </c>
      <c r="AK71" s="72">
        <f t="shared" si="0"/>
        <v>31</v>
      </c>
      <c r="AQ71" s="8"/>
      <c r="AR71">
        <f t="shared" si="30"/>
        <v>25</v>
      </c>
      <c r="AS71">
        <f t="shared" si="31"/>
        <v>75</v>
      </c>
      <c r="AT71" s="183">
        <f t="shared" si="32"/>
        <v>47757</v>
      </c>
      <c r="AU71" s="2">
        <f t="shared" si="33"/>
        <v>3.0030030030030034E-3</v>
      </c>
      <c r="AV71" s="169">
        <f t="shared" si="34"/>
        <v>57</v>
      </c>
      <c r="AW71" s="165">
        <f t="shared" si="35"/>
        <v>3115.794595181676</v>
      </c>
      <c r="AX71" s="170">
        <f t="shared" si="41"/>
        <v>1119.8762632750988</v>
      </c>
      <c r="AY71" s="164" t="str">
        <f t="shared" si="44"/>
        <v>🐢</v>
      </c>
      <c r="AZ71" s="171" t="str">
        <f t="shared" si="13"/>
        <v>🛴</v>
      </c>
      <c r="BA71" s="172">
        <f t="shared" si="14"/>
        <v>485.91431063506548</v>
      </c>
      <c r="BB71" s="173">
        <f t="shared" si="15"/>
        <v>0.11207361594049145</v>
      </c>
      <c r="BC71" s="174">
        <f t="shared" si="16"/>
        <v>4335.670858456775</v>
      </c>
      <c r="BD71" s="175">
        <f t="shared" si="36"/>
        <v>372432.88135997282</v>
      </c>
      <c r="BE71" s="176"/>
      <c r="BF71" s="177" t="str">
        <f t="shared" si="46"/>
        <v/>
      </c>
      <c r="BG71" s="178" t="str">
        <f t="shared" si="37"/>
        <v/>
      </c>
      <c r="BH71" s="179" t="str">
        <f t="shared" si="18"/>
        <v/>
      </c>
      <c r="BI71" s="180">
        <f t="shared" si="38"/>
        <v>333</v>
      </c>
      <c r="BJ71" s="181">
        <f t="shared" si="42"/>
        <v>633.96195264003336</v>
      </c>
      <c r="BK71" s="182">
        <f t="shared" si="39"/>
        <v>1.6999999999999999E-3</v>
      </c>
    </row>
    <row r="72" spans="1:63" x14ac:dyDescent="0.25">
      <c r="A72" s="7">
        <f t="shared" si="19"/>
        <v>25</v>
      </c>
      <c r="B72" s="7">
        <f t="shared" si="20"/>
        <v>75</v>
      </c>
      <c r="C72" s="115">
        <f t="shared" si="21"/>
        <v>47788</v>
      </c>
      <c r="D72" s="2">
        <f t="shared" si="22"/>
        <v>3.0120481927710845E-3</v>
      </c>
      <c r="E72" s="169">
        <f t="shared" si="23"/>
        <v>58</v>
      </c>
      <c r="F72" s="165">
        <f t="shared" si="24"/>
        <v>3111.7347054674137</v>
      </c>
      <c r="G72" s="170">
        <f t="shared" si="40"/>
        <v>1121.7857872288339</v>
      </c>
      <c r="H72" s="164" t="str">
        <f t="shared" si="43"/>
        <v>🐢</v>
      </c>
      <c r="I72" s="171" t="str">
        <f t="shared" si="2"/>
        <v>🛴</v>
      </c>
      <c r="J72" s="172">
        <f t="shared" si="3"/>
        <v>488.64988891688017</v>
      </c>
      <c r="K72" s="173">
        <f t="shared" si="4"/>
        <v>0.11276048878514705</v>
      </c>
      <c r="L72" s="174">
        <f t="shared" si="5"/>
        <v>4333.5204926962479</v>
      </c>
      <c r="M72" s="175">
        <f t="shared" si="25"/>
        <v>371944.23147105594</v>
      </c>
      <c r="N72" s="20"/>
      <c r="O72" s="37" t="str">
        <f t="shared" si="45"/>
        <v/>
      </c>
      <c r="P72" s="62" t="str">
        <f t="shared" si="26"/>
        <v/>
      </c>
      <c r="Q72" s="16" t="str">
        <f t="shared" si="7"/>
        <v/>
      </c>
      <c r="R72" s="60">
        <f t="shared" si="27"/>
        <v>332</v>
      </c>
      <c r="S72" s="98">
        <f t="shared" si="28"/>
        <v>633.13589831195372</v>
      </c>
      <c r="T72" s="21">
        <f t="shared" si="29"/>
        <v>1.6999999999999999E-3</v>
      </c>
      <c r="AA72" s="14">
        <f t="shared" si="8"/>
        <v>-4333.5204926962479</v>
      </c>
      <c r="AH72" s="6">
        <f t="shared" si="9"/>
        <v>1</v>
      </c>
      <c r="AI72" s="6">
        <f t="shared" si="10"/>
        <v>2</v>
      </c>
      <c r="AJ72" s="12">
        <f t="shared" si="11"/>
        <v>5</v>
      </c>
      <c r="AK72" s="72">
        <f t="shared" si="0"/>
        <v>30</v>
      </c>
      <c r="AQ72" s="8"/>
      <c r="AR72">
        <f t="shared" si="30"/>
        <v>25</v>
      </c>
      <c r="AS72">
        <f t="shared" si="31"/>
        <v>75</v>
      </c>
      <c r="AT72" s="183">
        <f t="shared" si="32"/>
        <v>47788</v>
      </c>
      <c r="AU72" s="2">
        <f t="shared" si="33"/>
        <v>3.0120481927710845E-3</v>
      </c>
      <c r="AV72" s="169">
        <f t="shared" si="34"/>
        <v>58</v>
      </c>
      <c r="AW72" s="165">
        <f t="shared" si="35"/>
        <v>3111.7347054674137</v>
      </c>
      <c r="AX72" s="170">
        <f t="shared" si="41"/>
        <v>1121.7857872288339</v>
      </c>
      <c r="AY72" s="164" t="str">
        <f t="shared" si="44"/>
        <v>🐢</v>
      </c>
      <c r="AZ72" s="171" t="str">
        <f t="shared" si="13"/>
        <v>🛴</v>
      </c>
      <c r="BA72" s="172">
        <f t="shared" si="14"/>
        <v>488.64988891688017</v>
      </c>
      <c r="BB72" s="173">
        <f t="shared" si="15"/>
        <v>0.11276048878514705</v>
      </c>
      <c r="BC72" s="174">
        <f t="shared" si="16"/>
        <v>4333.5204926962479</v>
      </c>
      <c r="BD72" s="175">
        <f t="shared" si="36"/>
        <v>371944.23147105594</v>
      </c>
      <c r="BE72" s="176"/>
      <c r="BF72" s="177" t="str">
        <f t="shared" si="46"/>
        <v/>
      </c>
      <c r="BG72" s="178" t="str">
        <f t="shared" si="37"/>
        <v/>
      </c>
      <c r="BH72" s="179" t="str">
        <f t="shared" si="18"/>
        <v/>
      </c>
      <c r="BI72" s="180">
        <f t="shared" si="38"/>
        <v>332</v>
      </c>
      <c r="BJ72" s="181">
        <f t="shared" si="42"/>
        <v>633.13589831195372</v>
      </c>
      <c r="BK72" s="182">
        <f t="shared" si="39"/>
        <v>1.6999999999999999E-3</v>
      </c>
    </row>
    <row r="73" spans="1:63" x14ac:dyDescent="0.25">
      <c r="A73" s="7">
        <f t="shared" si="19"/>
        <v>25</v>
      </c>
      <c r="B73" s="7">
        <f t="shared" si="20"/>
        <v>75</v>
      </c>
      <c r="C73" s="115">
        <f t="shared" si="21"/>
        <v>47818</v>
      </c>
      <c r="D73" s="2">
        <f t="shared" si="22"/>
        <v>3.021148036253776E-3</v>
      </c>
      <c r="E73" s="169">
        <f t="shared" si="23"/>
        <v>59</v>
      </c>
      <c r="F73" s="165">
        <f t="shared" si="24"/>
        <v>3107.6519595707223</v>
      </c>
      <c r="G73" s="170">
        <f t="shared" si="40"/>
        <v>1123.6985845047006</v>
      </c>
      <c r="H73" s="164" t="str">
        <f t="shared" si="43"/>
        <v>🐢</v>
      </c>
      <c r="I73" s="171" t="str">
        <f t="shared" si="2"/>
        <v>🛴</v>
      </c>
      <c r="J73" s="172">
        <f t="shared" si="3"/>
        <v>491.39339100390555</v>
      </c>
      <c r="K73" s="173">
        <f t="shared" si="4"/>
        <v>0.11345038597165752</v>
      </c>
      <c r="L73" s="174">
        <f t="shared" si="5"/>
        <v>4331.3505440754234</v>
      </c>
      <c r="M73" s="175">
        <f t="shared" si="25"/>
        <v>371452.838080052</v>
      </c>
      <c r="N73" s="198"/>
      <c r="O73" s="37" t="str">
        <f t="shared" si="45"/>
        <v/>
      </c>
      <c r="P73" s="62" t="str">
        <f t="shared" si="26"/>
        <v/>
      </c>
      <c r="Q73" s="16" t="str">
        <f t="shared" si="7"/>
        <v/>
      </c>
      <c r="R73" s="60">
        <f t="shared" si="27"/>
        <v>331</v>
      </c>
      <c r="S73" s="98">
        <f t="shared" si="28"/>
        <v>632.3051935007951</v>
      </c>
      <c r="T73" s="21">
        <f t="shared" si="29"/>
        <v>1.6999999999999999E-3</v>
      </c>
      <c r="AA73" s="14">
        <f t="shared" si="8"/>
        <v>-4331.3505440754234</v>
      </c>
      <c r="AH73" s="6">
        <f t="shared" si="9"/>
        <v>1</v>
      </c>
      <c r="AI73" s="6">
        <f t="shared" si="10"/>
        <v>2</v>
      </c>
      <c r="AJ73" s="12">
        <f t="shared" si="11"/>
        <v>5</v>
      </c>
      <c r="AK73" s="72">
        <f t="shared" si="0"/>
        <v>31</v>
      </c>
      <c r="AQ73" s="8"/>
      <c r="AR73">
        <f t="shared" si="30"/>
        <v>25</v>
      </c>
      <c r="AS73">
        <f t="shared" si="31"/>
        <v>75</v>
      </c>
      <c r="AT73" s="183">
        <f t="shared" si="32"/>
        <v>47818</v>
      </c>
      <c r="AU73" s="2">
        <f t="shared" si="33"/>
        <v>3.021148036253776E-3</v>
      </c>
      <c r="AV73" s="169">
        <f t="shared" si="34"/>
        <v>59</v>
      </c>
      <c r="AW73" s="165">
        <f t="shared" si="35"/>
        <v>3107.6519595707223</v>
      </c>
      <c r="AX73" s="170">
        <f t="shared" si="41"/>
        <v>1123.6985845047006</v>
      </c>
      <c r="AY73" s="164" t="str">
        <f t="shared" si="44"/>
        <v>🐢</v>
      </c>
      <c r="AZ73" s="171" t="str">
        <f t="shared" si="13"/>
        <v>🛴</v>
      </c>
      <c r="BA73" s="172">
        <f t="shared" si="14"/>
        <v>491.39339100390555</v>
      </c>
      <c r="BB73" s="173">
        <f t="shared" si="15"/>
        <v>0.11345038597165752</v>
      </c>
      <c r="BC73" s="174">
        <f t="shared" si="16"/>
        <v>4331.3505440754234</v>
      </c>
      <c r="BD73" s="175">
        <f t="shared" si="36"/>
        <v>371452.838080052</v>
      </c>
      <c r="BE73" s="176"/>
      <c r="BF73" s="177" t="str">
        <f t="shared" si="46"/>
        <v/>
      </c>
      <c r="BG73" s="178" t="str">
        <f t="shared" si="37"/>
        <v/>
      </c>
      <c r="BH73" s="179" t="str">
        <f t="shared" si="18"/>
        <v/>
      </c>
      <c r="BI73" s="180">
        <f t="shared" si="38"/>
        <v>331</v>
      </c>
      <c r="BJ73" s="181">
        <f t="shared" si="42"/>
        <v>632.3051935007951</v>
      </c>
      <c r="BK73" s="182">
        <f t="shared" si="39"/>
        <v>1.6999999999999999E-3</v>
      </c>
    </row>
    <row r="74" spans="1:63" x14ac:dyDescent="0.25">
      <c r="A74" s="7">
        <f t="shared" si="19"/>
        <v>25</v>
      </c>
      <c r="B74" s="7">
        <f t="shared" si="20"/>
        <v>75</v>
      </c>
      <c r="C74" s="115">
        <f t="shared" si="21"/>
        <v>47849</v>
      </c>
      <c r="D74" s="2">
        <f t="shared" si="22"/>
        <v>3.0303030303030303E-3</v>
      </c>
      <c r="E74" s="169">
        <f t="shared" si="23"/>
        <v>60</v>
      </c>
      <c r="F74" s="165">
        <f t="shared" si="24"/>
        <v>3103.5462912869748</v>
      </c>
      <c r="G74" s="170">
        <f t="shared" si="40"/>
        <v>1125.6146608486424</v>
      </c>
      <c r="H74" s="164" t="str">
        <f t="shared" si="43"/>
        <v>🐢</v>
      </c>
      <c r="I74" s="171" t="str">
        <f t="shared" si="2"/>
        <v>🛴</v>
      </c>
      <c r="J74" s="172">
        <f t="shared" si="3"/>
        <v>494.144836112554</v>
      </c>
      <c r="K74" s="173">
        <f t="shared" si="4"/>
        <v>0.11414332744288189</v>
      </c>
      <c r="L74" s="185">
        <f t="shared" si="5"/>
        <v>4329.1609521356168</v>
      </c>
      <c r="M74" s="175">
        <f t="shared" si="25"/>
        <v>370958.69324393943</v>
      </c>
      <c r="N74" s="20"/>
      <c r="O74" s="37" t="str">
        <f t="shared" si="45"/>
        <v/>
      </c>
      <c r="P74" s="62" t="str">
        <f t="shared" si="26"/>
        <v/>
      </c>
      <c r="Q74" s="16" t="str">
        <f t="shared" si="7"/>
        <v/>
      </c>
      <c r="R74" s="60">
        <f t="shared" si="27"/>
        <v>330</v>
      </c>
      <c r="S74" s="98">
        <f t="shared" si="28"/>
        <v>631.46982473608841</v>
      </c>
      <c r="T74" s="21">
        <f t="shared" si="29"/>
        <v>1.6999999999999999E-3</v>
      </c>
      <c r="AA74" s="14">
        <f t="shared" si="8"/>
        <v>-4329.1609521356168</v>
      </c>
      <c r="AH74" s="6">
        <f t="shared" si="9"/>
        <v>1</v>
      </c>
      <c r="AI74" s="6">
        <f t="shared" si="10"/>
        <v>2</v>
      </c>
      <c r="AJ74" s="12">
        <f t="shared" si="11"/>
        <v>5</v>
      </c>
      <c r="AK74" s="72">
        <f t="shared" si="0"/>
        <v>31</v>
      </c>
      <c r="AQ74" s="8"/>
      <c r="AR74">
        <f t="shared" si="30"/>
        <v>25</v>
      </c>
      <c r="AS74">
        <f t="shared" si="31"/>
        <v>75</v>
      </c>
      <c r="AT74" s="183">
        <f t="shared" si="32"/>
        <v>47849</v>
      </c>
      <c r="AU74" s="2">
        <f t="shared" si="33"/>
        <v>3.0303030303030303E-3</v>
      </c>
      <c r="AV74" s="169">
        <f t="shared" si="34"/>
        <v>60</v>
      </c>
      <c r="AW74" s="165">
        <f t="shared" si="35"/>
        <v>3103.5462912869748</v>
      </c>
      <c r="AX74" s="170">
        <f t="shared" si="41"/>
        <v>1125.6146608486424</v>
      </c>
      <c r="AY74" s="164" t="str">
        <f t="shared" si="44"/>
        <v>🐢</v>
      </c>
      <c r="AZ74" s="171" t="str">
        <f t="shared" si="13"/>
        <v>🛴</v>
      </c>
      <c r="BA74" s="172">
        <f t="shared" si="14"/>
        <v>494.144836112554</v>
      </c>
      <c r="BB74" s="173">
        <f t="shared" si="15"/>
        <v>0.11414332744288189</v>
      </c>
      <c r="BC74" s="185">
        <f t="shared" si="16"/>
        <v>4329.1609521356168</v>
      </c>
      <c r="BD74" s="175">
        <f t="shared" si="36"/>
        <v>370958.69324393943</v>
      </c>
      <c r="BE74" s="176"/>
      <c r="BF74" s="177" t="str">
        <f t="shared" si="46"/>
        <v/>
      </c>
      <c r="BG74" s="178" t="str">
        <f t="shared" si="37"/>
        <v/>
      </c>
      <c r="BH74" s="179" t="str">
        <f t="shared" si="18"/>
        <v/>
      </c>
      <c r="BI74" s="180">
        <f t="shared" si="38"/>
        <v>330</v>
      </c>
      <c r="BJ74" s="181">
        <f t="shared" si="42"/>
        <v>631.46982473608841</v>
      </c>
      <c r="BK74" s="182">
        <f t="shared" si="39"/>
        <v>1.6999999999999999E-3</v>
      </c>
    </row>
    <row r="75" spans="1:63" x14ac:dyDescent="0.25">
      <c r="A75" s="7">
        <f t="shared" si="19"/>
        <v>25</v>
      </c>
      <c r="B75" s="7">
        <f t="shared" si="20"/>
        <v>75</v>
      </c>
      <c r="C75" s="115">
        <f t="shared" si="21"/>
        <v>47880</v>
      </c>
      <c r="D75" s="2">
        <f t="shared" si="22"/>
        <v>3.0395136778115506E-3</v>
      </c>
      <c r="E75" s="169">
        <f t="shared" si="23"/>
        <v>61</v>
      </c>
      <c r="F75" s="165">
        <f t="shared" si="24"/>
        <v>3099.41763425099</v>
      </c>
      <c r="G75" s="170">
        <f t="shared" si="40"/>
        <v>1127.5340220180531</v>
      </c>
      <c r="H75" s="164" t="str">
        <f t="shared" si="43"/>
        <v>🐢</v>
      </c>
      <c r="I75" s="171" t="str">
        <f t="shared" si="2"/>
        <v>🛴</v>
      </c>
      <c r="J75" s="172">
        <f t="shared" si="3"/>
        <v>496.90424350335604</v>
      </c>
      <c r="K75" s="173">
        <f t="shared" si="4"/>
        <v>0.11483933331758475</v>
      </c>
      <c r="L75" s="174">
        <f t="shared" si="5"/>
        <v>4326.9516562690433</v>
      </c>
      <c r="M75" s="175">
        <f t="shared" si="25"/>
        <v>370461.78900043602</v>
      </c>
      <c r="N75" s="20"/>
      <c r="O75" s="37"/>
      <c r="P75" s="62" t="str">
        <f t="shared" si="26"/>
        <v/>
      </c>
      <c r="Q75" s="16" t="str">
        <f t="shared" si="7"/>
        <v/>
      </c>
      <c r="R75" s="60">
        <f t="shared" si="27"/>
        <v>329</v>
      </c>
      <c r="S75" s="98">
        <f t="shared" si="28"/>
        <v>630.62977851469702</v>
      </c>
      <c r="T75" s="21">
        <f t="shared" si="29"/>
        <v>1.6999999999999999E-3</v>
      </c>
      <c r="AA75" s="14">
        <f t="shared" si="8"/>
        <v>-4326.9516562690433</v>
      </c>
      <c r="AH75" s="6">
        <f t="shared" si="9"/>
        <v>1</v>
      </c>
      <c r="AI75" s="6">
        <f t="shared" si="10"/>
        <v>2</v>
      </c>
      <c r="AJ75" s="12">
        <f t="shared" si="11"/>
        <v>6</v>
      </c>
      <c r="AK75" s="72">
        <f t="shared" si="0"/>
        <v>28</v>
      </c>
      <c r="AQ75" s="8"/>
      <c r="AR75">
        <f t="shared" si="30"/>
        <v>25</v>
      </c>
      <c r="AS75">
        <f t="shared" si="31"/>
        <v>75</v>
      </c>
      <c r="AT75" s="183">
        <f t="shared" si="32"/>
        <v>47880</v>
      </c>
      <c r="AU75" s="2">
        <f t="shared" si="33"/>
        <v>3.0395136778115506E-3</v>
      </c>
      <c r="AV75" s="169">
        <f t="shared" si="34"/>
        <v>61</v>
      </c>
      <c r="AW75" s="165">
        <f t="shared" si="35"/>
        <v>3099.41763425099</v>
      </c>
      <c r="AX75" s="170">
        <f t="shared" si="41"/>
        <v>1127.5340220180531</v>
      </c>
      <c r="AY75" s="164" t="str">
        <f t="shared" si="44"/>
        <v>🐢</v>
      </c>
      <c r="AZ75" s="171" t="str">
        <f t="shared" si="13"/>
        <v>🛴</v>
      </c>
      <c r="BA75" s="172">
        <f t="shared" si="14"/>
        <v>496.90424350335604</v>
      </c>
      <c r="BB75" s="173">
        <f t="shared" si="15"/>
        <v>0.11483933331758475</v>
      </c>
      <c r="BC75" s="174">
        <f t="shared" si="16"/>
        <v>4326.9516562690433</v>
      </c>
      <c r="BD75" s="175">
        <f t="shared" si="36"/>
        <v>370461.78900043602</v>
      </c>
      <c r="BE75" s="184"/>
      <c r="BF75" s="177"/>
      <c r="BG75" s="178" t="str">
        <f t="shared" si="37"/>
        <v/>
      </c>
      <c r="BH75" s="179" t="str">
        <f t="shared" si="18"/>
        <v/>
      </c>
      <c r="BI75" s="180">
        <f t="shared" si="38"/>
        <v>329</v>
      </c>
      <c r="BJ75" s="181">
        <f t="shared" si="42"/>
        <v>630.62977851469702</v>
      </c>
      <c r="BK75" s="182">
        <f t="shared" si="39"/>
        <v>1.6999999999999999E-3</v>
      </c>
    </row>
    <row r="76" spans="1:63" x14ac:dyDescent="0.25">
      <c r="A76" s="7">
        <f t="shared" si="19"/>
        <v>25</v>
      </c>
      <c r="B76" s="7">
        <f t="shared" si="20"/>
        <v>75</v>
      </c>
      <c r="C76" s="115">
        <f t="shared" si="21"/>
        <v>47908</v>
      </c>
      <c r="D76" s="2">
        <f t="shared" si="22"/>
        <v>3.0487804878048782E-3</v>
      </c>
      <c r="E76" s="169">
        <f t="shared" si="23"/>
        <v>62</v>
      </c>
      <c r="F76" s="165">
        <f t="shared" si="24"/>
        <v>3095.2659219366597</v>
      </c>
      <c r="G76" s="170">
        <f t="shared" si="40"/>
        <v>1129.4566737818172</v>
      </c>
      <c r="H76" s="164" t="str">
        <f t="shared" si="43"/>
        <v>🐢</v>
      </c>
      <c r="I76" s="171" t="str">
        <f t="shared" si="2"/>
        <v>🛴</v>
      </c>
      <c r="J76" s="172">
        <f t="shared" si="3"/>
        <v>499.67163248107602</v>
      </c>
      <c r="K76" s="173">
        <f t="shared" si="4"/>
        <v>0.11553842389238017</v>
      </c>
      <c r="L76" s="174">
        <f t="shared" si="5"/>
        <v>4324.7225957184764</v>
      </c>
      <c r="M76" s="175">
        <f t="shared" si="25"/>
        <v>369962.11736795498</v>
      </c>
      <c r="N76" s="20"/>
      <c r="O76" s="37" t="str">
        <f t="shared" ref="O76:O107" si="47">IF(AND(N76&lt;&gt;"",N76&lt;R76),"V","")</f>
        <v/>
      </c>
      <c r="P76" s="62" t="str">
        <f t="shared" si="26"/>
        <v/>
      </c>
      <c r="Q76" s="16" t="str">
        <f t="shared" si="7"/>
        <v/>
      </c>
      <c r="R76" s="60">
        <f t="shared" si="27"/>
        <v>328</v>
      </c>
      <c r="S76" s="98">
        <f t="shared" si="28"/>
        <v>629.78504130074123</v>
      </c>
      <c r="T76" s="21">
        <f t="shared" si="29"/>
        <v>1.6999999999999999E-3</v>
      </c>
      <c r="AA76" s="14">
        <f t="shared" si="8"/>
        <v>-4324.7225957184764</v>
      </c>
      <c r="AH76" s="6">
        <f t="shared" si="9"/>
        <v>1</v>
      </c>
      <c r="AI76" s="6">
        <f t="shared" si="10"/>
        <v>2</v>
      </c>
      <c r="AJ76" s="12">
        <f t="shared" si="11"/>
        <v>6</v>
      </c>
      <c r="AK76" s="72">
        <f t="shared" si="0"/>
        <v>31</v>
      </c>
      <c r="AQ76" s="8"/>
      <c r="AR76">
        <f t="shared" si="30"/>
        <v>25</v>
      </c>
      <c r="AS76">
        <f t="shared" si="31"/>
        <v>75</v>
      </c>
      <c r="AT76" s="183">
        <f t="shared" si="32"/>
        <v>47908</v>
      </c>
      <c r="AU76" s="2">
        <f t="shared" si="33"/>
        <v>3.0487804878048782E-3</v>
      </c>
      <c r="AV76" s="169">
        <f t="shared" si="34"/>
        <v>62</v>
      </c>
      <c r="AW76" s="165">
        <f t="shared" si="35"/>
        <v>3095.2659219366597</v>
      </c>
      <c r="AX76" s="170">
        <f t="shared" si="41"/>
        <v>1129.4566737818172</v>
      </c>
      <c r="AY76" s="164" t="str">
        <f t="shared" si="44"/>
        <v>🐢</v>
      </c>
      <c r="AZ76" s="171" t="str">
        <f t="shared" si="13"/>
        <v>🛴</v>
      </c>
      <c r="BA76" s="172">
        <f t="shared" si="14"/>
        <v>499.67163248107602</v>
      </c>
      <c r="BB76" s="173">
        <f t="shared" si="15"/>
        <v>0.11553842389238017</v>
      </c>
      <c r="BC76" s="174">
        <f t="shared" si="16"/>
        <v>4324.7225957184764</v>
      </c>
      <c r="BD76" s="175">
        <f t="shared" si="36"/>
        <v>369962.11736795498</v>
      </c>
      <c r="BE76" s="176"/>
      <c r="BF76" s="177" t="str">
        <f t="shared" ref="BF76:BF128" si="48">IF(AND(BE76&lt;&gt;"",BE76&lt;BI76),"V","")</f>
        <v/>
      </c>
      <c r="BG76" s="178" t="str">
        <f t="shared" si="37"/>
        <v/>
      </c>
      <c r="BH76" s="179" t="str">
        <f t="shared" si="18"/>
        <v/>
      </c>
      <c r="BI76" s="180">
        <f t="shared" si="38"/>
        <v>328</v>
      </c>
      <c r="BJ76" s="181">
        <f t="shared" si="42"/>
        <v>629.78504130074123</v>
      </c>
      <c r="BK76" s="182">
        <f t="shared" si="39"/>
        <v>1.6999999999999999E-3</v>
      </c>
    </row>
    <row r="77" spans="1:63" x14ac:dyDescent="0.25">
      <c r="A77" s="7">
        <f t="shared" si="19"/>
        <v>25</v>
      </c>
      <c r="B77" s="7">
        <f t="shared" si="20"/>
        <v>75</v>
      </c>
      <c r="C77" s="115">
        <f t="shared" si="21"/>
        <v>47939</v>
      </c>
      <c r="D77" s="2">
        <f t="shared" si="22"/>
        <v>3.0581039755351678E-3</v>
      </c>
      <c r="E77" s="169">
        <f t="shared" si="23"/>
        <v>63</v>
      </c>
      <c r="F77" s="165">
        <f t="shared" si="24"/>
        <v>3091.0910876565845</v>
      </c>
      <c r="G77" s="170">
        <f t="shared" si="40"/>
        <v>1131.3826219203515</v>
      </c>
      <c r="H77" s="164" t="str">
        <f t="shared" si="43"/>
        <v>🐢</v>
      </c>
      <c r="I77" s="171" t="str">
        <f t="shared" si="2"/>
        <v>🛴</v>
      </c>
      <c r="J77" s="172">
        <f t="shared" si="3"/>
        <v>502.44702239482808</v>
      </c>
      <c r="K77" s="173">
        <f t="shared" si="4"/>
        <v>0.11624061964370057</v>
      </c>
      <c r="L77" s="174">
        <f t="shared" si="5"/>
        <v>4322.473709576936</v>
      </c>
      <c r="M77" s="175">
        <f t="shared" si="25"/>
        <v>369459.67034556012</v>
      </c>
      <c r="N77" s="20"/>
      <c r="O77" s="37" t="str">
        <f t="shared" si="47"/>
        <v/>
      </c>
      <c r="P77" s="62" t="str">
        <f t="shared" si="26"/>
        <v/>
      </c>
      <c r="Q77" s="16" t="str">
        <f t="shared" si="7"/>
        <v/>
      </c>
      <c r="R77" s="60">
        <f t="shared" si="27"/>
        <v>327</v>
      </c>
      <c r="S77" s="98">
        <f t="shared" si="28"/>
        <v>628.93559952552346</v>
      </c>
      <c r="T77" s="21">
        <f t="shared" si="29"/>
        <v>1.6999999999999999E-3</v>
      </c>
      <c r="AA77" s="14">
        <f t="shared" si="8"/>
        <v>-4322.473709576936</v>
      </c>
      <c r="AH77" s="6">
        <f t="shared" si="9"/>
        <v>1</v>
      </c>
      <c r="AI77" s="6">
        <f t="shared" si="10"/>
        <v>2</v>
      </c>
      <c r="AJ77" s="12">
        <f t="shared" si="11"/>
        <v>6</v>
      </c>
      <c r="AK77" s="72">
        <f t="shared" si="0"/>
        <v>30</v>
      </c>
      <c r="AQ77" s="8"/>
      <c r="AR77">
        <f t="shared" si="30"/>
        <v>25</v>
      </c>
      <c r="AS77">
        <f t="shared" si="31"/>
        <v>75</v>
      </c>
      <c r="AT77" s="183">
        <f t="shared" si="32"/>
        <v>47939</v>
      </c>
      <c r="AU77" s="2">
        <f t="shared" si="33"/>
        <v>3.0581039755351678E-3</v>
      </c>
      <c r="AV77" s="169">
        <f t="shared" si="34"/>
        <v>63</v>
      </c>
      <c r="AW77" s="165">
        <f t="shared" si="35"/>
        <v>3091.0910876565845</v>
      </c>
      <c r="AX77" s="170">
        <f t="shared" si="41"/>
        <v>1131.3826219203515</v>
      </c>
      <c r="AY77" s="164" t="str">
        <f t="shared" si="44"/>
        <v>🐢</v>
      </c>
      <c r="AZ77" s="171" t="str">
        <f t="shared" si="13"/>
        <v>🛴</v>
      </c>
      <c r="BA77" s="172">
        <f t="shared" si="14"/>
        <v>502.44702239482808</v>
      </c>
      <c r="BB77" s="173">
        <f t="shared" si="15"/>
        <v>0.11624061964370057</v>
      </c>
      <c r="BC77" s="174">
        <f t="shared" si="16"/>
        <v>4322.473709576936</v>
      </c>
      <c r="BD77" s="175">
        <f t="shared" si="36"/>
        <v>369459.67034556012</v>
      </c>
      <c r="BE77" s="176"/>
      <c r="BF77" s="177" t="str">
        <f t="shared" si="48"/>
        <v/>
      </c>
      <c r="BG77" s="178" t="str">
        <f t="shared" si="37"/>
        <v/>
      </c>
      <c r="BH77" s="179" t="str">
        <f t="shared" si="18"/>
        <v/>
      </c>
      <c r="BI77" s="180">
        <f t="shared" si="38"/>
        <v>327</v>
      </c>
      <c r="BJ77" s="181">
        <f t="shared" si="42"/>
        <v>628.93559952552346</v>
      </c>
      <c r="BK77" s="182">
        <f t="shared" si="39"/>
        <v>1.6999999999999999E-3</v>
      </c>
    </row>
    <row r="78" spans="1:63" x14ac:dyDescent="0.25">
      <c r="A78" s="7">
        <f t="shared" si="19"/>
        <v>25</v>
      </c>
      <c r="B78" s="7">
        <f t="shared" si="20"/>
        <v>75</v>
      </c>
      <c r="C78" s="115">
        <f t="shared" si="21"/>
        <v>47969</v>
      </c>
      <c r="D78" s="2">
        <f t="shared" si="22"/>
        <v>3.0674846625766868E-3</v>
      </c>
      <c r="E78" s="169">
        <f t="shared" si="23"/>
        <v>64</v>
      </c>
      <c r="F78" s="165">
        <f t="shared" si="24"/>
        <v>3086.8930645616965</v>
      </c>
      <c r="G78" s="170">
        <f t="shared" si="40"/>
        <v>1133.3118722256445</v>
      </c>
      <c r="H78" s="164" t="str">
        <f t="shared" si="43"/>
        <v>🐢</v>
      </c>
      <c r="I78" s="171" t="str">
        <f t="shared" si="2"/>
        <v>🛴</v>
      </c>
      <c r="J78" s="172">
        <f t="shared" si="3"/>
        <v>505.23043263819227</v>
      </c>
      <c r="K78" s="173">
        <f t="shared" si="4"/>
        <v>0.11694594122979261</v>
      </c>
      <c r="L78" s="174">
        <f t="shared" si="5"/>
        <v>4320.2049367873406</v>
      </c>
      <c r="M78" s="175">
        <f t="shared" si="25"/>
        <v>368954.43991292192</v>
      </c>
      <c r="N78" s="20"/>
      <c r="O78" s="37" t="str">
        <f t="shared" si="47"/>
        <v/>
      </c>
      <c r="P78" s="62" t="str">
        <f t="shared" si="26"/>
        <v/>
      </c>
      <c r="Q78" s="16" t="str">
        <f t="shared" si="7"/>
        <v/>
      </c>
      <c r="R78" s="60">
        <f t="shared" si="27"/>
        <v>326</v>
      </c>
      <c r="S78" s="98">
        <f t="shared" si="28"/>
        <v>628.08143958745222</v>
      </c>
      <c r="T78" s="21">
        <f t="shared" si="29"/>
        <v>1.6999999999999999E-3</v>
      </c>
      <c r="AA78" s="14">
        <f t="shared" si="8"/>
        <v>-4320.2049367873406</v>
      </c>
      <c r="AH78" s="6">
        <f t="shared" si="9"/>
        <v>1</v>
      </c>
      <c r="AI78" s="6">
        <f t="shared" si="10"/>
        <v>2</v>
      </c>
      <c r="AJ78" s="12">
        <f t="shared" si="11"/>
        <v>6</v>
      </c>
      <c r="AK78" s="72">
        <f t="shared" ref="AK78:AK141" si="49">DAY(DATE(YEAR(C78),MONTH(C78)+1,1)-1)</f>
        <v>31</v>
      </c>
      <c r="AQ78" s="8"/>
      <c r="AR78">
        <f t="shared" si="30"/>
        <v>25</v>
      </c>
      <c r="AS78">
        <f t="shared" si="31"/>
        <v>75</v>
      </c>
      <c r="AT78" s="183">
        <f t="shared" si="32"/>
        <v>47969</v>
      </c>
      <c r="AU78" s="2">
        <f t="shared" si="33"/>
        <v>3.0674846625766868E-3</v>
      </c>
      <c r="AV78" s="169">
        <f t="shared" si="34"/>
        <v>64</v>
      </c>
      <c r="AW78" s="165">
        <f t="shared" si="35"/>
        <v>3086.8930645616965</v>
      </c>
      <c r="AX78" s="170">
        <f t="shared" si="41"/>
        <v>1133.3118722256445</v>
      </c>
      <c r="AY78" s="164" t="str">
        <f t="shared" si="44"/>
        <v>🐢</v>
      </c>
      <c r="AZ78" s="171" t="str">
        <f t="shared" si="13"/>
        <v>🛴</v>
      </c>
      <c r="BA78" s="172">
        <f t="shared" si="14"/>
        <v>505.23043263819227</v>
      </c>
      <c r="BB78" s="173">
        <f t="shared" si="15"/>
        <v>0.11694594122979261</v>
      </c>
      <c r="BC78" s="174">
        <f t="shared" si="16"/>
        <v>4320.2049367873406</v>
      </c>
      <c r="BD78" s="175">
        <f t="shared" si="36"/>
        <v>368954.43991292192</v>
      </c>
      <c r="BE78" s="176"/>
      <c r="BF78" s="177" t="str">
        <f t="shared" si="48"/>
        <v/>
      </c>
      <c r="BG78" s="178" t="str">
        <f t="shared" si="37"/>
        <v/>
      </c>
      <c r="BH78" s="179" t="str">
        <f t="shared" si="18"/>
        <v/>
      </c>
      <c r="BI78" s="180">
        <f t="shared" si="38"/>
        <v>326</v>
      </c>
      <c r="BJ78" s="181">
        <f t="shared" si="42"/>
        <v>628.08143958745222</v>
      </c>
      <c r="BK78" s="182">
        <f t="shared" si="39"/>
        <v>1.6999999999999999E-3</v>
      </c>
    </row>
    <row r="79" spans="1:63" x14ac:dyDescent="0.25">
      <c r="A79" s="7">
        <f t="shared" si="19"/>
        <v>25</v>
      </c>
      <c r="B79" s="7">
        <f t="shared" si="20"/>
        <v>75</v>
      </c>
      <c r="C79" s="115">
        <f t="shared" si="21"/>
        <v>48000</v>
      </c>
      <c r="D79" s="2">
        <f t="shared" ref="D79:D142" si="50">IFERROR(G79/M78,0)</f>
        <v>3.0769230769230769E-3</v>
      </c>
      <c r="E79" s="169">
        <f t="shared" si="23"/>
        <v>65</v>
      </c>
      <c r="F79" s="165">
        <f t="shared" si="24"/>
        <v>3082.6717856408941</v>
      </c>
      <c r="G79" s="170">
        <f t="shared" si="40"/>
        <v>1135.2444305012982</v>
      </c>
      <c r="H79" s="164" t="str">
        <f t="shared" si="43"/>
        <v>🐢</v>
      </c>
      <c r="I79" s="171" t="str">
        <f t="shared" ref="I79:I142" si="51">IFERROR(IF((G79+N79-S79)/L79&lt;0,"🔙",IF((G79+N79-S79)/L79&lt;10%,"🥾",IF((G79+N79-S79)/L79&lt;20%,"🛴",IF((G79+N79-S79)/L79&lt;50%,"🚴‍♂️",IF((G79+N79-S79)/L79&lt;75%,"🚖","🚁"))))),"")</f>
        <v>🛴</v>
      </c>
      <c r="J79" s="172">
        <f t="shared" ref="J79:J142" si="52">G79+N79-S79</f>
        <v>508.02188264933102</v>
      </c>
      <c r="K79" s="173">
        <f t="shared" ref="K79:K142" si="53">IFERROR(J79/(L79+N79),0)</f>
        <v>0.11765440949273888</v>
      </c>
      <c r="L79" s="174">
        <f t="shared" ref="L79:L142" si="54">G79+F79+A79+B79</f>
        <v>4317.9162161421918</v>
      </c>
      <c r="M79" s="175">
        <f t="shared" si="25"/>
        <v>368446.41803027259</v>
      </c>
      <c r="N79" s="20"/>
      <c r="O79" s="37" t="str">
        <f t="shared" si="47"/>
        <v/>
      </c>
      <c r="P79" s="62" t="str">
        <f t="shared" si="26"/>
        <v/>
      </c>
      <c r="Q79" s="16" t="str">
        <f t="shared" ref="Q79:Q142" si="55">IF(N79=0,"",IF(N79&gt;M79,"🚫",IF(INT(N79/G79&lt;1),"👍",INT(N79/G79)&amp;"x")))</f>
        <v/>
      </c>
      <c r="R79" s="60">
        <f t="shared" si="27"/>
        <v>325</v>
      </c>
      <c r="S79" s="98">
        <f t="shared" si="28"/>
        <v>627.22254785196719</v>
      </c>
      <c r="T79" s="21">
        <f t="shared" si="29"/>
        <v>1.6999999999999999E-3</v>
      </c>
      <c r="AA79" s="14">
        <f t="shared" ref="AA79:AA142" si="56">-(L79+N79)</f>
        <v>-4317.9162161421918</v>
      </c>
      <c r="AH79" s="6">
        <f t="shared" ref="AH79:AH142" si="57">ROUNDUP(E79/120,0)</f>
        <v>1</v>
      </c>
      <c r="AI79" s="6">
        <f t="shared" ref="AI79:AI142" si="58">ROUNDUP(E79/36,0)</f>
        <v>2</v>
      </c>
      <c r="AJ79" s="12">
        <f t="shared" ref="AJ79:AJ142" si="59">ROUNDUP(E79/12,0)</f>
        <v>6</v>
      </c>
      <c r="AK79" s="72">
        <f t="shared" si="49"/>
        <v>30</v>
      </c>
      <c r="AQ79" s="8"/>
      <c r="AR79">
        <f t="shared" si="30"/>
        <v>25</v>
      </c>
      <c r="AS79">
        <f t="shared" si="31"/>
        <v>75</v>
      </c>
      <c r="AT79" s="183">
        <f t="shared" si="32"/>
        <v>48000</v>
      </c>
      <c r="AU79" s="2">
        <f t="shared" si="33"/>
        <v>3.0769230769230769E-3</v>
      </c>
      <c r="AV79" s="169">
        <f t="shared" si="34"/>
        <v>65</v>
      </c>
      <c r="AW79" s="165">
        <f t="shared" si="35"/>
        <v>3082.6717856408941</v>
      </c>
      <c r="AX79" s="170">
        <f t="shared" si="41"/>
        <v>1135.2444305012982</v>
      </c>
      <c r="AY79" s="164" t="str">
        <f t="shared" si="44"/>
        <v>🐢</v>
      </c>
      <c r="AZ79" s="171" t="str">
        <f t="shared" ref="AZ79:AZ142" si="60">IFERROR(IF((AX79+BE79-BJ79)/BC79&lt;0,"🔙",IF((AX79+BE79-BJ79)/BC79&lt;10%,"🥾",IF((AX79+BE79-BJ79)/BC79&lt;20%,"🛴",IF((AX79+BE79-BJ79)/BC79&lt;50%,"🚴‍♂️",IF((AX79+BE79-BJ79)/BC79&lt;75%,"🚖","🚁"))))),"")</f>
        <v>🛴</v>
      </c>
      <c r="BA79" s="172">
        <f t="shared" ref="BA79:BA142" si="61">AX79+BE79-BJ79</f>
        <v>508.02188264933102</v>
      </c>
      <c r="BB79" s="173">
        <f t="shared" ref="BB79:BB142" si="62">IFERROR(BA79/(BC79+BE79),0)</f>
        <v>0.11765440949273888</v>
      </c>
      <c r="BC79" s="174">
        <f t="shared" ref="BC79:BC142" si="63">AX79+AW79+AR79+AS79</f>
        <v>4317.9162161421918</v>
      </c>
      <c r="BD79" s="175">
        <f t="shared" si="36"/>
        <v>368446.41803027259</v>
      </c>
      <c r="BE79" s="176"/>
      <c r="BF79" s="177" t="str">
        <f t="shared" si="48"/>
        <v/>
      </c>
      <c r="BG79" s="178" t="str">
        <f t="shared" si="37"/>
        <v/>
      </c>
      <c r="BH79" s="179" t="str">
        <f t="shared" ref="BH79:BH142" si="64">IF(BE79=0,"",IF(BE79&gt;BD79,"🚫",IF(INT(BE79/AX79&lt;1),"👍",INT(BE79/AX79)&amp;"x")))</f>
        <v/>
      </c>
      <c r="BI79" s="180">
        <f t="shared" si="38"/>
        <v>325</v>
      </c>
      <c r="BJ79" s="181">
        <f t="shared" si="42"/>
        <v>627.22254785196719</v>
      </c>
      <c r="BK79" s="182">
        <f t="shared" si="39"/>
        <v>1.6999999999999999E-3</v>
      </c>
    </row>
    <row r="80" spans="1:63" x14ac:dyDescent="0.25">
      <c r="A80" s="7">
        <f t="shared" ref="A80:A143" si="65">IF(INT(F80)&gt;0,A79,0)</f>
        <v>25</v>
      </c>
      <c r="B80" s="7">
        <f t="shared" ref="B80:B143" si="66">IF(F80&gt;0.1,B79,0)</f>
        <v>75</v>
      </c>
      <c r="C80" s="115">
        <f t="shared" ref="C80:C143" si="67">DATE(YEAR(C79),MONTH(C79)+1,1)</f>
        <v>48030</v>
      </c>
      <c r="D80" s="2">
        <f t="shared" si="50"/>
        <v>3.08641975308642E-3</v>
      </c>
      <c r="E80" s="169">
        <f t="shared" ref="E80:E143" si="68">E79+1</f>
        <v>66</v>
      </c>
      <c r="F80" s="165">
        <f t="shared" ref="F80:F143" si="69">IF(OR(M79&lt;1,N79&gt;M79),0,(M79-N79)*IF(D$11&lt;&gt;"BB",$E$7,(1+$D$7)^(AK79/365)-1))</f>
        <v>3078.4271837206652</v>
      </c>
      <c r="G80" s="170">
        <f t="shared" si="40"/>
        <v>1137.1803025625698</v>
      </c>
      <c r="H80" s="164" t="str">
        <f t="shared" si="43"/>
        <v>🐢</v>
      </c>
      <c r="I80" s="171" t="str">
        <f t="shared" si="51"/>
        <v>🛴</v>
      </c>
      <c r="J80" s="172">
        <f t="shared" si="52"/>
        <v>510.82139191110639</v>
      </c>
      <c r="K80" s="173">
        <f t="shared" si="53"/>
        <v>0.11836604546050716</v>
      </c>
      <c r="L80" s="174">
        <f t="shared" si="54"/>
        <v>4315.6074862832347</v>
      </c>
      <c r="M80" s="175">
        <f t="shared" ref="M80:M143" si="70">IF(R80=0,0,MAX(0,M79-G80+S80-N79))</f>
        <v>367935.59663836152</v>
      </c>
      <c r="N80" s="20"/>
      <c r="O80" s="37" t="str">
        <f t="shared" si="47"/>
        <v/>
      </c>
      <c r="P80" s="62" t="str">
        <f t="shared" ref="P80:P143" si="71">IF(N79=0,"",(L79-L80)/N79)</f>
        <v/>
      </c>
      <c r="Q80" s="16" t="str">
        <f t="shared" si="55"/>
        <v/>
      </c>
      <c r="R80" s="60">
        <f t="shared" ref="R80:R143" si="72">IF(M79=0,0,IF(OR(N79=0,O79="V"),R79-1,IF(OR(D$11="BRADESCO",D$11="BB"),R79-ROUNDDOWN(N79/(M79/R79),0)-1,ROUNDUP((M79-N79+S79-(M79/R79))/(L79-F80-A80-B80),0)+1)))</f>
        <v>324</v>
      </c>
      <c r="S80" s="98">
        <f t="shared" ref="S80:S143" si="73">M79*$T80</f>
        <v>626.35891065146336</v>
      </c>
      <c r="T80" s="21">
        <f t="shared" ref="T80:T143" si="74">IF(M79&gt;0,T79,0)</f>
        <v>1.6999999999999999E-3</v>
      </c>
      <c r="AA80" s="14">
        <f t="shared" si="56"/>
        <v>-4315.6074862832347</v>
      </c>
      <c r="AH80" s="6">
        <f t="shared" si="57"/>
        <v>1</v>
      </c>
      <c r="AI80" s="6">
        <f t="shared" si="58"/>
        <v>2</v>
      </c>
      <c r="AJ80" s="12">
        <f t="shared" si="59"/>
        <v>6</v>
      </c>
      <c r="AK80" s="72">
        <f t="shared" si="49"/>
        <v>31</v>
      </c>
      <c r="AQ80" s="8"/>
      <c r="AR80">
        <f t="shared" ref="AR80:AR143" si="75">IF(INT(AW80)&gt;0,AR79,0)</f>
        <v>25</v>
      </c>
      <c r="AS80">
        <f t="shared" ref="AS80:AS143" si="76">IF(AW80&gt;0.1,AS79,0)</f>
        <v>75</v>
      </c>
      <c r="AT80" s="183">
        <f t="shared" ref="AT80:AT143" si="77">DATE(YEAR(AT79),MONTH(AT79)+1,1)</f>
        <v>48030</v>
      </c>
      <c r="AU80" s="2">
        <f t="shared" ref="AU80:AU143" si="78">IFERROR(AX80/BD79,0)</f>
        <v>3.08641975308642E-3</v>
      </c>
      <c r="AV80" s="169">
        <f t="shared" ref="AV80:AV143" si="79">AV79+1</f>
        <v>66</v>
      </c>
      <c r="AW80" s="165">
        <f t="shared" ref="AW80:AW143" si="80">IF(OR(BD79&lt;1,BE79&gt;BD79),0,(BD79-BE79)*IF(AU$11&lt;&gt;"BB",$E$7,(1+$D$7)^(BY79/365)-1))</f>
        <v>3078.4271837206652</v>
      </c>
      <c r="AX80" s="170">
        <f t="shared" si="41"/>
        <v>1137.1803025625698</v>
      </c>
      <c r="AY80" s="164" t="str">
        <f t="shared" si="44"/>
        <v>🐢</v>
      </c>
      <c r="AZ80" s="171" t="str">
        <f t="shared" si="60"/>
        <v>🛴</v>
      </c>
      <c r="BA80" s="172">
        <f t="shared" si="61"/>
        <v>510.82139191110639</v>
      </c>
      <c r="BB80" s="173">
        <f t="shared" si="62"/>
        <v>0.11836604546050716</v>
      </c>
      <c r="BC80" s="174">
        <f t="shared" si="63"/>
        <v>4315.6074862832347</v>
      </c>
      <c r="BD80" s="175">
        <f t="shared" ref="BD80:BD143" si="81">IF(BI80=0,0,MAX(0,BD79-AX80+BJ80-BE79))</f>
        <v>367935.59663836152</v>
      </c>
      <c r="BE80" s="176"/>
      <c r="BF80" s="177" t="str">
        <f t="shared" si="48"/>
        <v/>
      </c>
      <c r="BG80" s="178" t="str">
        <f t="shared" ref="BG80:BG143" si="82">IF(BE79=0,"",(BC79-BC80)/BE79)</f>
        <v/>
      </c>
      <c r="BH80" s="179" t="str">
        <f t="shared" si="64"/>
        <v/>
      </c>
      <c r="BI80" s="180">
        <f t="shared" ref="BI80:BI143" si="83">IF(BD79=0,0,IF(OR(BE79=0,BF79="V"),BI79-1,IF(OR(AU$11="BRADESCO",AU$11="BB"),BI79-ROUNDDOWN(BE79/(BD79/BI79),0)-1,ROUNDUP((BD79-BE79+BJ79-(BD79/BI79))/(BC79-AW80-AR80-AS80),0)+1)))</f>
        <v>324</v>
      </c>
      <c r="BJ80" s="181">
        <f t="shared" si="42"/>
        <v>626.35891065146336</v>
      </c>
      <c r="BK80" s="182">
        <f t="shared" ref="BK80:BK143" si="84">IF(BD79&gt;0,BK79,0)</f>
        <v>1.6999999999999999E-3</v>
      </c>
    </row>
    <row r="81" spans="1:63" x14ac:dyDescent="0.25">
      <c r="A81" s="7">
        <f t="shared" si="65"/>
        <v>25</v>
      </c>
      <c r="B81" s="7">
        <f t="shared" si="66"/>
        <v>75</v>
      </c>
      <c r="C81" s="115">
        <f t="shared" si="67"/>
        <v>48061</v>
      </c>
      <c r="D81" s="2">
        <f t="shared" si="50"/>
        <v>3.0959752321981426E-3</v>
      </c>
      <c r="E81" s="169">
        <f t="shared" si="68"/>
        <v>67</v>
      </c>
      <c r="F81" s="165">
        <f t="shared" si="69"/>
        <v>3074.159191464717</v>
      </c>
      <c r="G81" s="170">
        <f t="shared" ref="G81:G144" si="85">IF(R81=0,0,IF(M80&lt;1,0,IF(AND(AND(((M80-N80)/R81)&lt;G80,O80&lt;&gt;"V"),D$11&lt;&gt;"BRADESCO"),G80,  (M80-N80)/R81)))</f>
        <v>1139.1194942364134</v>
      </c>
      <c r="H81" s="164" t="str">
        <f t="shared" si="43"/>
        <v>🐢</v>
      </c>
      <c r="I81" s="171" t="str">
        <f t="shared" si="51"/>
        <v>🛴</v>
      </c>
      <c r="J81" s="172">
        <f t="shared" si="52"/>
        <v>513.62897995119886</v>
      </c>
      <c r="K81" s="173">
        <f t="shared" si="53"/>
        <v>0.11908087034902722</v>
      </c>
      <c r="L81" s="174">
        <f t="shared" si="54"/>
        <v>4313.2786857011306</v>
      </c>
      <c r="M81" s="175">
        <f t="shared" si="70"/>
        <v>367421.96765841031</v>
      </c>
      <c r="N81" s="20"/>
      <c r="O81" s="37" t="str">
        <f t="shared" si="47"/>
        <v/>
      </c>
      <c r="P81" s="62" t="str">
        <f t="shared" si="71"/>
        <v/>
      </c>
      <c r="Q81" s="16" t="str">
        <f t="shared" si="55"/>
        <v/>
      </c>
      <c r="R81" s="60">
        <f t="shared" si="72"/>
        <v>323</v>
      </c>
      <c r="S81" s="98">
        <f t="shared" si="73"/>
        <v>625.49051428521454</v>
      </c>
      <c r="T81" s="21">
        <f t="shared" si="74"/>
        <v>1.6999999999999999E-3</v>
      </c>
      <c r="AA81" s="14">
        <f t="shared" si="56"/>
        <v>-4313.2786857011306</v>
      </c>
      <c r="AH81" s="6">
        <f t="shared" si="57"/>
        <v>1</v>
      </c>
      <c r="AI81" s="6">
        <f t="shared" si="58"/>
        <v>2</v>
      </c>
      <c r="AJ81" s="12">
        <f t="shared" si="59"/>
        <v>6</v>
      </c>
      <c r="AK81" s="72">
        <f t="shared" si="49"/>
        <v>31</v>
      </c>
      <c r="AQ81" s="8"/>
      <c r="AR81">
        <f t="shared" si="75"/>
        <v>25</v>
      </c>
      <c r="AS81">
        <f t="shared" si="76"/>
        <v>75</v>
      </c>
      <c r="AT81" s="183">
        <f t="shared" si="77"/>
        <v>48061</v>
      </c>
      <c r="AU81" s="2">
        <f t="shared" si="78"/>
        <v>3.0959752321981426E-3</v>
      </c>
      <c r="AV81" s="169">
        <f t="shared" si="79"/>
        <v>67</v>
      </c>
      <c r="AW81" s="165">
        <f t="shared" si="80"/>
        <v>3074.159191464717</v>
      </c>
      <c r="AX81" s="170">
        <f t="shared" ref="AX81:AX144" si="86">IF(BI81=0,0,IF(BD80&lt;1,0,IF(AND(AND(((BD80-BE80)/BI81)&lt;AX80,BF80&lt;&gt;"V"),AU$11&lt;&gt;"BRADESCO"),AX80,  (BD80-BE80)/BI81)))</f>
        <v>1139.1194942364134</v>
      </c>
      <c r="AY81" s="164" t="str">
        <f t="shared" si="44"/>
        <v>🐢</v>
      </c>
      <c r="AZ81" s="171" t="str">
        <f t="shared" si="60"/>
        <v>🛴</v>
      </c>
      <c r="BA81" s="172">
        <f t="shared" si="61"/>
        <v>513.62897995119886</v>
      </c>
      <c r="BB81" s="173">
        <f t="shared" si="62"/>
        <v>0.11908087034902722</v>
      </c>
      <c r="BC81" s="174">
        <f t="shared" si="63"/>
        <v>4313.2786857011306</v>
      </c>
      <c r="BD81" s="175">
        <f t="shared" si="81"/>
        <v>367421.96765841031</v>
      </c>
      <c r="BE81" s="176"/>
      <c r="BF81" s="177" t="str">
        <f t="shared" si="48"/>
        <v/>
      </c>
      <c r="BG81" s="178" t="str">
        <f t="shared" si="82"/>
        <v/>
      </c>
      <c r="BH81" s="179" t="str">
        <f t="shared" si="64"/>
        <v/>
      </c>
      <c r="BI81" s="180">
        <f t="shared" si="83"/>
        <v>323</v>
      </c>
      <c r="BJ81" s="181">
        <f t="shared" ref="BJ81:BJ144" si="87">BD80*$BK80</f>
        <v>625.49051428521454</v>
      </c>
      <c r="BK81" s="182">
        <f t="shared" si="84"/>
        <v>1.6999999999999999E-3</v>
      </c>
    </row>
    <row r="82" spans="1:63" x14ac:dyDescent="0.25">
      <c r="A82" s="7">
        <f t="shared" si="65"/>
        <v>25</v>
      </c>
      <c r="B82" s="7">
        <f t="shared" si="66"/>
        <v>75</v>
      </c>
      <c r="C82" s="115">
        <f t="shared" si="67"/>
        <v>48092</v>
      </c>
      <c r="D82" s="2">
        <f t="shared" si="50"/>
        <v>3.1055900621118015E-3</v>
      </c>
      <c r="E82" s="169">
        <f t="shared" si="68"/>
        <v>68</v>
      </c>
      <c r="F82" s="165">
        <f t="shared" si="69"/>
        <v>3069.8677413735982</v>
      </c>
      <c r="G82" s="170">
        <f t="shared" si="85"/>
        <v>1141.0620113615228</v>
      </c>
      <c r="H82" s="164" t="str">
        <f t="shared" si="43"/>
        <v>🐢</v>
      </c>
      <c r="I82" s="171" t="str">
        <f t="shared" si="51"/>
        <v>🛴</v>
      </c>
      <c r="J82" s="172">
        <f t="shared" si="52"/>
        <v>516.44466634222522</v>
      </c>
      <c r="K82" s="173">
        <f t="shared" si="53"/>
        <v>0.1197989055642952</v>
      </c>
      <c r="L82" s="174">
        <f t="shared" si="54"/>
        <v>4310.9297527351209</v>
      </c>
      <c r="M82" s="175">
        <f t="shared" si="70"/>
        <v>366905.52299206809</v>
      </c>
      <c r="N82" s="20"/>
      <c r="O82" s="37" t="str">
        <f t="shared" si="47"/>
        <v/>
      </c>
      <c r="P82" s="62" t="str">
        <f t="shared" si="71"/>
        <v/>
      </c>
      <c r="Q82" s="16" t="str">
        <f t="shared" si="55"/>
        <v/>
      </c>
      <c r="R82" s="60">
        <f t="shared" si="72"/>
        <v>322</v>
      </c>
      <c r="S82" s="98">
        <f t="shared" si="73"/>
        <v>624.61734501929755</v>
      </c>
      <c r="T82" s="21">
        <f t="shared" si="74"/>
        <v>1.6999999999999999E-3</v>
      </c>
      <c r="AA82" s="14">
        <f t="shared" si="56"/>
        <v>-4310.9297527351209</v>
      </c>
      <c r="AH82" s="6">
        <f t="shared" si="57"/>
        <v>1</v>
      </c>
      <c r="AI82" s="6">
        <f t="shared" si="58"/>
        <v>2</v>
      </c>
      <c r="AJ82" s="12">
        <f t="shared" si="59"/>
        <v>6</v>
      </c>
      <c r="AK82" s="72">
        <f t="shared" si="49"/>
        <v>30</v>
      </c>
      <c r="AQ82" s="8"/>
      <c r="AR82">
        <f t="shared" si="75"/>
        <v>25</v>
      </c>
      <c r="AS82">
        <f t="shared" si="76"/>
        <v>75</v>
      </c>
      <c r="AT82" s="183">
        <f t="shared" si="77"/>
        <v>48092</v>
      </c>
      <c r="AU82" s="2">
        <f t="shared" si="78"/>
        <v>3.1055900621118015E-3</v>
      </c>
      <c r="AV82" s="169">
        <f t="shared" si="79"/>
        <v>68</v>
      </c>
      <c r="AW82" s="165">
        <f t="shared" si="80"/>
        <v>3069.8677413735982</v>
      </c>
      <c r="AX82" s="170">
        <f t="shared" si="86"/>
        <v>1141.0620113615228</v>
      </c>
      <c r="AY82" s="164" t="str">
        <f t="shared" si="44"/>
        <v>🐢</v>
      </c>
      <c r="AZ82" s="171" t="str">
        <f t="shared" si="60"/>
        <v>🛴</v>
      </c>
      <c r="BA82" s="172">
        <f t="shared" si="61"/>
        <v>516.44466634222522</v>
      </c>
      <c r="BB82" s="173">
        <f t="shared" si="62"/>
        <v>0.1197989055642952</v>
      </c>
      <c r="BC82" s="174">
        <f t="shared" si="63"/>
        <v>4310.9297527351209</v>
      </c>
      <c r="BD82" s="175">
        <f t="shared" si="81"/>
        <v>366905.52299206809</v>
      </c>
      <c r="BE82" s="176"/>
      <c r="BF82" s="177" t="str">
        <f t="shared" si="48"/>
        <v/>
      </c>
      <c r="BG82" s="178" t="str">
        <f t="shared" si="82"/>
        <v/>
      </c>
      <c r="BH82" s="179" t="str">
        <f t="shared" si="64"/>
        <v/>
      </c>
      <c r="BI82" s="180">
        <f t="shared" si="83"/>
        <v>322</v>
      </c>
      <c r="BJ82" s="181">
        <f t="shared" si="87"/>
        <v>624.61734501929755</v>
      </c>
      <c r="BK82" s="182">
        <f t="shared" si="84"/>
        <v>1.6999999999999999E-3</v>
      </c>
    </row>
    <row r="83" spans="1:63" x14ac:dyDescent="0.25">
      <c r="A83" s="7">
        <f t="shared" si="65"/>
        <v>25</v>
      </c>
      <c r="B83" s="7">
        <f t="shared" si="66"/>
        <v>75</v>
      </c>
      <c r="C83" s="115">
        <f t="shared" si="67"/>
        <v>48122</v>
      </c>
      <c r="D83" s="2">
        <f t="shared" si="50"/>
        <v>3.1152647975077885E-3</v>
      </c>
      <c r="E83" s="169">
        <f t="shared" si="68"/>
        <v>69</v>
      </c>
      <c r="F83" s="165">
        <f t="shared" si="69"/>
        <v>3065.5527657843259</v>
      </c>
      <c r="G83" s="170">
        <f t="shared" si="85"/>
        <v>1143.0078597883742</v>
      </c>
      <c r="H83" s="164" t="str">
        <f t="shared" si="43"/>
        <v>🐢</v>
      </c>
      <c r="I83" s="171" t="str">
        <f t="shared" si="51"/>
        <v>🛴</v>
      </c>
      <c r="J83" s="172">
        <f t="shared" si="52"/>
        <v>519.2684707018584</v>
      </c>
      <c r="K83" s="173">
        <f t="shared" si="53"/>
        <v>0.12052017270450652</v>
      </c>
      <c r="L83" s="174">
        <f t="shared" si="54"/>
        <v>4308.5606255726998</v>
      </c>
      <c r="M83" s="175">
        <f t="shared" si="70"/>
        <v>366386.25452136621</v>
      </c>
      <c r="N83" s="20"/>
      <c r="O83" s="37" t="str">
        <f t="shared" si="47"/>
        <v/>
      </c>
      <c r="P83" s="62" t="str">
        <f t="shared" si="71"/>
        <v/>
      </c>
      <c r="Q83" s="16" t="str">
        <f t="shared" si="55"/>
        <v/>
      </c>
      <c r="R83" s="60">
        <f t="shared" si="72"/>
        <v>321</v>
      </c>
      <c r="S83" s="98">
        <f t="shared" si="73"/>
        <v>623.73938908651576</v>
      </c>
      <c r="T83" s="21">
        <f t="shared" si="74"/>
        <v>1.6999999999999999E-3</v>
      </c>
      <c r="AA83" s="14">
        <f t="shared" si="56"/>
        <v>-4308.5606255726998</v>
      </c>
      <c r="AH83" s="6">
        <f t="shared" si="57"/>
        <v>1</v>
      </c>
      <c r="AI83" s="6">
        <f t="shared" si="58"/>
        <v>2</v>
      </c>
      <c r="AJ83" s="12">
        <f t="shared" si="59"/>
        <v>6</v>
      </c>
      <c r="AK83" s="72">
        <f t="shared" si="49"/>
        <v>31</v>
      </c>
      <c r="AQ83" s="8"/>
      <c r="AR83">
        <f t="shared" si="75"/>
        <v>25</v>
      </c>
      <c r="AS83">
        <f t="shared" si="76"/>
        <v>75</v>
      </c>
      <c r="AT83" s="183">
        <f t="shared" si="77"/>
        <v>48122</v>
      </c>
      <c r="AU83" s="2">
        <f t="shared" si="78"/>
        <v>3.1152647975077885E-3</v>
      </c>
      <c r="AV83" s="169">
        <f t="shared" si="79"/>
        <v>69</v>
      </c>
      <c r="AW83" s="165">
        <f t="shared" si="80"/>
        <v>3065.5527657843259</v>
      </c>
      <c r="AX83" s="170">
        <f t="shared" si="86"/>
        <v>1143.0078597883742</v>
      </c>
      <c r="AY83" s="164" t="str">
        <f t="shared" si="44"/>
        <v>🐢</v>
      </c>
      <c r="AZ83" s="171" t="str">
        <f t="shared" si="60"/>
        <v>🛴</v>
      </c>
      <c r="BA83" s="172">
        <f t="shared" si="61"/>
        <v>519.2684707018584</v>
      </c>
      <c r="BB83" s="173">
        <f t="shared" si="62"/>
        <v>0.12052017270450652</v>
      </c>
      <c r="BC83" s="174">
        <f t="shared" si="63"/>
        <v>4308.5606255726998</v>
      </c>
      <c r="BD83" s="175">
        <f t="shared" si="81"/>
        <v>366386.25452136621</v>
      </c>
      <c r="BE83" s="176"/>
      <c r="BF83" s="177" t="str">
        <f t="shared" si="48"/>
        <v/>
      </c>
      <c r="BG83" s="178" t="str">
        <f t="shared" si="82"/>
        <v/>
      </c>
      <c r="BH83" s="179" t="str">
        <f t="shared" si="64"/>
        <v/>
      </c>
      <c r="BI83" s="180">
        <f t="shared" si="83"/>
        <v>321</v>
      </c>
      <c r="BJ83" s="181">
        <f t="shared" si="87"/>
        <v>623.73938908651576</v>
      </c>
      <c r="BK83" s="182">
        <f t="shared" si="84"/>
        <v>1.6999999999999999E-3</v>
      </c>
    </row>
    <row r="84" spans="1:63" x14ac:dyDescent="0.25">
      <c r="A84" s="7">
        <f t="shared" si="65"/>
        <v>25</v>
      </c>
      <c r="B84" s="7">
        <f t="shared" si="66"/>
        <v>75</v>
      </c>
      <c r="C84" s="115">
        <f t="shared" si="67"/>
        <v>48153</v>
      </c>
      <c r="D84" s="2">
        <f t="shared" si="50"/>
        <v>3.1250000000000002E-3</v>
      </c>
      <c r="E84" s="169">
        <f t="shared" si="68"/>
        <v>70</v>
      </c>
      <c r="F84" s="165">
        <f t="shared" si="69"/>
        <v>3061.2141968700084</v>
      </c>
      <c r="G84" s="170">
        <f t="shared" si="85"/>
        <v>1144.9570453792694</v>
      </c>
      <c r="H84" s="164" t="str">
        <f t="shared" si="43"/>
        <v>🐢</v>
      </c>
      <c r="I84" s="171" t="str">
        <f t="shared" si="51"/>
        <v>🛴</v>
      </c>
      <c r="J84" s="172">
        <f t="shared" si="52"/>
        <v>522.10041269294686</v>
      </c>
      <c r="K84" s="173">
        <f t="shared" si="53"/>
        <v>0.12124469356221743</v>
      </c>
      <c r="L84" s="174">
        <f t="shared" si="54"/>
        <v>4306.1712422492783</v>
      </c>
      <c r="M84" s="175">
        <f t="shared" si="70"/>
        <v>365864.15410867328</v>
      </c>
      <c r="N84" s="20"/>
      <c r="O84" s="37" t="str">
        <f t="shared" si="47"/>
        <v/>
      </c>
      <c r="P84" s="62" t="str">
        <f t="shared" si="71"/>
        <v/>
      </c>
      <c r="Q84" s="16" t="str">
        <f t="shared" si="55"/>
        <v/>
      </c>
      <c r="R84" s="60">
        <f t="shared" si="72"/>
        <v>320</v>
      </c>
      <c r="S84" s="98">
        <f t="shared" si="73"/>
        <v>622.85663268632254</v>
      </c>
      <c r="T84" s="21">
        <f t="shared" si="74"/>
        <v>1.6999999999999999E-3</v>
      </c>
      <c r="AA84" s="14">
        <f t="shared" si="56"/>
        <v>-4306.1712422492783</v>
      </c>
      <c r="AH84" s="6">
        <f t="shared" si="57"/>
        <v>1</v>
      </c>
      <c r="AI84" s="6">
        <f t="shared" si="58"/>
        <v>2</v>
      </c>
      <c r="AJ84" s="12">
        <f t="shared" si="59"/>
        <v>6</v>
      </c>
      <c r="AK84" s="72">
        <f t="shared" si="49"/>
        <v>30</v>
      </c>
      <c r="AQ84" s="8"/>
      <c r="AR84">
        <f t="shared" si="75"/>
        <v>25</v>
      </c>
      <c r="AS84">
        <f t="shared" si="76"/>
        <v>75</v>
      </c>
      <c r="AT84" s="183">
        <f t="shared" si="77"/>
        <v>48153</v>
      </c>
      <c r="AU84" s="2">
        <f t="shared" si="78"/>
        <v>3.1250000000000002E-3</v>
      </c>
      <c r="AV84" s="169">
        <f t="shared" si="79"/>
        <v>70</v>
      </c>
      <c r="AW84" s="165">
        <f t="shared" si="80"/>
        <v>3061.2141968700084</v>
      </c>
      <c r="AX84" s="170">
        <f t="shared" si="86"/>
        <v>1144.9570453792694</v>
      </c>
      <c r="AY84" s="164" t="str">
        <f t="shared" si="44"/>
        <v>🐢</v>
      </c>
      <c r="AZ84" s="171" t="str">
        <f t="shared" si="60"/>
        <v>🛴</v>
      </c>
      <c r="BA84" s="172">
        <f t="shared" si="61"/>
        <v>522.10041269294686</v>
      </c>
      <c r="BB84" s="173">
        <f t="shared" si="62"/>
        <v>0.12124469356221743</v>
      </c>
      <c r="BC84" s="174">
        <f t="shared" si="63"/>
        <v>4306.1712422492783</v>
      </c>
      <c r="BD84" s="175">
        <f t="shared" si="81"/>
        <v>365864.15410867328</v>
      </c>
      <c r="BE84" s="176"/>
      <c r="BF84" s="177" t="str">
        <f t="shared" si="48"/>
        <v/>
      </c>
      <c r="BG84" s="178" t="str">
        <f t="shared" si="82"/>
        <v/>
      </c>
      <c r="BH84" s="179" t="str">
        <f t="shared" si="64"/>
        <v/>
      </c>
      <c r="BI84" s="180">
        <f t="shared" si="83"/>
        <v>320</v>
      </c>
      <c r="BJ84" s="181">
        <f t="shared" si="87"/>
        <v>622.85663268632254</v>
      </c>
      <c r="BK84" s="182">
        <f t="shared" si="84"/>
        <v>1.6999999999999999E-3</v>
      </c>
    </row>
    <row r="85" spans="1:63" x14ac:dyDescent="0.25">
      <c r="A85" s="7">
        <f t="shared" si="65"/>
        <v>25</v>
      </c>
      <c r="B85" s="7">
        <f t="shared" si="66"/>
        <v>75</v>
      </c>
      <c r="C85" s="115">
        <f t="shared" si="67"/>
        <v>48183</v>
      </c>
      <c r="D85" s="2">
        <f t="shared" si="50"/>
        <v>3.134796238244514E-3</v>
      </c>
      <c r="E85" s="169">
        <f t="shared" si="68"/>
        <v>71</v>
      </c>
      <c r="F85" s="165">
        <f t="shared" si="69"/>
        <v>3056.8519666394686</v>
      </c>
      <c r="G85" s="170">
        <f t="shared" si="85"/>
        <v>1146.9095740083801</v>
      </c>
      <c r="H85" s="164" t="str">
        <f t="shared" si="43"/>
        <v>🐢</v>
      </c>
      <c r="I85" s="171" t="str">
        <f t="shared" si="51"/>
        <v>🛴</v>
      </c>
      <c r="J85" s="172">
        <f t="shared" si="52"/>
        <v>524.94051202363562</v>
      </c>
      <c r="K85" s="173">
        <f t="shared" si="53"/>
        <v>0.12197249012653612</v>
      </c>
      <c r="L85" s="174">
        <f t="shared" si="54"/>
        <v>4303.761540647849</v>
      </c>
      <c r="M85" s="175">
        <f t="shared" si="70"/>
        <v>365339.21359664964</v>
      </c>
      <c r="N85" s="198"/>
      <c r="O85" s="37" t="str">
        <f t="shared" si="47"/>
        <v/>
      </c>
      <c r="P85" s="62" t="str">
        <f t="shared" si="71"/>
        <v/>
      </c>
      <c r="Q85" s="16" t="str">
        <f t="shared" si="55"/>
        <v/>
      </c>
      <c r="R85" s="60">
        <f t="shared" si="72"/>
        <v>319</v>
      </c>
      <c r="S85" s="98">
        <f t="shared" si="73"/>
        <v>621.96906198474449</v>
      </c>
      <c r="T85" s="21">
        <f t="shared" si="74"/>
        <v>1.6999999999999999E-3</v>
      </c>
      <c r="AA85" s="14">
        <f t="shared" si="56"/>
        <v>-4303.761540647849</v>
      </c>
      <c r="AH85" s="6">
        <f t="shared" si="57"/>
        <v>1</v>
      </c>
      <c r="AI85" s="6">
        <f t="shared" si="58"/>
        <v>2</v>
      </c>
      <c r="AJ85" s="12">
        <f t="shared" si="59"/>
        <v>6</v>
      </c>
      <c r="AK85" s="72">
        <f t="shared" si="49"/>
        <v>31</v>
      </c>
      <c r="AQ85" s="8"/>
      <c r="AR85">
        <f t="shared" si="75"/>
        <v>25</v>
      </c>
      <c r="AS85">
        <f t="shared" si="76"/>
        <v>75</v>
      </c>
      <c r="AT85" s="183">
        <f t="shared" si="77"/>
        <v>48183</v>
      </c>
      <c r="AU85" s="2">
        <f t="shared" si="78"/>
        <v>3.134796238244514E-3</v>
      </c>
      <c r="AV85" s="169">
        <f t="shared" si="79"/>
        <v>71</v>
      </c>
      <c r="AW85" s="165">
        <f t="shared" si="80"/>
        <v>3056.8519666394686</v>
      </c>
      <c r="AX85" s="170">
        <f t="shared" si="86"/>
        <v>1146.9095740083801</v>
      </c>
      <c r="AY85" s="164" t="str">
        <f t="shared" si="44"/>
        <v>🐢</v>
      </c>
      <c r="AZ85" s="171" t="str">
        <f t="shared" si="60"/>
        <v>🛴</v>
      </c>
      <c r="BA85" s="172">
        <f t="shared" si="61"/>
        <v>524.94051202363562</v>
      </c>
      <c r="BB85" s="173">
        <f t="shared" si="62"/>
        <v>0.12197249012653612</v>
      </c>
      <c r="BC85" s="174">
        <f t="shared" si="63"/>
        <v>4303.761540647849</v>
      </c>
      <c r="BD85" s="175">
        <f t="shared" si="81"/>
        <v>365339.21359664964</v>
      </c>
      <c r="BE85" s="176"/>
      <c r="BF85" s="177" t="str">
        <f t="shared" si="48"/>
        <v/>
      </c>
      <c r="BG85" s="178" t="str">
        <f t="shared" si="82"/>
        <v/>
      </c>
      <c r="BH85" s="179" t="str">
        <f t="shared" si="64"/>
        <v/>
      </c>
      <c r="BI85" s="180">
        <f t="shared" si="83"/>
        <v>319</v>
      </c>
      <c r="BJ85" s="181">
        <f t="shared" si="87"/>
        <v>621.96906198474449</v>
      </c>
      <c r="BK85" s="182">
        <f t="shared" si="84"/>
        <v>1.6999999999999999E-3</v>
      </c>
    </row>
    <row r="86" spans="1:63" x14ac:dyDescent="0.25">
      <c r="A86" s="7">
        <f t="shared" si="65"/>
        <v>25</v>
      </c>
      <c r="B86" s="7">
        <f t="shared" si="66"/>
        <v>75</v>
      </c>
      <c r="C86" s="115">
        <f t="shared" si="67"/>
        <v>48214</v>
      </c>
      <c r="D86" s="2">
        <f t="shared" si="50"/>
        <v>3.1446540880503146E-3</v>
      </c>
      <c r="E86" s="169">
        <f t="shared" si="68"/>
        <v>72</v>
      </c>
      <c r="F86" s="165">
        <f t="shared" si="69"/>
        <v>3052.4660069368642</v>
      </c>
      <c r="G86" s="170">
        <f t="shared" si="85"/>
        <v>1148.8654515617914</v>
      </c>
      <c r="H86" s="164" t="str">
        <f t="shared" si="43"/>
        <v>🐢</v>
      </c>
      <c r="I86" s="171" t="str">
        <f t="shared" si="51"/>
        <v>🛴</v>
      </c>
      <c r="J86" s="172">
        <f t="shared" si="52"/>
        <v>527.78878844748704</v>
      </c>
      <c r="K86" s="173">
        <f t="shared" si="53"/>
        <v>0.12270358458534311</v>
      </c>
      <c r="L86" s="174">
        <f t="shared" si="54"/>
        <v>4301.3314584986556</v>
      </c>
      <c r="M86" s="175">
        <f t="shared" si="70"/>
        <v>364811.42480820214</v>
      </c>
      <c r="N86" s="20"/>
      <c r="O86" s="37" t="str">
        <f t="shared" si="47"/>
        <v/>
      </c>
      <c r="P86" s="62" t="str">
        <f t="shared" si="71"/>
        <v/>
      </c>
      <c r="Q86" s="16" t="str">
        <f t="shared" si="55"/>
        <v/>
      </c>
      <c r="R86" s="60">
        <f t="shared" si="72"/>
        <v>318</v>
      </c>
      <c r="S86" s="98">
        <f t="shared" si="73"/>
        <v>621.07666311430432</v>
      </c>
      <c r="T86" s="21">
        <f t="shared" si="74"/>
        <v>1.6999999999999999E-3</v>
      </c>
      <c r="AA86" s="14">
        <f t="shared" si="56"/>
        <v>-4301.3314584986556</v>
      </c>
      <c r="AH86" s="6">
        <f t="shared" si="57"/>
        <v>1</v>
      </c>
      <c r="AI86" s="6">
        <f t="shared" si="58"/>
        <v>2</v>
      </c>
      <c r="AJ86" s="12">
        <f t="shared" si="59"/>
        <v>6</v>
      </c>
      <c r="AK86" s="72">
        <f t="shared" si="49"/>
        <v>31</v>
      </c>
      <c r="AQ86" s="8"/>
      <c r="AR86">
        <f t="shared" si="75"/>
        <v>25</v>
      </c>
      <c r="AS86">
        <f t="shared" si="76"/>
        <v>75</v>
      </c>
      <c r="AT86" s="183">
        <f t="shared" si="77"/>
        <v>48214</v>
      </c>
      <c r="AU86" s="2">
        <f t="shared" si="78"/>
        <v>3.1446540880503146E-3</v>
      </c>
      <c r="AV86" s="169">
        <f t="shared" si="79"/>
        <v>72</v>
      </c>
      <c r="AW86" s="165">
        <f t="shared" si="80"/>
        <v>3052.4660069368642</v>
      </c>
      <c r="AX86" s="170">
        <f t="shared" si="86"/>
        <v>1148.8654515617914</v>
      </c>
      <c r="AY86" s="164" t="str">
        <f t="shared" si="44"/>
        <v>🐢</v>
      </c>
      <c r="AZ86" s="171" t="str">
        <f t="shared" si="60"/>
        <v>🛴</v>
      </c>
      <c r="BA86" s="172">
        <f t="shared" si="61"/>
        <v>527.78878844748704</v>
      </c>
      <c r="BB86" s="173">
        <f t="shared" si="62"/>
        <v>0.12270358458534311</v>
      </c>
      <c r="BC86" s="174">
        <f t="shared" si="63"/>
        <v>4301.3314584986556</v>
      </c>
      <c r="BD86" s="175">
        <f t="shared" si="81"/>
        <v>364811.42480820214</v>
      </c>
      <c r="BE86" s="176"/>
      <c r="BF86" s="177" t="str">
        <f t="shared" si="48"/>
        <v/>
      </c>
      <c r="BG86" s="178" t="str">
        <f t="shared" si="82"/>
        <v/>
      </c>
      <c r="BH86" s="179" t="str">
        <f t="shared" si="64"/>
        <v/>
      </c>
      <c r="BI86" s="180">
        <f t="shared" si="83"/>
        <v>318</v>
      </c>
      <c r="BJ86" s="181">
        <f t="shared" si="87"/>
        <v>621.07666311430432</v>
      </c>
      <c r="BK86" s="182">
        <f t="shared" si="84"/>
        <v>1.6999999999999999E-3</v>
      </c>
    </row>
    <row r="87" spans="1:63" x14ac:dyDescent="0.25">
      <c r="A87" s="7">
        <f t="shared" si="65"/>
        <v>25</v>
      </c>
      <c r="B87" s="7">
        <f t="shared" si="66"/>
        <v>75</v>
      </c>
      <c r="C87" s="115">
        <f t="shared" si="67"/>
        <v>48245</v>
      </c>
      <c r="D87" s="2">
        <f t="shared" si="50"/>
        <v>3.1545741324921135E-3</v>
      </c>
      <c r="E87" s="169">
        <f t="shared" si="68"/>
        <v>73</v>
      </c>
      <c r="F87" s="165">
        <f t="shared" si="69"/>
        <v>3048.056249441308</v>
      </c>
      <c r="G87" s="170">
        <f t="shared" si="85"/>
        <v>1150.8246839375461</v>
      </c>
      <c r="H87" s="164" t="str">
        <f t="shared" si="43"/>
        <v>🐢</v>
      </c>
      <c r="I87" s="171" t="str">
        <f t="shared" si="51"/>
        <v>🛴</v>
      </c>
      <c r="J87" s="172">
        <f t="shared" si="52"/>
        <v>530.64526176360243</v>
      </c>
      <c r="K87" s="173">
        <f t="shared" si="53"/>
        <v>0.12343799932754207</v>
      </c>
      <c r="L87" s="174">
        <f t="shared" si="54"/>
        <v>4298.880933378854</v>
      </c>
      <c r="M87" s="175">
        <f t="shared" si="70"/>
        <v>364280.77954643854</v>
      </c>
      <c r="N87" s="20"/>
      <c r="O87" s="37" t="str">
        <f t="shared" si="47"/>
        <v/>
      </c>
      <c r="P87" s="62" t="str">
        <f t="shared" si="71"/>
        <v/>
      </c>
      <c r="Q87" s="16" t="str">
        <f t="shared" si="55"/>
        <v/>
      </c>
      <c r="R87" s="60">
        <f t="shared" si="72"/>
        <v>317</v>
      </c>
      <c r="S87" s="98">
        <f t="shared" si="73"/>
        <v>620.17942217394364</v>
      </c>
      <c r="T87" s="21">
        <f t="shared" si="74"/>
        <v>1.6999999999999999E-3</v>
      </c>
      <c r="AA87" s="14">
        <f t="shared" si="56"/>
        <v>-4298.880933378854</v>
      </c>
      <c r="AH87" s="6">
        <f t="shared" si="57"/>
        <v>1</v>
      </c>
      <c r="AI87" s="6">
        <f t="shared" si="58"/>
        <v>3</v>
      </c>
      <c r="AJ87" s="12">
        <f t="shared" si="59"/>
        <v>7</v>
      </c>
      <c r="AK87" s="72">
        <f t="shared" si="49"/>
        <v>29</v>
      </c>
      <c r="AQ87" s="8"/>
      <c r="AR87">
        <f t="shared" si="75"/>
        <v>25</v>
      </c>
      <c r="AS87">
        <f t="shared" si="76"/>
        <v>75</v>
      </c>
      <c r="AT87" s="183">
        <f t="shared" si="77"/>
        <v>48245</v>
      </c>
      <c r="AU87" s="2">
        <f t="shared" si="78"/>
        <v>3.1545741324921135E-3</v>
      </c>
      <c r="AV87" s="169">
        <f t="shared" si="79"/>
        <v>73</v>
      </c>
      <c r="AW87" s="165">
        <f t="shared" si="80"/>
        <v>3048.056249441308</v>
      </c>
      <c r="AX87" s="170">
        <f t="shared" si="86"/>
        <v>1150.8246839375461</v>
      </c>
      <c r="AY87" s="164" t="str">
        <f t="shared" si="44"/>
        <v>🐢</v>
      </c>
      <c r="AZ87" s="171" t="str">
        <f t="shared" si="60"/>
        <v>🛴</v>
      </c>
      <c r="BA87" s="172">
        <f t="shared" si="61"/>
        <v>530.64526176360243</v>
      </c>
      <c r="BB87" s="173">
        <f t="shared" si="62"/>
        <v>0.12343799932754207</v>
      </c>
      <c r="BC87" s="174">
        <f t="shared" si="63"/>
        <v>4298.880933378854</v>
      </c>
      <c r="BD87" s="175">
        <f t="shared" si="81"/>
        <v>364280.77954643854</v>
      </c>
      <c r="BE87" s="176"/>
      <c r="BF87" s="177" t="str">
        <f t="shared" si="48"/>
        <v/>
      </c>
      <c r="BG87" s="178" t="str">
        <f t="shared" si="82"/>
        <v/>
      </c>
      <c r="BH87" s="179" t="str">
        <f t="shared" si="64"/>
        <v/>
      </c>
      <c r="BI87" s="180">
        <f t="shared" si="83"/>
        <v>317</v>
      </c>
      <c r="BJ87" s="181">
        <f t="shared" si="87"/>
        <v>620.17942217394364</v>
      </c>
      <c r="BK87" s="182">
        <f t="shared" si="84"/>
        <v>1.6999999999999999E-3</v>
      </c>
    </row>
    <row r="88" spans="1:63" x14ac:dyDescent="0.25">
      <c r="A88" s="7">
        <f t="shared" si="65"/>
        <v>25</v>
      </c>
      <c r="B88" s="7">
        <f t="shared" si="66"/>
        <v>75</v>
      </c>
      <c r="C88" s="115">
        <f t="shared" si="67"/>
        <v>48274</v>
      </c>
      <c r="D88" s="2">
        <f t="shared" si="50"/>
        <v>3.1645569620253164E-3</v>
      </c>
      <c r="E88" s="169">
        <f t="shared" si="68"/>
        <v>74</v>
      </c>
      <c r="F88" s="165">
        <f t="shared" si="69"/>
        <v>3043.62262566649</v>
      </c>
      <c r="G88" s="170">
        <f t="shared" si="85"/>
        <v>1152.7872770456916</v>
      </c>
      <c r="H88" s="164" t="str">
        <f t="shared" si="43"/>
        <v>🐢</v>
      </c>
      <c r="I88" s="171" t="str">
        <f t="shared" si="51"/>
        <v>🛴</v>
      </c>
      <c r="J88" s="172">
        <f t="shared" si="52"/>
        <v>533.50995181674602</v>
      </c>
      <c r="K88" s="173">
        <f t="shared" si="53"/>
        <v>0.12417575694534148</v>
      </c>
      <c r="L88" s="174">
        <f t="shared" si="54"/>
        <v>4296.4099027121811</v>
      </c>
      <c r="M88" s="175">
        <f t="shared" si="70"/>
        <v>363747.26959462179</v>
      </c>
      <c r="N88" s="20"/>
      <c r="O88" s="37" t="str">
        <f t="shared" si="47"/>
        <v/>
      </c>
      <c r="P88" s="62" t="str">
        <f t="shared" si="71"/>
        <v/>
      </c>
      <c r="Q88" s="16" t="str">
        <f t="shared" si="55"/>
        <v/>
      </c>
      <c r="R88" s="60">
        <f t="shared" si="72"/>
        <v>316</v>
      </c>
      <c r="S88" s="98">
        <f t="shared" si="73"/>
        <v>619.27732522894553</v>
      </c>
      <c r="T88" s="21">
        <f t="shared" si="74"/>
        <v>1.6999999999999999E-3</v>
      </c>
      <c r="AA88" s="14">
        <f t="shared" si="56"/>
        <v>-4296.4099027121811</v>
      </c>
      <c r="AH88" s="6">
        <f t="shared" si="57"/>
        <v>1</v>
      </c>
      <c r="AI88" s="6">
        <f t="shared" si="58"/>
        <v>3</v>
      </c>
      <c r="AJ88" s="12">
        <f t="shared" si="59"/>
        <v>7</v>
      </c>
      <c r="AK88" s="72">
        <f t="shared" si="49"/>
        <v>31</v>
      </c>
      <c r="AQ88" s="8"/>
      <c r="AR88">
        <f t="shared" si="75"/>
        <v>25</v>
      </c>
      <c r="AS88">
        <f t="shared" si="76"/>
        <v>75</v>
      </c>
      <c r="AT88" s="183">
        <f t="shared" si="77"/>
        <v>48274</v>
      </c>
      <c r="AU88" s="2">
        <f t="shared" si="78"/>
        <v>3.1645569620253164E-3</v>
      </c>
      <c r="AV88" s="169">
        <f t="shared" si="79"/>
        <v>74</v>
      </c>
      <c r="AW88" s="165">
        <f t="shared" si="80"/>
        <v>3043.62262566649</v>
      </c>
      <c r="AX88" s="170">
        <f t="shared" si="86"/>
        <v>1152.7872770456916</v>
      </c>
      <c r="AY88" s="164" t="str">
        <f t="shared" si="44"/>
        <v>🐢</v>
      </c>
      <c r="AZ88" s="171" t="str">
        <f t="shared" si="60"/>
        <v>🛴</v>
      </c>
      <c r="BA88" s="172">
        <f t="shared" si="61"/>
        <v>533.50995181674602</v>
      </c>
      <c r="BB88" s="173">
        <f t="shared" si="62"/>
        <v>0.12417575694534148</v>
      </c>
      <c r="BC88" s="174">
        <f t="shared" si="63"/>
        <v>4296.4099027121811</v>
      </c>
      <c r="BD88" s="175">
        <f t="shared" si="81"/>
        <v>363747.26959462179</v>
      </c>
      <c r="BE88" s="176"/>
      <c r="BF88" s="177" t="str">
        <f t="shared" si="48"/>
        <v/>
      </c>
      <c r="BG88" s="178" t="str">
        <f t="shared" si="82"/>
        <v/>
      </c>
      <c r="BH88" s="179" t="str">
        <f t="shared" si="64"/>
        <v/>
      </c>
      <c r="BI88" s="180">
        <f t="shared" si="83"/>
        <v>316</v>
      </c>
      <c r="BJ88" s="181">
        <f t="shared" si="87"/>
        <v>619.27732522894553</v>
      </c>
      <c r="BK88" s="182">
        <f t="shared" si="84"/>
        <v>1.6999999999999999E-3</v>
      </c>
    </row>
    <row r="89" spans="1:63" x14ac:dyDescent="0.25">
      <c r="A89" s="7">
        <f t="shared" si="65"/>
        <v>25</v>
      </c>
      <c r="B89" s="7">
        <f t="shared" si="66"/>
        <v>75</v>
      </c>
      <c r="C89" s="115">
        <f t="shared" si="67"/>
        <v>48305</v>
      </c>
      <c r="D89" s="2">
        <f t="shared" si="50"/>
        <v>3.1746031746031746E-3</v>
      </c>
      <c r="E89" s="169">
        <f t="shared" si="68"/>
        <v>75</v>
      </c>
      <c r="F89" s="165">
        <f t="shared" si="69"/>
        <v>3039.1650669602923</v>
      </c>
      <c r="G89" s="170">
        <f t="shared" si="85"/>
        <v>1154.7532368083232</v>
      </c>
      <c r="H89" s="164" t="str">
        <f t="shared" si="43"/>
        <v>🐢</v>
      </c>
      <c r="I89" s="171" t="str">
        <f t="shared" si="51"/>
        <v>🛴</v>
      </c>
      <c r="J89" s="172">
        <f t="shared" si="52"/>
        <v>536.38287849746621</v>
      </c>
      <c r="K89" s="173">
        <f t="shared" si="53"/>
        <v>0.1249168802365668</v>
      </c>
      <c r="L89" s="174">
        <f t="shared" si="54"/>
        <v>4293.9183037686153</v>
      </c>
      <c r="M89" s="175">
        <f t="shared" si="70"/>
        <v>363210.88671612431</v>
      </c>
      <c r="N89" s="20"/>
      <c r="O89" s="37" t="str">
        <f t="shared" si="47"/>
        <v/>
      </c>
      <c r="P89" s="62" t="str">
        <f t="shared" si="71"/>
        <v/>
      </c>
      <c r="Q89" s="16" t="str">
        <f t="shared" si="55"/>
        <v/>
      </c>
      <c r="R89" s="60">
        <f t="shared" si="72"/>
        <v>315</v>
      </c>
      <c r="S89" s="98">
        <f t="shared" si="73"/>
        <v>618.370358310857</v>
      </c>
      <c r="T89" s="21">
        <f t="shared" si="74"/>
        <v>1.6999999999999999E-3</v>
      </c>
      <c r="AA89" s="14">
        <f t="shared" si="56"/>
        <v>-4293.9183037686153</v>
      </c>
      <c r="AH89" s="6">
        <f t="shared" si="57"/>
        <v>1</v>
      </c>
      <c r="AI89" s="6">
        <f t="shared" si="58"/>
        <v>3</v>
      </c>
      <c r="AJ89" s="12">
        <f t="shared" si="59"/>
        <v>7</v>
      </c>
      <c r="AK89" s="72">
        <f t="shared" si="49"/>
        <v>30</v>
      </c>
      <c r="AQ89" s="8"/>
      <c r="AR89">
        <f t="shared" si="75"/>
        <v>25</v>
      </c>
      <c r="AS89">
        <f t="shared" si="76"/>
        <v>75</v>
      </c>
      <c r="AT89" s="183">
        <f t="shared" si="77"/>
        <v>48305</v>
      </c>
      <c r="AU89" s="2">
        <f t="shared" si="78"/>
        <v>3.1746031746031746E-3</v>
      </c>
      <c r="AV89" s="169">
        <f t="shared" si="79"/>
        <v>75</v>
      </c>
      <c r="AW89" s="165">
        <f t="shared" si="80"/>
        <v>3039.1650669602923</v>
      </c>
      <c r="AX89" s="170">
        <f t="shared" si="86"/>
        <v>1154.7532368083232</v>
      </c>
      <c r="AY89" s="164" t="str">
        <f t="shared" si="44"/>
        <v>🐢</v>
      </c>
      <c r="AZ89" s="171" t="str">
        <f t="shared" si="60"/>
        <v>🛴</v>
      </c>
      <c r="BA89" s="172">
        <f t="shared" si="61"/>
        <v>536.38287849746621</v>
      </c>
      <c r="BB89" s="173">
        <f t="shared" si="62"/>
        <v>0.1249168802365668</v>
      </c>
      <c r="BC89" s="174">
        <f t="shared" si="63"/>
        <v>4293.9183037686153</v>
      </c>
      <c r="BD89" s="175">
        <f t="shared" si="81"/>
        <v>363210.88671612431</v>
      </c>
      <c r="BE89" s="176"/>
      <c r="BF89" s="177" t="str">
        <f t="shared" si="48"/>
        <v/>
      </c>
      <c r="BG89" s="178" t="str">
        <f t="shared" si="82"/>
        <v/>
      </c>
      <c r="BH89" s="179" t="str">
        <f t="shared" si="64"/>
        <v/>
      </c>
      <c r="BI89" s="180">
        <f t="shared" si="83"/>
        <v>315</v>
      </c>
      <c r="BJ89" s="181">
        <f t="shared" si="87"/>
        <v>618.370358310857</v>
      </c>
      <c r="BK89" s="182">
        <f t="shared" si="84"/>
        <v>1.6999999999999999E-3</v>
      </c>
    </row>
    <row r="90" spans="1:63" x14ac:dyDescent="0.25">
      <c r="A90" s="7">
        <f t="shared" si="65"/>
        <v>25</v>
      </c>
      <c r="B90" s="7">
        <f t="shared" si="66"/>
        <v>75</v>
      </c>
      <c r="C90" s="115">
        <f t="shared" si="67"/>
        <v>48335</v>
      </c>
      <c r="D90" s="2">
        <f t="shared" si="50"/>
        <v>3.1847133757961785E-3</v>
      </c>
      <c r="E90" s="169">
        <f t="shared" si="68"/>
        <v>76</v>
      </c>
      <c r="F90" s="165">
        <f t="shared" si="69"/>
        <v>3034.6835045044095</v>
      </c>
      <c r="G90" s="170">
        <f t="shared" si="85"/>
        <v>1156.7225691596316</v>
      </c>
      <c r="H90" s="164" t="str">
        <f t="shared" ref="H90:H153" si="88">IF(OR(G90=0,L90&lt;1),"",IF(G90/L90&gt;90%,"🛩",IF(G90/L90&gt;70%,"🏎",IF(G90/L90&gt;50%,"🚙",IF(G90/L90&gt;30%,"🛵",IF(G90/L90&gt;15%,"🐢","⚓️"))))))</f>
        <v>🐢</v>
      </c>
      <c r="I90" s="171" t="str">
        <f t="shared" si="51"/>
        <v>🛴</v>
      </c>
      <c r="J90" s="172">
        <f t="shared" si="52"/>
        <v>539.26406174222029</v>
      </c>
      <c r="K90" s="173">
        <f t="shared" si="53"/>
        <v>0.12566139220700495</v>
      </c>
      <c r="L90" s="174">
        <f t="shared" si="54"/>
        <v>4291.4060736640413</v>
      </c>
      <c r="M90" s="175">
        <f t="shared" si="70"/>
        <v>362671.62265438208</v>
      </c>
      <c r="N90" s="20"/>
      <c r="O90" s="37" t="str">
        <f t="shared" si="47"/>
        <v/>
      </c>
      <c r="P90" s="62" t="str">
        <f t="shared" si="71"/>
        <v/>
      </c>
      <c r="Q90" s="16" t="str">
        <f t="shared" si="55"/>
        <v/>
      </c>
      <c r="R90" s="60">
        <f t="shared" si="72"/>
        <v>314</v>
      </c>
      <c r="S90" s="98">
        <f t="shared" si="73"/>
        <v>617.45850741741128</v>
      </c>
      <c r="T90" s="21">
        <f t="shared" si="74"/>
        <v>1.6999999999999999E-3</v>
      </c>
      <c r="AA90" s="14">
        <f t="shared" si="56"/>
        <v>-4291.4060736640413</v>
      </c>
      <c r="AH90" s="6">
        <f t="shared" si="57"/>
        <v>1</v>
      </c>
      <c r="AI90" s="6">
        <f t="shared" si="58"/>
        <v>3</v>
      </c>
      <c r="AJ90" s="12">
        <f t="shared" si="59"/>
        <v>7</v>
      </c>
      <c r="AK90" s="72">
        <f t="shared" si="49"/>
        <v>31</v>
      </c>
      <c r="AQ90" s="8"/>
      <c r="AR90">
        <f t="shared" si="75"/>
        <v>25</v>
      </c>
      <c r="AS90">
        <f t="shared" si="76"/>
        <v>75</v>
      </c>
      <c r="AT90" s="183">
        <f t="shared" si="77"/>
        <v>48335</v>
      </c>
      <c r="AU90" s="2">
        <f t="shared" si="78"/>
        <v>3.1847133757961785E-3</v>
      </c>
      <c r="AV90" s="169">
        <f t="shared" si="79"/>
        <v>76</v>
      </c>
      <c r="AW90" s="165">
        <f t="shared" si="80"/>
        <v>3034.6835045044095</v>
      </c>
      <c r="AX90" s="170">
        <f t="shared" si="86"/>
        <v>1156.7225691596316</v>
      </c>
      <c r="AY90" s="164" t="str">
        <f t="shared" ref="AY90:AY153" si="89">IF(OR(AX90=0,BC90&lt;1),"",IF(AX90/BC90&gt;90%,"🛩",IF(AX90/BC90&gt;70%,"🏎",IF(AX90/BC90&gt;50%,"🚙",IF(AX90/BC90&gt;30%,"🛵",IF(AX90/BC90&gt;15%,"🐢","⚓️"))))))</f>
        <v>🐢</v>
      </c>
      <c r="AZ90" s="171" t="str">
        <f t="shared" si="60"/>
        <v>🛴</v>
      </c>
      <c r="BA90" s="172">
        <f t="shared" si="61"/>
        <v>539.26406174222029</v>
      </c>
      <c r="BB90" s="173">
        <f t="shared" si="62"/>
        <v>0.12566139220700495</v>
      </c>
      <c r="BC90" s="174">
        <f t="shared" si="63"/>
        <v>4291.4060736640413</v>
      </c>
      <c r="BD90" s="175">
        <f t="shared" si="81"/>
        <v>362671.62265438208</v>
      </c>
      <c r="BE90" s="176"/>
      <c r="BF90" s="177" t="str">
        <f t="shared" si="48"/>
        <v/>
      </c>
      <c r="BG90" s="178" t="str">
        <f t="shared" si="82"/>
        <v/>
      </c>
      <c r="BH90" s="179" t="str">
        <f t="shared" si="64"/>
        <v/>
      </c>
      <c r="BI90" s="180">
        <f t="shared" si="83"/>
        <v>314</v>
      </c>
      <c r="BJ90" s="181">
        <f t="shared" si="87"/>
        <v>617.45850741741128</v>
      </c>
      <c r="BK90" s="182">
        <f t="shared" si="84"/>
        <v>1.6999999999999999E-3</v>
      </c>
    </row>
    <row r="91" spans="1:63" x14ac:dyDescent="0.25">
      <c r="A91" s="7">
        <f t="shared" si="65"/>
        <v>25</v>
      </c>
      <c r="B91" s="7">
        <f t="shared" si="66"/>
        <v>75</v>
      </c>
      <c r="C91" s="115">
        <f t="shared" si="67"/>
        <v>48366</v>
      </c>
      <c r="D91" s="2">
        <f t="shared" si="50"/>
        <v>3.1948881789137383E-3</v>
      </c>
      <c r="E91" s="169">
        <f t="shared" si="68"/>
        <v>77</v>
      </c>
      <c r="F91" s="165">
        <f t="shared" si="69"/>
        <v>3030.1778693139636</v>
      </c>
      <c r="G91" s="170">
        <f t="shared" si="85"/>
        <v>1158.6952800459492</v>
      </c>
      <c r="H91" s="164" t="str">
        <f t="shared" si="88"/>
        <v>🐢</v>
      </c>
      <c r="I91" s="171" t="str">
        <f t="shared" si="51"/>
        <v>🛴</v>
      </c>
      <c r="J91" s="172">
        <f t="shared" si="52"/>
        <v>542.15352153349966</v>
      </c>
      <c r="K91" s="173">
        <f t="shared" si="53"/>
        <v>0.12640931607278072</v>
      </c>
      <c r="L91" s="174">
        <f t="shared" si="54"/>
        <v>4288.8731493599125</v>
      </c>
      <c r="M91" s="175">
        <f t="shared" si="70"/>
        <v>362129.46913284855</v>
      </c>
      <c r="N91" s="20"/>
      <c r="O91" s="37" t="str">
        <f t="shared" si="47"/>
        <v/>
      </c>
      <c r="P91" s="62" t="str">
        <f t="shared" si="71"/>
        <v/>
      </c>
      <c r="Q91" s="16" t="str">
        <f t="shared" si="55"/>
        <v/>
      </c>
      <c r="R91" s="60">
        <f t="shared" si="72"/>
        <v>313</v>
      </c>
      <c r="S91" s="98">
        <f t="shared" si="73"/>
        <v>616.54175851244952</v>
      </c>
      <c r="T91" s="21">
        <f t="shared" si="74"/>
        <v>1.6999999999999999E-3</v>
      </c>
      <c r="AA91" s="14">
        <f t="shared" si="56"/>
        <v>-4288.8731493599125</v>
      </c>
      <c r="AH91" s="6">
        <f t="shared" si="57"/>
        <v>1</v>
      </c>
      <c r="AI91" s="6">
        <f t="shared" si="58"/>
        <v>3</v>
      </c>
      <c r="AJ91" s="12">
        <f t="shared" si="59"/>
        <v>7</v>
      </c>
      <c r="AK91" s="72">
        <f t="shared" si="49"/>
        <v>30</v>
      </c>
      <c r="AQ91" s="8"/>
      <c r="AR91">
        <f t="shared" si="75"/>
        <v>25</v>
      </c>
      <c r="AS91">
        <f t="shared" si="76"/>
        <v>75</v>
      </c>
      <c r="AT91" s="183">
        <f t="shared" si="77"/>
        <v>48366</v>
      </c>
      <c r="AU91" s="2">
        <f t="shared" si="78"/>
        <v>3.1948881789137383E-3</v>
      </c>
      <c r="AV91" s="169">
        <f t="shared" si="79"/>
        <v>77</v>
      </c>
      <c r="AW91" s="165">
        <f t="shared" si="80"/>
        <v>3030.1778693139636</v>
      </c>
      <c r="AX91" s="170">
        <f t="shared" si="86"/>
        <v>1158.6952800459492</v>
      </c>
      <c r="AY91" s="164" t="str">
        <f t="shared" si="89"/>
        <v>🐢</v>
      </c>
      <c r="AZ91" s="171" t="str">
        <f t="shared" si="60"/>
        <v>🛴</v>
      </c>
      <c r="BA91" s="172">
        <f t="shared" si="61"/>
        <v>542.15352153349966</v>
      </c>
      <c r="BB91" s="173">
        <f t="shared" si="62"/>
        <v>0.12640931607278072</v>
      </c>
      <c r="BC91" s="174">
        <f t="shared" si="63"/>
        <v>4288.8731493599125</v>
      </c>
      <c r="BD91" s="175">
        <f t="shared" si="81"/>
        <v>362129.46913284855</v>
      </c>
      <c r="BE91" s="176"/>
      <c r="BF91" s="177" t="str">
        <f t="shared" si="48"/>
        <v/>
      </c>
      <c r="BG91" s="178" t="str">
        <f t="shared" si="82"/>
        <v/>
      </c>
      <c r="BH91" s="179" t="str">
        <f t="shared" si="64"/>
        <v/>
      </c>
      <c r="BI91" s="180">
        <f t="shared" si="83"/>
        <v>313</v>
      </c>
      <c r="BJ91" s="181">
        <f t="shared" si="87"/>
        <v>616.54175851244952</v>
      </c>
      <c r="BK91" s="182">
        <f t="shared" si="84"/>
        <v>1.6999999999999999E-3</v>
      </c>
    </row>
    <row r="92" spans="1:63" x14ac:dyDescent="0.25">
      <c r="A92" s="7">
        <f t="shared" si="65"/>
        <v>25</v>
      </c>
      <c r="B92" s="7">
        <f t="shared" si="66"/>
        <v>75</v>
      </c>
      <c r="C92" s="115">
        <f t="shared" si="67"/>
        <v>48396</v>
      </c>
      <c r="D92" s="2">
        <f t="shared" si="50"/>
        <v>3.205128205128205E-3</v>
      </c>
      <c r="E92" s="169">
        <f t="shared" si="68"/>
        <v>78</v>
      </c>
      <c r="F92" s="165">
        <f t="shared" si="69"/>
        <v>3025.6480922371197</v>
      </c>
      <c r="G92" s="170">
        <f t="shared" si="85"/>
        <v>1160.6713754257967</v>
      </c>
      <c r="H92" s="164" t="str">
        <f t="shared" si="88"/>
        <v>🐢</v>
      </c>
      <c r="I92" s="171" t="str">
        <f t="shared" si="51"/>
        <v>🛴</v>
      </c>
      <c r="J92" s="172">
        <f t="shared" si="52"/>
        <v>545.05127789995413</v>
      </c>
      <c r="K92" s="173">
        <f t="shared" si="53"/>
        <v>0.12716067526276553</v>
      </c>
      <c r="L92" s="174">
        <f t="shared" si="54"/>
        <v>4286.3194676629164</v>
      </c>
      <c r="M92" s="175">
        <f t="shared" si="70"/>
        <v>361584.41785494855</v>
      </c>
      <c r="N92" s="20"/>
      <c r="O92" s="37" t="str">
        <f t="shared" si="47"/>
        <v/>
      </c>
      <c r="P92" s="62" t="str">
        <f t="shared" si="71"/>
        <v/>
      </c>
      <c r="Q92" s="16" t="str">
        <f t="shared" si="55"/>
        <v/>
      </c>
      <c r="R92" s="60">
        <f t="shared" si="72"/>
        <v>312</v>
      </c>
      <c r="S92" s="98">
        <f t="shared" si="73"/>
        <v>615.62009752584254</v>
      </c>
      <c r="T92" s="21">
        <f t="shared" si="74"/>
        <v>1.6999999999999999E-3</v>
      </c>
      <c r="AA92" s="14">
        <f t="shared" si="56"/>
        <v>-4286.3194676629164</v>
      </c>
      <c r="AH92" s="6">
        <f t="shared" si="57"/>
        <v>1</v>
      </c>
      <c r="AI92" s="6">
        <f t="shared" si="58"/>
        <v>3</v>
      </c>
      <c r="AJ92" s="12">
        <f t="shared" si="59"/>
        <v>7</v>
      </c>
      <c r="AK92" s="72">
        <f t="shared" si="49"/>
        <v>31</v>
      </c>
      <c r="AQ92" s="8"/>
      <c r="AR92">
        <f t="shared" si="75"/>
        <v>25</v>
      </c>
      <c r="AS92">
        <f t="shared" si="76"/>
        <v>75</v>
      </c>
      <c r="AT92" s="183">
        <f t="shared" si="77"/>
        <v>48396</v>
      </c>
      <c r="AU92" s="2">
        <f t="shared" si="78"/>
        <v>3.205128205128205E-3</v>
      </c>
      <c r="AV92" s="169">
        <f t="shared" si="79"/>
        <v>78</v>
      </c>
      <c r="AW92" s="165">
        <f t="shared" si="80"/>
        <v>3025.6480922371197</v>
      </c>
      <c r="AX92" s="170">
        <f t="shared" si="86"/>
        <v>1160.6713754257967</v>
      </c>
      <c r="AY92" s="164" t="str">
        <f t="shared" si="89"/>
        <v>🐢</v>
      </c>
      <c r="AZ92" s="171" t="str">
        <f t="shared" si="60"/>
        <v>🛴</v>
      </c>
      <c r="BA92" s="172">
        <f t="shared" si="61"/>
        <v>545.05127789995413</v>
      </c>
      <c r="BB92" s="173">
        <f t="shared" si="62"/>
        <v>0.12716067526276553</v>
      </c>
      <c r="BC92" s="174">
        <f t="shared" si="63"/>
        <v>4286.3194676629164</v>
      </c>
      <c r="BD92" s="175">
        <f t="shared" si="81"/>
        <v>361584.41785494855</v>
      </c>
      <c r="BE92" s="176"/>
      <c r="BF92" s="177" t="str">
        <f t="shared" si="48"/>
        <v/>
      </c>
      <c r="BG92" s="178" t="str">
        <f t="shared" si="82"/>
        <v/>
      </c>
      <c r="BH92" s="179" t="str">
        <f t="shared" si="64"/>
        <v/>
      </c>
      <c r="BI92" s="180">
        <f t="shared" si="83"/>
        <v>312</v>
      </c>
      <c r="BJ92" s="181">
        <f t="shared" si="87"/>
        <v>615.62009752584254</v>
      </c>
      <c r="BK92" s="182">
        <f t="shared" si="84"/>
        <v>1.6999999999999999E-3</v>
      </c>
    </row>
    <row r="93" spans="1:63" x14ac:dyDescent="0.25">
      <c r="A93" s="7">
        <f t="shared" si="65"/>
        <v>25</v>
      </c>
      <c r="B93" s="7">
        <f t="shared" si="66"/>
        <v>75</v>
      </c>
      <c r="C93" s="115">
        <f t="shared" si="67"/>
        <v>48427</v>
      </c>
      <c r="D93" s="2">
        <f t="shared" si="50"/>
        <v>3.2154340836012861E-3</v>
      </c>
      <c r="E93" s="169">
        <f t="shared" si="68"/>
        <v>79</v>
      </c>
      <c r="F93" s="165">
        <f t="shared" si="69"/>
        <v>3021.094103954701</v>
      </c>
      <c r="G93" s="170">
        <f t="shared" si="85"/>
        <v>1162.6508612699311</v>
      </c>
      <c r="H93" s="164" t="str">
        <f t="shared" si="88"/>
        <v>🐢</v>
      </c>
      <c r="I93" s="171" t="str">
        <f t="shared" si="51"/>
        <v>🛴</v>
      </c>
      <c r="J93" s="172">
        <f t="shared" si="52"/>
        <v>547.95735091651852</v>
      </c>
      <c r="K93" s="173">
        <f t="shared" si="53"/>
        <v>0.12791549342101988</v>
      </c>
      <c r="L93" s="174">
        <f t="shared" si="54"/>
        <v>4283.7449652246323</v>
      </c>
      <c r="M93" s="175">
        <f t="shared" si="70"/>
        <v>361036.46050403203</v>
      </c>
      <c r="N93" s="20"/>
      <c r="O93" s="37" t="str">
        <f t="shared" si="47"/>
        <v/>
      </c>
      <c r="P93" s="62" t="str">
        <f t="shared" si="71"/>
        <v/>
      </c>
      <c r="Q93" s="16" t="str">
        <f t="shared" si="55"/>
        <v/>
      </c>
      <c r="R93" s="60">
        <f t="shared" si="72"/>
        <v>311</v>
      </c>
      <c r="S93" s="98">
        <f t="shared" si="73"/>
        <v>614.69351035341253</v>
      </c>
      <c r="T93" s="21">
        <f t="shared" si="74"/>
        <v>1.6999999999999999E-3</v>
      </c>
      <c r="AA93" s="14">
        <f t="shared" si="56"/>
        <v>-4283.7449652246323</v>
      </c>
      <c r="AH93" s="6">
        <f t="shared" si="57"/>
        <v>1</v>
      </c>
      <c r="AI93" s="6">
        <f t="shared" si="58"/>
        <v>3</v>
      </c>
      <c r="AJ93" s="12">
        <f t="shared" si="59"/>
        <v>7</v>
      </c>
      <c r="AK93" s="72">
        <f t="shared" si="49"/>
        <v>31</v>
      </c>
      <c r="AQ93" s="8"/>
      <c r="AR93">
        <f t="shared" si="75"/>
        <v>25</v>
      </c>
      <c r="AS93">
        <f t="shared" si="76"/>
        <v>75</v>
      </c>
      <c r="AT93" s="183">
        <f t="shared" si="77"/>
        <v>48427</v>
      </c>
      <c r="AU93" s="2">
        <f t="shared" si="78"/>
        <v>3.2154340836012861E-3</v>
      </c>
      <c r="AV93" s="169">
        <f t="shared" si="79"/>
        <v>79</v>
      </c>
      <c r="AW93" s="165">
        <f t="shared" si="80"/>
        <v>3021.094103954701</v>
      </c>
      <c r="AX93" s="170">
        <f t="shared" si="86"/>
        <v>1162.6508612699311</v>
      </c>
      <c r="AY93" s="164" t="str">
        <f t="shared" si="89"/>
        <v>🐢</v>
      </c>
      <c r="AZ93" s="171" t="str">
        <f t="shared" si="60"/>
        <v>🛴</v>
      </c>
      <c r="BA93" s="172">
        <f t="shared" si="61"/>
        <v>547.95735091651852</v>
      </c>
      <c r="BB93" s="173">
        <f t="shared" si="62"/>
        <v>0.12791549342101988</v>
      </c>
      <c r="BC93" s="174">
        <f t="shared" si="63"/>
        <v>4283.7449652246323</v>
      </c>
      <c r="BD93" s="175">
        <f t="shared" si="81"/>
        <v>361036.46050403203</v>
      </c>
      <c r="BE93" s="176"/>
      <c r="BF93" s="177" t="str">
        <f t="shared" si="48"/>
        <v/>
      </c>
      <c r="BG93" s="178" t="str">
        <f t="shared" si="82"/>
        <v/>
      </c>
      <c r="BH93" s="179" t="str">
        <f t="shared" si="64"/>
        <v/>
      </c>
      <c r="BI93" s="180">
        <f t="shared" si="83"/>
        <v>311</v>
      </c>
      <c r="BJ93" s="181">
        <f t="shared" si="87"/>
        <v>614.69351035341253</v>
      </c>
      <c r="BK93" s="182">
        <f t="shared" si="84"/>
        <v>1.6999999999999999E-3</v>
      </c>
    </row>
    <row r="94" spans="1:63" x14ac:dyDescent="0.25">
      <c r="A94" s="7">
        <f t="shared" si="65"/>
        <v>25</v>
      </c>
      <c r="B94" s="7">
        <f t="shared" si="66"/>
        <v>75</v>
      </c>
      <c r="C94" s="115">
        <f t="shared" si="67"/>
        <v>48458</v>
      </c>
      <c r="D94" s="2">
        <f t="shared" si="50"/>
        <v>3.2258064516129032E-3</v>
      </c>
      <c r="E94" s="169">
        <f t="shared" si="68"/>
        <v>80</v>
      </c>
      <c r="F94" s="165">
        <f t="shared" si="69"/>
        <v>3016.5158349798012</v>
      </c>
      <c r="G94" s="170">
        <f t="shared" si="85"/>
        <v>1164.6337435613937</v>
      </c>
      <c r="H94" s="164" t="str">
        <f t="shared" si="88"/>
        <v>🐢</v>
      </c>
      <c r="I94" s="171" t="str">
        <f t="shared" si="51"/>
        <v>🛴</v>
      </c>
      <c r="J94" s="172">
        <f t="shared" si="52"/>
        <v>550.87176070453927</v>
      </c>
      <c r="K94" s="173">
        <f t="shared" si="53"/>
        <v>0.12867379440926921</v>
      </c>
      <c r="L94" s="174">
        <f t="shared" si="54"/>
        <v>4281.1495785411953</v>
      </c>
      <c r="M94" s="175">
        <f t="shared" si="70"/>
        <v>360485.58874332748</v>
      </c>
      <c r="N94" s="20"/>
      <c r="O94" s="37" t="str">
        <f t="shared" si="47"/>
        <v/>
      </c>
      <c r="P94" s="62" t="str">
        <f t="shared" si="71"/>
        <v/>
      </c>
      <c r="Q94" s="16" t="str">
        <f t="shared" si="55"/>
        <v/>
      </c>
      <c r="R94" s="60">
        <f t="shared" si="72"/>
        <v>310</v>
      </c>
      <c r="S94" s="98">
        <f t="shared" si="73"/>
        <v>613.76198285685439</v>
      </c>
      <c r="T94" s="21">
        <f t="shared" si="74"/>
        <v>1.6999999999999999E-3</v>
      </c>
      <c r="AA94" s="14">
        <f t="shared" si="56"/>
        <v>-4281.1495785411953</v>
      </c>
      <c r="AH94" s="6">
        <f t="shared" si="57"/>
        <v>1</v>
      </c>
      <c r="AI94" s="6">
        <f t="shared" si="58"/>
        <v>3</v>
      </c>
      <c r="AJ94" s="12">
        <f t="shared" si="59"/>
        <v>7</v>
      </c>
      <c r="AK94" s="72">
        <f t="shared" si="49"/>
        <v>30</v>
      </c>
      <c r="AQ94" s="8"/>
      <c r="AR94">
        <f t="shared" si="75"/>
        <v>25</v>
      </c>
      <c r="AS94">
        <f t="shared" si="76"/>
        <v>75</v>
      </c>
      <c r="AT94" s="183">
        <f t="shared" si="77"/>
        <v>48458</v>
      </c>
      <c r="AU94" s="2">
        <f t="shared" si="78"/>
        <v>3.2258064516129032E-3</v>
      </c>
      <c r="AV94" s="169">
        <f t="shared" si="79"/>
        <v>80</v>
      </c>
      <c r="AW94" s="165">
        <f t="shared" si="80"/>
        <v>3016.5158349798012</v>
      </c>
      <c r="AX94" s="170">
        <f t="shared" si="86"/>
        <v>1164.6337435613937</v>
      </c>
      <c r="AY94" s="164" t="str">
        <f t="shared" si="89"/>
        <v>🐢</v>
      </c>
      <c r="AZ94" s="171" t="str">
        <f t="shared" si="60"/>
        <v>🛴</v>
      </c>
      <c r="BA94" s="172">
        <f t="shared" si="61"/>
        <v>550.87176070453927</v>
      </c>
      <c r="BB94" s="173">
        <f t="shared" si="62"/>
        <v>0.12867379440926921</v>
      </c>
      <c r="BC94" s="174">
        <f t="shared" si="63"/>
        <v>4281.1495785411953</v>
      </c>
      <c r="BD94" s="175">
        <f t="shared" si="81"/>
        <v>360485.58874332748</v>
      </c>
      <c r="BE94" s="176"/>
      <c r="BF94" s="177" t="str">
        <f t="shared" si="48"/>
        <v/>
      </c>
      <c r="BG94" s="178" t="str">
        <f t="shared" si="82"/>
        <v/>
      </c>
      <c r="BH94" s="179" t="str">
        <f t="shared" si="64"/>
        <v/>
      </c>
      <c r="BI94" s="180">
        <f t="shared" si="83"/>
        <v>310</v>
      </c>
      <c r="BJ94" s="181">
        <f t="shared" si="87"/>
        <v>613.76198285685439</v>
      </c>
      <c r="BK94" s="182">
        <f t="shared" si="84"/>
        <v>1.6999999999999999E-3</v>
      </c>
    </row>
    <row r="95" spans="1:63" x14ac:dyDescent="0.25">
      <c r="A95" s="7">
        <f t="shared" si="65"/>
        <v>25</v>
      </c>
      <c r="B95" s="7">
        <f t="shared" si="66"/>
        <v>75</v>
      </c>
      <c r="C95" s="115">
        <f t="shared" si="67"/>
        <v>48488</v>
      </c>
      <c r="D95" s="2">
        <f t="shared" si="50"/>
        <v>3.2362459546925564E-3</v>
      </c>
      <c r="E95" s="169">
        <f t="shared" si="68"/>
        <v>81</v>
      </c>
      <c r="F95" s="165">
        <f t="shared" si="69"/>
        <v>3011.9132156573964</v>
      </c>
      <c r="G95" s="170">
        <f t="shared" si="85"/>
        <v>1166.6200282955581</v>
      </c>
      <c r="H95" s="164" t="str">
        <f t="shared" si="88"/>
        <v>🐢</v>
      </c>
      <c r="I95" s="171" t="str">
        <f t="shared" si="51"/>
        <v>🛴</v>
      </c>
      <c r="J95" s="172">
        <f t="shared" si="52"/>
        <v>553.79452743190143</v>
      </c>
      <c r="K95" s="173">
        <f t="shared" si="53"/>
        <v>0.12943560230941395</v>
      </c>
      <c r="L95" s="174">
        <f t="shared" si="54"/>
        <v>4278.5332439529548</v>
      </c>
      <c r="M95" s="175">
        <f t="shared" si="70"/>
        <v>359931.79421589558</v>
      </c>
      <c r="N95" s="20"/>
      <c r="O95" s="37" t="str">
        <f t="shared" si="47"/>
        <v/>
      </c>
      <c r="P95" s="62" t="str">
        <f t="shared" si="71"/>
        <v/>
      </c>
      <c r="Q95" s="16" t="str">
        <f t="shared" si="55"/>
        <v/>
      </c>
      <c r="R95" s="60">
        <f t="shared" si="72"/>
        <v>309</v>
      </c>
      <c r="S95" s="98">
        <f t="shared" si="73"/>
        <v>612.82550086365666</v>
      </c>
      <c r="T95" s="21">
        <f t="shared" si="74"/>
        <v>1.6999999999999999E-3</v>
      </c>
      <c r="AA95" s="14">
        <f t="shared" si="56"/>
        <v>-4278.5332439529548</v>
      </c>
      <c r="AH95" s="6">
        <f t="shared" si="57"/>
        <v>1</v>
      </c>
      <c r="AI95" s="6">
        <f t="shared" si="58"/>
        <v>3</v>
      </c>
      <c r="AJ95" s="12">
        <f t="shared" si="59"/>
        <v>7</v>
      </c>
      <c r="AK95" s="72">
        <f t="shared" si="49"/>
        <v>31</v>
      </c>
      <c r="AQ95" s="8"/>
      <c r="AR95">
        <f t="shared" si="75"/>
        <v>25</v>
      </c>
      <c r="AS95">
        <f t="shared" si="76"/>
        <v>75</v>
      </c>
      <c r="AT95" s="183">
        <f t="shared" si="77"/>
        <v>48488</v>
      </c>
      <c r="AU95" s="2">
        <f t="shared" si="78"/>
        <v>3.2362459546925564E-3</v>
      </c>
      <c r="AV95" s="169">
        <f t="shared" si="79"/>
        <v>81</v>
      </c>
      <c r="AW95" s="165">
        <f t="shared" si="80"/>
        <v>3011.9132156573964</v>
      </c>
      <c r="AX95" s="170">
        <f t="shared" si="86"/>
        <v>1166.6200282955581</v>
      </c>
      <c r="AY95" s="164" t="str">
        <f t="shared" si="89"/>
        <v>🐢</v>
      </c>
      <c r="AZ95" s="171" t="str">
        <f t="shared" si="60"/>
        <v>🛴</v>
      </c>
      <c r="BA95" s="172">
        <f t="shared" si="61"/>
        <v>553.79452743190143</v>
      </c>
      <c r="BB95" s="173">
        <f t="shared" si="62"/>
        <v>0.12943560230941395</v>
      </c>
      <c r="BC95" s="174">
        <f t="shared" si="63"/>
        <v>4278.5332439529548</v>
      </c>
      <c r="BD95" s="175">
        <f t="shared" si="81"/>
        <v>359931.79421589558</v>
      </c>
      <c r="BE95" s="176"/>
      <c r="BF95" s="177" t="str">
        <f t="shared" si="48"/>
        <v/>
      </c>
      <c r="BG95" s="178" t="str">
        <f t="shared" si="82"/>
        <v/>
      </c>
      <c r="BH95" s="179" t="str">
        <f t="shared" si="64"/>
        <v/>
      </c>
      <c r="BI95" s="180">
        <f t="shared" si="83"/>
        <v>309</v>
      </c>
      <c r="BJ95" s="181">
        <f t="shared" si="87"/>
        <v>612.82550086365666</v>
      </c>
      <c r="BK95" s="182">
        <f t="shared" si="84"/>
        <v>1.6999999999999999E-3</v>
      </c>
    </row>
    <row r="96" spans="1:63" x14ac:dyDescent="0.25">
      <c r="A96" s="7">
        <f t="shared" si="65"/>
        <v>25</v>
      </c>
      <c r="B96" s="7">
        <f t="shared" si="66"/>
        <v>75</v>
      </c>
      <c r="C96" s="115">
        <f t="shared" si="67"/>
        <v>48519</v>
      </c>
      <c r="D96" s="2">
        <f t="shared" si="50"/>
        <v>3.246753246753247E-3</v>
      </c>
      <c r="E96" s="169">
        <f t="shared" si="68"/>
        <v>82</v>
      </c>
      <c r="F96" s="165">
        <f t="shared" si="69"/>
        <v>3007.2861761639579</v>
      </c>
      <c r="G96" s="170">
        <f t="shared" si="85"/>
        <v>1168.6097214801805</v>
      </c>
      <c r="H96" s="164" t="str">
        <f t="shared" si="88"/>
        <v>🐢</v>
      </c>
      <c r="I96" s="171" t="str">
        <f t="shared" si="51"/>
        <v>🛴</v>
      </c>
      <c r="J96" s="172">
        <f t="shared" si="52"/>
        <v>556.72567131315805</v>
      </c>
      <c r="K96" s="173">
        <f t="shared" si="53"/>
        <v>0.13020094142607483</v>
      </c>
      <c r="L96" s="174">
        <f t="shared" si="54"/>
        <v>4275.8958976441381</v>
      </c>
      <c r="M96" s="175">
        <f t="shared" si="70"/>
        <v>359375.06854458246</v>
      </c>
      <c r="N96" s="20"/>
      <c r="O96" s="37" t="str">
        <f t="shared" si="47"/>
        <v/>
      </c>
      <c r="P96" s="62" t="str">
        <f t="shared" si="71"/>
        <v/>
      </c>
      <c r="Q96" s="16" t="str">
        <f t="shared" si="55"/>
        <v/>
      </c>
      <c r="R96" s="60">
        <f t="shared" si="72"/>
        <v>308</v>
      </c>
      <c r="S96" s="98">
        <f t="shared" si="73"/>
        <v>611.88405016702245</v>
      </c>
      <c r="T96" s="21">
        <f t="shared" si="74"/>
        <v>1.6999999999999999E-3</v>
      </c>
      <c r="AA96" s="14">
        <f t="shared" si="56"/>
        <v>-4275.8958976441381</v>
      </c>
      <c r="AH96" s="6">
        <f t="shared" si="57"/>
        <v>1</v>
      </c>
      <c r="AI96" s="6">
        <f t="shared" si="58"/>
        <v>3</v>
      </c>
      <c r="AJ96" s="12">
        <f t="shared" si="59"/>
        <v>7</v>
      </c>
      <c r="AK96" s="72">
        <f t="shared" si="49"/>
        <v>30</v>
      </c>
      <c r="AQ96" s="8"/>
      <c r="AR96">
        <f t="shared" si="75"/>
        <v>25</v>
      </c>
      <c r="AS96">
        <f t="shared" si="76"/>
        <v>75</v>
      </c>
      <c r="AT96" s="183">
        <f t="shared" si="77"/>
        <v>48519</v>
      </c>
      <c r="AU96" s="2">
        <f t="shared" si="78"/>
        <v>3.246753246753247E-3</v>
      </c>
      <c r="AV96" s="169">
        <f t="shared" si="79"/>
        <v>82</v>
      </c>
      <c r="AW96" s="165">
        <f t="shared" si="80"/>
        <v>3007.2861761639579</v>
      </c>
      <c r="AX96" s="170">
        <f t="shared" si="86"/>
        <v>1168.6097214801805</v>
      </c>
      <c r="AY96" s="164" t="str">
        <f t="shared" si="89"/>
        <v>🐢</v>
      </c>
      <c r="AZ96" s="171" t="str">
        <f t="shared" si="60"/>
        <v>🛴</v>
      </c>
      <c r="BA96" s="172">
        <f t="shared" si="61"/>
        <v>556.72567131315805</v>
      </c>
      <c r="BB96" s="173">
        <f t="shared" si="62"/>
        <v>0.13020094142607483</v>
      </c>
      <c r="BC96" s="174">
        <f t="shared" si="63"/>
        <v>4275.8958976441381</v>
      </c>
      <c r="BD96" s="175">
        <f t="shared" si="81"/>
        <v>359375.06854458246</v>
      </c>
      <c r="BE96" s="176"/>
      <c r="BF96" s="177" t="str">
        <f t="shared" si="48"/>
        <v/>
      </c>
      <c r="BG96" s="178" t="str">
        <f t="shared" si="82"/>
        <v/>
      </c>
      <c r="BH96" s="179" t="str">
        <f t="shared" si="64"/>
        <v/>
      </c>
      <c r="BI96" s="180">
        <f t="shared" si="83"/>
        <v>308</v>
      </c>
      <c r="BJ96" s="181">
        <f t="shared" si="87"/>
        <v>611.88405016702245</v>
      </c>
      <c r="BK96" s="182">
        <f t="shared" si="84"/>
        <v>1.6999999999999999E-3</v>
      </c>
    </row>
    <row r="97" spans="1:63" x14ac:dyDescent="0.25">
      <c r="A97" s="7">
        <f t="shared" si="65"/>
        <v>25</v>
      </c>
      <c r="B97" s="7">
        <f t="shared" si="66"/>
        <v>75</v>
      </c>
      <c r="C97" s="115">
        <f t="shared" si="67"/>
        <v>48549</v>
      </c>
      <c r="D97" s="2">
        <f t="shared" si="50"/>
        <v>3.2573289902280132E-3</v>
      </c>
      <c r="E97" s="169">
        <f t="shared" si="68"/>
        <v>83</v>
      </c>
      <c r="F97" s="165">
        <f t="shared" si="69"/>
        <v>3002.6346465070601</v>
      </c>
      <c r="G97" s="170">
        <f t="shared" si="85"/>
        <v>1170.6028291354478</v>
      </c>
      <c r="H97" s="164" t="str">
        <f t="shared" si="88"/>
        <v>🐢</v>
      </c>
      <c r="I97" s="171" t="str">
        <f t="shared" si="51"/>
        <v>🛴</v>
      </c>
      <c r="J97" s="172">
        <f t="shared" si="52"/>
        <v>559.6652126096576</v>
      </c>
      <c r="K97" s="173">
        <f t="shared" si="53"/>
        <v>0.13096983628917286</v>
      </c>
      <c r="L97" s="174">
        <f t="shared" si="54"/>
        <v>4273.2374756425079</v>
      </c>
      <c r="M97" s="175">
        <f t="shared" si="70"/>
        <v>358815.40333197283</v>
      </c>
      <c r="N97" s="198"/>
      <c r="O97" s="37" t="str">
        <f t="shared" si="47"/>
        <v/>
      </c>
      <c r="P97" s="62" t="str">
        <f t="shared" si="71"/>
        <v/>
      </c>
      <c r="Q97" s="16" t="str">
        <f t="shared" si="55"/>
        <v/>
      </c>
      <c r="R97" s="60">
        <f t="shared" si="72"/>
        <v>307</v>
      </c>
      <c r="S97" s="98">
        <f t="shared" si="73"/>
        <v>610.93761652579019</v>
      </c>
      <c r="T97" s="21">
        <f t="shared" si="74"/>
        <v>1.6999999999999999E-3</v>
      </c>
      <c r="AA97" s="14">
        <f t="shared" si="56"/>
        <v>-4273.2374756425079</v>
      </c>
      <c r="AH97" s="6">
        <f t="shared" si="57"/>
        <v>1</v>
      </c>
      <c r="AI97" s="6">
        <f t="shared" si="58"/>
        <v>3</v>
      </c>
      <c r="AJ97" s="12">
        <f t="shared" si="59"/>
        <v>7</v>
      </c>
      <c r="AK97" s="72">
        <f t="shared" si="49"/>
        <v>31</v>
      </c>
      <c r="AQ97" s="8"/>
      <c r="AR97">
        <f t="shared" si="75"/>
        <v>25</v>
      </c>
      <c r="AS97">
        <f t="shared" si="76"/>
        <v>75</v>
      </c>
      <c r="AT97" s="183">
        <f t="shared" si="77"/>
        <v>48549</v>
      </c>
      <c r="AU97" s="2">
        <f t="shared" si="78"/>
        <v>3.2573289902280132E-3</v>
      </c>
      <c r="AV97" s="169">
        <f t="shared" si="79"/>
        <v>83</v>
      </c>
      <c r="AW97" s="165">
        <f t="shared" si="80"/>
        <v>3002.6346465070601</v>
      </c>
      <c r="AX97" s="170">
        <f t="shared" si="86"/>
        <v>1170.6028291354478</v>
      </c>
      <c r="AY97" s="164" t="str">
        <f t="shared" si="89"/>
        <v>🐢</v>
      </c>
      <c r="AZ97" s="171" t="str">
        <f t="shared" si="60"/>
        <v>🛴</v>
      </c>
      <c r="BA97" s="172">
        <f t="shared" si="61"/>
        <v>559.6652126096576</v>
      </c>
      <c r="BB97" s="173">
        <f t="shared" si="62"/>
        <v>0.13096983628917286</v>
      </c>
      <c r="BC97" s="174">
        <f t="shared" si="63"/>
        <v>4273.2374756425079</v>
      </c>
      <c r="BD97" s="175">
        <f t="shared" si="81"/>
        <v>358815.40333197283</v>
      </c>
      <c r="BE97" s="176"/>
      <c r="BF97" s="177" t="str">
        <f t="shared" si="48"/>
        <v/>
      </c>
      <c r="BG97" s="178" t="str">
        <f t="shared" si="82"/>
        <v/>
      </c>
      <c r="BH97" s="179" t="str">
        <f t="shared" si="64"/>
        <v/>
      </c>
      <c r="BI97" s="180">
        <f t="shared" si="83"/>
        <v>307</v>
      </c>
      <c r="BJ97" s="181">
        <f t="shared" si="87"/>
        <v>610.93761652579019</v>
      </c>
      <c r="BK97" s="182">
        <f t="shared" si="84"/>
        <v>1.6999999999999999E-3</v>
      </c>
    </row>
    <row r="98" spans="1:63" x14ac:dyDescent="0.25">
      <c r="A98" s="7">
        <f t="shared" si="65"/>
        <v>25</v>
      </c>
      <c r="B98" s="7">
        <f t="shared" si="66"/>
        <v>75</v>
      </c>
      <c r="C98" s="115">
        <f t="shared" si="67"/>
        <v>48580</v>
      </c>
      <c r="D98" s="2">
        <f t="shared" si="50"/>
        <v>3.26797385620915E-3</v>
      </c>
      <c r="E98" s="169">
        <f t="shared" si="68"/>
        <v>84</v>
      </c>
      <c r="F98" s="165">
        <f t="shared" si="69"/>
        <v>2997.9585565249922</v>
      </c>
      <c r="G98" s="170">
        <f t="shared" si="85"/>
        <v>1172.5993572940288</v>
      </c>
      <c r="H98" s="164" t="str">
        <f t="shared" si="88"/>
        <v>🐢</v>
      </c>
      <c r="I98" s="171" t="str">
        <f t="shared" si="51"/>
        <v>🛴</v>
      </c>
      <c r="J98" s="172">
        <f t="shared" si="52"/>
        <v>562.61317162967498</v>
      </c>
      <c r="K98" s="173">
        <f t="shared" si="53"/>
        <v>0.13174231165654615</v>
      </c>
      <c r="L98" s="174">
        <f t="shared" si="54"/>
        <v>4270.5579138190205</v>
      </c>
      <c r="M98" s="175">
        <f t="shared" si="70"/>
        <v>358252.79016034317</v>
      </c>
      <c r="N98" s="20"/>
      <c r="O98" s="37" t="str">
        <f t="shared" si="47"/>
        <v/>
      </c>
      <c r="P98" s="62" t="str">
        <f t="shared" si="71"/>
        <v/>
      </c>
      <c r="Q98" s="16" t="str">
        <f t="shared" si="55"/>
        <v/>
      </c>
      <c r="R98" s="60">
        <f t="shared" si="72"/>
        <v>306</v>
      </c>
      <c r="S98" s="98">
        <f t="shared" si="73"/>
        <v>609.9861856643538</v>
      </c>
      <c r="T98" s="21">
        <f t="shared" si="74"/>
        <v>1.6999999999999999E-3</v>
      </c>
      <c r="AA98" s="14">
        <f t="shared" si="56"/>
        <v>-4270.5579138190205</v>
      </c>
      <c r="AH98" s="6">
        <f t="shared" si="57"/>
        <v>1</v>
      </c>
      <c r="AI98" s="6">
        <f t="shared" si="58"/>
        <v>3</v>
      </c>
      <c r="AJ98" s="12">
        <f t="shared" si="59"/>
        <v>7</v>
      </c>
      <c r="AK98" s="72">
        <f t="shared" si="49"/>
        <v>31</v>
      </c>
      <c r="AQ98" s="8"/>
      <c r="AR98">
        <f t="shared" si="75"/>
        <v>25</v>
      </c>
      <c r="AS98">
        <f t="shared" si="76"/>
        <v>75</v>
      </c>
      <c r="AT98" s="183">
        <f t="shared" si="77"/>
        <v>48580</v>
      </c>
      <c r="AU98" s="2">
        <f t="shared" si="78"/>
        <v>3.26797385620915E-3</v>
      </c>
      <c r="AV98" s="169">
        <f t="shared" si="79"/>
        <v>84</v>
      </c>
      <c r="AW98" s="165">
        <f t="shared" si="80"/>
        <v>2997.9585565249922</v>
      </c>
      <c r="AX98" s="170">
        <f t="shared" si="86"/>
        <v>1172.5993572940288</v>
      </c>
      <c r="AY98" s="164" t="str">
        <f t="shared" si="89"/>
        <v>🐢</v>
      </c>
      <c r="AZ98" s="171" t="str">
        <f t="shared" si="60"/>
        <v>🛴</v>
      </c>
      <c r="BA98" s="172">
        <f t="shared" si="61"/>
        <v>562.61317162967498</v>
      </c>
      <c r="BB98" s="173">
        <f t="shared" si="62"/>
        <v>0.13174231165654615</v>
      </c>
      <c r="BC98" s="174">
        <f t="shared" si="63"/>
        <v>4270.5579138190205</v>
      </c>
      <c r="BD98" s="175">
        <f t="shared" si="81"/>
        <v>358252.79016034317</v>
      </c>
      <c r="BE98" s="176"/>
      <c r="BF98" s="177" t="str">
        <f t="shared" si="48"/>
        <v/>
      </c>
      <c r="BG98" s="178" t="str">
        <f t="shared" si="82"/>
        <v/>
      </c>
      <c r="BH98" s="179" t="str">
        <f t="shared" si="64"/>
        <v/>
      </c>
      <c r="BI98" s="180">
        <f t="shared" si="83"/>
        <v>306</v>
      </c>
      <c r="BJ98" s="181">
        <f t="shared" si="87"/>
        <v>609.9861856643538</v>
      </c>
      <c r="BK98" s="182">
        <f t="shared" si="84"/>
        <v>1.6999999999999999E-3</v>
      </c>
    </row>
    <row r="99" spans="1:63" x14ac:dyDescent="0.25">
      <c r="A99" s="7">
        <f t="shared" si="65"/>
        <v>25</v>
      </c>
      <c r="B99" s="7">
        <f t="shared" si="66"/>
        <v>75</v>
      </c>
      <c r="C99" s="115">
        <f t="shared" si="67"/>
        <v>48611</v>
      </c>
      <c r="D99" s="2">
        <f t="shared" si="50"/>
        <v>3.2786885245901639E-3</v>
      </c>
      <c r="E99" s="169">
        <f t="shared" si="68"/>
        <v>85</v>
      </c>
      <c r="F99" s="165">
        <f t="shared" si="69"/>
        <v>2993.2578358863625</v>
      </c>
      <c r="G99" s="170">
        <f t="shared" si="85"/>
        <v>1174.5993120011251</v>
      </c>
      <c r="H99" s="164" t="str">
        <f t="shared" si="88"/>
        <v>🐢</v>
      </c>
      <c r="I99" s="171" t="str">
        <f t="shared" si="51"/>
        <v>🛴</v>
      </c>
      <c r="J99" s="172">
        <f t="shared" si="52"/>
        <v>565.56956872854175</v>
      </c>
      <c r="K99" s="173">
        <f t="shared" si="53"/>
        <v>0.13251839251660252</v>
      </c>
      <c r="L99" s="174">
        <f t="shared" si="54"/>
        <v>4267.8571478874874</v>
      </c>
      <c r="M99" s="175">
        <f t="shared" si="70"/>
        <v>357687.2205916146</v>
      </c>
      <c r="N99" s="20"/>
      <c r="O99" s="37" t="str">
        <f t="shared" si="47"/>
        <v/>
      </c>
      <c r="P99" s="62" t="str">
        <f t="shared" si="71"/>
        <v/>
      </c>
      <c r="Q99" s="16" t="str">
        <f t="shared" si="55"/>
        <v/>
      </c>
      <c r="R99" s="60">
        <f t="shared" si="72"/>
        <v>305</v>
      </c>
      <c r="S99" s="98">
        <f t="shared" si="73"/>
        <v>609.02974327258335</v>
      </c>
      <c r="T99" s="21">
        <f t="shared" si="74"/>
        <v>1.6999999999999999E-3</v>
      </c>
      <c r="AA99" s="14">
        <f t="shared" si="56"/>
        <v>-4267.8571478874874</v>
      </c>
      <c r="AH99" s="6">
        <f t="shared" si="57"/>
        <v>1</v>
      </c>
      <c r="AI99" s="6">
        <f t="shared" si="58"/>
        <v>3</v>
      </c>
      <c r="AJ99" s="12">
        <f t="shared" si="59"/>
        <v>8</v>
      </c>
      <c r="AK99" s="72">
        <f t="shared" si="49"/>
        <v>28</v>
      </c>
      <c r="AQ99" s="8"/>
      <c r="AR99">
        <f t="shared" si="75"/>
        <v>25</v>
      </c>
      <c r="AS99">
        <f t="shared" si="76"/>
        <v>75</v>
      </c>
      <c r="AT99" s="183">
        <f t="shared" si="77"/>
        <v>48611</v>
      </c>
      <c r="AU99" s="2">
        <f t="shared" si="78"/>
        <v>3.2786885245901639E-3</v>
      </c>
      <c r="AV99" s="169">
        <f t="shared" si="79"/>
        <v>85</v>
      </c>
      <c r="AW99" s="165">
        <f t="shared" si="80"/>
        <v>2993.2578358863625</v>
      </c>
      <c r="AX99" s="170">
        <f t="shared" si="86"/>
        <v>1174.5993120011251</v>
      </c>
      <c r="AY99" s="164" t="str">
        <f t="shared" si="89"/>
        <v>🐢</v>
      </c>
      <c r="AZ99" s="171" t="str">
        <f t="shared" si="60"/>
        <v>🛴</v>
      </c>
      <c r="BA99" s="172">
        <f t="shared" si="61"/>
        <v>565.56956872854175</v>
      </c>
      <c r="BB99" s="173">
        <f t="shared" si="62"/>
        <v>0.13251839251660252</v>
      </c>
      <c r="BC99" s="174">
        <f t="shared" si="63"/>
        <v>4267.8571478874874</v>
      </c>
      <c r="BD99" s="175">
        <f t="shared" si="81"/>
        <v>357687.2205916146</v>
      </c>
      <c r="BE99" s="176"/>
      <c r="BF99" s="177" t="str">
        <f t="shared" si="48"/>
        <v/>
      </c>
      <c r="BG99" s="178" t="str">
        <f t="shared" si="82"/>
        <v/>
      </c>
      <c r="BH99" s="179" t="str">
        <f t="shared" si="64"/>
        <v/>
      </c>
      <c r="BI99" s="180">
        <f t="shared" si="83"/>
        <v>305</v>
      </c>
      <c r="BJ99" s="181">
        <f t="shared" si="87"/>
        <v>609.02974327258335</v>
      </c>
      <c r="BK99" s="182">
        <f t="shared" si="84"/>
        <v>1.6999999999999999E-3</v>
      </c>
    </row>
    <row r="100" spans="1:63" x14ac:dyDescent="0.25">
      <c r="A100" s="7">
        <f t="shared" si="65"/>
        <v>25</v>
      </c>
      <c r="B100" s="7">
        <f t="shared" si="66"/>
        <v>75</v>
      </c>
      <c r="C100" s="115">
        <f t="shared" si="67"/>
        <v>48639</v>
      </c>
      <c r="D100" s="2">
        <f t="shared" si="50"/>
        <v>3.2894736842105261E-3</v>
      </c>
      <c r="E100" s="169">
        <f t="shared" si="68"/>
        <v>86</v>
      </c>
      <c r="F100" s="165">
        <f t="shared" si="69"/>
        <v>2988.5324140897087</v>
      </c>
      <c r="G100" s="170">
        <f t="shared" si="85"/>
        <v>1176.6026993145217</v>
      </c>
      <c r="H100" s="164" t="str">
        <f t="shared" si="88"/>
        <v>🐢</v>
      </c>
      <c r="I100" s="171" t="str">
        <f t="shared" si="51"/>
        <v>🛴</v>
      </c>
      <c r="J100" s="172">
        <f t="shared" si="52"/>
        <v>568.53442430877692</v>
      </c>
      <c r="K100" s="173">
        <f t="shared" si="53"/>
        <v>0.13329810409100953</v>
      </c>
      <c r="L100" s="174">
        <f t="shared" si="54"/>
        <v>4265.1351134042307</v>
      </c>
      <c r="M100" s="175">
        <f t="shared" si="70"/>
        <v>357118.6861673058</v>
      </c>
      <c r="N100" s="20"/>
      <c r="O100" s="37" t="str">
        <f t="shared" si="47"/>
        <v/>
      </c>
      <c r="P100" s="62" t="str">
        <f t="shared" si="71"/>
        <v/>
      </c>
      <c r="Q100" s="16" t="str">
        <f t="shared" si="55"/>
        <v/>
      </c>
      <c r="R100" s="60">
        <f t="shared" si="72"/>
        <v>304</v>
      </c>
      <c r="S100" s="98">
        <f t="shared" si="73"/>
        <v>608.06827500574479</v>
      </c>
      <c r="T100" s="21">
        <f t="shared" si="74"/>
        <v>1.6999999999999999E-3</v>
      </c>
      <c r="AA100" s="14">
        <f t="shared" si="56"/>
        <v>-4265.1351134042307</v>
      </c>
      <c r="AH100" s="6">
        <f t="shared" si="57"/>
        <v>1</v>
      </c>
      <c r="AI100" s="6">
        <f t="shared" si="58"/>
        <v>3</v>
      </c>
      <c r="AJ100" s="12">
        <f t="shared" si="59"/>
        <v>8</v>
      </c>
      <c r="AK100" s="72">
        <f t="shared" si="49"/>
        <v>31</v>
      </c>
      <c r="AQ100" s="8"/>
      <c r="AR100">
        <f t="shared" si="75"/>
        <v>25</v>
      </c>
      <c r="AS100">
        <f t="shared" si="76"/>
        <v>75</v>
      </c>
      <c r="AT100" s="183">
        <f t="shared" si="77"/>
        <v>48639</v>
      </c>
      <c r="AU100" s="2">
        <f t="shared" si="78"/>
        <v>3.2894736842105261E-3</v>
      </c>
      <c r="AV100" s="169">
        <f t="shared" si="79"/>
        <v>86</v>
      </c>
      <c r="AW100" s="165">
        <f t="shared" si="80"/>
        <v>2988.5324140897087</v>
      </c>
      <c r="AX100" s="170">
        <f t="shared" si="86"/>
        <v>1176.6026993145217</v>
      </c>
      <c r="AY100" s="164" t="str">
        <f t="shared" si="89"/>
        <v>🐢</v>
      </c>
      <c r="AZ100" s="171" t="str">
        <f t="shared" si="60"/>
        <v>🛴</v>
      </c>
      <c r="BA100" s="172">
        <f t="shared" si="61"/>
        <v>568.53442430877692</v>
      </c>
      <c r="BB100" s="173">
        <f t="shared" si="62"/>
        <v>0.13329810409100953</v>
      </c>
      <c r="BC100" s="174">
        <f t="shared" si="63"/>
        <v>4265.1351134042307</v>
      </c>
      <c r="BD100" s="175">
        <f t="shared" si="81"/>
        <v>357118.6861673058</v>
      </c>
      <c r="BE100" s="176"/>
      <c r="BF100" s="177" t="str">
        <f t="shared" si="48"/>
        <v/>
      </c>
      <c r="BG100" s="178" t="str">
        <f t="shared" si="82"/>
        <v/>
      </c>
      <c r="BH100" s="179" t="str">
        <f t="shared" si="64"/>
        <v/>
      </c>
      <c r="BI100" s="180">
        <f t="shared" si="83"/>
        <v>304</v>
      </c>
      <c r="BJ100" s="181">
        <f t="shared" si="87"/>
        <v>608.06827500574479</v>
      </c>
      <c r="BK100" s="182">
        <f t="shared" si="84"/>
        <v>1.6999999999999999E-3</v>
      </c>
    </row>
    <row r="101" spans="1:63" x14ac:dyDescent="0.25">
      <c r="A101" s="7">
        <f t="shared" si="65"/>
        <v>25</v>
      </c>
      <c r="B101" s="7">
        <f t="shared" si="66"/>
        <v>75</v>
      </c>
      <c r="C101" s="115">
        <f t="shared" si="67"/>
        <v>48670</v>
      </c>
      <c r="D101" s="2">
        <f t="shared" si="50"/>
        <v>3.3003300330033004E-3</v>
      </c>
      <c r="E101" s="169">
        <f t="shared" si="68"/>
        <v>87</v>
      </c>
      <c r="F101" s="165">
        <f t="shared" si="69"/>
        <v>2983.7822204631029</v>
      </c>
      <c r="G101" s="170">
        <f t="shared" si="85"/>
        <v>1178.6095253046396</v>
      </c>
      <c r="H101" s="164" t="str">
        <f t="shared" si="88"/>
        <v>🐢</v>
      </c>
      <c r="I101" s="171" t="str">
        <f t="shared" si="51"/>
        <v>🛴</v>
      </c>
      <c r="J101" s="172">
        <f t="shared" si="52"/>
        <v>571.50775882021981</v>
      </c>
      <c r="K101" s="173">
        <f t="shared" si="53"/>
        <v>0.13408147183742253</v>
      </c>
      <c r="L101" s="174">
        <f t="shared" si="54"/>
        <v>4262.3917457677426</v>
      </c>
      <c r="M101" s="175">
        <f t="shared" si="70"/>
        <v>356547.1784084856</v>
      </c>
      <c r="N101" s="20"/>
      <c r="O101" s="37" t="str">
        <f t="shared" si="47"/>
        <v/>
      </c>
      <c r="P101" s="62" t="str">
        <f t="shared" si="71"/>
        <v/>
      </c>
      <c r="Q101" s="16" t="str">
        <f t="shared" si="55"/>
        <v/>
      </c>
      <c r="R101" s="60">
        <f t="shared" si="72"/>
        <v>303</v>
      </c>
      <c r="S101" s="98">
        <f t="shared" si="73"/>
        <v>607.10176648441984</v>
      </c>
      <c r="T101" s="21">
        <f t="shared" si="74"/>
        <v>1.6999999999999999E-3</v>
      </c>
      <c r="AA101" s="14">
        <f t="shared" si="56"/>
        <v>-4262.3917457677426</v>
      </c>
      <c r="AH101" s="6">
        <f t="shared" si="57"/>
        <v>1</v>
      </c>
      <c r="AI101" s="6">
        <f t="shared" si="58"/>
        <v>3</v>
      </c>
      <c r="AJ101" s="12">
        <f t="shared" si="59"/>
        <v>8</v>
      </c>
      <c r="AK101" s="72">
        <f t="shared" si="49"/>
        <v>30</v>
      </c>
      <c r="AQ101" s="8"/>
      <c r="AR101">
        <f t="shared" si="75"/>
        <v>25</v>
      </c>
      <c r="AS101">
        <f t="shared" si="76"/>
        <v>75</v>
      </c>
      <c r="AT101" s="183">
        <f t="shared" si="77"/>
        <v>48670</v>
      </c>
      <c r="AU101" s="2">
        <f t="shared" si="78"/>
        <v>3.3003300330033004E-3</v>
      </c>
      <c r="AV101" s="169">
        <f t="shared" si="79"/>
        <v>87</v>
      </c>
      <c r="AW101" s="165">
        <f t="shared" si="80"/>
        <v>2983.7822204631029</v>
      </c>
      <c r="AX101" s="170">
        <f t="shared" si="86"/>
        <v>1178.6095253046396</v>
      </c>
      <c r="AY101" s="164" t="str">
        <f t="shared" si="89"/>
        <v>🐢</v>
      </c>
      <c r="AZ101" s="171" t="str">
        <f t="shared" si="60"/>
        <v>🛴</v>
      </c>
      <c r="BA101" s="172">
        <f t="shared" si="61"/>
        <v>571.50775882021981</v>
      </c>
      <c r="BB101" s="173">
        <f t="shared" si="62"/>
        <v>0.13408147183742253</v>
      </c>
      <c r="BC101" s="174">
        <f t="shared" si="63"/>
        <v>4262.3917457677426</v>
      </c>
      <c r="BD101" s="175">
        <f t="shared" si="81"/>
        <v>356547.1784084856</v>
      </c>
      <c r="BE101" s="176"/>
      <c r="BF101" s="177" t="str">
        <f t="shared" si="48"/>
        <v/>
      </c>
      <c r="BG101" s="178" t="str">
        <f t="shared" si="82"/>
        <v/>
      </c>
      <c r="BH101" s="179" t="str">
        <f t="shared" si="64"/>
        <v/>
      </c>
      <c r="BI101" s="180">
        <f t="shared" si="83"/>
        <v>303</v>
      </c>
      <c r="BJ101" s="181">
        <f t="shared" si="87"/>
        <v>607.10176648441984</v>
      </c>
      <c r="BK101" s="182">
        <f t="shared" si="84"/>
        <v>1.6999999999999999E-3</v>
      </c>
    </row>
    <row r="102" spans="1:63" x14ac:dyDescent="0.25">
      <c r="A102" s="7">
        <f t="shared" si="65"/>
        <v>25</v>
      </c>
      <c r="B102" s="7">
        <f t="shared" si="66"/>
        <v>75</v>
      </c>
      <c r="C102" s="115">
        <f t="shared" si="67"/>
        <v>48700</v>
      </c>
      <c r="D102" s="2">
        <f t="shared" si="50"/>
        <v>3.3112582781456954E-3</v>
      </c>
      <c r="E102" s="169">
        <f t="shared" si="68"/>
        <v>88</v>
      </c>
      <c r="F102" s="165">
        <f t="shared" si="69"/>
        <v>2979.0071841637546</v>
      </c>
      <c r="G102" s="170">
        <f t="shared" si="85"/>
        <v>1180.6197960545881</v>
      </c>
      <c r="H102" s="164" t="str">
        <f t="shared" si="88"/>
        <v>🐢</v>
      </c>
      <c r="I102" s="171" t="str">
        <f t="shared" si="51"/>
        <v>🛴</v>
      </c>
      <c r="J102" s="172">
        <f t="shared" si="52"/>
        <v>574.48959276016251</v>
      </c>
      <c r="K102" s="173">
        <f t="shared" si="53"/>
        <v>0.13486852145225051</v>
      </c>
      <c r="L102" s="174">
        <f t="shared" si="54"/>
        <v>4259.6269802183424</v>
      </c>
      <c r="M102" s="175">
        <f t="shared" si="70"/>
        <v>355972.68881572544</v>
      </c>
      <c r="N102" s="20"/>
      <c r="O102" s="37" t="str">
        <f t="shared" si="47"/>
        <v/>
      </c>
      <c r="P102" s="62" t="str">
        <f t="shared" si="71"/>
        <v/>
      </c>
      <c r="Q102" s="16" t="str">
        <f t="shared" si="55"/>
        <v/>
      </c>
      <c r="R102" s="60">
        <f t="shared" si="72"/>
        <v>302</v>
      </c>
      <c r="S102" s="98">
        <f t="shared" si="73"/>
        <v>606.13020329442554</v>
      </c>
      <c r="T102" s="21">
        <f t="shared" si="74"/>
        <v>1.6999999999999999E-3</v>
      </c>
      <c r="AA102" s="14">
        <f t="shared" si="56"/>
        <v>-4259.6269802183424</v>
      </c>
      <c r="AH102" s="6">
        <f t="shared" si="57"/>
        <v>1</v>
      </c>
      <c r="AI102" s="6">
        <f t="shared" si="58"/>
        <v>3</v>
      </c>
      <c r="AJ102" s="12">
        <f t="shared" si="59"/>
        <v>8</v>
      </c>
      <c r="AK102" s="72">
        <f t="shared" si="49"/>
        <v>31</v>
      </c>
      <c r="AQ102" s="8"/>
      <c r="AR102">
        <f t="shared" si="75"/>
        <v>25</v>
      </c>
      <c r="AS102">
        <f t="shared" si="76"/>
        <v>75</v>
      </c>
      <c r="AT102" s="183">
        <f t="shared" si="77"/>
        <v>48700</v>
      </c>
      <c r="AU102" s="2">
        <f t="shared" si="78"/>
        <v>3.3112582781456954E-3</v>
      </c>
      <c r="AV102" s="169">
        <f t="shared" si="79"/>
        <v>88</v>
      </c>
      <c r="AW102" s="165">
        <f t="shared" si="80"/>
        <v>2979.0071841637546</v>
      </c>
      <c r="AX102" s="170">
        <f t="shared" si="86"/>
        <v>1180.6197960545881</v>
      </c>
      <c r="AY102" s="164" t="str">
        <f t="shared" si="89"/>
        <v>🐢</v>
      </c>
      <c r="AZ102" s="171" t="str">
        <f t="shared" si="60"/>
        <v>🛴</v>
      </c>
      <c r="BA102" s="172">
        <f t="shared" si="61"/>
        <v>574.48959276016251</v>
      </c>
      <c r="BB102" s="173">
        <f t="shared" si="62"/>
        <v>0.13486852145225051</v>
      </c>
      <c r="BC102" s="174">
        <f t="shared" si="63"/>
        <v>4259.6269802183424</v>
      </c>
      <c r="BD102" s="175">
        <f t="shared" si="81"/>
        <v>355972.68881572544</v>
      </c>
      <c r="BE102" s="176"/>
      <c r="BF102" s="177" t="str">
        <f t="shared" si="48"/>
        <v/>
      </c>
      <c r="BG102" s="178" t="str">
        <f t="shared" si="82"/>
        <v/>
      </c>
      <c r="BH102" s="179" t="str">
        <f t="shared" si="64"/>
        <v/>
      </c>
      <c r="BI102" s="180">
        <f t="shared" si="83"/>
        <v>302</v>
      </c>
      <c r="BJ102" s="181">
        <f t="shared" si="87"/>
        <v>606.13020329442554</v>
      </c>
      <c r="BK102" s="182">
        <f t="shared" si="84"/>
        <v>1.6999999999999999E-3</v>
      </c>
    </row>
    <row r="103" spans="1:63" x14ac:dyDescent="0.25">
      <c r="A103" s="7">
        <f t="shared" si="65"/>
        <v>25</v>
      </c>
      <c r="B103" s="7">
        <f t="shared" si="66"/>
        <v>75</v>
      </c>
      <c r="C103" s="115">
        <f t="shared" si="67"/>
        <v>48731</v>
      </c>
      <c r="D103" s="2">
        <f t="shared" si="50"/>
        <v>3.3222591362126247E-3</v>
      </c>
      <c r="E103" s="169">
        <f t="shared" si="68"/>
        <v>89</v>
      </c>
      <c r="F103" s="165">
        <f t="shared" si="69"/>
        <v>2974.2072341776152</v>
      </c>
      <c r="G103" s="170">
        <f t="shared" si="85"/>
        <v>1182.6335176602174</v>
      </c>
      <c r="H103" s="164" t="str">
        <f t="shared" si="88"/>
        <v>🐢</v>
      </c>
      <c r="I103" s="171" t="str">
        <f t="shared" si="51"/>
        <v>🛴</v>
      </c>
      <c r="J103" s="172">
        <f t="shared" si="52"/>
        <v>577.47994667348416</v>
      </c>
      <c r="K103" s="173">
        <f t="shared" si="53"/>
        <v>0.13565927887346152</v>
      </c>
      <c r="L103" s="174">
        <f t="shared" si="54"/>
        <v>4256.8407518378326</v>
      </c>
      <c r="M103" s="175">
        <f t="shared" si="70"/>
        <v>355395.208869052</v>
      </c>
      <c r="N103" s="20"/>
      <c r="O103" s="37" t="str">
        <f t="shared" si="47"/>
        <v/>
      </c>
      <c r="P103" s="62" t="str">
        <f t="shared" si="71"/>
        <v/>
      </c>
      <c r="Q103" s="16" t="str">
        <f t="shared" si="55"/>
        <v/>
      </c>
      <c r="R103" s="60">
        <f t="shared" si="72"/>
        <v>301</v>
      </c>
      <c r="S103" s="98">
        <f t="shared" si="73"/>
        <v>605.15357098673326</v>
      </c>
      <c r="T103" s="21">
        <f t="shared" si="74"/>
        <v>1.6999999999999999E-3</v>
      </c>
      <c r="AA103" s="14">
        <f t="shared" si="56"/>
        <v>-4256.8407518378326</v>
      </c>
      <c r="AH103" s="6">
        <f t="shared" si="57"/>
        <v>1</v>
      </c>
      <c r="AI103" s="6">
        <f t="shared" si="58"/>
        <v>3</v>
      </c>
      <c r="AJ103" s="12">
        <f t="shared" si="59"/>
        <v>8</v>
      </c>
      <c r="AK103" s="72">
        <f t="shared" si="49"/>
        <v>30</v>
      </c>
      <c r="AQ103" s="8"/>
      <c r="AR103">
        <f t="shared" si="75"/>
        <v>25</v>
      </c>
      <c r="AS103">
        <f t="shared" si="76"/>
        <v>75</v>
      </c>
      <c r="AT103" s="183">
        <f t="shared" si="77"/>
        <v>48731</v>
      </c>
      <c r="AU103" s="2">
        <f t="shared" si="78"/>
        <v>3.3222591362126247E-3</v>
      </c>
      <c r="AV103" s="169">
        <f t="shared" si="79"/>
        <v>89</v>
      </c>
      <c r="AW103" s="165">
        <f t="shared" si="80"/>
        <v>2974.2072341776152</v>
      </c>
      <c r="AX103" s="170">
        <f t="shared" si="86"/>
        <v>1182.6335176602174</v>
      </c>
      <c r="AY103" s="164" t="str">
        <f t="shared" si="89"/>
        <v>🐢</v>
      </c>
      <c r="AZ103" s="171" t="str">
        <f t="shared" si="60"/>
        <v>🛴</v>
      </c>
      <c r="BA103" s="172">
        <f t="shared" si="61"/>
        <v>577.47994667348416</v>
      </c>
      <c r="BB103" s="173">
        <f t="shared" si="62"/>
        <v>0.13565927887346152</v>
      </c>
      <c r="BC103" s="174">
        <f t="shared" si="63"/>
        <v>4256.8407518378326</v>
      </c>
      <c r="BD103" s="175">
        <f t="shared" si="81"/>
        <v>355395.208869052</v>
      </c>
      <c r="BE103" s="176"/>
      <c r="BF103" s="177" t="str">
        <f t="shared" si="48"/>
        <v/>
      </c>
      <c r="BG103" s="178" t="str">
        <f t="shared" si="82"/>
        <v/>
      </c>
      <c r="BH103" s="179" t="str">
        <f t="shared" si="64"/>
        <v/>
      </c>
      <c r="BI103" s="180">
        <f t="shared" si="83"/>
        <v>301</v>
      </c>
      <c r="BJ103" s="181">
        <f t="shared" si="87"/>
        <v>605.15357098673326</v>
      </c>
      <c r="BK103" s="182">
        <f t="shared" si="84"/>
        <v>1.6999999999999999E-3</v>
      </c>
    </row>
    <row r="104" spans="1:63" x14ac:dyDescent="0.25">
      <c r="A104" s="7">
        <f t="shared" si="65"/>
        <v>25</v>
      </c>
      <c r="B104" s="7">
        <f t="shared" si="66"/>
        <v>75</v>
      </c>
      <c r="C104" s="115">
        <f t="shared" si="67"/>
        <v>48761</v>
      </c>
      <c r="D104" s="2">
        <f t="shared" si="50"/>
        <v>3.3333333333333331E-3</v>
      </c>
      <c r="E104" s="169">
        <f t="shared" si="68"/>
        <v>90</v>
      </c>
      <c r="F104" s="165">
        <f t="shared" si="69"/>
        <v>2969.3822993189815</v>
      </c>
      <c r="G104" s="170">
        <f t="shared" si="85"/>
        <v>1184.6506962301733</v>
      </c>
      <c r="H104" s="164" t="str">
        <f t="shared" si="88"/>
        <v>🐢</v>
      </c>
      <c r="I104" s="171" t="str">
        <f t="shared" si="51"/>
        <v>🛴</v>
      </c>
      <c r="J104" s="172">
        <f t="shared" si="52"/>
        <v>580.47884115278487</v>
      </c>
      <c r="K104" s="173">
        <f t="shared" si="53"/>
        <v>0.13645377028342739</v>
      </c>
      <c r="L104" s="174">
        <f t="shared" si="54"/>
        <v>4254.0329955491543</v>
      </c>
      <c r="M104" s="175">
        <f t="shared" si="70"/>
        <v>354814.7300278992</v>
      </c>
      <c r="N104" s="20"/>
      <c r="O104" s="37" t="str">
        <f t="shared" si="47"/>
        <v/>
      </c>
      <c r="P104" s="62" t="str">
        <f t="shared" si="71"/>
        <v/>
      </c>
      <c r="Q104" s="16" t="str">
        <f t="shared" si="55"/>
        <v/>
      </c>
      <c r="R104" s="60">
        <f t="shared" si="72"/>
        <v>300</v>
      </c>
      <c r="S104" s="98">
        <f t="shared" si="73"/>
        <v>604.17185507738839</v>
      </c>
      <c r="T104" s="21">
        <f t="shared" si="74"/>
        <v>1.6999999999999999E-3</v>
      </c>
      <c r="AA104" s="14">
        <f t="shared" si="56"/>
        <v>-4254.0329955491543</v>
      </c>
      <c r="AH104" s="6">
        <f t="shared" si="57"/>
        <v>1</v>
      </c>
      <c r="AI104" s="6">
        <f t="shared" si="58"/>
        <v>3</v>
      </c>
      <c r="AJ104" s="12">
        <f t="shared" si="59"/>
        <v>8</v>
      </c>
      <c r="AK104" s="72">
        <f t="shared" si="49"/>
        <v>31</v>
      </c>
      <c r="AQ104" s="8"/>
      <c r="AR104">
        <f t="shared" si="75"/>
        <v>25</v>
      </c>
      <c r="AS104">
        <f t="shared" si="76"/>
        <v>75</v>
      </c>
      <c r="AT104" s="183">
        <f t="shared" si="77"/>
        <v>48761</v>
      </c>
      <c r="AU104" s="2">
        <f t="shared" si="78"/>
        <v>3.3333333333333331E-3</v>
      </c>
      <c r="AV104" s="169">
        <f t="shared" si="79"/>
        <v>90</v>
      </c>
      <c r="AW104" s="165">
        <f t="shared" si="80"/>
        <v>2969.3822993189815</v>
      </c>
      <c r="AX104" s="170">
        <f t="shared" si="86"/>
        <v>1184.6506962301733</v>
      </c>
      <c r="AY104" s="164" t="str">
        <f t="shared" si="89"/>
        <v>🐢</v>
      </c>
      <c r="AZ104" s="171" t="str">
        <f t="shared" si="60"/>
        <v>🛴</v>
      </c>
      <c r="BA104" s="172">
        <f t="shared" si="61"/>
        <v>580.47884115278487</v>
      </c>
      <c r="BB104" s="173">
        <f t="shared" si="62"/>
        <v>0.13645377028342739</v>
      </c>
      <c r="BC104" s="174">
        <f t="shared" si="63"/>
        <v>4254.0329955491543</v>
      </c>
      <c r="BD104" s="175">
        <f t="shared" si="81"/>
        <v>354814.7300278992</v>
      </c>
      <c r="BE104" s="176"/>
      <c r="BF104" s="177" t="str">
        <f t="shared" si="48"/>
        <v/>
      </c>
      <c r="BG104" s="178" t="str">
        <f t="shared" si="82"/>
        <v/>
      </c>
      <c r="BH104" s="179" t="str">
        <f t="shared" si="64"/>
        <v/>
      </c>
      <c r="BI104" s="180">
        <f t="shared" si="83"/>
        <v>300</v>
      </c>
      <c r="BJ104" s="181">
        <f t="shared" si="87"/>
        <v>604.17185507738839</v>
      </c>
      <c r="BK104" s="182">
        <f t="shared" si="84"/>
        <v>1.6999999999999999E-3</v>
      </c>
    </row>
    <row r="105" spans="1:63" x14ac:dyDescent="0.25">
      <c r="A105" s="7">
        <f t="shared" si="65"/>
        <v>25</v>
      </c>
      <c r="B105" s="7">
        <f t="shared" si="66"/>
        <v>75</v>
      </c>
      <c r="C105" s="115">
        <f t="shared" si="67"/>
        <v>48792</v>
      </c>
      <c r="D105" s="2">
        <f t="shared" si="50"/>
        <v>3.3444816053511709E-3</v>
      </c>
      <c r="E105" s="169">
        <f t="shared" si="68"/>
        <v>91</v>
      </c>
      <c r="F105" s="165">
        <f t="shared" si="69"/>
        <v>2964.5323082300938</v>
      </c>
      <c r="G105" s="170">
        <f t="shared" si="85"/>
        <v>1186.6713378859506</v>
      </c>
      <c r="H105" s="164" t="str">
        <f t="shared" si="88"/>
        <v>🐢</v>
      </c>
      <c r="I105" s="171" t="str">
        <f t="shared" si="51"/>
        <v>🛴</v>
      </c>
      <c r="J105" s="172">
        <f t="shared" si="52"/>
        <v>583.48629683852198</v>
      </c>
      <c r="K105" s="173">
        <f t="shared" si="53"/>
        <v>0.13725202211180892</v>
      </c>
      <c r="L105" s="174">
        <f t="shared" si="54"/>
        <v>4251.2036461160442</v>
      </c>
      <c r="M105" s="175">
        <f t="shared" si="70"/>
        <v>354231.24373106065</v>
      </c>
      <c r="N105" s="20"/>
      <c r="O105" s="37" t="str">
        <f t="shared" si="47"/>
        <v/>
      </c>
      <c r="P105" s="62" t="str">
        <f t="shared" si="71"/>
        <v/>
      </c>
      <c r="Q105" s="16" t="str">
        <f t="shared" si="55"/>
        <v/>
      </c>
      <c r="R105" s="60">
        <f t="shared" si="72"/>
        <v>299</v>
      </c>
      <c r="S105" s="98">
        <f t="shared" si="73"/>
        <v>603.18504104742863</v>
      </c>
      <c r="T105" s="21">
        <f t="shared" si="74"/>
        <v>1.6999999999999999E-3</v>
      </c>
      <c r="AA105" s="14">
        <f t="shared" si="56"/>
        <v>-4251.2036461160442</v>
      </c>
      <c r="AH105" s="6">
        <f t="shared" si="57"/>
        <v>1</v>
      </c>
      <c r="AI105" s="6">
        <f t="shared" si="58"/>
        <v>3</v>
      </c>
      <c r="AJ105" s="12">
        <f t="shared" si="59"/>
        <v>8</v>
      </c>
      <c r="AK105" s="72">
        <f t="shared" si="49"/>
        <v>31</v>
      </c>
      <c r="AQ105" s="8"/>
      <c r="AR105">
        <f t="shared" si="75"/>
        <v>25</v>
      </c>
      <c r="AS105">
        <f t="shared" si="76"/>
        <v>75</v>
      </c>
      <c r="AT105" s="183">
        <f t="shared" si="77"/>
        <v>48792</v>
      </c>
      <c r="AU105" s="2">
        <f t="shared" si="78"/>
        <v>3.3444816053511709E-3</v>
      </c>
      <c r="AV105" s="169">
        <f t="shared" si="79"/>
        <v>91</v>
      </c>
      <c r="AW105" s="165">
        <f t="shared" si="80"/>
        <v>2964.5323082300938</v>
      </c>
      <c r="AX105" s="170">
        <f t="shared" si="86"/>
        <v>1186.6713378859506</v>
      </c>
      <c r="AY105" s="164" t="str">
        <f t="shared" si="89"/>
        <v>🐢</v>
      </c>
      <c r="AZ105" s="171" t="str">
        <f t="shared" si="60"/>
        <v>🛴</v>
      </c>
      <c r="BA105" s="172">
        <f t="shared" si="61"/>
        <v>583.48629683852198</v>
      </c>
      <c r="BB105" s="173">
        <f t="shared" si="62"/>
        <v>0.13725202211180892</v>
      </c>
      <c r="BC105" s="174">
        <f t="shared" si="63"/>
        <v>4251.2036461160442</v>
      </c>
      <c r="BD105" s="175">
        <f t="shared" si="81"/>
        <v>354231.24373106065</v>
      </c>
      <c r="BE105" s="176"/>
      <c r="BF105" s="177" t="str">
        <f t="shared" si="48"/>
        <v/>
      </c>
      <c r="BG105" s="178" t="str">
        <f t="shared" si="82"/>
        <v/>
      </c>
      <c r="BH105" s="179" t="str">
        <f t="shared" si="64"/>
        <v/>
      </c>
      <c r="BI105" s="180">
        <f t="shared" si="83"/>
        <v>299</v>
      </c>
      <c r="BJ105" s="181">
        <f t="shared" si="87"/>
        <v>603.18504104742863</v>
      </c>
      <c r="BK105" s="182">
        <f t="shared" si="84"/>
        <v>1.6999999999999999E-3</v>
      </c>
    </row>
    <row r="106" spans="1:63" x14ac:dyDescent="0.25">
      <c r="A106" s="7">
        <f t="shared" si="65"/>
        <v>25</v>
      </c>
      <c r="B106" s="7">
        <f t="shared" si="66"/>
        <v>75</v>
      </c>
      <c r="C106" s="115">
        <f t="shared" si="67"/>
        <v>48823</v>
      </c>
      <c r="D106" s="2">
        <f t="shared" si="50"/>
        <v>3.3557046979865771E-3</v>
      </c>
      <c r="E106" s="169">
        <f t="shared" si="68"/>
        <v>92</v>
      </c>
      <c r="F106" s="165">
        <f t="shared" si="69"/>
        <v>2959.6571893807395</v>
      </c>
      <c r="G106" s="170">
        <f t="shared" si="85"/>
        <v>1188.6954487619485</v>
      </c>
      <c r="H106" s="164" t="str">
        <f t="shared" si="88"/>
        <v>🐢</v>
      </c>
      <c r="I106" s="171" t="str">
        <f t="shared" si="51"/>
        <v>🛴</v>
      </c>
      <c r="J106" s="172">
        <f t="shared" si="52"/>
        <v>586.50233441914543</v>
      </c>
      <c r="K106" s="173">
        <f t="shared" si="53"/>
        <v>0.1380540610384817</v>
      </c>
      <c r="L106" s="174">
        <f t="shared" si="54"/>
        <v>4248.3526381426882</v>
      </c>
      <c r="M106" s="175">
        <f t="shared" si="70"/>
        <v>353644.74139664153</v>
      </c>
      <c r="N106" s="20"/>
      <c r="O106" s="37" t="str">
        <f t="shared" si="47"/>
        <v/>
      </c>
      <c r="P106" s="62" t="str">
        <f t="shared" si="71"/>
        <v/>
      </c>
      <c r="Q106" s="16" t="str">
        <f t="shared" si="55"/>
        <v/>
      </c>
      <c r="R106" s="60">
        <f t="shared" si="72"/>
        <v>298</v>
      </c>
      <c r="S106" s="98">
        <f t="shared" si="73"/>
        <v>602.19311434280303</v>
      </c>
      <c r="T106" s="21">
        <f t="shared" si="74"/>
        <v>1.6999999999999999E-3</v>
      </c>
      <c r="AA106" s="14">
        <f t="shared" si="56"/>
        <v>-4248.3526381426882</v>
      </c>
      <c r="AH106" s="6">
        <f t="shared" si="57"/>
        <v>1</v>
      </c>
      <c r="AI106" s="6">
        <f t="shared" si="58"/>
        <v>3</v>
      </c>
      <c r="AJ106" s="12">
        <f t="shared" si="59"/>
        <v>8</v>
      </c>
      <c r="AK106" s="72">
        <f t="shared" si="49"/>
        <v>30</v>
      </c>
      <c r="AQ106" s="8"/>
      <c r="AR106">
        <f t="shared" si="75"/>
        <v>25</v>
      </c>
      <c r="AS106">
        <f t="shared" si="76"/>
        <v>75</v>
      </c>
      <c r="AT106" s="183">
        <f t="shared" si="77"/>
        <v>48823</v>
      </c>
      <c r="AU106" s="2">
        <f t="shared" si="78"/>
        <v>3.3557046979865771E-3</v>
      </c>
      <c r="AV106" s="169">
        <f t="shared" si="79"/>
        <v>92</v>
      </c>
      <c r="AW106" s="165">
        <f t="shared" si="80"/>
        <v>2959.6571893807395</v>
      </c>
      <c r="AX106" s="170">
        <f t="shared" si="86"/>
        <v>1188.6954487619485</v>
      </c>
      <c r="AY106" s="164" t="str">
        <f t="shared" si="89"/>
        <v>🐢</v>
      </c>
      <c r="AZ106" s="171" t="str">
        <f t="shared" si="60"/>
        <v>🛴</v>
      </c>
      <c r="BA106" s="172">
        <f t="shared" si="61"/>
        <v>586.50233441914543</v>
      </c>
      <c r="BB106" s="173">
        <f t="shared" si="62"/>
        <v>0.1380540610384817</v>
      </c>
      <c r="BC106" s="174">
        <f t="shared" si="63"/>
        <v>4248.3526381426882</v>
      </c>
      <c r="BD106" s="175">
        <f t="shared" si="81"/>
        <v>353644.74139664153</v>
      </c>
      <c r="BE106" s="176"/>
      <c r="BF106" s="177" t="str">
        <f t="shared" si="48"/>
        <v/>
      </c>
      <c r="BG106" s="178" t="str">
        <f t="shared" si="82"/>
        <v/>
      </c>
      <c r="BH106" s="179" t="str">
        <f t="shared" si="64"/>
        <v/>
      </c>
      <c r="BI106" s="180">
        <f t="shared" si="83"/>
        <v>298</v>
      </c>
      <c r="BJ106" s="181">
        <f t="shared" si="87"/>
        <v>602.19311434280303</v>
      </c>
      <c r="BK106" s="182">
        <f t="shared" si="84"/>
        <v>1.6999999999999999E-3</v>
      </c>
    </row>
    <row r="107" spans="1:63" x14ac:dyDescent="0.25">
      <c r="A107" s="7">
        <f t="shared" si="65"/>
        <v>25</v>
      </c>
      <c r="B107" s="7">
        <f t="shared" si="66"/>
        <v>75</v>
      </c>
      <c r="C107" s="115">
        <f t="shared" si="67"/>
        <v>48853</v>
      </c>
      <c r="D107" s="2">
        <f t="shared" si="50"/>
        <v>3.3670033670033669E-3</v>
      </c>
      <c r="E107" s="169">
        <f t="shared" si="68"/>
        <v>93</v>
      </c>
      <c r="F107" s="165">
        <f t="shared" si="69"/>
        <v>2954.7568710678524</v>
      </c>
      <c r="G107" s="170">
        <f t="shared" si="85"/>
        <v>1190.723035005527</v>
      </c>
      <c r="H107" s="164" t="str">
        <f t="shared" si="88"/>
        <v>🐢</v>
      </c>
      <c r="I107" s="171" t="str">
        <f t="shared" si="51"/>
        <v>🛴</v>
      </c>
      <c r="J107" s="172">
        <f t="shared" si="52"/>
        <v>589.52697463123638</v>
      </c>
      <c r="K107" s="173">
        <f t="shared" si="53"/>
        <v>0.13885991399650424</v>
      </c>
      <c r="L107" s="174">
        <f t="shared" si="54"/>
        <v>4245.4799060733794</v>
      </c>
      <c r="M107" s="175">
        <f t="shared" si="70"/>
        <v>353055.21442201029</v>
      </c>
      <c r="N107" s="20"/>
      <c r="O107" s="37" t="str">
        <f t="shared" si="47"/>
        <v/>
      </c>
      <c r="P107" s="62" t="str">
        <f t="shared" si="71"/>
        <v/>
      </c>
      <c r="Q107" s="16" t="str">
        <f t="shared" si="55"/>
        <v/>
      </c>
      <c r="R107" s="60">
        <f t="shared" si="72"/>
        <v>297</v>
      </c>
      <c r="S107" s="98">
        <f t="shared" si="73"/>
        <v>601.1960603742906</v>
      </c>
      <c r="T107" s="21">
        <f t="shared" si="74"/>
        <v>1.6999999999999999E-3</v>
      </c>
      <c r="AA107" s="14">
        <f t="shared" si="56"/>
        <v>-4245.4799060733794</v>
      </c>
      <c r="AH107" s="6">
        <f t="shared" si="57"/>
        <v>1</v>
      </c>
      <c r="AI107" s="6">
        <f t="shared" si="58"/>
        <v>3</v>
      </c>
      <c r="AJ107" s="12">
        <f t="shared" si="59"/>
        <v>8</v>
      </c>
      <c r="AK107" s="72">
        <f t="shared" si="49"/>
        <v>31</v>
      </c>
      <c r="AQ107" s="8"/>
      <c r="AR107">
        <f t="shared" si="75"/>
        <v>25</v>
      </c>
      <c r="AS107">
        <f t="shared" si="76"/>
        <v>75</v>
      </c>
      <c r="AT107" s="183">
        <f t="shared" si="77"/>
        <v>48853</v>
      </c>
      <c r="AU107" s="2">
        <f t="shared" si="78"/>
        <v>3.3670033670033669E-3</v>
      </c>
      <c r="AV107" s="169">
        <f t="shared" si="79"/>
        <v>93</v>
      </c>
      <c r="AW107" s="165">
        <f t="shared" si="80"/>
        <v>2954.7568710678524</v>
      </c>
      <c r="AX107" s="170">
        <f t="shared" si="86"/>
        <v>1190.723035005527</v>
      </c>
      <c r="AY107" s="164" t="str">
        <f t="shared" si="89"/>
        <v>🐢</v>
      </c>
      <c r="AZ107" s="171" t="str">
        <f t="shared" si="60"/>
        <v>🛴</v>
      </c>
      <c r="BA107" s="172">
        <f t="shared" si="61"/>
        <v>589.52697463123638</v>
      </c>
      <c r="BB107" s="173">
        <f t="shared" si="62"/>
        <v>0.13885991399650424</v>
      </c>
      <c r="BC107" s="174">
        <f t="shared" si="63"/>
        <v>4245.4799060733794</v>
      </c>
      <c r="BD107" s="175">
        <f t="shared" si="81"/>
        <v>353055.21442201029</v>
      </c>
      <c r="BE107" s="176"/>
      <c r="BF107" s="177" t="str">
        <f t="shared" si="48"/>
        <v/>
      </c>
      <c r="BG107" s="178" t="str">
        <f t="shared" si="82"/>
        <v/>
      </c>
      <c r="BH107" s="179" t="str">
        <f t="shared" si="64"/>
        <v/>
      </c>
      <c r="BI107" s="180">
        <f t="shared" si="83"/>
        <v>297</v>
      </c>
      <c r="BJ107" s="181">
        <f t="shared" si="87"/>
        <v>601.1960603742906</v>
      </c>
      <c r="BK107" s="182">
        <f t="shared" si="84"/>
        <v>1.6999999999999999E-3</v>
      </c>
    </row>
    <row r="108" spans="1:63" x14ac:dyDescent="0.25">
      <c r="A108" s="7">
        <f t="shared" si="65"/>
        <v>25</v>
      </c>
      <c r="B108" s="7">
        <f t="shared" si="66"/>
        <v>75</v>
      </c>
      <c r="C108" s="115">
        <f t="shared" si="67"/>
        <v>48884</v>
      </c>
      <c r="D108" s="2">
        <f t="shared" si="50"/>
        <v>3.3783783783783781E-3</v>
      </c>
      <c r="E108" s="169">
        <f t="shared" si="68"/>
        <v>94</v>
      </c>
      <c r="F108" s="165">
        <f t="shared" si="69"/>
        <v>2949.8312814151059</v>
      </c>
      <c r="G108" s="170">
        <f t="shared" si="85"/>
        <v>1192.7541027770617</v>
      </c>
      <c r="H108" s="164" t="str">
        <f t="shared" si="88"/>
        <v>🐢</v>
      </c>
      <c r="I108" s="171" t="str">
        <f t="shared" si="51"/>
        <v>🛴</v>
      </c>
      <c r="J108" s="172">
        <f t="shared" si="52"/>
        <v>592.56023825964428</v>
      </c>
      <c r="K108" s="173">
        <f t="shared" si="53"/>
        <v>0.13966960817512786</v>
      </c>
      <c r="L108" s="174">
        <f t="shared" si="54"/>
        <v>4242.5853841921671</v>
      </c>
      <c r="M108" s="175">
        <f t="shared" si="70"/>
        <v>352462.65418375068</v>
      </c>
      <c r="N108" s="20"/>
      <c r="O108" s="37" t="str">
        <f t="shared" ref="O108:O128" si="90">IF(AND(N108&lt;&gt;"",N108&lt;R108),"V","")</f>
        <v/>
      </c>
      <c r="P108" s="62" t="str">
        <f t="shared" si="71"/>
        <v/>
      </c>
      <c r="Q108" s="16" t="str">
        <f t="shared" si="55"/>
        <v/>
      </c>
      <c r="R108" s="60">
        <f t="shared" si="72"/>
        <v>296</v>
      </c>
      <c r="S108" s="98">
        <f t="shared" si="73"/>
        <v>600.19386451741741</v>
      </c>
      <c r="T108" s="21">
        <f t="shared" si="74"/>
        <v>1.6999999999999999E-3</v>
      </c>
      <c r="AA108" s="14">
        <f t="shared" si="56"/>
        <v>-4242.5853841921671</v>
      </c>
      <c r="AH108" s="6">
        <f t="shared" si="57"/>
        <v>1</v>
      </c>
      <c r="AI108" s="6">
        <f t="shared" si="58"/>
        <v>3</v>
      </c>
      <c r="AJ108" s="12">
        <f t="shared" si="59"/>
        <v>8</v>
      </c>
      <c r="AK108" s="72">
        <f t="shared" si="49"/>
        <v>30</v>
      </c>
      <c r="AQ108" s="8"/>
      <c r="AR108">
        <f t="shared" si="75"/>
        <v>25</v>
      </c>
      <c r="AS108">
        <f t="shared" si="76"/>
        <v>75</v>
      </c>
      <c r="AT108" s="183">
        <f t="shared" si="77"/>
        <v>48884</v>
      </c>
      <c r="AU108" s="2">
        <f t="shared" si="78"/>
        <v>3.3783783783783781E-3</v>
      </c>
      <c r="AV108" s="169">
        <f t="shared" si="79"/>
        <v>94</v>
      </c>
      <c r="AW108" s="165">
        <f t="shared" si="80"/>
        <v>2949.8312814151059</v>
      </c>
      <c r="AX108" s="170">
        <f t="shared" si="86"/>
        <v>1192.7541027770617</v>
      </c>
      <c r="AY108" s="164" t="str">
        <f t="shared" si="89"/>
        <v>🐢</v>
      </c>
      <c r="AZ108" s="171" t="str">
        <f t="shared" si="60"/>
        <v>🛴</v>
      </c>
      <c r="BA108" s="172">
        <f t="shared" si="61"/>
        <v>592.56023825964428</v>
      </c>
      <c r="BB108" s="173">
        <f t="shared" si="62"/>
        <v>0.13966960817512786</v>
      </c>
      <c r="BC108" s="174">
        <f t="shared" si="63"/>
        <v>4242.5853841921671</v>
      </c>
      <c r="BD108" s="175">
        <f t="shared" si="81"/>
        <v>352462.65418375068</v>
      </c>
      <c r="BE108" s="176"/>
      <c r="BF108" s="177" t="str">
        <f t="shared" si="48"/>
        <v/>
      </c>
      <c r="BG108" s="178" t="str">
        <f t="shared" si="82"/>
        <v/>
      </c>
      <c r="BH108" s="179" t="str">
        <f t="shared" si="64"/>
        <v/>
      </c>
      <c r="BI108" s="180">
        <f t="shared" si="83"/>
        <v>296</v>
      </c>
      <c r="BJ108" s="181">
        <f t="shared" si="87"/>
        <v>600.19386451741741</v>
      </c>
      <c r="BK108" s="182">
        <f t="shared" si="84"/>
        <v>1.6999999999999999E-3</v>
      </c>
    </row>
    <row r="109" spans="1:63" x14ac:dyDescent="0.25">
      <c r="A109" s="7">
        <f t="shared" si="65"/>
        <v>25</v>
      </c>
      <c r="B109" s="7">
        <f t="shared" si="66"/>
        <v>75</v>
      </c>
      <c r="C109" s="115">
        <f t="shared" si="67"/>
        <v>48914</v>
      </c>
      <c r="D109" s="2">
        <f t="shared" si="50"/>
        <v>3.3898305084745762E-3</v>
      </c>
      <c r="E109" s="169">
        <f t="shared" si="68"/>
        <v>95</v>
      </c>
      <c r="F109" s="165">
        <f t="shared" si="69"/>
        <v>2944.8803483725151</v>
      </c>
      <c r="G109" s="170">
        <f t="shared" si="85"/>
        <v>1194.7886582500023</v>
      </c>
      <c r="H109" s="164" t="str">
        <f t="shared" si="88"/>
        <v>🐢</v>
      </c>
      <c r="I109" s="171" t="str">
        <f t="shared" si="51"/>
        <v>🛴</v>
      </c>
      <c r="J109" s="172">
        <f t="shared" si="52"/>
        <v>595.60214613762616</v>
      </c>
      <c r="K109" s="173">
        <f t="shared" si="53"/>
        <v>0.14048317102284966</v>
      </c>
      <c r="L109" s="174">
        <f t="shared" si="54"/>
        <v>4239.6690066225174</v>
      </c>
      <c r="M109" s="175">
        <f t="shared" si="70"/>
        <v>351867.05203761306</v>
      </c>
      <c r="N109" s="198"/>
      <c r="O109" s="37" t="str">
        <f t="shared" si="90"/>
        <v/>
      </c>
      <c r="P109" s="62" t="str">
        <f t="shared" si="71"/>
        <v/>
      </c>
      <c r="Q109" s="16" t="str">
        <f t="shared" si="55"/>
        <v/>
      </c>
      <c r="R109" s="60">
        <f t="shared" si="72"/>
        <v>295</v>
      </c>
      <c r="S109" s="98">
        <f t="shared" si="73"/>
        <v>599.18651211237614</v>
      </c>
      <c r="T109" s="21">
        <f t="shared" si="74"/>
        <v>1.6999999999999999E-3</v>
      </c>
      <c r="AA109" s="14">
        <f t="shared" si="56"/>
        <v>-4239.6690066225174</v>
      </c>
      <c r="AH109" s="6">
        <f t="shared" si="57"/>
        <v>1</v>
      </c>
      <c r="AI109" s="6">
        <f t="shared" si="58"/>
        <v>3</v>
      </c>
      <c r="AJ109" s="12">
        <f t="shared" si="59"/>
        <v>8</v>
      </c>
      <c r="AK109" s="72">
        <f t="shared" si="49"/>
        <v>31</v>
      </c>
      <c r="AQ109" s="8"/>
      <c r="AR109">
        <f t="shared" si="75"/>
        <v>25</v>
      </c>
      <c r="AS109">
        <f t="shared" si="76"/>
        <v>75</v>
      </c>
      <c r="AT109" s="183">
        <f t="shared" si="77"/>
        <v>48914</v>
      </c>
      <c r="AU109" s="2">
        <f t="shared" si="78"/>
        <v>3.3898305084745762E-3</v>
      </c>
      <c r="AV109" s="169">
        <f t="shared" si="79"/>
        <v>95</v>
      </c>
      <c r="AW109" s="165">
        <f t="shared" si="80"/>
        <v>2944.8803483725151</v>
      </c>
      <c r="AX109" s="170">
        <f t="shared" si="86"/>
        <v>1194.7886582500023</v>
      </c>
      <c r="AY109" s="164" t="str">
        <f t="shared" si="89"/>
        <v>🐢</v>
      </c>
      <c r="AZ109" s="171" t="str">
        <f t="shared" si="60"/>
        <v>🛴</v>
      </c>
      <c r="BA109" s="172">
        <f t="shared" si="61"/>
        <v>595.60214613762616</v>
      </c>
      <c r="BB109" s="173">
        <f t="shared" si="62"/>
        <v>0.14048317102284966</v>
      </c>
      <c r="BC109" s="174">
        <f t="shared" si="63"/>
        <v>4239.6690066225174</v>
      </c>
      <c r="BD109" s="175">
        <f t="shared" si="81"/>
        <v>351867.05203761306</v>
      </c>
      <c r="BE109" s="176"/>
      <c r="BF109" s="177" t="str">
        <f t="shared" si="48"/>
        <v/>
      </c>
      <c r="BG109" s="178" t="str">
        <f t="shared" si="82"/>
        <v/>
      </c>
      <c r="BH109" s="179" t="str">
        <f t="shared" si="64"/>
        <v/>
      </c>
      <c r="BI109" s="180">
        <f t="shared" si="83"/>
        <v>295</v>
      </c>
      <c r="BJ109" s="181">
        <f t="shared" si="87"/>
        <v>599.18651211237614</v>
      </c>
      <c r="BK109" s="182">
        <f t="shared" si="84"/>
        <v>1.6999999999999999E-3</v>
      </c>
    </row>
    <row r="110" spans="1:63" x14ac:dyDescent="0.25">
      <c r="A110" s="7">
        <f t="shared" si="65"/>
        <v>25</v>
      </c>
      <c r="B110" s="7">
        <f t="shared" si="66"/>
        <v>75</v>
      </c>
      <c r="C110" s="115">
        <f t="shared" si="67"/>
        <v>48945</v>
      </c>
      <c r="D110" s="2">
        <f t="shared" si="50"/>
        <v>3.4013605442176869E-3</v>
      </c>
      <c r="E110" s="169">
        <f t="shared" si="68"/>
        <v>96</v>
      </c>
      <c r="F110" s="165">
        <f t="shared" si="69"/>
        <v>2939.903999716028</v>
      </c>
      <c r="G110" s="170">
        <f t="shared" si="85"/>
        <v>1196.8267076109287</v>
      </c>
      <c r="H110" s="164" t="str">
        <f t="shared" si="88"/>
        <v>🐢</v>
      </c>
      <c r="I110" s="171" t="str">
        <f t="shared" si="51"/>
        <v>🛴</v>
      </c>
      <c r="J110" s="172">
        <f t="shared" si="52"/>
        <v>598.65271914698656</v>
      </c>
      <c r="K110" s="173">
        <f t="shared" si="53"/>
        <v>0.14130063025050965</v>
      </c>
      <c r="L110" s="174">
        <f t="shared" si="54"/>
        <v>4236.7307073269567</v>
      </c>
      <c r="M110" s="175">
        <f t="shared" si="70"/>
        <v>351268.39931846608</v>
      </c>
      <c r="N110" s="20"/>
      <c r="O110" s="37" t="str">
        <f t="shared" si="90"/>
        <v/>
      </c>
      <c r="P110" s="62" t="str">
        <f t="shared" si="71"/>
        <v/>
      </c>
      <c r="Q110" s="16" t="str">
        <f t="shared" si="55"/>
        <v/>
      </c>
      <c r="R110" s="60">
        <f t="shared" si="72"/>
        <v>294</v>
      </c>
      <c r="S110" s="98">
        <f t="shared" si="73"/>
        <v>598.17398846394212</v>
      </c>
      <c r="T110" s="21">
        <f t="shared" si="74"/>
        <v>1.6999999999999999E-3</v>
      </c>
      <c r="AA110" s="14">
        <f t="shared" si="56"/>
        <v>-4236.7307073269567</v>
      </c>
      <c r="AH110" s="6">
        <f t="shared" si="57"/>
        <v>1</v>
      </c>
      <c r="AI110" s="6">
        <f t="shared" si="58"/>
        <v>3</v>
      </c>
      <c r="AJ110" s="12">
        <f t="shared" si="59"/>
        <v>8</v>
      </c>
      <c r="AK110" s="72">
        <f t="shared" si="49"/>
        <v>31</v>
      </c>
      <c r="AQ110" s="8"/>
      <c r="AR110">
        <f t="shared" si="75"/>
        <v>25</v>
      </c>
      <c r="AS110">
        <f t="shared" si="76"/>
        <v>75</v>
      </c>
      <c r="AT110" s="183">
        <f t="shared" si="77"/>
        <v>48945</v>
      </c>
      <c r="AU110" s="2">
        <f t="shared" si="78"/>
        <v>3.4013605442176869E-3</v>
      </c>
      <c r="AV110" s="169">
        <f t="shared" si="79"/>
        <v>96</v>
      </c>
      <c r="AW110" s="165">
        <f t="shared" si="80"/>
        <v>2939.903999716028</v>
      </c>
      <c r="AX110" s="170">
        <f t="shared" si="86"/>
        <v>1196.8267076109287</v>
      </c>
      <c r="AY110" s="164" t="str">
        <f t="shared" si="89"/>
        <v>🐢</v>
      </c>
      <c r="AZ110" s="171" t="str">
        <f t="shared" si="60"/>
        <v>🛴</v>
      </c>
      <c r="BA110" s="172">
        <f t="shared" si="61"/>
        <v>598.65271914698656</v>
      </c>
      <c r="BB110" s="173">
        <f t="shared" si="62"/>
        <v>0.14130063025050965</v>
      </c>
      <c r="BC110" s="174">
        <f t="shared" si="63"/>
        <v>4236.7307073269567</v>
      </c>
      <c r="BD110" s="175">
        <f t="shared" si="81"/>
        <v>351268.39931846608</v>
      </c>
      <c r="BE110" s="176"/>
      <c r="BF110" s="177" t="str">
        <f t="shared" si="48"/>
        <v/>
      </c>
      <c r="BG110" s="178" t="str">
        <f t="shared" si="82"/>
        <v/>
      </c>
      <c r="BH110" s="179" t="str">
        <f t="shared" si="64"/>
        <v/>
      </c>
      <c r="BI110" s="180">
        <f t="shared" si="83"/>
        <v>294</v>
      </c>
      <c r="BJ110" s="181">
        <f t="shared" si="87"/>
        <v>598.17398846394212</v>
      </c>
      <c r="BK110" s="182">
        <f t="shared" si="84"/>
        <v>1.6999999999999999E-3</v>
      </c>
    </row>
    <row r="111" spans="1:63" x14ac:dyDescent="0.25">
      <c r="A111" s="7">
        <f t="shared" si="65"/>
        <v>25</v>
      </c>
      <c r="B111" s="7">
        <f t="shared" si="66"/>
        <v>75</v>
      </c>
      <c r="C111" s="115">
        <f t="shared" si="67"/>
        <v>48976</v>
      </c>
      <c r="D111" s="2">
        <f t="shared" si="50"/>
        <v>3.4129692832764501E-3</v>
      </c>
      <c r="E111" s="169">
        <f t="shared" si="68"/>
        <v>97</v>
      </c>
      <c r="F111" s="165">
        <f t="shared" si="69"/>
        <v>2934.9021630471234</v>
      </c>
      <c r="G111" s="170">
        <f t="shared" si="85"/>
        <v>1198.8682570596111</v>
      </c>
      <c r="H111" s="164" t="str">
        <f t="shared" si="88"/>
        <v>🐢</v>
      </c>
      <c r="I111" s="171" t="str">
        <f t="shared" si="51"/>
        <v>🛴</v>
      </c>
      <c r="J111" s="172">
        <f t="shared" si="52"/>
        <v>601.71197821821875</v>
      </c>
      <c r="K111" s="173">
        <f t="shared" si="53"/>
        <v>0.1421220138344321</v>
      </c>
      <c r="L111" s="174">
        <f t="shared" si="54"/>
        <v>4233.7704201067345</v>
      </c>
      <c r="M111" s="175">
        <f t="shared" si="70"/>
        <v>350666.68734024785</v>
      </c>
      <c r="N111" s="20"/>
      <c r="O111" s="37" t="str">
        <f t="shared" si="90"/>
        <v/>
      </c>
      <c r="P111" s="62" t="str">
        <f t="shared" si="71"/>
        <v/>
      </c>
      <c r="Q111" s="16" t="str">
        <f t="shared" si="55"/>
        <v/>
      </c>
      <c r="R111" s="60">
        <f t="shared" si="72"/>
        <v>293</v>
      </c>
      <c r="S111" s="98">
        <f t="shared" si="73"/>
        <v>597.15627884139235</v>
      </c>
      <c r="T111" s="21">
        <f t="shared" si="74"/>
        <v>1.6999999999999999E-3</v>
      </c>
      <c r="AA111" s="14">
        <f t="shared" si="56"/>
        <v>-4233.7704201067345</v>
      </c>
      <c r="AH111" s="6">
        <f t="shared" si="57"/>
        <v>1</v>
      </c>
      <c r="AI111" s="6">
        <f t="shared" si="58"/>
        <v>3</v>
      </c>
      <c r="AJ111" s="12">
        <f t="shared" si="59"/>
        <v>9</v>
      </c>
      <c r="AK111" s="72">
        <f t="shared" si="49"/>
        <v>28</v>
      </c>
      <c r="AQ111" s="8"/>
      <c r="AR111">
        <f t="shared" si="75"/>
        <v>25</v>
      </c>
      <c r="AS111">
        <f t="shared" si="76"/>
        <v>75</v>
      </c>
      <c r="AT111" s="183">
        <f t="shared" si="77"/>
        <v>48976</v>
      </c>
      <c r="AU111" s="2">
        <f t="shared" si="78"/>
        <v>3.4129692832764501E-3</v>
      </c>
      <c r="AV111" s="169">
        <f t="shared" si="79"/>
        <v>97</v>
      </c>
      <c r="AW111" s="165">
        <f t="shared" si="80"/>
        <v>2934.9021630471234</v>
      </c>
      <c r="AX111" s="170">
        <f t="shared" si="86"/>
        <v>1198.8682570596111</v>
      </c>
      <c r="AY111" s="164" t="str">
        <f t="shared" si="89"/>
        <v>🐢</v>
      </c>
      <c r="AZ111" s="171" t="str">
        <f t="shared" si="60"/>
        <v>🛴</v>
      </c>
      <c r="BA111" s="172">
        <f t="shared" si="61"/>
        <v>601.71197821821875</v>
      </c>
      <c r="BB111" s="173">
        <f t="shared" si="62"/>
        <v>0.1421220138344321</v>
      </c>
      <c r="BC111" s="174">
        <f t="shared" si="63"/>
        <v>4233.7704201067345</v>
      </c>
      <c r="BD111" s="175">
        <f t="shared" si="81"/>
        <v>350666.68734024785</v>
      </c>
      <c r="BE111" s="176"/>
      <c r="BF111" s="177" t="str">
        <f t="shared" si="48"/>
        <v/>
      </c>
      <c r="BG111" s="178" t="str">
        <f t="shared" si="82"/>
        <v/>
      </c>
      <c r="BH111" s="179" t="str">
        <f t="shared" si="64"/>
        <v/>
      </c>
      <c r="BI111" s="180">
        <f t="shared" si="83"/>
        <v>293</v>
      </c>
      <c r="BJ111" s="181">
        <f t="shared" si="87"/>
        <v>597.15627884139235</v>
      </c>
      <c r="BK111" s="182">
        <f t="shared" si="84"/>
        <v>1.6999999999999999E-3</v>
      </c>
    </row>
    <row r="112" spans="1:63" x14ac:dyDescent="0.25">
      <c r="A112" s="7">
        <f t="shared" si="65"/>
        <v>25</v>
      </c>
      <c r="B112" s="7">
        <f t="shared" si="66"/>
        <v>75</v>
      </c>
      <c r="C112" s="115">
        <f t="shared" si="67"/>
        <v>49004</v>
      </c>
      <c r="D112" s="2">
        <f t="shared" si="50"/>
        <v>3.4246575342465752E-3</v>
      </c>
      <c r="E112" s="169">
        <f t="shared" si="68"/>
        <v>98</v>
      </c>
      <c r="F112" s="165">
        <f t="shared" si="69"/>
        <v>2929.8747657924018</v>
      </c>
      <c r="G112" s="170">
        <f t="shared" si="85"/>
        <v>1200.913312809068</v>
      </c>
      <c r="H112" s="164" t="str">
        <f t="shared" si="88"/>
        <v>🐢</v>
      </c>
      <c r="I112" s="171" t="str">
        <f t="shared" si="51"/>
        <v>🛴</v>
      </c>
      <c r="J112" s="172">
        <f t="shared" si="52"/>
        <v>604.77994433064669</v>
      </c>
      <c r="K112" s="173">
        <f t="shared" si="53"/>
        <v>0.14294735001961215</v>
      </c>
      <c r="L112" s="174">
        <f t="shared" si="54"/>
        <v>4230.7880786014703</v>
      </c>
      <c r="M112" s="175">
        <f t="shared" si="70"/>
        <v>350061.90739591722</v>
      </c>
      <c r="N112" s="20"/>
      <c r="O112" s="37" t="str">
        <f t="shared" si="90"/>
        <v/>
      </c>
      <c r="P112" s="62" t="str">
        <f t="shared" si="71"/>
        <v/>
      </c>
      <c r="Q112" s="16" t="str">
        <f t="shared" si="55"/>
        <v/>
      </c>
      <c r="R112" s="60">
        <f t="shared" si="72"/>
        <v>292</v>
      </c>
      <c r="S112" s="98">
        <f t="shared" si="73"/>
        <v>596.13336847842129</v>
      </c>
      <c r="T112" s="21">
        <f t="shared" si="74"/>
        <v>1.6999999999999999E-3</v>
      </c>
      <c r="AA112" s="14">
        <f t="shared" si="56"/>
        <v>-4230.7880786014703</v>
      </c>
      <c r="AH112" s="6">
        <f t="shared" si="57"/>
        <v>1</v>
      </c>
      <c r="AI112" s="6">
        <f t="shared" si="58"/>
        <v>3</v>
      </c>
      <c r="AJ112" s="12">
        <f t="shared" si="59"/>
        <v>9</v>
      </c>
      <c r="AK112" s="72">
        <f t="shared" si="49"/>
        <v>31</v>
      </c>
      <c r="AQ112" s="8"/>
      <c r="AR112">
        <f t="shared" si="75"/>
        <v>25</v>
      </c>
      <c r="AS112">
        <f t="shared" si="76"/>
        <v>75</v>
      </c>
      <c r="AT112" s="183">
        <f t="shared" si="77"/>
        <v>49004</v>
      </c>
      <c r="AU112" s="2">
        <f t="shared" si="78"/>
        <v>3.4246575342465752E-3</v>
      </c>
      <c r="AV112" s="169">
        <f t="shared" si="79"/>
        <v>98</v>
      </c>
      <c r="AW112" s="165">
        <f t="shared" si="80"/>
        <v>2929.8747657924018</v>
      </c>
      <c r="AX112" s="170">
        <f t="shared" si="86"/>
        <v>1200.913312809068</v>
      </c>
      <c r="AY112" s="164" t="str">
        <f t="shared" si="89"/>
        <v>🐢</v>
      </c>
      <c r="AZ112" s="171" t="str">
        <f t="shared" si="60"/>
        <v>🛴</v>
      </c>
      <c r="BA112" s="172">
        <f t="shared" si="61"/>
        <v>604.77994433064669</v>
      </c>
      <c r="BB112" s="173">
        <f t="shared" si="62"/>
        <v>0.14294735001961215</v>
      </c>
      <c r="BC112" s="174">
        <f t="shared" si="63"/>
        <v>4230.7880786014703</v>
      </c>
      <c r="BD112" s="175">
        <f t="shared" si="81"/>
        <v>350061.90739591722</v>
      </c>
      <c r="BE112" s="176"/>
      <c r="BF112" s="177" t="str">
        <f t="shared" si="48"/>
        <v/>
      </c>
      <c r="BG112" s="178" t="str">
        <f t="shared" si="82"/>
        <v/>
      </c>
      <c r="BH112" s="179" t="str">
        <f t="shared" si="64"/>
        <v/>
      </c>
      <c r="BI112" s="180">
        <f t="shared" si="83"/>
        <v>292</v>
      </c>
      <c r="BJ112" s="181">
        <f t="shared" si="87"/>
        <v>596.13336847842129</v>
      </c>
      <c r="BK112" s="182">
        <f t="shared" si="84"/>
        <v>1.6999999999999999E-3</v>
      </c>
    </row>
    <row r="113" spans="1:63" x14ac:dyDescent="0.25">
      <c r="A113" s="7">
        <f t="shared" si="65"/>
        <v>25</v>
      </c>
      <c r="B113" s="7">
        <f t="shared" si="66"/>
        <v>75</v>
      </c>
      <c r="C113" s="115">
        <f t="shared" si="67"/>
        <v>49035</v>
      </c>
      <c r="D113" s="2">
        <f t="shared" si="50"/>
        <v>3.4364261168384879E-3</v>
      </c>
      <c r="E113" s="169">
        <f t="shared" si="68"/>
        <v>99</v>
      </c>
      <c r="F113" s="165">
        <f t="shared" si="69"/>
        <v>2924.8217352031793</v>
      </c>
      <c r="G113" s="170">
        <f t="shared" si="85"/>
        <v>1202.9618810856261</v>
      </c>
      <c r="H113" s="164" t="str">
        <f t="shared" si="88"/>
        <v>🐢</v>
      </c>
      <c r="I113" s="171" t="str">
        <f t="shared" si="51"/>
        <v>🛴</v>
      </c>
      <c r="J113" s="172">
        <f t="shared" si="52"/>
        <v>607.85663851256686</v>
      </c>
      <c r="K113" s="173">
        <f t="shared" si="53"/>
        <v>0.1437766673229483</v>
      </c>
      <c r="L113" s="174">
        <f t="shared" si="54"/>
        <v>4227.7836162888052</v>
      </c>
      <c r="M113" s="175">
        <f t="shared" si="70"/>
        <v>349454.05075740465</v>
      </c>
      <c r="N113" s="20"/>
      <c r="O113" s="37" t="str">
        <f t="shared" si="90"/>
        <v/>
      </c>
      <c r="P113" s="62" t="str">
        <f t="shared" si="71"/>
        <v/>
      </c>
      <c r="Q113" s="16" t="str">
        <f t="shared" si="55"/>
        <v/>
      </c>
      <c r="R113" s="60">
        <f t="shared" si="72"/>
        <v>291</v>
      </c>
      <c r="S113" s="98">
        <f t="shared" si="73"/>
        <v>595.10524257305929</v>
      </c>
      <c r="T113" s="21">
        <f t="shared" si="74"/>
        <v>1.6999999999999999E-3</v>
      </c>
      <c r="AA113" s="14">
        <f t="shared" si="56"/>
        <v>-4227.7836162888052</v>
      </c>
      <c r="AH113" s="6">
        <f t="shared" si="57"/>
        <v>1</v>
      </c>
      <c r="AI113" s="6">
        <f t="shared" si="58"/>
        <v>3</v>
      </c>
      <c r="AJ113" s="12">
        <f t="shared" si="59"/>
        <v>9</v>
      </c>
      <c r="AK113" s="72">
        <f t="shared" si="49"/>
        <v>30</v>
      </c>
      <c r="AQ113" s="8"/>
      <c r="AR113">
        <f t="shared" si="75"/>
        <v>25</v>
      </c>
      <c r="AS113">
        <f t="shared" si="76"/>
        <v>75</v>
      </c>
      <c r="AT113" s="183">
        <f t="shared" si="77"/>
        <v>49035</v>
      </c>
      <c r="AU113" s="2">
        <f t="shared" si="78"/>
        <v>3.4364261168384879E-3</v>
      </c>
      <c r="AV113" s="169">
        <f t="shared" si="79"/>
        <v>99</v>
      </c>
      <c r="AW113" s="165">
        <f t="shared" si="80"/>
        <v>2924.8217352031793</v>
      </c>
      <c r="AX113" s="170">
        <f t="shared" si="86"/>
        <v>1202.9618810856261</v>
      </c>
      <c r="AY113" s="164" t="str">
        <f t="shared" si="89"/>
        <v>🐢</v>
      </c>
      <c r="AZ113" s="171" t="str">
        <f t="shared" si="60"/>
        <v>🛴</v>
      </c>
      <c r="BA113" s="172">
        <f t="shared" si="61"/>
        <v>607.85663851256686</v>
      </c>
      <c r="BB113" s="173">
        <f t="shared" si="62"/>
        <v>0.1437766673229483</v>
      </c>
      <c r="BC113" s="174">
        <f t="shared" si="63"/>
        <v>4227.7836162888052</v>
      </c>
      <c r="BD113" s="175">
        <f t="shared" si="81"/>
        <v>349454.05075740465</v>
      </c>
      <c r="BE113" s="176"/>
      <c r="BF113" s="177" t="str">
        <f t="shared" si="48"/>
        <v/>
      </c>
      <c r="BG113" s="178" t="str">
        <f t="shared" si="82"/>
        <v/>
      </c>
      <c r="BH113" s="179" t="str">
        <f t="shared" si="64"/>
        <v/>
      </c>
      <c r="BI113" s="180">
        <f t="shared" si="83"/>
        <v>291</v>
      </c>
      <c r="BJ113" s="181">
        <f t="shared" si="87"/>
        <v>595.10524257305929</v>
      </c>
      <c r="BK113" s="182">
        <f t="shared" si="84"/>
        <v>1.6999999999999999E-3</v>
      </c>
    </row>
    <row r="114" spans="1:63" x14ac:dyDescent="0.25">
      <c r="A114" s="7">
        <f t="shared" si="65"/>
        <v>25</v>
      </c>
      <c r="B114" s="7">
        <f t="shared" si="66"/>
        <v>75</v>
      </c>
      <c r="C114" s="115">
        <f t="shared" si="67"/>
        <v>49065</v>
      </c>
      <c r="D114" s="2">
        <f t="shared" si="50"/>
        <v>3.4482758620689655E-3</v>
      </c>
      <c r="E114" s="169">
        <f t="shared" si="68"/>
        <v>100</v>
      </c>
      <c r="F114" s="165">
        <f t="shared" si="69"/>
        <v>2919.7429983550755</v>
      </c>
      <c r="G114" s="170">
        <f t="shared" si="85"/>
        <v>1205.0139681289816</v>
      </c>
      <c r="H114" s="164" t="str">
        <f t="shared" si="88"/>
        <v>🐢</v>
      </c>
      <c r="I114" s="171" t="str">
        <f t="shared" si="51"/>
        <v>🛴</v>
      </c>
      <c r="J114" s="172">
        <f t="shared" si="52"/>
        <v>610.9420818413937</v>
      </c>
      <c r="K114" s="173">
        <f t="shared" si="53"/>
        <v>0.14460999453652221</v>
      </c>
      <c r="L114" s="174">
        <f t="shared" si="54"/>
        <v>4224.7569664840576</v>
      </c>
      <c r="M114" s="175">
        <f t="shared" si="70"/>
        <v>348843.10867556324</v>
      </c>
      <c r="N114" s="20"/>
      <c r="O114" s="37" t="str">
        <f t="shared" si="90"/>
        <v/>
      </c>
      <c r="P114" s="62" t="str">
        <f t="shared" si="71"/>
        <v/>
      </c>
      <c r="Q114" s="16" t="str">
        <f t="shared" si="55"/>
        <v/>
      </c>
      <c r="R114" s="60">
        <f t="shared" si="72"/>
        <v>290</v>
      </c>
      <c r="S114" s="98">
        <f t="shared" si="73"/>
        <v>594.07188628758786</v>
      </c>
      <c r="T114" s="21">
        <f t="shared" si="74"/>
        <v>1.6999999999999999E-3</v>
      </c>
      <c r="AA114" s="14">
        <f t="shared" si="56"/>
        <v>-4224.7569664840576</v>
      </c>
      <c r="AH114" s="6">
        <f t="shared" si="57"/>
        <v>1</v>
      </c>
      <c r="AI114" s="6">
        <f t="shared" si="58"/>
        <v>3</v>
      </c>
      <c r="AJ114" s="12">
        <f t="shared" si="59"/>
        <v>9</v>
      </c>
      <c r="AK114" s="72">
        <f t="shared" si="49"/>
        <v>31</v>
      </c>
      <c r="AQ114" s="8"/>
      <c r="AR114">
        <f t="shared" si="75"/>
        <v>25</v>
      </c>
      <c r="AS114">
        <f t="shared" si="76"/>
        <v>75</v>
      </c>
      <c r="AT114" s="183">
        <f t="shared" si="77"/>
        <v>49065</v>
      </c>
      <c r="AU114" s="2">
        <f t="shared" si="78"/>
        <v>3.4482758620689655E-3</v>
      </c>
      <c r="AV114" s="169">
        <f t="shared" si="79"/>
        <v>100</v>
      </c>
      <c r="AW114" s="165">
        <f t="shared" si="80"/>
        <v>2919.7429983550755</v>
      </c>
      <c r="AX114" s="170">
        <f t="shared" si="86"/>
        <v>1205.0139681289816</v>
      </c>
      <c r="AY114" s="164" t="str">
        <f t="shared" si="89"/>
        <v>🐢</v>
      </c>
      <c r="AZ114" s="171" t="str">
        <f t="shared" si="60"/>
        <v>🛴</v>
      </c>
      <c r="BA114" s="172">
        <f t="shared" si="61"/>
        <v>610.9420818413937</v>
      </c>
      <c r="BB114" s="173">
        <f t="shared" si="62"/>
        <v>0.14460999453652221</v>
      </c>
      <c r="BC114" s="174">
        <f t="shared" si="63"/>
        <v>4224.7569664840576</v>
      </c>
      <c r="BD114" s="175">
        <f t="shared" si="81"/>
        <v>348843.10867556324</v>
      </c>
      <c r="BE114" s="176"/>
      <c r="BF114" s="177" t="str">
        <f t="shared" si="48"/>
        <v/>
      </c>
      <c r="BG114" s="178" t="str">
        <f t="shared" si="82"/>
        <v/>
      </c>
      <c r="BH114" s="179" t="str">
        <f t="shared" si="64"/>
        <v/>
      </c>
      <c r="BI114" s="180">
        <f t="shared" si="83"/>
        <v>290</v>
      </c>
      <c r="BJ114" s="181">
        <f t="shared" si="87"/>
        <v>594.07188628758786</v>
      </c>
      <c r="BK114" s="182">
        <f t="shared" si="84"/>
        <v>1.6999999999999999E-3</v>
      </c>
    </row>
    <row r="115" spans="1:63" x14ac:dyDescent="0.25">
      <c r="A115" s="7">
        <f t="shared" si="65"/>
        <v>25</v>
      </c>
      <c r="B115" s="7">
        <f t="shared" si="66"/>
        <v>75</v>
      </c>
      <c r="C115" s="115">
        <f t="shared" si="67"/>
        <v>49096</v>
      </c>
      <c r="D115" s="2">
        <f t="shared" si="50"/>
        <v>3.4602076124567475E-3</v>
      </c>
      <c r="E115" s="169">
        <f t="shared" si="68"/>
        <v>101</v>
      </c>
      <c r="F115" s="165">
        <f t="shared" si="69"/>
        <v>2914.6384821476063</v>
      </c>
      <c r="G115" s="170">
        <f t="shared" si="85"/>
        <v>1207.0695801922604</v>
      </c>
      <c r="H115" s="164" t="str">
        <f t="shared" si="88"/>
        <v>🐢</v>
      </c>
      <c r="I115" s="171" t="str">
        <f t="shared" si="51"/>
        <v>🛴</v>
      </c>
      <c r="J115" s="172">
        <f t="shared" si="52"/>
        <v>614.03629544380294</v>
      </c>
      <c r="K115" s="173">
        <f t="shared" si="53"/>
        <v>0.14544736073092546</v>
      </c>
      <c r="L115" s="174">
        <f t="shared" si="54"/>
        <v>4221.708062339867</v>
      </c>
      <c r="M115" s="175">
        <f t="shared" si="70"/>
        <v>348229.07238011941</v>
      </c>
      <c r="N115" s="20"/>
      <c r="O115" s="37" t="str">
        <f t="shared" si="90"/>
        <v/>
      </c>
      <c r="P115" s="62" t="str">
        <f t="shared" si="71"/>
        <v/>
      </c>
      <c r="Q115" s="16" t="str">
        <f t="shared" si="55"/>
        <v/>
      </c>
      <c r="R115" s="60">
        <f t="shared" si="72"/>
        <v>289</v>
      </c>
      <c r="S115" s="98">
        <f t="shared" si="73"/>
        <v>593.0332847484575</v>
      </c>
      <c r="T115" s="21">
        <f t="shared" si="74"/>
        <v>1.6999999999999999E-3</v>
      </c>
      <c r="AA115" s="14">
        <f t="shared" si="56"/>
        <v>-4221.708062339867</v>
      </c>
      <c r="AH115" s="6">
        <f t="shared" si="57"/>
        <v>1</v>
      </c>
      <c r="AI115" s="6">
        <f t="shared" si="58"/>
        <v>3</v>
      </c>
      <c r="AJ115" s="12">
        <f t="shared" si="59"/>
        <v>9</v>
      </c>
      <c r="AK115" s="72">
        <f t="shared" si="49"/>
        <v>30</v>
      </c>
      <c r="AQ115" s="8"/>
      <c r="AR115">
        <f t="shared" si="75"/>
        <v>25</v>
      </c>
      <c r="AS115">
        <f t="shared" si="76"/>
        <v>75</v>
      </c>
      <c r="AT115" s="183">
        <f t="shared" si="77"/>
        <v>49096</v>
      </c>
      <c r="AU115" s="2">
        <f t="shared" si="78"/>
        <v>3.4602076124567475E-3</v>
      </c>
      <c r="AV115" s="169">
        <f t="shared" si="79"/>
        <v>101</v>
      </c>
      <c r="AW115" s="165">
        <f t="shared" si="80"/>
        <v>2914.6384821476063</v>
      </c>
      <c r="AX115" s="170">
        <f t="shared" si="86"/>
        <v>1207.0695801922604</v>
      </c>
      <c r="AY115" s="164" t="str">
        <f t="shared" si="89"/>
        <v>🐢</v>
      </c>
      <c r="AZ115" s="171" t="str">
        <f t="shared" si="60"/>
        <v>🛴</v>
      </c>
      <c r="BA115" s="172">
        <f t="shared" si="61"/>
        <v>614.03629544380294</v>
      </c>
      <c r="BB115" s="173">
        <f t="shared" si="62"/>
        <v>0.14544736073092546</v>
      </c>
      <c r="BC115" s="174">
        <f t="shared" si="63"/>
        <v>4221.708062339867</v>
      </c>
      <c r="BD115" s="175">
        <f t="shared" si="81"/>
        <v>348229.07238011941</v>
      </c>
      <c r="BE115" s="176"/>
      <c r="BF115" s="177" t="str">
        <f t="shared" si="48"/>
        <v/>
      </c>
      <c r="BG115" s="178" t="str">
        <f t="shared" si="82"/>
        <v/>
      </c>
      <c r="BH115" s="179" t="str">
        <f t="shared" si="64"/>
        <v/>
      </c>
      <c r="BI115" s="180">
        <f t="shared" si="83"/>
        <v>289</v>
      </c>
      <c r="BJ115" s="181">
        <f t="shared" si="87"/>
        <v>593.0332847484575</v>
      </c>
      <c r="BK115" s="182">
        <f t="shared" si="84"/>
        <v>1.6999999999999999E-3</v>
      </c>
    </row>
    <row r="116" spans="1:63" x14ac:dyDescent="0.25">
      <c r="A116" s="7">
        <f t="shared" si="65"/>
        <v>25</v>
      </c>
      <c r="B116" s="7">
        <f t="shared" si="66"/>
        <v>75</v>
      </c>
      <c r="C116" s="115">
        <f t="shared" si="67"/>
        <v>49126</v>
      </c>
      <c r="D116" s="2">
        <f t="shared" si="50"/>
        <v>3.4722222222222225E-3</v>
      </c>
      <c r="E116" s="169">
        <f t="shared" si="68"/>
        <v>102</v>
      </c>
      <c r="F116" s="165">
        <f t="shared" si="69"/>
        <v>2909.5081133037706</v>
      </c>
      <c r="G116" s="170">
        <f t="shared" si="85"/>
        <v>1209.1287235420814</v>
      </c>
      <c r="H116" s="164" t="str">
        <f t="shared" si="88"/>
        <v>🐢</v>
      </c>
      <c r="I116" s="171" t="str">
        <f t="shared" si="51"/>
        <v>🛴</v>
      </c>
      <c r="J116" s="172">
        <f t="shared" si="52"/>
        <v>617.13930049587839</v>
      </c>
      <c r="K116" s="173">
        <f t="shared" si="53"/>
        <v>0.146288795258635</v>
      </c>
      <c r="L116" s="174">
        <f t="shared" si="54"/>
        <v>4218.6368368458516</v>
      </c>
      <c r="M116" s="175">
        <f t="shared" si="70"/>
        <v>347611.9330796235</v>
      </c>
      <c r="N116" s="20"/>
      <c r="O116" s="37" t="str">
        <f t="shared" si="90"/>
        <v/>
      </c>
      <c r="P116" s="62" t="str">
        <f t="shared" si="71"/>
        <v/>
      </c>
      <c r="Q116" s="16" t="str">
        <f t="shared" si="55"/>
        <v/>
      </c>
      <c r="R116" s="60">
        <f t="shared" si="72"/>
        <v>288</v>
      </c>
      <c r="S116" s="98">
        <f t="shared" si="73"/>
        <v>591.989423046203</v>
      </c>
      <c r="T116" s="21">
        <f t="shared" si="74"/>
        <v>1.6999999999999999E-3</v>
      </c>
      <c r="AA116" s="14">
        <f t="shared" si="56"/>
        <v>-4218.6368368458516</v>
      </c>
      <c r="AH116" s="6">
        <f t="shared" si="57"/>
        <v>1</v>
      </c>
      <c r="AI116" s="6">
        <f t="shared" si="58"/>
        <v>3</v>
      </c>
      <c r="AJ116" s="12">
        <f t="shared" si="59"/>
        <v>9</v>
      </c>
      <c r="AK116" s="72">
        <f t="shared" si="49"/>
        <v>31</v>
      </c>
      <c r="AR116">
        <f t="shared" si="75"/>
        <v>25</v>
      </c>
      <c r="AS116">
        <f t="shared" si="76"/>
        <v>75</v>
      </c>
      <c r="AT116" s="183">
        <f t="shared" si="77"/>
        <v>49126</v>
      </c>
      <c r="AU116" s="2">
        <f t="shared" si="78"/>
        <v>3.4722222222222225E-3</v>
      </c>
      <c r="AV116" s="169">
        <f t="shared" si="79"/>
        <v>102</v>
      </c>
      <c r="AW116" s="165">
        <f t="shared" si="80"/>
        <v>2909.5081133037706</v>
      </c>
      <c r="AX116" s="170">
        <f t="shared" si="86"/>
        <v>1209.1287235420814</v>
      </c>
      <c r="AY116" s="164" t="str">
        <f t="shared" si="89"/>
        <v>🐢</v>
      </c>
      <c r="AZ116" s="171" t="str">
        <f t="shared" si="60"/>
        <v>🛴</v>
      </c>
      <c r="BA116" s="172">
        <f t="shared" si="61"/>
        <v>617.13930049587839</v>
      </c>
      <c r="BB116" s="173">
        <f t="shared" si="62"/>
        <v>0.146288795258635</v>
      </c>
      <c r="BC116" s="174">
        <f t="shared" si="63"/>
        <v>4218.6368368458516</v>
      </c>
      <c r="BD116" s="175">
        <f t="shared" si="81"/>
        <v>347611.9330796235</v>
      </c>
      <c r="BE116" s="176"/>
      <c r="BF116" s="177" t="str">
        <f t="shared" si="48"/>
        <v/>
      </c>
      <c r="BG116" s="178" t="str">
        <f t="shared" si="82"/>
        <v/>
      </c>
      <c r="BH116" s="179" t="str">
        <f t="shared" si="64"/>
        <v/>
      </c>
      <c r="BI116" s="180">
        <f t="shared" si="83"/>
        <v>288</v>
      </c>
      <c r="BJ116" s="181">
        <f t="shared" si="87"/>
        <v>591.989423046203</v>
      </c>
      <c r="BK116" s="182">
        <f t="shared" si="84"/>
        <v>1.6999999999999999E-3</v>
      </c>
    </row>
    <row r="117" spans="1:63" x14ac:dyDescent="0.25">
      <c r="A117" s="7">
        <f t="shared" si="65"/>
        <v>25</v>
      </c>
      <c r="B117" s="7">
        <f t="shared" si="66"/>
        <v>75</v>
      </c>
      <c r="C117" s="115">
        <f t="shared" si="67"/>
        <v>49157</v>
      </c>
      <c r="D117" s="2">
        <f t="shared" si="50"/>
        <v>3.4843205574912892E-3</v>
      </c>
      <c r="E117" s="169">
        <f t="shared" si="68"/>
        <v>103</v>
      </c>
      <c r="F117" s="165">
        <f t="shared" si="69"/>
        <v>2904.3518183696374</v>
      </c>
      <c r="G117" s="170">
        <f t="shared" si="85"/>
        <v>1211.1914044586185</v>
      </c>
      <c r="H117" s="164" t="str">
        <f t="shared" si="88"/>
        <v>🐢</v>
      </c>
      <c r="I117" s="171" t="str">
        <f t="shared" si="51"/>
        <v>🛴</v>
      </c>
      <c r="J117" s="172">
        <f t="shared" si="52"/>
        <v>620.25111822325857</v>
      </c>
      <c r="K117" s="173">
        <f t="shared" si="53"/>
        <v>0.14713432775743787</v>
      </c>
      <c r="L117" s="174">
        <f t="shared" si="54"/>
        <v>4215.5432228282561</v>
      </c>
      <c r="M117" s="175">
        <f t="shared" si="70"/>
        <v>346991.68196140026</v>
      </c>
      <c r="N117" s="20"/>
      <c r="O117" s="37" t="str">
        <f t="shared" si="90"/>
        <v/>
      </c>
      <c r="P117" s="62" t="str">
        <f t="shared" si="71"/>
        <v/>
      </c>
      <c r="Q117" s="16" t="str">
        <f t="shared" si="55"/>
        <v/>
      </c>
      <c r="R117" s="60">
        <f t="shared" si="72"/>
        <v>287</v>
      </c>
      <c r="S117" s="98">
        <f t="shared" si="73"/>
        <v>590.94028623535996</v>
      </c>
      <c r="T117" s="21">
        <f t="shared" si="74"/>
        <v>1.6999999999999999E-3</v>
      </c>
      <c r="AA117" s="14">
        <f t="shared" si="56"/>
        <v>-4215.5432228282561</v>
      </c>
      <c r="AH117" s="6">
        <f t="shared" si="57"/>
        <v>1</v>
      </c>
      <c r="AI117" s="6">
        <f t="shared" si="58"/>
        <v>3</v>
      </c>
      <c r="AJ117" s="12">
        <f t="shared" si="59"/>
        <v>9</v>
      </c>
      <c r="AK117" s="72">
        <f t="shared" si="49"/>
        <v>31</v>
      </c>
      <c r="AR117">
        <f t="shared" si="75"/>
        <v>25</v>
      </c>
      <c r="AS117">
        <f t="shared" si="76"/>
        <v>75</v>
      </c>
      <c r="AT117" s="183">
        <f t="shared" si="77"/>
        <v>49157</v>
      </c>
      <c r="AU117" s="2">
        <f t="shared" si="78"/>
        <v>3.4843205574912892E-3</v>
      </c>
      <c r="AV117" s="169">
        <f t="shared" si="79"/>
        <v>103</v>
      </c>
      <c r="AW117" s="165">
        <f t="shared" si="80"/>
        <v>2904.3518183696374</v>
      </c>
      <c r="AX117" s="170">
        <f t="shared" si="86"/>
        <v>1211.1914044586185</v>
      </c>
      <c r="AY117" s="164" t="str">
        <f t="shared" si="89"/>
        <v>🐢</v>
      </c>
      <c r="AZ117" s="171" t="str">
        <f t="shared" si="60"/>
        <v>🛴</v>
      </c>
      <c r="BA117" s="172">
        <f t="shared" si="61"/>
        <v>620.25111822325857</v>
      </c>
      <c r="BB117" s="173">
        <f t="shared" si="62"/>
        <v>0.14713432775743787</v>
      </c>
      <c r="BC117" s="174">
        <f t="shared" si="63"/>
        <v>4215.5432228282561</v>
      </c>
      <c r="BD117" s="175">
        <f t="shared" si="81"/>
        <v>346991.68196140026</v>
      </c>
      <c r="BE117" s="176"/>
      <c r="BF117" s="177" t="str">
        <f t="shared" si="48"/>
        <v/>
      </c>
      <c r="BG117" s="178" t="str">
        <f t="shared" si="82"/>
        <v/>
      </c>
      <c r="BH117" s="179" t="str">
        <f t="shared" si="64"/>
        <v/>
      </c>
      <c r="BI117" s="180">
        <f t="shared" si="83"/>
        <v>287</v>
      </c>
      <c r="BJ117" s="181">
        <f t="shared" si="87"/>
        <v>590.94028623535996</v>
      </c>
      <c r="BK117" s="182">
        <f t="shared" si="84"/>
        <v>1.6999999999999999E-3</v>
      </c>
    </row>
    <row r="118" spans="1:63" x14ac:dyDescent="0.25">
      <c r="A118" s="7">
        <f t="shared" si="65"/>
        <v>25</v>
      </c>
      <c r="B118" s="7">
        <f t="shared" si="66"/>
        <v>75</v>
      </c>
      <c r="C118" s="115">
        <f t="shared" si="67"/>
        <v>49188</v>
      </c>
      <c r="D118" s="2">
        <f t="shared" si="50"/>
        <v>3.4965034965034965E-3</v>
      </c>
      <c r="E118" s="169">
        <f t="shared" si="68"/>
        <v>104</v>
      </c>
      <c r="F118" s="165">
        <f t="shared" si="69"/>
        <v>2899.1695237139334</v>
      </c>
      <c r="G118" s="170">
        <f t="shared" si="85"/>
        <v>1213.2576292356653</v>
      </c>
      <c r="H118" s="164" t="str">
        <f t="shared" si="88"/>
        <v>🐢</v>
      </c>
      <c r="I118" s="171" t="str">
        <f t="shared" si="51"/>
        <v>🛴</v>
      </c>
      <c r="J118" s="172">
        <f t="shared" si="52"/>
        <v>623.37176990128489</v>
      </c>
      <c r="K118" s="173">
        <f t="shared" si="53"/>
        <v>0.1479839881539059</v>
      </c>
      <c r="L118" s="174">
        <f t="shared" si="54"/>
        <v>4212.4271529495982</v>
      </c>
      <c r="M118" s="175">
        <f t="shared" si="70"/>
        <v>346368.31019149895</v>
      </c>
      <c r="N118" s="20"/>
      <c r="O118" s="37" t="str">
        <f t="shared" si="90"/>
        <v/>
      </c>
      <c r="P118" s="62" t="str">
        <f t="shared" si="71"/>
        <v/>
      </c>
      <c r="Q118" s="16" t="str">
        <f t="shared" si="55"/>
        <v/>
      </c>
      <c r="R118" s="60">
        <f t="shared" si="72"/>
        <v>286</v>
      </c>
      <c r="S118" s="98">
        <f t="shared" si="73"/>
        <v>589.88585933438037</v>
      </c>
      <c r="T118" s="21">
        <f t="shared" si="74"/>
        <v>1.6999999999999999E-3</v>
      </c>
      <c r="AA118" s="14">
        <f t="shared" si="56"/>
        <v>-4212.4271529495982</v>
      </c>
      <c r="AH118" s="6">
        <f t="shared" si="57"/>
        <v>1</v>
      </c>
      <c r="AI118" s="6">
        <f t="shared" si="58"/>
        <v>3</v>
      </c>
      <c r="AJ118" s="12">
        <f t="shared" si="59"/>
        <v>9</v>
      </c>
      <c r="AK118" s="72">
        <f t="shared" si="49"/>
        <v>30</v>
      </c>
      <c r="AR118">
        <f t="shared" si="75"/>
        <v>25</v>
      </c>
      <c r="AS118">
        <f t="shared" si="76"/>
        <v>75</v>
      </c>
      <c r="AT118" s="183">
        <f t="shared" si="77"/>
        <v>49188</v>
      </c>
      <c r="AU118" s="2">
        <f t="shared" si="78"/>
        <v>3.4965034965034965E-3</v>
      </c>
      <c r="AV118" s="169">
        <f t="shared" si="79"/>
        <v>104</v>
      </c>
      <c r="AW118" s="165">
        <f t="shared" si="80"/>
        <v>2899.1695237139334</v>
      </c>
      <c r="AX118" s="170">
        <f t="shared" si="86"/>
        <v>1213.2576292356653</v>
      </c>
      <c r="AY118" s="164" t="str">
        <f t="shared" si="89"/>
        <v>🐢</v>
      </c>
      <c r="AZ118" s="171" t="str">
        <f t="shared" si="60"/>
        <v>🛴</v>
      </c>
      <c r="BA118" s="172">
        <f t="shared" si="61"/>
        <v>623.37176990128489</v>
      </c>
      <c r="BB118" s="173">
        <f t="shared" si="62"/>
        <v>0.1479839881539059</v>
      </c>
      <c r="BC118" s="174">
        <f t="shared" si="63"/>
        <v>4212.4271529495982</v>
      </c>
      <c r="BD118" s="175">
        <f t="shared" si="81"/>
        <v>346368.31019149895</v>
      </c>
      <c r="BE118" s="176"/>
      <c r="BF118" s="177" t="str">
        <f t="shared" si="48"/>
        <v/>
      </c>
      <c r="BG118" s="178" t="str">
        <f t="shared" si="82"/>
        <v/>
      </c>
      <c r="BH118" s="179" t="str">
        <f t="shared" si="64"/>
        <v/>
      </c>
      <c r="BI118" s="180">
        <f t="shared" si="83"/>
        <v>286</v>
      </c>
      <c r="BJ118" s="181">
        <f t="shared" si="87"/>
        <v>589.88585933438037</v>
      </c>
      <c r="BK118" s="182">
        <f t="shared" si="84"/>
        <v>1.6999999999999999E-3</v>
      </c>
    </row>
    <row r="119" spans="1:63" x14ac:dyDescent="0.25">
      <c r="A119" s="7">
        <f t="shared" si="65"/>
        <v>25</v>
      </c>
      <c r="B119" s="7">
        <f t="shared" si="66"/>
        <v>75</v>
      </c>
      <c r="C119" s="115">
        <f t="shared" si="67"/>
        <v>49218</v>
      </c>
      <c r="D119" s="2">
        <f t="shared" si="50"/>
        <v>3.5087719298245615E-3</v>
      </c>
      <c r="E119" s="169">
        <f t="shared" si="68"/>
        <v>105</v>
      </c>
      <c r="F119" s="165">
        <f t="shared" si="69"/>
        <v>2893.9611555276247</v>
      </c>
      <c r="G119" s="170">
        <f t="shared" si="85"/>
        <v>1215.3274041806981</v>
      </c>
      <c r="H119" s="164" t="str">
        <f t="shared" si="88"/>
        <v>🐢</v>
      </c>
      <c r="I119" s="171" t="str">
        <f t="shared" si="51"/>
        <v>🛴</v>
      </c>
      <c r="J119" s="172">
        <f t="shared" si="52"/>
        <v>626.50127685514985</v>
      </c>
      <c r="K119" s="173">
        <f t="shared" si="53"/>
        <v>0.14883780666692106</v>
      </c>
      <c r="L119" s="174">
        <f t="shared" si="54"/>
        <v>4209.2885597083223</v>
      </c>
      <c r="M119" s="175">
        <f t="shared" si="70"/>
        <v>345741.80891464377</v>
      </c>
      <c r="N119" s="20"/>
      <c r="O119" s="37" t="str">
        <f t="shared" si="90"/>
        <v/>
      </c>
      <c r="P119" s="62" t="str">
        <f t="shared" si="71"/>
        <v/>
      </c>
      <c r="Q119" s="16" t="str">
        <f t="shared" si="55"/>
        <v/>
      </c>
      <c r="R119" s="60">
        <f t="shared" si="72"/>
        <v>285</v>
      </c>
      <c r="S119" s="98">
        <f t="shared" si="73"/>
        <v>588.82612732554821</v>
      </c>
      <c r="T119" s="21">
        <f t="shared" si="74"/>
        <v>1.6999999999999999E-3</v>
      </c>
      <c r="AA119" s="14">
        <f t="shared" si="56"/>
        <v>-4209.2885597083223</v>
      </c>
      <c r="AH119" s="6">
        <f t="shared" si="57"/>
        <v>1</v>
      </c>
      <c r="AI119" s="6">
        <f t="shared" si="58"/>
        <v>3</v>
      </c>
      <c r="AJ119" s="12">
        <f t="shared" si="59"/>
        <v>9</v>
      </c>
      <c r="AK119" s="72">
        <f t="shared" si="49"/>
        <v>31</v>
      </c>
      <c r="AR119">
        <f t="shared" si="75"/>
        <v>25</v>
      </c>
      <c r="AS119">
        <f t="shared" si="76"/>
        <v>75</v>
      </c>
      <c r="AT119" s="183">
        <f t="shared" si="77"/>
        <v>49218</v>
      </c>
      <c r="AU119" s="2">
        <f t="shared" si="78"/>
        <v>3.5087719298245615E-3</v>
      </c>
      <c r="AV119" s="169">
        <f t="shared" si="79"/>
        <v>105</v>
      </c>
      <c r="AW119" s="165">
        <f t="shared" si="80"/>
        <v>2893.9611555276247</v>
      </c>
      <c r="AX119" s="170">
        <f t="shared" si="86"/>
        <v>1215.3274041806981</v>
      </c>
      <c r="AY119" s="164" t="str">
        <f t="shared" si="89"/>
        <v>🐢</v>
      </c>
      <c r="AZ119" s="171" t="str">
        <f t="shared" si="60"/>
        <v>🛴</v>
      </c>
      <c r="BA119" s="172">
        <f t="shared" si="61"/>
        <v>626.50127685514985</v>
      </c>
      <c r="BB119" s="173">
        <f t="shared" si="62"/>
        <v>0.14883780666692106</v>
      </c>
      <c r="BC119" s="174">
        <f t="shared" si="63"/>
        <v>4209.2885597083223</v>
      </c>
      <c r="BD119" s="175">
        <f t="shared" si="81"/>
        <v>345741.80891464377</v>
      </c>
      <c r="BE119" s="176"/>
      <c r="BF119" s="177" t="str">
        <f t="shared" si="48"/>
        <v/>
      </c>
      <c r="BG119" s="178" t="str">
        <f t="shared" si="82"/>
        <v/>
      </c>
      <c r="BH119" s="179" t="str">
        <f t="shared" si="64"/>
        <v/>
      </c>
      <c r="BI119" s="180">
        <f t="shared" si="83"/>
        <v>285</v>
      </c>
      <c r="BJ119" s="181">
        <f t="shared" si="87"/>
        <v>588.82612732554821</v>
      </c>
      <c r="BK119" s="182">
        <f t="shared" si="84"/>
        <v>1.6999999999999999E-3</v>
      </c>
    </row>
    <row r="120" spans="1:63" x14ac:dyDescent="0.25">
      <c r="A120" s="7">
        <f t="shared" si="65"/>
        <v>25</v>
      </c>
      <c r="B120" s="7">
        <f t="shared" si="66"/>
        <v>75</v>
      </c>
      <c r="C120" s="115">
        <f t="shared" si="67"/>
        <v>49249</v>
      </c>
      <c r="D120" s="2">
        <f t="shared" si="50"/>
        <v>3.5211267605633808E-3</v>
      </c>
      <c r="E120" s="169">
        <f t="shared" si="68"/>
        <v>106</v>
      </c>
      <c r="F120" s="165">
        <f t="shared" si="69"/>
        <v>2888.7266398235038</v>
      </c>
      <c r="G120" s="170">
        <f t="shared" si="85"/>
        <v>1217.400735614943</v>
      </c>
      <c r="H120" s="164" t="str">
        <f t="shared" si="88"/>
        <v>🐢</v>
      </c>
      <c r="I120" s="171" t="str">
        <f t="shared" si="51"/>
        <v>🛴</v>
      </c>
      <c r="J120" s="172">
        <f t="shared" si="52"/>
        <v>629.63966046004862</v>
      </c>
      <c r="K120" s="173">
        <f t="shared" si="53"/>
        <v>0.14969581381125316</v>
      </c>
      <c r="L120" s="174">
        <f t="shared" si="54"/>
        <v>4206.1273754384465</v>
      </c>
      <c r="M120" s="175">
        <f t="shared" si="70"/>
        <v>345112.16925418371</v>
      </c>
      <c r="N120" s="20"/>
      <c r="O120" s="37" t="str">
        <f t="shared" si="90"/>
        <v/>
      </c>
      <c r="P120" s="62" t="str">
        <f t="shared" si="71"/>
        <v/>
      </c>
      <c r="Q120" s="16" t="str">
        <f t="shared" si="55"/>
        <v/>
      </c>
      <c r="R120" s="60">
        <f t="shared" si="72"/>
        <v>284</v>
      </c>
      <c r="S120" s="98">
        <f t="shared" si="73"/>
        <v>587.76107515489434</v>
      </c>
      <c r="T120" s="21">
        <f t="shared" si="74"/>
        <v>1.6999999999999999E-3</v>
      </c>
      <c r="AA120" s="14">
        <f t="shared" si="56"/>
        <v>-4206.1273754384465</v>
      </c>
      <c r="AH120" s="6">
        <f t="shared" si="57"/>
        <v>1</v>
      </c>
      <c r="AI120" s="6">
        <f t="shared" si="58"/>
        <v>3</v>
      </c>
      <c r="AJ120" s="12">
        <f t="shared" si="59"/>
        <v>9</v>
      </c>
      <c r="AK120" s="72">
        <f t="shared" si="49"/>
        <v>30</v>
      </c>
      <c r="AR120">
        <f t="shared" si="75"/>
        <v>25</v>
      </c>
      <c r="AS120">
        <f t="shared" si="76"/>
        <v>75</v>
      </c>
      <c r="AT120" s="183">
        <f t="shared" si="77"/>
        <v>49249</v>
      </c>
      <c r="AU120" s="2">
        <f t="shared" si="78"/>
        <v>3.5211267605633808E-3</v>
      </c>
      <c r="AV120" s="169">
        <f t="shared" si="79"/>
        <v>106</v>
      </c>
      <c r="AW120" s="165">
        <f t="shared" si="80"/>
        <v>2888.7266398235038</v>
      </c>
      <c r="AX120" s="170">
        <f t="shared" si="86"/>
        <v>1217.400735614943</v>
      </c>
      <c r="AY120" s="164" t="str">
        <f t="shared" si="89"/>
        <v>🐢</v>
      </c>
      <c r="AZ120" s="171" t="str">
        <f t="shared" si="60"/>
        <v>🛴</v>
      </c>
      <c r="BA120" s="172">
        <f t="shared" si="61"/>
        <v>629.63966046004862</v>
      </c>
      <c r="BB120" s="173">
        <f t="shared" si="62"/>
        <v>0.14969581381125316</v>
      </c>
      <c r="BC120" s="174">
        <f t="shared" si="63"/>
        <v>4206.1273754384465</v>
      </c>
      <c r="BD120" s="175">
        <f t="shared" si="81"/>
        <v>345112.16925418371</v>
      </c>
      <c r="BE120" s="176"/>
      <c r="BF120" s="177" t="str">
        <f t="shared" si="48"/>
        <v/>
      </c>
      <c r="BG120" s="178" t="str">
        <f t="shared" si="82"/>
        <v/>
      </c>
      <c r="BH120" s="179" t="str">
        <f t="shared" si="64"/>
        <v/>
      </c>
      <c r="BI120" s="180">
        <f t="shared" si="83"/>
        <v>284</v>
      </c>
      <c r="BJ120" s="181">
        <f t="shared" si="87"/>
        <v>587.76107515489434</v>
      </c>
      <c r="BK120" s="182">
        <f t="shared" si="84"/>
        <v>1.6999999999999999E-3</v>
      </c>
    </row>
    <row r="121" spans="1:63" x14ac:dyDescent="0.25">
      <c r="A121" s="7">
        <f t="shared" si="65"/>
        <v>25</v>
      </c>
      <c r="B121" s="7">
        <f t="shared" si="66"/>
        <v>75</v>
      </c>
      <c r="C121" s="115">
        <f t="shared" si="67"/>
        <v>49279</v>
      </c>
      <c r="D121" s="2">
        <f t="shared" si="50"/>
        <v>3.5335689045936395E-3</v>
      </c>
      <c r="E121" s="169">
        <f t="shared" si="68"/>
        <v>107</v>
      </c>
      <c r="F121" s="165">
        <f t="shared" si="69"/>
        <v>2883.4659024357684</v>
      </c>
      <c r="G121" s="170">
        <f t="shared" si="85"/>
        <v>1219.4776298734407</v>
      </c>
      <c r="H121" s="164" t="str">
        <f t="shared" si="88"/>
        <v>🐢</v>
      </c>
      <c r="I121" s="171" t="str">
        <f t="shared" si="51"/>
        <v>🛴</v>
      </c>
      <c r="J121" s="172">
        <f t="shared" si="52"/>
        <v>632.7869421413285</v>
      </c>
      <c r="K121" s="173">
        <f t="shared" si="53"/>
        <v>0.15055804040118961</v>
      </c>
      <c r="L121" s="174">
        <f t="shared" si="54"/>
        <v>4202.9435323092093</v>
      </c>
      <c r="M121" s="175">
        <f t="shared" si="70"/>
        <v>344479.38231204241</v>
      </c>
      <c r="N121" s="198"/>
      <c r="O121" s="37" t="str">
        <f t="shared" si="90"/>
        <v/>
      </c>
      <c r="P121" s="62" t="str">
        <f t="shared" si="71"/>
        <v/>
      </c>
      <c r="Q121" s="16" t="str">
        <f t="shared" si="55"/>
        <v/>
      </c>
      <c r="R121" s="60">
        <f t="shared" si="72"/>
        <v>283</v>
      </c>
      <c r="S121" s="98">
        <f t="shared" si="73"/>
        <v>586.69068773211222</v>
      </c>
      <c r="T121" s="21">
        <f t="shared" si="74"/>
        <v>1.6999999999999999E-3</v>
      </c>
      <c r="AA121" s="14">
        <f t="shared" si="56"/>
        <v>-4202.9435323092093</v>
      </c>
      <c r="AH121" s="6">
        <f t="shared" si="57"/>
        <v>1</v>
      </c>
      <c r="AI121" s="6">
        <f t="shared" si="58"/>
        <v>3</v>
      </c>
      <c r="AJ121" s="12">
        <f t="shared" si="59"/>
        <v>9</v>
      </c>
      <c r="AK121" s="72">
        <f t="shared" si="49"/>
        <v>31</v>
      </c>
      <c r="AR121">
        <f t="shared" si="75"/>
        <v>25</v>
      </c>
      <c r="AS121">
        <f t="shared" si="76"/>
        <v>75</v>
      </c>
      <c r="AT121" s="183">
        <f t="shared" si="77"/>
        <v>49279</v>
      </c>
      <c r="AU121" s="2">
        <f t="shared" si="78"/>
        <v>3.5335689045936395E-3</v>
      </c>
      <c r="AV121" s="169">
        <f t="shared" si="79"/>
        <v>107</v>
      </c>
      <c r="AW121" s="165">
        <f t="shared" si="80"/>
        <v>2883.4659024357684</v>
      </c>
      <c r="AX121" s="170">
        <f t="shared" si="86"/>
        <v>1219.4776298734407</v>
      </c>
      <c r="AY121" s="164" t="str">
        <f t="shared" si="89"/>
        <v>🐢</v>
      </c>
      <c r="AZ121" s="171" t="str">
        <f t="shared" si="60"/>
        <v>🛴</v>
      </c>
      <c r="BA121" s="172">
        <f t="shared" si="61"/>
        <v>632.7869421413285</v>
      </c>
      <c r="BB121" s="173">
        <f t="shared" si="62"/>
        <v>0.15055804040118961</v>
      </c>
      <c r="BC121" s="174">
        <f t="shared" si="63"/>
        <v>4202.9435323092093</v>
      </c>
      <c r="BD121" s="175">
        <f t="shared" si="81"/>
        <v>344479.38231204241</v>
      </c>
      <c r="BE121" s="176"/>
      <c r="BF121" s="177" t="str">
        <f t="shared" si="48"/>
        <v/>
      </c>
      <c r="BG121" s="178" t="str">
        <f t="shared" si="82"/>
        <v/>
      </c>
      <c r="BH121" s="179" t="str">
        <f t="shared" si="64"/>
        <v/>
      </c>
      <c r="BI121" s="180">
        <f t="shared" si="83"/>
        <v>283</v>
      </c>
      <c r="BJ121" s="181">
        <f t="shared" si="87"/>
        <v>586.69068773211222</v>
      </c>
      <c r="BK121" s="182">
        <f t="shared" si="84"/>
        <v>1.6999999999999999E-3</v>
      </c>
    </row>
    <row r="122" spans="1:63" x14ac:dyDescent="0.25">
      <c r="A122" s="7">
        <f t="shared" si="65"/>
        <v>25</v>
      </c>
      <c r="B122" s="7">
        <f t="shared" si="66"/>
        <v>75</v>
      </c>
      <c r="C122" s="115">
        <f t="shared" si="67"/>
        <v>49310</v>
      </c>
      <c r="D122" s="2">
        <f t="shared" si="50"/>
        <v>3.5460992907801418E-3</v>
      </c>
      <c r="E122" s="169">
        <f t="shared" si="68"/>
        <v>108</v>
      </c>
      <c r="F122" s="165">
        <f t="shared" si="69"/>
        <v>2878.1788690196063</v>
      </c>
      <c r="G122" s="170">
        <f t="shared" si="85"/>
        <v>1221.5580933051149</v>
      </c>
      <c r="H122" s="164" t="str">
        <f t="shared" si="88"/>
        <v>🐢</v>
      </c>
      <c r="I122" s="171" t="str">
        <f t="shared" si="51"/>
        <v>🛴</v>
      </c>
      <c r="J122" s="172">
        <f t="shared" si="52"/>
        <v>635.94314337464277</v>
      </c>
      <c r="K122" s="173">
        <f t="shared" si="53"/>
        <v>0.15142451755421915</v>
      </c>
      <c r="L122" s="174">
        <f t="shared" si="54"/>
        <v>4199.7369623247214</v>
      </c>
      <c r="M122" s="175">
        <f t="shared" si="70"/>
        <v>343843.43916866777</v>
      </c>
      <c r="N122" s="20"/>
      <c r="O122" s="37" t="str">
        <f t="shared" si="90"/>
        <v/>
      </c>
      <c r="P122" s="62" t="str">
        <f t="shared" si="71"/>
        <v/>
      </c>
      <c r="Q122" s="16" t="str">
        <f t="shared" si="55"/>
        <v/>
      </c>
      <c r="R122" s="60">
        <f t="shared" si="72"/>
        <v>282</v>
      </c>
      <c r="S122" s="98">
        <f t="shared" si="73"/>
        <v>585.61494993047211</v>
      </c>
      <c r="T122" s="21">
        <f t="shared" si="74"/>
        <v>1.6999999999999999E-3</v>
      </c>
      <c r="AA122" s="14">
        <f t="shared" si="56"/>
        <v>-4199.7369623247214</v>
      </c>
      <c r="AH122" s="6">
        <f t="shared" si="57"/>
        <v>1</v>
      </c>
      <c r="AI122" s="6">
        <f t="shared" si="58"/>
        <v>3</v>
      </c>
      <c r="AJ122" s="12">
        <f t="shared" si="59"/>
        <v>9</v>
      </c>
      <c r="AK122" s="72">
        <f t="shared" si="49"/>
        <v>31</v>
      </c>
      <c r="AR122">
        <f t="shared" si="75"/>
        <v>25</v>
      </c>
      <c r="AS122">
        <f t="shared" si="76"/>
        <v>75</v>
      </c>
      <c r="AT122" s="183">
        <f t="shared" si="77"/>
        <v>49310</v>
      </c>
      <c r="AU122" s="2">
        <f t="shared" si="78"/>
        <v>3.5460992907801418E-3</v>
      </c>
      <c r="AV122" s="169">
        <f t="shared" si="79"/>
        <v>108</v>
      </c>
      <c r="AW122" s="165">
        <f t="shared" si="80"/>
        <v>2878.1788690196063</v>
      </c>
      <c r="AX122" s="170">
        <f t="shared" si="86"/>
        <v>1221.5580933051149</v>
      </c>
      <c r="AY122" s="164" t="str">
        <f t="shared" si="89"/>
        <v>🐢</v>
      </c>
      <c r="AZ122" s="171" t="str">
        <f t="shared" si="60"/>
        <v>🛴</v>
      </c>
      <c r="BA122" s="172">
        <f t="shared" si="61"/>
        <v>635.94314337464277</v>
      </c>
      <c r="BB122" s="173">
        <f t="shared" si="62"/>
        <v>0.15142451755421915</v>
      </c>
      <c r="BC122" s="174">
        <f t="shared" si="63"/>
        <v>4199.7369623247214</v>
      </c>
      <c r="BD122" s="175">
        <f t="shared" si="81"/>
        <v>343843.43916866777</v>
      </c>
      <c r="BE122" s="176"/>
      <c r="BF122" s="177" t="str">
        <f t="shared" si="48"/>
        <v/>
      </c>
      <c r="BG122" s="178" t="str">
        <f t="shared" si="82"/>
        <v/>
      </c>
      <c r="BH122" s="179" t="str">
        <f t="shared" si="64"/>
        <v/>
      </c>
      <c r="BI122" s="180">
        <f t="shared" si="83"/>
        <v>282</v>
      </c>
      <c r="BJ122" s="181">
        <f t="shared" si="87"/>
        <v>585.61494993047211</v>
      </c>
      <c r="BK122" s="182">
        <f t="shared" si="84"/>
        <v>1.6999999999999999E-3</v>
      </c>
    </row>
    <row r="123" spans="1:63" x14ac:dyDescent="0.25">
      <c r="A123" s="7">
        <f t="shared" si="65"/>
        <v>25</v>
      </c>
      <c r="B123" s="7">
        <f t="shared" si="66"/>
        <v>75</v>
      </c>
      <c r="C123" s="115">
        <f t="shared" si="67"/>
        <v>49341</v>
      </c>
      <c r="D123" s="2">
        <f t="shared" si="50"/>
        <v>3.5587188612099642E-3</v>
      </c>
      <c r="E123" s="169">
        <f t="shared" si="68"/>
        <v>109</v>
      </c>
      <c r="F123" s="165">
        <f t="shared" si="69"/>
        <v>2872.865465050771</v>
      </c>
      <c r="G123" s="170">
        <f t="shared" si="85"/>
        <v>1223.642132272839</v>
      </c>
      <c r="H123" s="164" t="str">
        <f t="shared" si="88"/>
        <v>🐢</v>
      </c>
      <c r="I123" s="171" t="str">
        <f t="shared" si="51"/>
        <v>🛴</v>
      </c>
      <c r="J123" s="172">
        <f t="shared" si="52"/>
        <v>639.10828568610384</v>
      </c>
      <c r="K123" s="173">
        <f t="shared" si="53"/>
        <v>0.15229527669477005</v>
      </c>
      <c r="L123" s="174">
        <f t="shared" si="54"/>
        <v>4196.5075973236098</v>
      </c>
      <c r="M123" s="175">
        <f t="shared" si="70"/>
        <v>343204.33088298165</v>
      </c>
      <c r="N123" s="20"/>
      <c r="O123" s="37" t="str">
        <f t="shared" si="90"/>
        <v/>
      </c>
      <c r="P123" s="62" t="str">
        <f t="shared" si="71"/>
        <v/>
      </c>
      <c r="Q123" s="16" t="str">
        <f t="shared" si="55"/>
        <v/>
      </c>
      <c r="R123" s="60">
        <f t="shared" si="72"/>
        <v>281</v>
      </c>
      <c r="S123" s="98">
        <f t="shared" si="73"/>
        <v>584.53384658673519</v>
      </c>
      <c r="T123" s="21">
        <f t="shared" si="74"/>
        <v>1.6999999999999999E-3</v>
      </c>
      <c r="AA123" s="14">
        <f t="shared" si="56"/>
        <v>-4196.5075973236098</v>
      </c>
      <c r="AH123" s="6">
        <f t="shared" si="57"/>
        <v>1</v>
      </c>
      <c r="AI123" s="6">
        <f t="shared" si="58"/>
        <v>4</v>
      </c>
      <c r="AJ123" s="12">
        <f t="shared" si="59"/>
        <v>10</v>
      </c>
      <c r="AK123" s="72">
        <f t="shared" si="49"/>
        <v>28</v>
      </c>
      <c r="AR123">
        <f t="shared" si="75"/>
        <v>25</v>
      </c>
      <c r="AS123">
        <f t="shared" si="76"/>
        <v>75</v>
      </c>
      <c r="AT123" s="183">
        <f t="shared" si="77"/>
        <v>49341</v>
      </c>
      <c r="AU123" s="2">
        <f t="shared" si="78"/>
        <v>3.5587188612099642E-3</v>
      </c>
      <c r="AV123" s="169">
        <f t="shared" si="79"/>
        <v>109</v>
      </c>
      <c r="AW123" s="165">
        <f t="shared" si="80"/>
        <v>2872.865465050771</v>
      </c>
      <c r="AX123" s="170">
        <f t="shared" si="86"/>
        <v>1223.642132272839</v>
      </c>
      <c r="AY123" s="164" t="str">
        <f t="shared" si="89"/>
        <v>🐢</v>
      </c>
      <c r="AZ123" s="171" t="str">
        <f t="shared" si="60"/>
        <v>🛴</v>
      </c>
      <c r="BA123" s="172">
        <f t="shared" si="61"/>
        <v>639.10828568610384</v>
      </c>
      <c r="BB123" s="173">
        <f t="shared" si="62"/>
        <v>0.15229527669477005</v>
      </c>
      <c r="BC123" s="174">
        <f t="shared" si="63"/>
        <v>4196.5075973236098</v>
      </c>
      <c r="BD123" s="175">
        <f t="shared" si="81"/>
        <v>343204.33088298165</v>
      </c>
      <c r="BE123" s="176"/>
      <c r="BF123" s="177" t="str">
        <f t="shared" si="48"/>
        <v/>
      </c>
      <c r="BG123" s="178" t="str">
        <f t="shared" si="82"/>
        <v/>
      </c>
      <c r="BH123" s="179" t="str">
        <f t="shared" si="64"/>
        <v/>
      </c>
      <c r="BI123" s="180">
        <f t="shared" si="83"/>
        <v>281</v>
      </c>
      <c r="BJ123" s="181">
        <f t="shared" si="87"/>
        <v>584.53384658673519</v>
      </c>
      <c r="BK123" s="182">
        <f t="shared" si="84"/>
        <v>1.6999999999999999E-3</v>
      </c>
    </row>
    <row r="124" spans="1:63" x14ac:dyDescent="0.25">
      <c r="A124" s="7">
        <f t="shared" si="65"/>
        <v>25</v>
      </c>
      <c r="B124" s="7">
        <f t="shared" si="66"/>
        <v>75</v>
      </c>
      <c r="C124" s="115">
        <f t="shared" si="67"/>
        <v>49369</v>
      </c>
      <c r="D124" s="2">
        <f t="shared" si="50"/>
        <v>3.5714285714285718E-3</v>
      </c>
      <c r="E124" s="169">
        <f t="shared" si="68"/>
        <v>110</v>
      </c>
      <c r="F124" s="165">
        <f t="shared" si="69"/>
        <v>2867.5256158251623</v>
      </c>
      <c r="G124" s="170">
        <f t="shared" si="85"/>
        <v>1225.729753153506</v>
      </c>
      <c r="H124" s="164" t="str">
        <f t="shared" si="88"/>
        <v>🐢</v>
      </c>
      <c r="I124" s="171" t="str">
        <f t="shared" si="51"/>
        <v>🛴</v>
      </c>
      <c r="J124" s="172">
        <f t="shared" si="52"/>
        <v>642.28239065243713</v>
      </c>
      <c r="K124" s="173">
        <f t="shared" si="53"/>
        <v>0.1531703495580034</v>
      </c>
      <c r="L124" s="174">
        <f t="shared" si="54"/>
        <v>4193.2553689786682</v>
      </c>
      <c r="M124" s="175">
        <f t="shared" si="70"/>
        <v>342562.0484923292</v>
      </c>
      <c r="N124" s="20"/>
      <c r="O124" s="37" t="str">
        <f t="shared" si="90"/>
        <v/>
      </c>
      <c r="P124" s="62" t="str">
        <f t="shared" si="71"/>
        <v/>
      </c>
      <c r="Q124" s="16" t="str">
        <f t="shared" si="55"/>
        <v/>
      </c>
      <c r="R124" s="60">
        <f t="shared" si="72"/>
        <v>280</v>
      </c>
      <c r="S124" s="98">
        <f t="shared" si="73"/>
        <v>583.44736250106882</v>
      </c>
      <c r="T124" s="21">
        <f t="shared" si="74"/>
        <v>1.6999999999999999E-3</v>
      </c>
      <c r="AA124" s="14">
        <f t="shared" si="56"/>
        <v>-4193.2553689786682</v>
      </c>
      <c r="AH124" s="6">
        <f t="shared" si="57"/>
        <v>1</v>
      </c>
      <c r="AI124" s="6">
        <f t="shared" si="58"/>
        <v>4</v>
      </c>
      <c r="AJ124" s="12">
        <f t="shared" si="59"/>
        <v>10</v>
      </c>
      <c r="AK124" s="72">
        <f t="shared" si="49"/>
        <v>31</v>
      </c>
      <c r="AR124">
        <f t="shared" si="75"/>
        <v>25</v>
      </c>
      <c r="AS124">
        <f t="shared" si="76"/>
        <v>75</v>
      </c>
      <c r="AT124" s="183">
        <f t="shared" si="77"/>
        <v>49369</v>
      </c>
      <c r="AU124" s="2">
        <f t="shared" si="78"/>
        <v>3.5714285714285718E-3</v>
      </c>
      <c r="AV124" s="169">
        <f t="shared" si="79"/>
        <v>110</v>
      </c>
      <c r="AW124" s="165">
        <f t="shared" si="80"/>
        <v>2867.5256158251623</v>
      </c>
      <c r="AX124" s="170">
        <f t="shared" si="86"/>
        <v>1225.729753153506</v>
      </c>
      <c r="AY124" s="164" t="str">
        <f t="shared" si="89"/>
        <v>🐢</v>
      </c>
      <c r="AZ124" s="171" t="str">
        <f t="shared" si="60"/>
        <v>🛴</v>
      </c>
      <c r="BA124" s="172">
        <f t="shared" si="61"/>
        <v>642.28239065243713</v>
      </c>
      <c r="BB124" s="173">
        <f t="shared" si="62"/>
        <v>0.1531703495580034</v>
      </c>
      <c r="BC124" s="174">
        <f t="shared" si="63"/>
        <v>4193.2553689786682</v>
      </c>
      <c r="BD124" s="175">
        <f t="shared" si="81"/>
        <v>342562.0484923292</v>
      </c>
      <c r="BE124" s="176"/>
      <c r="BF124" s="177" t="str">
        <f t="shared" si="48"/>
        <v/>
      </c>
      <c r="BG124" s="178" t="str">
        <f t="shared" si="82"/>
        <v/>
      </c>
      <c r="BH124" s="179" t="str">
        <f t="shared" si="64"/>
        <v/>
      </c>
      <c r="BI124" s="180">
        <f t="shared" si="83"/>
        <v>280</v>
      </c>
      <c r="BJ124" s="181">
        <f t="shared" si="87"/>
        <v>583.44736250106882</v>
      </c>
      <c r="BK124" s="182">
        <f t="shared" si="84"/>
        <v>1.6999999999999999E-3</v>
      </c>
    </row>
    <row r="125" spans="1:63" x14ac:dyDescent="0.25">
      <c r="A125" s="7">
        <f t="shared" si="65"/>
        <v>25</v>
      </c>
      <c r="B125" s="7">
        <f t="shared" si="66"/>
        <v>75</v>
      </c>
      <c r="C125" s="115">
        <f t="shared" si="67"/>
        <v>49400</v>
      </c>
      <c r="D125" s="2">
        <f t="shared" si="50"/>
        <v>3.5842293906810031E-3</v>
      </c>
      <c r="E125" s="169">
        <f t="shared" si="68"/>
        <v>111</v>
      </c>
      <c r="F125" s="165">
        <f t="shared" si="69"/>
        <v>2862.1592464584037</v>
      </c>
      <c r="G125" s="170">
        <f t="shared" si="85"/>
        <v>1227.8209623380974</v>
      </c>
      <c r="H125" s="164" t="str">
        <f t="shared" si="88"/>
        <v>🐢</v>
      </c>
      <c r="I125" s="171" t="str">
        <f t="shared" si="51"/>
        <v>🛴</v>
      </c>
      <c r="J125" s="172">
        <f t="shared" si="52"/>
        <v>645.46547990113777</v>
      </c>
      <c r="K125" s="173">
        <f t="shared" si="53"/>
        <v>0.15404976819366326</v>
      </c>
      <c r="L125" s="174">
        <f t="shared" si="54"/>
        <v>4189.9802087965008</v>
      </c>
      <c r="M125" s="175">
        <f t="shared" si="70"/>
        <v>341916.58301242802</v>
      </c>
      <c r="N125" s="20"/>
      <c r="O125" s="37" t="str">
        <f t="shared" si="90"/>
        <v/>
      </c>
      <c r="P125" s="62" t="str">
        <f t="shared" si="71"/>
        <v/>
      </c>
      <c r="Q125" s="16" t="str">
        <f t="shared" si="55"/>
        <v/>
      </c>
      <c r="R125" s="60">
        <f t="shared" si="72"/>
        <v>279</v>
      </c>
      <c r="S125" s="98">
        <f t="shared" si="73"/>
        <v>582.35548243695962</v>
      </c>
      <c r="T125" s="21">
        <f t="shared" si="74"/>
        <v>1.6999999999999999E-3</v>
      </c>
      <c r="AA125" s="14">
        <f t="shared" si="56"/>
        <v>-4189.9802087965008</v>
      </c>
      <c r="AH125" s="6">
        <f t="shared" si="57"/>
        <v>1</v>
      </c>
      <c r="AI125" s="6">
        <f t="shared" si="58"/>
        <v>4</v>
      </c>
      <c r="AJ125" s="12">
        <f t="shared" si="59"/>
        <v>10</v>
      </c>
      <c r="AK125" s="72">
        <f t="shared" si="49"/>
        <v>30</v>
      </c>
      <c r="AR125">
        <f t="shared" si="75"/>
        <v>25</v>
      </c>
      <c r="AS125">
        <f t="shared" si="76"/>
        <v>75</v>
      </c>
      <c r="AT125" s="183">
        <f t="shared" si="77"/>
        <v>49400</v>
      </c>
      <c r="AU125" s="2">
        <f t="shared" si="78"/>
        <v>3.5842293906810031E-3</v>
      </c>
      <c r="AV125" s="169">
        <f t="shared" si="79"/>
        <v>111</v>
      </c>
      <c r="AW125" s="165">
        <f t="shared" si="80"/>
        <v>2862.1592464584037</v>
      </c>
      <c r="AX125" s="170">
        <f t="shared" si="86"/>
        <v>1227.8209623380974</v>
      </c>
      <c r="AY125" s="164" t="str">
        <f t="shared" si="89"/>
        <v>🐢</v>
      </c>
      <c r="AZ125" s="171" t="str">
        <f t="shared" si="60"/>
        <v>🛴</v>
      </c>
      <c r="BA125" s="172">
        <f t="shared" si="61"/>
        <v>645.46547990113777</v>
      </c>
      <c r="BB125" s="173">
        <f t="shared" si="62"/>
        <v>0.15404976819366326</v>
      </c>
      <c r="BC125" s="174">
        <f t="shared" si="63"/>
        <v>4189.9802087965008</v>
      </c>
      <c r="BD125" s="175">
        <f t="shared" si="81"/>
        <v>341916.58301242802</v>
      </c>
      <c r="BE125" s="176"/>
      <c r="BF125" s="177" t="str">
        <f t="shared" si="48"/>
        <v/>
      </c>
      <c r="BG125" s="178" t="str">
        <f t="shared" si="82"/>
        <v/>
      </c>
      <c r="BH125" s="179" t="str">
        <f t="shared" si="64"/>
        <v/>
      </c>
      <c r="BI125" s="180">
        <f t="shared" si="83"/>
        <v>279</v>
      </c>
      <c r="BJ125" s="181">
        <f t="shared" si="87"/>
        <v>582.35548243695962</v>
      </c>
      <c r="BK125" s="182">
        <f t="shared" si="84"/>
        <v>1.6999999999999999E-3</v>
      </c>
    </row>
    <row r="126" spans="1:63" x14ac:dyDescent="0.25">
      <c r="A126" s="7">
        <f t="shared" si="65"/>
        <v>25</v>
      </c>
      <c r="B126" s="7">
        <f t="shared" si="66"/>
        <v>75</v>
      </c>
      <c r="C126" s="115">
        <f t="shared" si="67"/>
        <v>49430</v>
      </c>
      <c r="D126" s="2">
        <f t="shared" si="50"/>
        <v>3.5971223021582736E-3</v>
      </c>
      <c r="E126" s="169">
        <f t="shared" si="68"/>
        <v>112</v>
      </c>
      <c r="F126" s="165">
        <f t="shared" si="69"/>
        <v>2856.7662818854169</v>
      </c>
      <c r="G126" s="170">
        <f t="shared" si="85"/>
        <v>1229.9157662317555</v>
      </c>
      <c r="H126" s="164" t="str">
        <f t="shared" si="88"/>
        <v>🐢</v>
      </c>
      <c r="I126" s="171" t="str">
        <f t="shared" si="51"/>
        <v>🛴</v>
      </c>
      <c r="J126" s="172">
        <f t="shared" si="52"/>
        <v>648.65757511062782</v>
      </c>
      <c r="K126" s="173">
        <f t="shared" si="53"/>
        <v>0.15493356496998403</v>
      </c>
      <c r="L126" s="174">
        <f t="shared" si="54"/>
        <v>4186.6820481171726</v>
      </c>
      <c r="M126" s="175">
        <f t="shared" si="70"/>
        <v>341267.92543731735</v>
      </c>
      <c r="N126" s="20"/>
      <c r="O126" s="37" t="str">
        <f t="shared" si="90"/>
        <v/>
      </c>
      <c r="P126" s="62" t="str">
        <f t="shared" si="71"/>
        <v/>
      </c>
      <c r="Q126" s="16" t="str">
        <f t="shared" si="55"/>
        <v/>
      </c>
      <c r="R126" s="60">
        <f t="shared" si="72"/>
        <v>278</v>
      </c>
      <c r="S126" s="98">
        <f t="shared" si="73"/>
        <v>581.25819112112765</v>
      </c>
      <c r="T126" s="21">
        <f t="shared" si="74"/>
        <v>1.6999999999999999E-3</v>
      </c>
      <c r="AA126" s="14">
        <f t="shared" si="56"/>
        <v>-4186.6820481171726</v>
      </c>
      <c r="AH126" s="6">
        <f t="shared" si="57"/>
        <v>1</v>
      </c>
      <c r="AI126" s="6">
        <f t="shared" si="58"/>
        <v>4</v>
      </c>
      <c r="AJ126" s="12">
        <f t="shared" si="59"/>
        <v>10</v>
      </c>
      <c r="AK126" s="72">
        <f t="shared" si="49"/>
        <v>31</v>
      </c>
      <c r="AR126">
        <f t="shared" si="75"/>
        <v>25</v>
      </c>
      <c r="AS126">
        <f t="shared" si="76"/>
        <v>75</v>
      </c>
      <c r="AT126" s="183">
        <f t="shared" si="77"/>
        <v>49430</v>
      </c>
      <c r="AU126" s="2">
        <f t="shared" si="78"/>
        <v>3.5971223021582736E-3</v>
      </c>
      <c r="AV126" s="169">
        <f t="shared" si="79"/>
        <v>112</v>
      </c>
      <c r="AW126" s="165">
        <f t="shared" si="80"/>
        <v>2856.7662818854169</v>
      </c>
      <c r="AX126" s="170">
        <f t="shared" si="86"/>
        <v>1229.9157662317555</v>
      </c>
      <c r="AY126" s="164" t="str">
        <f t="shared" si="89"/>
        <v>🐢</v>
      </c>
      <c r="AZ126" s="171" t="str">
        <f t="shared" si="60"/>
        <v>🛴</v>
      </c>
      <c r="BA126" s="172">
        <f t="shared" si="61"/>
        <v>648.65757511062782</v>
      </c>
      <c r="BB126" s="173">
        <f t="shared" si="62"/>
        <v>0.15493356496998403</v>
      </c>
      <c r="BC126" s="174">
        <f t="shared" si="63"/>
        <v>4186.6820481171726</v>
      </c>
      <c r="BD126" s="175">
        <f t="shared" si="81"/>
        <v>341267.92543731735</v>
      </c>
      <c r="BE126" s="176"/>
      <c r="BF126" s="177" t="str">
        <f t="shared" si="48"/>
        <v/>
      </c>
      <c r="BG126" s="178" t="str">
        <f t="shared" si="82"/>
        <v/>
      </c>
      <c r="BH126" s="179" t="str">
        <f t="shared" si="64"/>
        <v/>
      </c>
      <c r="BI126" s="180">
        <f t="shared" si="83"/>
        <v>278</v>
      </c>
      <c r="BJ126" s="181">
        <f t="shared" si="87"/>
        <v>581.25819112112765</v>
      </c>
      <c r="BK126" s="182">
        <f t="shared" si="84"/>
        <v>1.6999999999999999E-3</v>
      </c>
    </row>
    <row r="127" spans="1:63" x14ac:dyDescent="0.25">
      <c r="A127" s="7">
        <f t="shared" si="65"/>
        <v>25</v>
      </c>
      <c r="B127" s="7">
        <f t="shared" si="66"/>
        <v>75</v>
      </c>
      <c r="C127" s="115">
        <f t="shared" si="67"/>
        <v>49461</v>
      </c>
      <c r="D127" s="2">
        <f t="shared" si="50"/>
        <v>3.6101083032490972E-3</v>
      </c>
      <c r="E127" s="169">
        <f t="shared" si="68"/>
        <v>113</v>
      </c>
      <c r="F127" s="165">
        <f t="shared" si="69"/>
        <v>2851.3466468599981</v>
      </c>
      <c r="G127" s="170">
        <f t="shared" si="85"/>
        <v>1232.0141712538532</v>
      </c>
      <c r="H127" s="164" t="str">
        <f t="shared" si="88"/>
        <v>🐢</v>
      </c>
      <c r="I127" s="171" t="str">
        <f t="shared" si="51"/>
        <v>🛴</v>
      </c>
      <c r="J127" s="172">
        <f t="shared" si="52"/>
        <v>651.85869801041372</v>
      </c>
      <c r="K127" s="173">
        <f t="shared" si="53"/>
        <v>0.15582177257765606</v>
      </c>
      <c r="L127" s="174">
        <f t="shared" si="54"/>
        <v>4183.3608181138516</v>
      </c>
      <c r="M127" s="175">
        <f t="shared" si="70"/>
        <v>340616.06673930696</v>
      </c>
      <c r="N127" s="20"/>
      <c r="O127" s="37" t="str">
        <f t="shared" si="90"/>
        <v/>
      </c>
      <c r="P127" s="62" t="str">
        <f t="shared" si="71"/>
        <v/>
      </c>
      <c r="Q127" s="16" t="str">
        <f t="shared" si="55"/>
        <v/>
      </c>
      <c r="R127" s="60">
        <f t="shared" si="72"/>
        <v>277</v>
      </c>
      <c r="S127" s="98">
        <f t="shared" si="73"/>
        <v>580.15547324343947</v>
      </c>
      <c r="T127" s="21">
        <f t="shared" si="74"/>
        <v>1.6999999999999999E-3</v>
      </c>
      <c r="AA127" s="14">
        <f t="shared" si="56"/>
        <v>-4183.3608181138516</v>
      </c>
      <c r="AH127" s="6">
        <f t="shared" si="57"/>
        <v>1</v>
      </c>
      <c r="AI127" s="6">
        <f t="shared" si="58"/>
        <v>4</v>
      </c>
      <c r="AJ127" s="12">
        <f t="shared" si="59"/>
        <v>10</v>
      </c>
      <c r="AK127" s="72">
        <f t="shared" si="49"/>
        <v>30</v>
      </c>
      <c r="AR127">
        <f t="shared" si="75"/>
        <v>25</v>
      </c>
      <c r="AS127">
        <f t="shared" si="76"/>
        <v>75</v>
      </c>
      <c r="AT127" s="183">
        <f t="shared" si="77"/>
        <v>49461</v>
      </c>
      <c r="AU127" s="2">
        <f t="shared" si="78"/>
        <v>3.6101083032490972E-3</v>
      </c>
      <c r="AV127" s="169">
        <f t="shared" si="79"/>
        <v>113</v>
      </c>
      <c r="AW127" s="165">
        <f t="shared" si="80"/>
        <v>2851.3466468599981</v>
      </c>
      <c r="AX127" s="170">
        <f t="shared" si="86"/>
        <v>1232.0141712538532</v>
      </c>
      <c r="AY127" s="164" t="str">
        <f t="shared" si="89"/>
        <v>🐢</v>
      </c>
      <c r="AZ127" s="171" t="str">
        <f t="shared" si="60"/>
        <v>🛴</v>
      </c>
      <c r="BA127" s="172">
        <f t="shared" si="61"/>
        <v>651.85869801041372</v>
      </c>
      <c r="BB127" s="173">
        <f t="shared" si="62"/>
        <v>0.15582177257765606</v>
      </c>
      <c r="BC127" s="174">
        <f t="shared" si="63"/>
        <v>4183.3608181138516</v>
      </c>
      <c r="BD127" s="175">
        <f t="shared" si="81"/>
        <v>340616.06673930696</v>
      </c>
      <c r="BE127" s="176"/>
      <c r="BF127" s="177" t="str">
        <f t="shared" si="48"/>
        <v/>
      </c>
      <c r="BG127" s="178" t="str">
        <f t="shared" si="82"/>
        <v/>
      </c>
      <c r="BH127" s="179" t="str">
        <f t="shared" si="64"/>
        <v/>
      </c>
      <c r="BI127" s="180">
        <f t="shared" si="83"/>
        <v>277</v>
      </c>
      <c r="BJ127" s="181">
        <f t="shared" si="87"/>
        <v>580.15547324343947</v>
      </c>
      <c r="BK127" s="182">
        <f t="shared" si="84"/>
        <v>1.6999999999999999E-3</v>
      </c>
    </row>
    <row r="128" spans="1:63" x14ac:dyDescent="0.25">
      <c r="A128" s="7">
        <f t="shared" si="65"/>
        <v>25</v>
      </c>
      <c r="B128" s="7">
        <f t="shared" si="66"/>
        <v>75</v>
      </c>
      <c r="C128" s="115">
        <f t="shared" si="67"/>
        <v>49491</v>
      </c>
      <c r="D128" s="2">
        <f t="shared" si="50"/>
        <v>3.6231884057971015E-3</v>
      </c>
      <c r="E128" s="169">
        <f t="shared" si="68"/>
        <v>114</v>
      </c>
      <c r="F128" s="165">
        <f t="shared" si="69"/>
        <v>2845.9002659543894</v>
      </c>
      <c r="G128" s="170">
        <f t="shared" si="85"/>
        <v>1234.1161838380688</v>
      </c>
      <c r="H128" s="164" t="str">
        <f t="shared" si="88"/>
        <v>🐢</v>
      </c>
      <c r="I128" s="171" t="str">
        <f t="shared" si="51"/>
        <v>🛴</v>
      </c>
      <c r="J128" s="172">
        <f t="shared" si="52"/>
        <v>655.06887038124694</v>
      </c>
      <c r="K128" s="173">
        <f t="shared" si="53"/>
        <v>0.15671442403385083</v>
      </c>
      <c r="L128" s="174">
        <f t="shared" si="54"/>
        <v>4180.0164497924579</v>
      </c>
      <c r="M128" s="175">
        <f t="shared" si="70"/>
        <v>339960.99786892574</v>
      </c>
      <c r="N128" s="20"/>
      <c r="O128" s="37" t="str">
        <f t="shared" si="90"/>
        <v/>
      </c>
      <c r="P128" s="62" t="str">
        <f t="shared" si="71"/>
        <v/>
      </c>
      <c r="Q128" s="16" t="str">
        <f t="shared" si="55"/>
        <v/>
      </c>
      <c r="R128" s="60">
        <f t="shared" si="72"/>
        <v>276</v>
      </c>
      <c r="S128" s="98">
        <f t="shared" si="73"/>
        <v>579.04731345682183</v>
      </c>
      <c r="T128" s="21">
        <f t="shared" si="74"/>
        <v>1.6999999999999999E-3</v>
      </c>
      <c r="AA128" s="14">
        <f t="shared" si="56"/>
        <v>-4180.0164497924579</v>
      </c>
      <c r="AH128" s="6">
        <f t="shared" si="57"/>
        <v>1</v>
      </c>
      <c r="AI128" s="6">
        <f t="shared" si="58"/>
        <v>4</v>
      </c>
      <c r="AJ128" s="12">
        <f t="shared" si="59"/>
        <v>10</v>
      </c>
      <c r="AK128" s="72">
        <f t="shared" si="49"/>
        <v>31</v>
      </c>
      <c r="AR128">
        <f t="shared" si="75"/>
        <v>25</v>
      </c>
      <c r="AS128">
        <f t="shared" si="76"/>
        <v>75</v>
      </c>
      <c r="AT128" s="183">
        <f t="shared" si="77"/>
        <v>49491</v>
      </c>
      <c r="AU128" s="2">
        <f t="shared" si="78"/>
        <v>3.6231884057971015E-3</v>
      </c>
      <c r="AV128" s="169">
        <f t="shared" si="79"/>
        <v>114</v>
      </c>
      <c r="AW128" s="165">
        <f t="shared" si="80"/>
        <v>2845.9002659543894</v>
      </c>
      <c r="AX128" s="170">
        <f t="shared" si="86"/>
        <v>1234.1161838380688</v>
      </c>
      <c r="AY128" s="164" t="str">
        <f t="shared" si="89"/>
        <v>🐢</v>
      </c>
      <c r="AZ128" s="171" t="str">
        <f t="shared" si="60"/>
        <v>🛴</v>
      </c>
      <c r="BA128" s="172">
        <f t="shared" si="61"/>
        <v>655.06887038124694</v>
      </c>
      <c r="BB128" s="173">
        <f t="shared" si="62"/>
        <v>0.15671442403385083</v>
      </c>
      <c r="BC128" s="174">
        <f t="shared" si="63"/>
        <v>4180.0164497924579</v>
      </c>
      <c r="BD128" s="175">
        <f t="shared" si="81"/>
        <v>339960.99786892574</v>
      </c>
      <c r="BE128" s="176"/>
      <c r="BF128" s="177" t="str">
        <f t="shared" si="48"/>
        <v/>
      </c>
      <c r="BG128" s="178" t="str">
        <f t="shared" si="82"/>
        <v/>
      </c>
      <c r="BH128" s="179" t="str">
        <f t="shared" si="64"/>
        <v/>
      </c>
      <c r="BI128" s="180">
        <f t="shared" si="83"/>
        <v>276</v>
      </c>
      <c r="BJ128" s="181">
        <f t="shared" si="87"/>
        <v>579.04731345682183</v>
      </c>
      <c r="BK128" s="182">
        <f t="shared" si="84"/>
        <v>1.6999999999999999E-3</v>
      </c>
    </row>
    <row r="129" spans="1:63" x14ac:dyDescent="0.25">
      <c r="A129" s="7">
        <f t="shared" si="65"/>
        <v>25</v>
      </c>
      <c r="B129" s="7">
        <f t="shared" si="66"/>
        <v>75</v>
      </c>
      <c r="C129" s="115">
        <f t="shared" si="67"/>
        <v>49522</v>
      </c>
      <c r="D129" s="2">
        <f t="shared" si="50"/>
        <v>3.6363636363636364E-3</v>
      </c>
      <c r="E129" s="169">
        <f t="shared" si="68"/>
        <v>115</v>
      </c>
      <c r="F129" s="165">
        <f t="shared" si="69"/>
        <v>2840.4270635588514</v>
      </c>
      <c r="G129" s="170">
        <f t="shared" si="85"/>
        <v>1236.2218104324572</v>
      </c>
      <c r="H129" s="164" t="str">
        <f t="shared" si="88"/>
        <v>🐢</v>
      </c>
      <c r="I129" s="171" t="str">
        <f t="shared" si="51"/>
        <v>🛴</v>
      </c>
      <c r="J129" s="172">
        <f t="shared" si="52"/>
        <v>658.28811405528347</v>
      </c>
      <c r="K129" s="173">
        <f t="shared" si="53"/>
        <v>0.15761155268630642</v>
      </c>
      <c r="L129" s="174">
        <f t="shared" si="54"/>
        <v>4176.6488739913084</v>
      </c>
      <c r="M129" s="175">
        <f t="shared" si="70"/>
        <v>339302.70975487045</v>
      </c>
      <c r="N129" s="20"/>
      <c r="O129" s="37"/>
      <c r="P129" s="62" t="str">
        <f t="shared" si="71"/>
        <v/>
      </c>
      <c r="Q129" s="16" t="str">
        <f t="shared" si="55"/>
        <v/>
      </c>
      <c r="R129" s="60">
        <f t="shared" si="72"/>
        <v>275</v>
      </c>
      <c r="S129" s="98">
        <f t="shared" si="73"/>
        <v>577.93369637717376</v>
      </c>
      <c r="T129" s="21">
        <f t="shared" si="74"/>
        <v>1.6999999999999999E-3</v>
      </c>
      <c r="AA129" s="14">
        <f t="shared" si="56"/>
        <v>-4176.6488739913084</v>
      </c>
      <c r="AH129" s="6">
        <f t="shared" si="57"/>
        <v>1</v>
      </c>
      <c r="AI129" s="6">
        <f t="shared" si="58"/>
        <v>4</v>
      </c>
      <c r="AJ129" s="12">
        <f t="shared" si="59"/>
        <v>10</v>
      </c>
      <c r="AK129" s="72">
        <f t="shared" si="49"/>
        <v>31</v>
      </c>
      <c r="AR129">
        <f t="shared" si="75"/>
        <v>25</v>
      </c>
      <c r="AS129">
        <f t="shared" si="76"/>
        <v>75</v>
      </c>
      <c r="AT129" s="183">
        <f t="shared" si="77"/>
        <v>49522</v>
      </c>
      <c r="AU129" s="2">
        <f t="shared" si="78"/>
        <v>3.6363636363636364E-3</v>
      </c>
      <c r="AV129" s="169">
        <f t="shared" si="79"/>
        <v>115</v>
      </c>
      <c r="AW129" s="165">
        <f t="shared" si="80"/>
        <v>2840.4270635588514</v>
      </c>
      <c r="AX129" s="170">
        <f t="shared" si="86"/>
        <v>1236.2218104324572</v>
      </c>
      <c r="AY129" s="164" t="str">
        <f t="shared" si="89"/>
        <v>🐢</v>
      </c>
      <c r="AZ129" s="171" t="str">
        <f t="shared" si="60"/>
        <v>🛴</v>
      </c>
      <c r="BA129" s="172">
        <f t="shared" si="61"/>
        <v>658.28811405528347</v>
      </c>
      <c r="BB129" s="173">
        <f t="shared" si="62"/>
        <v>0.15761155268630642</v>
      </c>
      <c r="BC129" s="174">
        <f t="shared" si="63"/>
        <v>4176.6488739913084</v>
      </c>
      <c r="BD129" s="175">
        <f t="shared" si="81"/>
        <v>339302.70975487045</v>
      </c>
      <c r="BE129" s="176"/>
      <c r="BF129" s="177"/>
      <c r="BG129" s="178" t="str">
        <f t="shared" si="82"/>
        <v/>
      </c>
      <c r="BH129" s="179" t="str">
        <f t="shared" si="64"/>
        <v/>
      </c>
      <c r="BI129" s="180">
        <f t="shared" si="83"/>
        <v>275</v>
      </c>
      <c r="BJ129" s="181">
        <f t="shared" si="87"/>
        <v>577.93369637717376</v>
      </c>
      <c r="BK129" s="182">
        <f t="shared" si="84"/>
        <v>1.6999999999999999E-3</v>
      </c>
    </row>
    <row r="130" spans="1:63" x14ac:dyDescent="0.25">
      <c r="A130" s="7">
        <f t="shared" si="65"/>
        <v>25</v>
      </c>
      <c r="B130" s="7">
        <f t="shared" si="66"/>
        <v>75</v>
      </c>
      <c r="C130" s="115">
        <f t="shared" si="67"/>
        <v>49553</v>
      </c>
      <c r="D130" s="2">
        <f t="shared" si="50"/>
        <v>3.6496350364963502E-3</v>
      </c>
      <c r="E130" s="169">
        <f t="shared" si="68"/>
        <v>116</v>
      </c>
      <c r="F130" s="165">
        <f t="shared" si="69"/>
        <v>2834.926963881233</v>
      </c>
      <c r="G130" s="170">
        <f t="shared" si="85"/>
        <v>1238.3310574995271</v>
      </c>
      <c r="H130" s="164" t="str">
        <f t="shared" si="88"/>
        <v>🐢</v>
      </c>
      <c r="I130" s="171" t="str">
        <f t="shared" si="51"/>
        <v>🛴</v>
      </c>
      <c r="J130" s="172">
        <f t="shared" si="52"/>
        <v>661.51645091624732</v>
      </c>
      <c r="K130" s="173">
        <f t="shared" si="53"/>
        <v>0.1585131922174749</v>
      </c>
      <c r="L130" s="174">
        <f t="shared" si="54"/>
        <v>4173.2580213807596</v>
      </c>
      <c r="M130" s="175">
        <f t="shared" si="70"/>
        <v>338641.19330395421</v>
      </c>
      <c r="N130" s="20"/>
      <c r="O130" s="37" t="str">
        <f t="shared" ref="O130:O137" si="91">IF(AND(N130&lt;&gt;"",N130&lt;R130),"V","")</f>
        <v/>
      </c>
      <c r="P130" s="62" t="str">
        <f t="shared" si="71"/>
        <v/>
      </c>
      <c r="Q130" s="16" t="str">
        <f t="shared" si="55"/>
        <v/>
      </c>
      <c r="R130" s="60">
        <f t="shared" si="72"/>
        <v>274</v>
      </c>
      <c r="S130" s="98">
        <f t="shared" si="73"/>
        <v>576.81460658327978</v>
      </c>
      <c r="T130" s="21">
        <f t="shared" si="74"/>
        <v>1.6999999999999999E-3</v>
      </c>
      <c r="AA130" s="14">
        <f t="shared" si="56"/>
        <v>-4173.2580213807596</v>
      </c>
      <c r="AH130" s="6">
        <f t="shared" si="57"/>
        <v>1</v>
      </c>
      <c r="AI130" s="6">
        <f t="shared" si="58"/>
        <v>4</v>
      </c>
      <c r="AJ130" s="12">
        <f t="shared" si="59"/>
        <v>10</v>
      </c>
      <c r="AK130" s="72">
        <f t="shared" si="49"/>
        <v>30</v>
      </c>
      <c r="AR130">
        <f t="shared" si="75"/>
        <v>25</v>
      </c>
      <c r="AS130">
        <f t="shared" si="76"/>
        <v>75</v>
      </c>
      <c r="AT130" s="183">
        <f t="shared" si="77"/>
        <v>49553</v>
      </c>
      <c r="AU130" s="2">
        <f t="shared" si="78"/>
        <v>3.6496350364963502E-3</v>
      </c>
      <c r="AV130" s="169">
        <f t="shared" si="79"/>
        <v>116</v>
      </c>
      <c r="AW130" s="165">
        <f t="shared" si="80"/>
        <v>2834.926963881233</v>
      </c>
      <c r="AX130" s="170">
        <f t="shared" si="86"/>
        <v>1238.3310574995271</v>
      </c>
      <c r="AY130" s="164" t="str">
        <f t="shared" si="89"/>
        <v>🐢</v>
      </c>
      <c r="AZ130" s="171" t="str">
        <f t="shared" si="60"/>
        <v>🛴</v>
      </c>
      <c r="BA130" s="172">
        <f t="shared" si="61"/>
        <v>661.51645091624732</v>
      </c>
      <c r="BB130" s="173">
        <f t="shared" si="62"/>
        <v>0.1585131922174749</v>
      </c>
      <c r="BC130" s="174">
        <f t="shared" si="63"/>
        <v>4173.2580213807596</v>
      </c>
      <c r="BD130" s="175">
        <f t="shared" si="81"/>
        <v>338641.19330395421</v>
      </c>
      <c r="BE130" s="176"/>
      <c r="BF130" s="177" t="str">
        <f t="shared" ref="BF130:BF137" si="92">IF(AND(BE130&lt;&gt;"",BE130&lt;BI130),"V","")</f>
        <v/>
      </c>
      <c r="BG130" s="178" t="str">
        <f t="shared" si="82"/>
        <v/>
      </c>
      <c r="BH130" s="179" t="str">
        <f t="shared" si="64"/>
        <v/>
      </c>
      <c r="BI130" s="180">
        <f t="shared" si="83"/>
        <v>274</v>
      </c>
      <c r="BJ130" s="181">
        <f t="shared" si="87"/>
        <v>576.81460658327978</v>
      </c>
      <c r="BK130" s="182">
        <f t="shared" si="84"/>
        <v>1.6999999999999999E-3</v>
      </c>
    </row>
    <row r="131" spans="1:63" x14ac:dyDescent="0.25">
      <c r="A131" s="7">
        <f t="shared" si="65"/>
        <v>25</v>
      </c>
      <c r="B131" s="7">
        <f t="shared" si="66"/>
        <v>75</v>
      </c>
      <c r="C131" s="115">
        <f t="shared" si="67"/>
        <v>49583</v>
      </c>
      <c r="D131" s="2">
        <f t="shared" si="50"/>
        <v>3.663003663003663E-3</v>
      </c>
      <c r="E131" s="169">
        <f t="shared" si="68"/>
        <v>117</v>
      </c>
      <c r="F131" s="165">
        <f t="shared" si="69"/>
        <v>2829.3998909465417</v>
      </c>
      <c r="G131" s="170">
        <f t="shared" si="85"/>
        <v>1240.4439315163158</v>
      </c>
      <c r="H131" s="164" t="str">
        <f t="shared" si="88"/>
        <v>🐢</v>
      </c>
      <c r="I131" s="171" t="str">
        <f t="shared" si="51"/>
        <v>🛴</v>
      </c>
      <c r="J131" s="172">
        <f t="shared" si="52"/>
        <v>664.75390289959375</v>
      </c>
      <c r="K131" s="173">
        <f t="shared" si="53"/>
        <v>0.15941937664873179</v>
      </c>
      <c r="L131" s="174">
        <f t="shared" si="54"/>
        <v>4169.8438224628571</v>
      </c>
      <c r="M131" s="175">
        <f t="shared" si="70"/>
        <v>337976.43940105464</v>
      </c>
      <c r="N131" s="20"/>
      <c r="O131" s="37" t="str">
        <f t="shared" si="91"/>
        <v/>
      </c>
      <c r="P131" s="62" t="str">
        <f t="shared" si="71"/>
        <v/>
      </c>
      <c r="Q131" s="16" t="str">
        <f t="shared" si="55"/>
        <v/>
      </c>
      <c r="R131" s="60">
        <f t="shared" si="72"/>
        <v>273</v>
      </c>
      <c r="S131" s="98">
        <f t="shared" si="73"/>
        <v>575.69002861672209</v>
      </c>
      <c r="T131" s="21">
        <f t="shared" si="74"/>
        <v>1.6999999999999999E-3</v>
      </c>
      <c r="AA131" s="14">
        <f t="shared" si="56"/>
        <v>-4169.8438224628571</v>
      </c>
      <c r="AH131" s="6">
        <f t="shared" si="57"/>
        <v>1</v>
      </c>
      <c r="AI131" s="6">
        <f t="shared" si="58"/>
        <v>4</v>
      </c>
      <c r="AJ131" s="12">
        <f t="shared" si="59"/>
        <v>10</v>
      </c>
      <c r="AK131" s="72">
        <f t="shared" si="49"/>
        <v>31</v>
      </c>
      <c r="AR131">
        <f t="shared" si="75"/>
        <v>25</v>
      </c>
      <c r="AS131">
        <f t="shared" si="76"/>
        <v>75</v>
      </c>
      <c r="AT131" s="183">
        <f t="shared" si="77"/>
        <v>49583</v>
      </c>
      <c r="AU131" s="2">
        <f t="shared" si="78"/>
        <v>3.663003663003663E-3</v>
      </c>
      <c r="AV131" s="169">
        <f t="shared" si="79"/>
        <v>117</v>
      </c>
      <c r="AW131" s="165">
        <f t="shared" si="80"/>
        <v>2829.3998909465417</v>
      </c>
      <c r="AX131" s="170">
        <f t="shared" si="86"/>
        <v>1240.4439315163158</v>
      </c>
      <c r="AY131" s="164" t="str">
        <f t="shared" si="89"/>
        <v>🐢</v>
      </c>
      <c r="AZ131" s="171" t="str">
        <f t="shared" si="60"/>
        <v>🛴</v>
      </c>
      <c r="BA131" s="172">
        <f t="shared" si="61"/>
        <v>664.75390289959375</v>
      </c>
      <c r="BB131" s="173">
        <f t="shared" si="62"/>
        <v>0.15941937664873179</v>
      </c>
      <c r="BC131" s="174">
        <f t="shared" si="63"/>
        <v>4169.8438224628571</v>
      </c>
      <c r="BD131" s="175">
        <f t="shared" si="81"/>
        <v>337976.43940105464</v>
      </c>
      <c r="BE131" s="176"/>
      <c r="BF131" s="177" t="str">
        <f t="shared" si="92"/>
        <v/>
      </c>
      <c r="BG131" s="178" t="str">
        <f t="shared" si="82"/>
        <v/>
      </c>
      <c r="BH131" s="179" t="str">
        <f t="shared" si="64"/>
        <v/>
      </c>
      <c r="BI131" s="180">
        <f t="shared" si="83"/>
        <v>273</v>
      </c>
      <c r="BJ131" s="181">
        <f t="shared" si="87"/>
        <v>575.69002861672209</v>
      </c>
      <c r="BK131" s="182">
        <f t="shared" si="84"/>
        <v>1.6999999999999999E-3</v>
      </c>
    </row>
    <row r="132" spans="1:63" x14ac:dyDescent="0.25">
      <c r="A132" s="7">
        <f t="shared" si="65"/>
        <v>25</v>
      </c>
      <c r="B132" s="7">
        <f t="shared" si="66"/>
        <v>75</v>
      </c>
      <c r="C132" s="115">
        <f t="shared" si="67"/>
        <v>49614</v>
      </c>
      <c r="D132" s="2">
        <f t="shared" si="50"/>
        <v>3.6764705882352941E-3</v>
      </c>
      <c r="E132" s="169">
        <f t="shared" si="68"/>
        <v>118</v>
      </c>
      <c r="F132" s="165">
        <f t="shared" si="69"/>
        <v>2823.8457685965118</v>
      </c>
      <c r="G132" s="170">
        <f t="shared" si="85"/>
        <v>1242.5604389744656</v>
      </c>
      <c r="H132" s="164" t="str">
        <f t="shared" si="88"/>
        <v>🐢</v>
      </c>
      <c r="I132" s="171" t="str">
        <f t="shared" si="51"/>
        <v>🛴</v>
      </c>
      <c r="J132" s="172">
        <f t="shared" si="52"/>
        <v>668.00049199267266</v>
      </c>
      <c r="K132" s="173">
        <f t="shared" si="53"/>
        <v>0.16033014034464926</v>
      </c>
      <c r="L132" s="174">
        <f t="shared" si="54"/>
        <v>4166.4062075709771</v>
      </c>
      <c r="M132" s="175">
        <f t="shared" si="70"/>
        <v>337308.43890906195</v>
      </c>
      <c r="N132" s="20"/>
      <c r="O132" s="37" t="str">
        <f t="shared" si="91"/>
        <v/>
      </c>
      <c r="P132" s="62" t="str">
        <f t="shared" si="71"/>
        <v/>
      </c>
      <c r="Q132" s="16" t="str">
        <f t="shared" si="55"/>
        <v/>
      </c>
      <c r="R132" s="60">
        <f t="shared" si="72"/>
        <v>272</v>
      </c>
      <c r="S132" s="98">
        <f t="shared" si="73"/>
        <v>574.5599469817929</v>
      </c>
      <c r="T132" s="21">
        <f t="shared" si="74"/>
        <v>1.6999999999999999E-3</v>
      </c>
      <c r="AA132" s="14">
        <f t="shared" si="56"/>
        <v>-4166.4062075709771</v>
      </c>
      <c r="AH132" s="6">
        <f t="shared" si="57"/>
        <v>1</v>
      </c>
      <c r="AI132" s="6">
        <f t="shared" si="58"/>
        <v>4</v>
      </c>
      <c r="AJ132" s="12">
        <f t="shared" si="59"/>
        <v>10</v>
      </c>
      <c r="AK132" s="72">
        <f t="shared" si="49"/>
        <v>30</v>
      </c>
      <c r="AR132">
        <f t="shared" si="75"/>
        <v>25</v>
      </c>
      <c r="AS132">
        <f t="shared" si="76"/>
        <v>75</v>
      </c>
      <c r="AT132" s="183">
        <f t="shared" si="77"/>
        <v>49614</v>
      </c>
      <c r="AU132" s="2">
        <f t="shared" si="78"/>
        <v>3.6764705882352941E-3</v>
      </c>
      <c r="AV132" s="169">
        <f t="shared" si="79"/>
        <v>118</v>
      </c>
      <c r="AW132" s="165">
        <f t="shared" si="80"/>
        <v>2823.8457685965118</v>
      </c>
      <c r="AX132" s="170">
        <f t="shared" si="86"/>
        <v>1242.5604389744656</v>
      </c>
      <c r="AY132" s="164" t="str">
        <f t="shared" si="89"/>
        <v>🐢</v>
      </c>
      <c r="AZ132" s="171" t="str">
        <f t="shared" si="60"/>
        <v>🛴</v>
      </c>
      <c r="BA132" s="172">
        <f t="shared" si="61"/>
        <v>668.00049199267266</v>
      </c>
      <c r="BB132" s="173">
        <f t="shared" si="62"/>
        <v>0.16033014034464926</v>
      </c>
      <c r="BC132" s="174">
        <f t="shared" si="63"/>
        <v>4166.4062075709771</v>
      </c>
      <c r="BD132" s="175">
        <f t="shared" si="81"/>
        <v>337308.43890906195</v>
      </c>
      <c r="BE132" s="176"/>
      <c r="BF132" s="177" t="str">
        <f t="shared" si="92"/>
        <v/>
      </c>
      <c r="BG132" s="178" t="str">
        <f t="shared" si="82"/>
        <v/>
      </c>
      <c r="BH132" s="179" t="str">
        <f t="shared" si="64"/>
        <v/>
      </c>
      <c r="BI132" s="180">
        <f t="shared" si="83"/>
        <v>272</v>
      </c>
      <c r="BJ132" s="181">
        <f t="shared" si="87"/>
        <v>574.5599469817929</v>
      </c>
      <c r="BK132" s="182">
        <f t="shared" si="84"/>
        <v>1.6999999999999999E-3</v>
      </c>
    </row>
    <row r="133" spans="1:63" x14ac:dyDescent="0.25">
      <c r="A133" s="7">
        <f t="shared" si="65"/>
        <v>25</v>
      </c>
      <c r="B133" s="7">
        <f t="shared" si="66"/>
        <v>75</v>
      </c>
      <c r="C133" s="115">
        <f t="shared" si="67"/>
        <v>49644</v>
      </c>
      <c r="D133" s="2">
        <f t="shared" si="50"/>
        <v>3.6900369003690036E-3</v>
      </c>
      <c r="E133" s="169">
        <f t="shared" si="68"/>
        <v>119</v>
      </c>
      <c r="F133" s="165">
        <f t="shared" si="69"/>
        <v>2818.2645204891678</v>
      </c>
      <c r="G133" s="170">
        <f t="shared" si="85"/>
        <v>1244.6805863803024</v>
      </c>
      <c r="H133" s="164" t="str">
        <f t="shared" si="88"/>
        <v>🐢</v>
      </c>
      <c r="I133" s="171" t="str">
        <f t="shared" si="51"/>
        <v>🛴</v>
      </c>
      <c r="J133" s="172">
        <f t="shared" si="52"/>
        <v>671.25624023489718</v>
      </c>
      <c r="K133" s="173">
        <f t="shared" si="53"/>
        <v>0.16124551801733486</v>
      </c>
      <c r="L133" s="174">
        <f t="shared" si="54"/>
        <v>4162.9451068694707</v>
      </c>
      <c r="M133" s="175">
        <f t="shared" si="70"/>
        <v>336637.18266882707</v>
      </c>
      <c r="N133" s="198"/>
      <c r="O133" s="37" t="str">
        <f t="shared" si="91"/>
        <v/>
      </c>
      <c r="P133" s="62" t="str">
        <f t="shared" si="71"/>
        <v/>
      </c>
      <c r="Q133" s="16" t="str">
        <f t="shared" si="55"/>
        <v/>
      </c>
      <c r="R133" s="60">
        <f t="shared" si="72"/>
        <v>271</v>
      </c>
      <c r="S133" s="98">
        <f t="shared" si="73"/>
        <v>573.42434614540525</v>
      </c>
      <c r="T133" s="21">
        <f t="shared" si="74"/>
        <v>1.6999999999999999E-3</v>
      </c>
      <c r="AA133" s="14">
        <f t="shared" si="56"/>
        <v>-4162.9451068694707</v>
      </c>
      <c r="AH133" s="6">
        <f t="shared" si="57"/>
        <v>1</v>
      </c>
      <c r="AI133" s="6">
        <f t="shared" si="58"/>
        <v>4</v>
      </c>
      <c r="AJ133" s="12">
        <f t="shared" si="59"/>
        <v>10</v>
      </c>
      <c r="AK133" s="72">
        <f t="shared" si="49"/>
        <v>31</v>
      </c>
      <c r="AR133">
        <f t="shared" si="75"/>
        <v>25</v>
      </c>
      <c r="AS133">
        <f t="shared" si="76"/>
        <v>75</v>
      </c>
      <c r="AT133" s="183">
        <f t="shared" si="77"/>
        <v>49644</v>
      </c>
      <c r="AU133" s="2">
        <f t="shared" si="78"/>
        <v>3.6900369003690036E-3</v>
      </c>
      <c r="AV133" s="169">
        <f t="shared" si="79"/>
        <v>119</v>
      </c>
      <c r="AW133" s="165">
        <f t="shared" si="80"/>
        <v>2818.2645204891678</v>
      </c>
      <c r="AX133" s="170">
        <f t="shared" si="86"/>
        <v>1244.6805863803024</v>
      </c>
      <c r="AY133" s="164" t="str">
        <f t="shared" si="89"/>
        <v>🐢</v>
      </c>
      <c r="AZ133" s="171" t="str">
        <f t="shared" si="60"/>
        <v>🛴</v>
      </c>
      <c r="BA133" s="172">
        <f t="shared" si="61"/>
        <v>671.25624023489718</v>
      </c>
      <c r="BB133" s="173">
        <f t="shared" si="62"/>
        <v>0.16124551801733486</v>
      </c>
      <c r="BC133" s="174">
        <f t="shared" si="63"/>
        <v>4162.9451068694707</v>
      </c>
      <c r="BD133" s="175">
        <f t="shared" si="81"/>
        <v>336637.18266882707</v>
      </c>
      <c r="BE133" s="176"/>
      <c r="BF133" s="177" t="str">
        <f t="shared" si="92"/>
        <v/>
      </c>
      <c r="BG133" s="178" t="str">
        <f t="shared" si="82"/>
        <v/>
      </c>
      <c r="BH133" s="179" t="str">
        <f t="shared" si="64"/>
        <v/>
      </c>
      <c r="BI133" s="180">
        <f t="shared" si="83"/>
        <v>271</v>
      </c>
      <c r="BJ133" s="181">
        <f t="shared" si="87"/>
        <v>573.42434614540525</v>
      </c>
      <c r="BK133" s="182">
        <f t="shared" si="84"/>
        <v>1.6999999999999999E-3</v>
      </c>
    </row>
    <row r="134" spans="1:63" x14ac:dyDescent="0.25">
      <c r="A134" s="7">
        <f t="shared" si="65"/>
        <v>25</v>
      </c>
      <c r="B134" s="7">
        <f t="shared" si="66"/>
        <v>75</v>
      </c>
      <c r="C134" s="115">
        <f t="shared" si="67"/>
        <v>49675</v>
      </c>
      <c r="D134" s="2">
        <f t="shared" si="50"/>
        <v>3.7037037037037034E-3</v>
      </c>
      <c r="E134" s="169">
        <f t="shared" si="68"/>
        <v>120</v>
      </c>
      <c r="F134" s="165">
        <f t="shared" si="69"/>
        <v>2812.6560700983937</v>
      </c>
      <c r="G134" s="170">
        <f t="shared" si="85"/>
        <v>1246.804380254915</v>
      </c>
      <c r="H134" s="164" t="str">
        <f t="shared" si="88"/>
        <v>🐢</v>
      </c>
      <c r="I134" s="171" t="str">
        <f t="shared" si="51"/>
        <v>🛴</v>
      </c>
      <c r="J134" s="172">
        <f t="shared" si="52"/>
        <v>674.52116971790906</v>
      </c>
      <c r="K134" s="173">
        <f t="shared" si="53"/>
        <v>0.16216554473083514</v>
      </c>
      <c r="L134" s="186">
        <f t="shared" si="54"/>
        <v>4159.4604503533083</v>
      </c>
      <c r="M134" s="175">
        <f t="shared" si="70"/>
        <v>335962.66149910912</v>
      </c>
      <c r="N134" s="20"/>
      <c r="O134" s="37" t="str">
        <f t="shared" si="91"/>
        <v/>
      </c>
      <c r="P134" s="62" t="str">
        <f t="shared" si="71"/>
        <v/>
      </c>
      <c r="Q134" s="16" t="str">
        <f t="shared" si="55"/>
        <v/>
      </c>
      <c r="R134" s="60">
        <f t="shared" si="72"/>
        <v>270</v>
      </c>
      <c r="S134" s="98">
        <f t="shared" si="73"/>
        <v>572.28321053700597</v>
      </c>
      <c r="T134" s="21">
        <f t="shared" si="74"/>
        <v>1.6999999999999999E-3</v>
      </c>
      <c r="AA134" s="14">
        <f t="shared" si="56"/>
        <v>-4159.4604503533083</v>
      </c>
      <c r="AH134" s="6">
        <f t="shared" si="57"/>
        <v>1</v>
      </c>
      <c r="AI134" s="6">
        <f t="shared" si="58"/>
        <v>4</v>
      </c>
      <c r="AJ134" s="12">
        <f t="shared" si="59"/>
        <v>10</v>
      </c>
      <c r="AK134" s="72">
        <f t="shared" si="49"/>
        <v>31</v>
      </c>
      <c r="AR134">
        <f t="shared" si="75"/>
        <v>25</v>
      </c>
      <c r="AS134">
        <f t="shared" si="76"/>
        <v>75</v>
      </c>
      <c r="AT134" s="183">
        <f t="shared" si="77"/>
        <v>49675</v>
      </c>
      <c r="AU134" s="2">
        <f t="shared" si="78"/>
        <v>3.7037037037037034E-3</v>
      </c>
      <c r="AV134" s="169">
        <f t="shared" si="79"/>
        <v>120</v>
      </c>
      <c r="AW134" s="165">
        <f t="shared" si="80"/>
        <v>2812.6560700983937</v>
      </c>
      <c r="AX134" s="170">
        <f t="shared" si="86"/>
        <v>1246.804380254915</v>
      </c>
      <c r="AY134" s="164" t="str">
        <f t="shared" si="89"/>
        <v>🐢</v>
      </c>
      <c r="AZ134" s="171" t="str">
        <f t="shared" si="60"/>
        <v>🛴</v>
      </c>
      <c r="BA134" s="172">
        <f t="shared" si="61"/>
        <v>674.52116971790906</v>
      </c>
      <c r="BB134" s="173">
        <f t="shared" si="62"/>
        <v>0.16216554473083514</v>
      </c>
      <c r="BC134" s="186">
        <f t="shared" si="63"/>
        <v>4159.4604503533083</v>
      </c>
      <c r="BD134" s="175">
        <f t="shared" si="81"/>
        <v>335962.66149910912</v>
      </c>
      <c r="BE134" s="176"/>
      <c r="BF134" s="177" t="str">
        <f t="shared" si="92"/>
        <v/>
      </c>
      <c r="BG134" s="178" t="str">
        <f t="shared" si="82"/>
        <v/>
      </c>
      <c r="BH134" s="179" t="str">
        <f t="shared" si="64"/>
        <v/>
      </c>
      <c r="BI134" s="180">
        <f t="shared" si="83"/>
        <v>270</v>
      </c>
      <c r="BJ134" s="181">
        <f t="shared" si="87"/>
        <v>572.28321053700597</v>
      </c>
      <c r="BK134" s="182">
        <f t="shared" si="84"/>
        <v>1.6999999999999999E-3</v>
      </c>
    </row>
    <row r="135" spans="1:63" x14ac:dyDescent="0.25">
      <c r="A135" s="7">
        <f t="shared" si="65"/>
        <v>25</v>
      </c>
      <c r="B135" s="7">
        <f t="shared" si="66"/>
        <v>75</v>
      </c>
      <c r="C135" s="115">
        <f t="shared" si="67"/>
        <v>49706</v>
      </c>
      <c r="D135" s="2">
        <f t="shared" si="50"/>
        <v>3.7174721189591081E-3</v>
      </c>
      <c r="E135" s="169">
        <f t="shared" si="68"/>
        <v>121</v>
      </c>
      <c r="F135" s="165">
        <f t="shared" si="69"/>
        <v>2807.0203407134927</v>
      </c>
      <c r="G135" s="170">
        <f t="shared" si="85"/>
        <v>1248.9318271342347</v>
      </c>
      <c r="H135" s="164" t="str">
        <f t="shared" si="88"/>
        <v>🛵</v>
      </c>
      <c r="I135" s="171" t="str">
        <f t="shared" si="51"/>
        <v>🛴</v>
      </c>
      <c r="J135" s="172">
        <f t="shared" si="52"/>
        <v>677.79530258574925</v>
      </c>
      <c r="K135" s="173">
        <f t="shared" si="53"/>
        <v>0.16309025590560727</v>
      </c>
      <c r="L135" s="174">
        <f t="shared" si="54"/>
        <v>4155.9521678477277</v>
      </c>
      <c r="M135" s="175">
        <f t="shared" si="70"/>
        <v>335284.86619652336</v>
      </c>
      <c r="N135" s="20"/>
      <c r="O135" s="37" t="str">
        <f t="shared" si="91"/>
        <v/>
      </c>
      <c r="P135" s="62" t="str">
        <f t="shared" si="71"/>
        <v/>
      </c>
      <c r="Q135" s="16" t="str">
        <f t="shared" si="55"/>
        <v/>
      </c>
      <c r="R135" s="60">
        <f t="shared" si="72"/>
        <v>269</v>
      </c>
      <c r="S135" s="98">
        <f t="shared" si="73"/>
        <v>571.13652454848545</v>
      </c>
      <c r="T135" s="21">
        <f t="shared" si="74"/>
        <v>1.6999999999999999E-3</v>
      </c>
      <c r="AA135" s="14">
        <f t="shared" si="56"/>
        <v>-4155.9521678477277</v>
      </c>
      <c r="AH135" s="6">
        <f t="shared" si="57"/>
        <v>2</v>
      </c>
      <c r="AI135" s="6">
        <f t="shared" si="58"/>
        <v>4</v>
      </c>
      <c r="AJ135" s="12">
        <f t="shared" si="59"/>
        <v>11</v>
      </c>
      <c r="AK135" s="72">
        <f t="shared" si="49"/>
        <v>29</v>
      </c>
      <c r="AR135">
        <f t="shared" si="75"/>
        <v>25</v>
      </c>
      <c r="AS135">
        <f t="shared" si="76"/>
        <v>75</v>
      </c>
      <c r="AT135" s="183">
        <f t="shared" si="77"/>
        <v>49706</v>
      </c>
      <c r="AU135" s="2">
        <f t="shared" si="78"/>
        <v>3.7174721189591081E-3</v>
      </c>
      <c r="AV135" s="169">
        <f t="shared" si="79"/>
        <v>121</v>
      </c>
      <c r="AW135" s="165">
        <f t="shared" si="80"/>
        <v>2807.0203407134927</v>
      </c>
      <c r="AX135" s="170">
        <f t="shared" si="86"/>
        <v>1248.9318271342347</v>
      </c>
      <c r="AY135" s="164" t="str">
        <f t="shared" si="89"/>
        <v>🛵</v>
      </c>
      <c r="AZ135" s="171" t="str">
        <f t="shared" si="60"/>
        <v>🛴</v>
      </c>
      <c r="BA135" s="172">
        <f t="shared" si="61"/>
        <v>677.79530258574925</v>
      </c>
      <c r="BB135" s="173">
        <f t="shared" si="62"/>
        <v>0.16309025590560727</v>
      </c>
      <c r="BC135" s="174">
        <f t="shared" si="63"/>
        <v>4155.9521678477277</v>
      </c>
      <c r="BD135" s="175">
        <f t="shared" si="81"/>
        <v>335284.86619652336</v>
      </c>
      <c r="BE135" s="176"/>
      <c r="BF135" s="177" t="str">
        <f t="shared" si="92"/>
        <v/>
      </c>
      <c r="BG135" s="178" t="str">
        <f t="shared" si="82"/>
        <v/>
      </c>
      <c r="BH135" s="179" t="str">
        <f t="shared" si="64"/>
        <v/>
      </c>
      <c r="BI135" s="180">
        <f t="shared" si="83"/>
        <v>269</v>
      </c>
      <c r="BJ135" s="181">
        <f t="shared" si="87"/>
        <v>571.13652454848545</v>
      </c>
      <c r="BK135" s="182">
        <f t="shared" si="84"/>
        <v>1.6999999999999999E-3</v>
      </c>
    </row>
    <row r="136" spans="1:63" x14ac:dyDescent="0.25">
      <c r="A136" s="7">
        <f t="shared" si="65"/>
        <v>25</v>
      </c>
      <c r="B136" s="7">
        <f t="shared" si="66"/>
        <v>75</v>
      </c>
      <c r="C136" s="115">
        <f t="shared" si="67"/>
        <v>49735</v>
      </c>
      <c r="D136" s="2">
        <f t="shared" si="50"/>
        <v>3.731343283582089E-3</v>
      </c>
      <c r="E136" s="169">
        <f t="shared" si="68"/>
        <v>122</v>
      </c>
      <c r="F136" s="165">
        <f t="shared" si="69"/>
        <v>2801.357255438752</v>
      </c>
      <c r="G136" s="170">
        <f t="shared" si="85"/>
        <v>1251.0629335691169</v>
      </c>
      <c r="H136" s="164" t="str">
        <f t="shared" si="88"/>
        <v>🛵</v>
      </c>
      <c r="I136" s="171" t="str">
        <f t="shared" si="51"/>
        <v>🛴</v>
      </c>
      <c r="J136" s="172">
        <f t="shared" si="52"/>
        <v>681.07866103502727</v>
      </c>
      <c r="K136" s="173">
        <f t="shared" si="53"/>
        <v>0.16401968732305874</v>
      </c>
      <c r="L136" s="174">
        <f t="shared" si="54"/>
        <v>4152.4201890078693</v>
      </c>
      <c r="M136" s="175">
        <f t="shared" si="70"/>
        <v>334603.78753548831</v>
      </c>
      <c r="N136" s="20"/>
      <c r="O136" s="37" t="str">
        <f t="shared" si="91"/>
        <v/>
      </c>
      <c r="P136" s="62" t="str">
        <f t="shared" si="71"/>
        <v/>
      </c>
      <c r="Q136" s="16" t="str">
        <f t="shared" si="55"/>
        <v/>
      </c>
      <c r="R136" s="60">
        <f t="shared" si="72"/>
        <v>268</v>
      </c>
      <c r="S136" s="98">
        <f t="shared" si="73"/>
        <v>569.98427253408965</v>
      </c>
      <c r="T136" s="21">
        <f t="shared" si="74"/>
        <v>1.6999999999999999E-3</v>
      </c>
      <c r="AA136" s="14">
        <f t="shared" si="56"/>
        <v>-4152.4201890078693</v>
      </c>
      <c r="AH136" s="6">
        <f t="shared" si="57"/>
        <v>2</v>
      </c>
      <c r="AI136" s="6">
        <f t="shared" si="58"/>
        <v>4</v>
      </c>
      <c r="AJ136" s="12">
        <f t="shared" si="59"/>
        <v>11</v>
      </c>
      <c r="AK136" s="72">
        <f t="shared" si="49"/>
        <v>31</v>
      </c>
      <c r="AR136">
        <f t="shared" si="75"/>
        <v>25</v>
      </c>
      <c r="AS136">
        <f t="shared" si="76"/>
        <v>75</v>
      </c>
      <c r="AT136" s="183">
        <f t="shared" si="77"/>
        <v>49735</v>
      </c>
      <c r="AU136" s="2">
        <f t="shared" si="78"/>
        <v>3.731343283582089E-3</v>
      </c>
      <c r="AV136" s="169">
        <f t="shared" si="79"/>
        <v>122</v>
      </c>
      <c r="AW136" s="165">
        <f t="shared" si="80"/>
        <v>2801.357255438752</v>
      </c>
      <c r="AX136" s="170">
        <f t="shared" si="86"/>
        <v>1251.0629335691169</v>
      </c>
      <c r="AY136" s="164" t="str">
        <f t="shared" si="89"/>
        <v>🛵</v>
      </c>
      <c r="AZ136" s="171" t="str">
        <f t="shared" si="60"/>
        <v>🛴</v>
      </c>
      <c r="BA136" s="172">
        <f t="shared" si="61"/>
        <v>681.07866103502727</v>
      </c>
      <c r="BB136" s="173">
        <f t="shared" si="62"/>
        <v>0.16401968732305874</v>
      </c>
      <c r="BC136" s="174">
        <f t="shared" si="63"/>
        <v>4152.4201890078693</v>
      </c>
      <c r="BD136" s="175">
        <f t="shared" si="81"/>
        <v>334603.78753548831</v>
      </c>
      <c r="BE136" s="176"/>
      <c r="BF136" s="177" t="str">
        <f t="shared" si="92"/>
        <v/>
      </c>
      <c r="BG136" s="178" t="str">
        <f t="shared" si="82"/>
        <v/>
      </c>
      <c r="BH136" s="179" t="str">
        <f t="shared" si="64"/>
        <v/>
      </c>
      <c r="BI136" s="180">
        <f t="shared" si="83"/>
        <v>268</v>
      </c>
      <c r="BJ136" s="181">
        <f t="shared" si="87"/>
        <v>569.98427253408965</v>
      </c>
      <c r="BK136" s="182">
        <f t="shared" si="84"/>
        <v>1.6999999999999999E-3</v>
      </c>
    </row>
    <row r="137" spans="1:63" x14ac:dyDescent="0.25">
      <c r="A137" s="7">
        <f t="shared" si="65"/>
        <v>25</v>
      </c>
      <c r="B137" s="7">
        <f t="shared" si="66"/>
        <v>75</v>
      </c>
      <c r="C137" s="115">
        <f t="shared" si="67"/>
        <v>49766</v>
      </c>
      <c r="D137" s="2">
        <f t="shared" si="50"/>
        <v>3.7453183520599251E-3</v>
      </c>
      <c r="E137" s="169">
        <f t="shared" si="68"/>
        <v>123</v>
      </c>
      <c r="F137" s="165">
        <f t="shared" si="69"/>
        <v>2795.6667371930025</v>
      </c>
      <c r="G137" s="170">
        <f t="shared" si="85"/>
        <v>1253.1977061254245</v>
      </c>
      <c r="H137" s="164" t="str">
        <f t="shared" si="88"/>
        <v>🛵</v>
      </c>
      <c r="I137" s="171" t="str">
        <f t="shared" si="51"/>
        <v>🛴</v>
      </c>
      <c r="J137" s="172">
        <f t="shared" si="52"/>
        <v>684.37126731509443</v>
      </c>
      <c r="K137" s="173">
        <f t="shared" si="53"/>
        <v>0.16495387513015658</v>
      </c>
      <c r="L137" s="174">
        <f t="shared" si="54"/>
        <v>4148.8644433184272</v>
      </c>
      <c r="M137" s="175">
        <f t="shared" si="70"/>
        <v>333919.4162681732</v>
      </c>
      <c r="N137" s="20"/>
      <c r="O137" s="37" t="str">
        <f t="shared" si="91"/>
        <v/>
      </c>
      <c r="P137" s="62" t="str">
        <f t="shared" si="71"/>
        <v/>
      </c>
      <c r="Q137" s="16" t="str">
        <f t="shared" si="55"/>
        <v/>
      </c>
      <c r="R137" s="60">
        <f t="shared" si="72"/>
        <v>267</v>
      </c>
      <c r="S137" s="98">
        <f t="shared" si="73"/>
        <v>568.82643881033005</v>
      </c>
      <c r="T137" s="21">
        <f t="shared" si="74"/>
        <v>1.6999999999999999E-3</v>
      </c>
      <c r="AA137" s="14">
        <f t="shared" si="56"/>
        <v>-4148.8644433184272</v>
      </c>
      <c r="AH137" s="6">
        <f t="shared" si="57"/>
        <v>2</v>
      </c>
      <c r="AI137" s="6">
        <f t="shared" si="58"/>
        <v>4</v>
      </c>
      <c r="AJ137" s="12">
        <f t="shared" si="59"/>
        <v>11</v>
      </c>
      <c r="AK137" s="72">
        <f t="shared" si="49"/>
        <v>30</v>
      </c>
      <c r="AR137">
        <f t="shared" si="75"/>
        <v>25</v>
      </c>
      <c r="AS137">
        <f t="shared" si="76"/>
        <v>75</v>
      </c>
      <c r="AT137" s="183">
        <f t="shared" si="77"/>
        <v>49766</v>
      </c>
      <c r="AU137" s="2">
        <f t="shared" si="78"/>
        <v>3.7453183520599251E-3</v>
      </c>
      <c r="AV137" s="169">
        <f t="shared" si="79"/>
        <v>123</v>
      </c>
      <c r="AW137" s="165">
        <f t="shared" si="80"/>
        <v>2795.6667371930025</v>
      </c>
      <c r="AX137" s="170">
        <f t="shared" si="86"/>
        <v>1253.1977061254245</v>
      </c>
      <c r="AY137" s="164" t="str">
        <f t="shared" si="89"/>
        <v>🛵</v>
      </c>
      <c r="AZ137" s="171" t="str">
        <f t="shared" si="60"/>
        <v>🛴</v>
      </c>
      <c r="BA137" s="172">
        <f t="shared" si="61"/>
        <v>684.37126731509443</v>
      </c>
      <c r="BB137" s="173">
        <f t="shared" si="62"/>
        <v>0.16495387513015658</v>
      </c>
      <c r="BC137" s="174">
        <f t="shared" si="63"/>
        <v>4148.8644433184272</v>
      </c>
      <c r="BD137" s="175">
        <f t="shared" si="81"/>
        <v>333919.4162681732</v>
      </c>
      <c r="BE137" s="176"/>
      <c r="BF137" s="177" t="str">
        <f t="shared" si="92"/>
        <v/>
      </c>
      <c r="BG137" s="178" t="str">
        <f t="shared" si="82"/>
        <v/>
      </c>
      <c r="BH137" s="179" t="str">
        <f t="shared" si="64"/>
        <v/>
      </c>
      <c r="BI137" s="180">
        <f t="shared" si="83"/>
        <v>267</v>
      </c>
      <c r="BJ137" s="181">
        <f t="shared" si="87"/>
        <v>568.82643881033005</v>
      </c>
      <c r="BK137" s="182">
        <f t="shared" si="84"/>
        <v>1.6999999999999999E-3</v>
      </c>
    </row>
    <row r="138" spans="1:63" x14ac:dyDescent="0.25">
      <c r="A138" s="7">
        <f t="shared" si="65"/>
        <v>25</v>
      </c>
      <c r="B138" s="7">
        <f t="shared" si="66"/>
        <v>75</v>
      </c>
      <c r="C138" s="115">
        <f t="shared" si="67"/>
        <v>49796</v>
      </c>
      <c r="D138" s="2">
        <f t="shared" si="50"/>
        <v>3.7593984962406017E-3</v>
      </c>
      <c r="E138" s="169">
        <f t="shared" si="68"/>
        <v>124</v>
      </c>
      <c r="F138" s="165">
        <f t="shared" si="69"/>
        <v>2789.9487087091779</v>
      </c>
      <c r="G138" s="170">
        <f t="shared" si="85"/>
        <v>1255.3361513841098</v>
      </c>
      <c r="H138" s="164" t="str">
        <f t="shared" si="88"/>
        <v>🛵</v>
      </c>
      <c r="I138" s="171" t="str">
        <f t="shared" si="51"/>
        <v>🛴</v>
      </c>
      <c r="J138" s="172">
        <f t="shared" si="52"/>
        <v>687.67314372821545</v>
      </c>
      <c r="K138" s="173">
        <f t="shared" si="53"/>
        <v>0.1658928558441071</v>
      </c>
      <c r="L138" s="174">
        <f t="shared" si="54"/>
        <v>4145.2848600932875</v>
      </c>
      <c r="M138" s="175">
        <f t="shared" si="70"/>
        <v>333231.74312444497</v>
      </c>
      <c r="N138" s="20"/>
      <c r="O138" s="37"/>
      <c r="P138" s="62" t="str">
        <f t="shared" si="71"/>
        <v/>
      </c>
      <c r="Q138" s="16" t="str">
        <f t="shared" si="55"/>
        <v/>
      </c>
      <c r="R138" s="60">
        <f t="shared" si="72"/>
        <v>266</v>
      </c>
      <c r="S138" s="98">
        <f t="shared" si="73"/>
        <v>567.66300765589438</v>
      </c>
      <c r="T138" s="21">
        <f t="shared" si="74"/>
        <v>1.6999999999999999E-3</v>
      </c>
      <c r="AA138" s="14">
        <f t="shared" si="56"/>
        <v>-4145.2848600932875</v>
      </c>
      <c r="AH138" s="6">
        <f t="shared" si="57"/>
        <v>2</v>
      </c>
      <c r="AI138" s="6">
        <f t="shared" si="58"/>
        <v>4</v>
      </c>
      <c r="AJ138" s="12">
        <f t="shared" si="59"/>
        <v>11</v>
      </c>
      <c r="AK138" s="72">
        <f t="shared" si="49"/>
        <v>31</v>
      </c>
      <c r="AR138">
        <f t="shared" si="75"/>
        <v>25</v>
      </c>
      <c r="AS138">
        <f t="shared" si="76"/>
        <v>75</v>
      </c>
      <c r="AT138" s="183">
        <f t="shared" si="77"/>
        <v>49796</v>
      </c>
      <c r="AU138" s="2">
        <f t="shared" si="78"/>
        <v>3.7593984962406017E-3</v>
      </c>
      <c r="AV138" s="169">
        <f t="shared" si="79"/>
        <v>124</v>
      </c>
      <c r="AW138" s="165">
        <f t="shared" si="80"/>
        <v>2789.9487087091779</v>
      </c>
      <c r="AX138" s="170">
        <f t="shared" si="86"/>
        <v>1255.3361513841098</v>
      </c>
      <c r="AY138" s="164" t="str">
        <f t="shared" si="89"/>
        <v>🛵</v>
      </c>
      <c r="AZ138" s="171" t="str">
        <f t="shared" si="60"/>
        <v>🛴</v>
      </c>
      <c r="BA138" s="172">
        <f t="shared" si="61"/>
        <v>687.67314372821545</v>
      </c>
      <c r="BB138" s="173">
        <f t="shared" si="62"/>
        <v>0.1658928558441071</v>
      </c>
      <c r="BC138" s="174">
        <f t="shared" si="63"/>
        <v>4145.2848600932875</v>
      </c>
      <c r="BD138" s="175">
        <f t="shared" si="81"/>
        <v>333231.74312444497</v>
      </c>
      <c r="BE138" s="176"/>
      <c r="BF138" s="177"/>
      <c r="BG138" s="178" t="str">
        <f t="shared" si="82"/>
        <v/>
      </c>
      <c r="BH138" s="179" t="str">
        <f t="shared" si="64"/>
        <v/>
      </c>
      <c r="BI138" s="180">
        <f t="shared" si="83"/>
        <v>266</v>
      </c>
      <c r="BJ138" s="181">
        <f t="shared" si="87"/>
        <v>567.66300765589438</v>
      </c>
      <c r="BK138" s="182">
        <f t="shared" si="84"/>
        <v>1.6999999999999999E-3</v>
      </c>
    </row>
    <row r="139" spans="1:63" x14ac:dyDescent="0.25">
      <c r="A139" s="7">
        <f t="shared" si="65"/>
        <v>25</v>
      </c>
      <c r="B139" s="7">
        <f t="shared" si="66"/>
        <v>75</v>
      </c>
      <c r="C139" s="115">
        <f t="shared" si="67"/>
        <v>49827</v>
      </c>
      <c r="D139" s="2">
        <f t="shared" si="50"/>
        <v>3.7735849056603774E-3</v>
      </c>
      <c r="E139" s="169">
        <f t="shared" si="68"/>
        <v>125</v>
      </c>
      <c r="F139" s="165">
        <f t="shared" si="69"/>
        <v>2784.2030925338736</v>
      </c>
      <c r="G139" s="170">
        <f t="shared" si="85"/>
        <v>1257.4782759413017</v>
      </c>
      <c r="H139" s="164" t="str">
        <f t="shared" si="88"/>
        <v>🛵</v>
      </c>
      <c r="I139" s="171" t="str">
        <f t="shared" si="51"/>
        <v>🛴</v>
      </c>
      <c r="J139" s="172">
        <f t="shared" si="52"/>
        <v>690.98431262974532</v>
      </c>
      <c r="K139" s="173">
        <f t="shared" si="53"/>
        <v>0.1668366663571085</v>
      </c>
      <c r="L139" s="174">
        <f t="shared" si="54"/>
        <v>4141.6813684751751</v>
      </c>
      <c r="M139" s="175">
        <f t="shared" si="70"/>
        <v>332540.75881181523</v>
      </c>
      <c r="N139" s="20"/>
      <c r="O139" s="37" t="str">
        <f t="shared" ref="O139:O202" si="93">IF(AND(N139&lt;&gt;"",N139&lt;R139),"V","")</f>
        <v/>
      </c>
      <c r="P139" s="62" t="str">
        <f t="shared" si="71"/>
        <v/>
      </c>
      <c r="Q139" s="16" t="str">
        <f t="shared" si="55"/>
        <v/>
      </c>
      <c r="R139" s="60">
        <f t="shared" si="72"/>
        <v>265</v>
      </c>
      <c r="S139" s="98">
        <f t="shared" si="73"/>
        <v>566.4939633115564</v>
      </c>
      <c r="T139" s="21">
        <f t="shared" si="74"/>
        <v>1.6999999999999999E-3</v>
      </c>
      <c r="AA139" s="14">
        <f t="shared" si="56"/>
        <v>-4141.6813684751751</v>
      </c>
      <c r="AH139" s="6">
        <f t="shared" si="57"/>
        <v>2</v>
      </c>
      <c r="AI139" s="6">
        <f t="shared" si="58"/>
        <v>4</v>
      </c>
      <c r="AJ139" s="12">
        <f t="shared" si="59"/>
        <v>11</v>
      </c>
      <c r="AK139" s="72">
        <f t="shared" si="49"/>
        <v>30</v>
      </c>
      <c r="AR139">
        <f t="shared" si="75"/>
        <v>25</v>
      </c>
      <c r="AS139">
        <f t="shared" si="76"/>
        <v>75</v>
      </c>
      <c r="AT139" s="183">
        <f t="shared" si="77"/>
        <v>49827</v>
      </c>
      <c r="AU139" s="2">
        <f t="shared" si="78"/>
        <v>3.7735849056603774E-3</v>
      </c>
      <c r="AV139" s="169">
        <f t="shared" si="79"/>
        <v>125</v>
      </c>
      <c r="AW139" s="165">
        <f t="shared" si="80"/>
        <v>2784.2030925338736</v>
      </c>
      <c r="AX139" s="170">
        <f t="shared" si="86"/>
        <v>1257.4782759413017</v>
      </c>
      <c r="AY139" s="164" t="str">
        <f t="shared" si="89"/>
        <v>🛵</v>
      </c>
      <c r="AZ139" s="171" t="str">
        <f t="shared" si="60"/>
        <v>🛴</v>
      </c>
      <c r="BA139" s="172">
        <f t="shared" si="61"/>
        <v>690.98431262974532</v>
      </c>
      <c r="BB139" s="173">
        <f t="shared" si="62"/>
        <v>0.1668366663571085</v>
      </c>
      <c r="BC139" s="174">
        <f t="shared" si="63"/>
        <v>4141.6813684751751</v>
      </c>
      <c r="BD139" s="175">
        <f t="shared" si="81"/>
        <v>332540.75881181523</v>
      </c>
      <c r="BE139" s="176"/>
      <c r="BF139" s="177" t="str">
        <f t="shared" ref="BF139:BF202" si="94">IF(AND(BE139&lt;&gt;"",BE139&lt;BI139),"V","")</f>
        <v/>
      </c>
      <c r="BG139" s="178" t="str">
        <f t="shared" si="82"/>
        <v/>
      </c>
      <c r="BH139" s="179" t="str">
        <f t="shared" si="64"/>
        <v/>
      </c>
      <c r="BI139" s="180">
        <f t="shared" si="83"/>
        <v>265</v>
      </c>
      <c r="BJ139" s="181">
        <f t="shared" si="87"/>
        <v>566.4939633115564</v>
      </c>
      <c r="BK139" s="182">
        <f t="shared" si="84"/>
        <v>1.6999999999999999E-3</v>
      </c>
    </row>
    <row r="140" spans="1:63" x14ac:dyDescent="0.25">
      <c r="A140" s="7">
        <f t="shared" si="65"/>
        <v>25</v>
      </c>
      <c r="B140" s="7">
        <f t="shared" si="66"/>
        <v>75</v>
      </c>
      <c r="C140" s="115">
        <f t="shared" si="67"/>
        <v>49857</v>
      </c>
      <c r="D140" s="2">
        <f t="shared" si="50"/>
        <v>3.787878787878788E-3</v>
      </c>
      <c r="E140" s="169">
        <f t="shared" si="68"/>
        <v>126</v>
      </c>
      <c r="F140" s="165">
        <f t="shared" si="69"/>
        <v>2778.4298110269028</v>
      </c>
      <c r="G140" s="170">
        <f t="shared" si="85"/>
        <v>1259.6240864083911</v>
      </c>
      <c r="H140" s="164" t="str">
        <f t="shared" si="88"/>
        <v>🛵</v>
      </c>
      <c r="I140" s="171" t="str">
        <f t="shared" si="51"/>
        <v>🛴</v>
      </c>
      <c r="J140" s="172">
        <f t="shared" si="52"/>
        <v>694.30479642830528</v>
      </c>
      <c r="K140" s="173">
        <f t="shared" si="53"/>
        <v>0.16778534394117617</v>
      </c>
      <c r="L140" s="174">
        <f t="shared" si="54"/>
        <v>4138.0538974352939</v>
      </c>
      <c r="M140" s="175">
        <f t="shared" si="70"/>
        <v>331846.45401538693</v>
      </c>
      <c r="N140" s="20"/>
      <c r="O140" s="37" t="str">
        <f t="shared" si="93"/>
        <v/>
      </c>
      <c r="P140" s="62" t="str">
        <f t="shared" si="71"/>
        <v/>
      </c>
      <c r="Q140" s="16" t="str">
        <f t="shared" si="55"/>
        <v/>
      </c>
      <c r="R140" s="60">
        <f t="shared" si="72"/>
        <v>264</v>
      </c>
      <c r="S140" s="98">
        <f t="shared" si="73"/>
        <v>565.31928998008584</v>
      </c>
      <c r="T140" s="21">
        <f t="shared" si="74"/>
        <v>1.6999999999999999E-3</v>
      </c>
      <c r="AA140" s="14">
        <f t="shared" si="56"/>
        <v>-4138.0538974352939</v>
      </c>
      <c r="AH140" s="6">
        <f t="shared" si="57"/>
        <v>2</v>
      </c>
      <c r="AI140" s="6">
        <f t="shared" si="58"/>
        <v>4</v>
      </c>
      <c r="AJ140" s="12">
        <f t="shared" si="59"/>
        <v>11</v>
      </c>
      <c r="AK140" s="72">
        <f t="shared" si="49"/>
        <v>31</v>
      </c>
      <c r="AR140">
        <f t="shared" si="75"/>
        <v>25</v>
      </c>
      <c r="AS140">
        <f t="shared" si="76"/>
        <v>75</v>
      </c>
      <c r="AT140" s="183">
        <f t="shared" si="77"/>
        <v>49857</v>
      </c>
      <c r="AU140" s="2">
        <f t="shared" si="78"/>
        <v>3.787878787878788E-3</v>
      </c>
      <c r="AV140" s="169">
        <f t="shared" si="79"/>
        <v>126</v>
      </c>
      <c r="AW140" s="165">
        <f t="shared" si="80"/>
        <v>2778.4298110269028</v>
      </c>
      <c r="AX140" s="170">
        <f t="shared" si="86"/>
        <v>1259.6240864083911</v>
      </c>
      <c r="AY140" s="164" t="str">
        <f t="shared" si="89"/>
        <v>🛵</v>
      </c>
      <c r="AZ140" s="171" t="str">
        <f t="shared" si="60"/>
        <v>🛴</v>
      </c>
      <c r="BA140" s="172">
        <f t="shared" si="61"/>
        <v>694.30479642830528</v>
      </c>
      <c r="BB140" s="173">
        <f t="shared" si="62"/>
        <v>0.16778534394117617</v>
      </c>
      <c r="BC140" s="174">
        <f t="shared" si="63"/>
        <v>4138.0538974352939</v>
      </c>
      <c r="BD140" s="175">
        <f t="shared" si="81"/>
        <v>331846.45401538693</v>
      </c>
      <c r="BE140" s="176"/>
      <c r="BF140" s="177" t="str">
        <f t="shared" si="94"/>
        <v/>
      </c>
      <c r="BG140" s="178" t="str">
        <f t="shared" si="82"/>
        <v/>
      </c>
      <c r="BH140" s="179" t="str">
        <f t="shared" si="64"/>
        <v/>
      </c>
      <c r="BI140" s="180">
        <f t="shared" si="83"/>
        <v>264</v>
      </c>
      <c r="BJ140" s="181">
        <f t="shared" si="87"/>
        <v>565.31928998008584</v>
      </c>
      <c r="BK140" s="182">
        <f t="shared" si="84"/>
        <v>1.6999999999999999E-3</v>
      </c>
    </row>
    <row r="141" spans="1:63" x14ac:dyDescent="0.25">
      <c r="A141" s="7">
        <f t="shared" si="65"/>
        <v>25</v>
      </c>
      <c r="B141" s="7">
        <f t="shared" si="66"/>
        <v>75</v>
      </c>
      <c r="C141" s="115">
        <f t="shared" si="67"/>
        <v>49888</v>
      </c>
      <c r="D141" s="2">
        <f t="shared" si="50"/>
        <v>3.8022813688212928E-3</v>
      </c>
      <c r="E141" s="169">
        <f t="shared" si="68"/>
        <v>127</v>
      </c>
      <c r="F141" s="165">
        <f t="shared" si="69"/>
        <v>2772.6287863608495</v>
      </c>
      <c r="G141" s="170">
        <f t="shared" si="85"/>
        <v>1261.7735894121176</v>
      </c>
      <c r="H141" s="164" t="str">
        <f t="shared" si="88"/>
        <v>🛵</v>
      </c>
      <c r="I141" s="171" t="str">
        <f t="shared" si="51"/>
        <v>🛴</v>
      </c>
      <c r="J141" s="172">
        <f t="shared" si="52"/>
        <v>697.63461758595986</v>
      </c>
      <c r="K141" s="173">
        <f t="shared" si="53"/>
        <v>0.16873892625304285</v>
      </c>
      <c r="L141" s="174">
        <f t="shared" si="54"/>
        <v>4134.4023757729674</v>
      </c>
      <c r="M141" s="175">
        <f t="shared" si="70"/>
        <v>331148.81939780101</v>
      </c>
      <c r="N141" s="20"/>
      <c r="O141" s="37" t="str">
        <f t="shared" si="93"/>
        <v/>
      </c>
      <c r="P141" s="62" t="str">
        <f t="shared" si="71"/>
        <v/>
      </c>
      <c r="Q141" s="16" t="str">
        <f t="shared" si="55"/>
        <v/>
      </c>
      <c r="R141" s="60">
        <f t="shared" si="72"/>
        <v>263</v>
      </c>
      <c r="S141" s="98">
        <f t="shared" si="73"/>
        <v>564.13897182615779</v>
      </c>
      <c r="T141" s="21">
        <f t="shared" si="74"/>
        <v>1.6999999999999999E-3</v>
      </c>
      <c r="AA141" s="14">
        <f t="shared" si="56"/>
        <v>-4134.4023757729674</v>
      </c>
      <c r="AH141" s="6">
        <f t="shared" si="57"/>
        <v>2</v>
      </c>
      <c r="AI141" s="6">
        <f t="shared" si="58"/>
        <v>4</v>
      </c>
      <c r="AJ141" s="12">
        <f t="shared" si="59"/>
        <v>11</v>
      </c>
      <c r="AK141" s="72">
        <f t="shared" si="49"/>
        <v>31</v>
      </c>
      <c r="AR141">
        <f t="shared" si="75"/>
        <v>25</v>
      </c>
      <c r="AS141">
        <f t="shared" si="76"/>
        <v>75</v>
      </c>
      <c r="AT141" s="183">
        <f t="shared" si="77"/>
        <v>49888</v>
      </c>
      <c r="AU141" s="2">
        <f t="shared" si="78"/>
        <v>3.8022813688212928E-3</v>
      </c>
      <c r="AV141" s="169">
        <f t="shared" si="79"/>
        <v>127</v>
      </c>
      <c r="AW141" s="165">
        <f t="shared" si="80"/>
        <v>2772.6287863608495</v>
      </c>
      <c r="AX141" s="170">
        <f t="shared" si="86"/>
        <v>1261.7735894121176</v>
      </c>
      <c r="AY141" s="164" t="str">
        <f t="shared" si="89"/>
        <v>🛵</v>
      </c>
      <c r="AZ141" s="171" t="str">
        <f t="shared" si="60"/>
        <v>🛴</v>
      </c>
      <c r="BA141" s="172">
        <f t="shared" si="61"/>
        <v>697.63461758595986</v>
      </c>
      <c r="BB141" s="173">
        <f t="shared" si="62"/>
        <v>0.16873892625304285</v>
      </c>
      <c r="BC141" s="174">
        <f t="shared" si="63"/>
        <v>4134.4023757729674</v>
      </c>
      <c r="BD141" s="175">
        <f t="shared" si="81"/>
        <v>331148.81939780101</v>
      </c>
      <c r="BE141" s="176"/>
      <c r="BF141" s="177" t="str">
        <f t="shared" si="94"/>
        <v/>
      </c>
      <c r="BG141" s="178" t="str">
        <f t="shared" si="82"/>
        <v/>
      </c>
      <c r="BH141" s="179" t="str">
        <f t="shared" si="64"/>
        <v/>
      </c>
      <c r="BI141" s="180">
        <f t="shared" si="83"/>
        <v>263</v>
      </c>
      <c r="BJ141" s="181">
        <f t="shared" si="87"/>
        <v>564.13897182615779</v>
      </c>
      <c r="BK141" s="182">
        <f t="shared" si="84"/>
        <v>1.6999999999999999E-3</v>
      </c>
    </row>
    <row r="142" spans="1:63" x14ac:dyDescent="0.25">
      <c r="A142" s="7">
        <f t="shared" si="65"/>
        <v>25</v>
      </c>
      <c r="B142" s="7">
        <f t="shared" si="66"/>
        <v>75</v>
      </c>
      <c r="C142" s="115">
        <f t="shared" si="67"/>
        <v>49919</v>
      </c>
      <c r="D142" s="2">
        <f t="shared" si="50"/>
        <v>3.8167938931297708E-3</v>
      </c>
      <c r="E142" s="169">
        <f t="shared" si="68"/>
        <v>128</v>
      </c>
      <c r="F142" s="165">
        <f t="shared" si="69"/>
        <v>2766.7999405206256</v>
      </c>
      <c r="G142" s="170">
        <f t="shared" si="85"/>
        <v>1263.9267915946602</v>
      </c>
      <c r="H142" s="164" t="str">
        <f t="shared" si="88"/>
        <v>🛵</v>
      </c>
      <c r="I142" s="171" t="str">
        <f t="shared" si="51"/>
        <v>🛴</v>
      </c>
      <c r="J142" s="172">
        <f t="shared" si="52"/>
        <v>700.97379861839852</v>
      </c>
      <c r="K142" s="173">
        <f t="shared" si="53"/>
        <v>0.16969745133913516</v>
      </c>
      <c r="L142" s="174">
        <f t="shared" si="54"/>
        <v>4130.7267321152858</v>
      </c>
      <c r="M142" s="175">
        <f t="shared" si="70"/>
        <v>330447.84559918259</v>
      </c>
      <c r="N142" s="20"/>
      <c r="O142" s="37" t="str">
        <f t="shared" si="93"/>
        <v/>
      </c>
      <c r="P142" s="62" t="str">
        <f t="shared" si="71"/>
        <v/>
      </c>
      <c r="Q142" s="16" t="str">
        <f t="shared" si="55"/>
        <v/>
      </c>
      <c r="R142" s="60">
        <f t="shared" si="72"/>
        <v>262</v>
      </c>
      <c r="S142" s="98">
        <f t="shared" si="73"/>
        <v>562.95299297626173</v>
      </c>
      <c r="T142" s="21">
        <f t="shared" si="74"/>
        <v>1.6999999999999999E-3</v>
      </c>
      <c r="AA142" s="14">
        <f t="shared" si="56"/>
        <v>-4130.7267321152858</v>
      </c>
      <c r="AH142" s="6">
        <f t="shared" si="57"/>
        <v>2</v>
      </c>
      <c r="AI142" s="6">
        <f t="shared" si="58"/>
        <v>4</v>
      </c>
      <c r="AJ142" s="12">
        <f t="shared" si="59"/>
        <v>11</v>
      </c>
      <c r="AK142" s="72">
        <f t="shared" ref="AK142:AK205" si="95">DAY(DATE(YEAR(C142),MONTH(C142)+1,1)-1)</f>
        <v>30</v>
      </c>
      <c r="AR142">
        <f t="shared" si="75"/>
        <v>25</v>
      </c>
      <c r="AS142">
        <f t="shared" si="76"/>
        <v>75</v>
      </c>
      <c r="AT142" s="183">
        <f t="shared" si="77"/>
        <v>49919</v>
      </c>
      <c r="AU142" s="2">
        <f t="shared" si="78"/>
        <v>3.8167938931297708E-3</v>
      </c>
      <c r="AV142" s="169">
        <f t="shared" si="79"/>
        <v>128</v>
      </c>
      <c r="AW142" s="165">
        <f t="shared" si="80"/>
        <v>2766.7999405206256</v>
      </c>
      <c r="AX142" s="170">
        <f t="shared" si="86"/>
        <v>1263.9267915946602</v>
      </c>
      <c r="AY142" s="164" t="str">
        <f t="shared" si="89"/>
        <v>🛵</v>
      </c>
      <c r="AZ142" s="171" t="str">
        <f t="shared" si="60"/>
        <v>🛴</v>
      </c>
      <c r="BA142" s="172">
        <f t="shared" si="61"/>
        <v>700.97379861839852</v>
      </c>
      <c r="BB142" s="173">
        <f t="shared" si="62"/>
        <v>0.16969745133913516</v>
      </c>
      <c r="BC142" s="174">
        <f t="shared" si="63"/>
        <v>4130.7267321152858</v>
      </c>
      <c r="BD142" s="175">
        <f t="shared" si="81"/>
        <v>330447.84559918259</v>
      </c>
      <c r="BE142" s="176"/>
      <c r="BF142" s="177" t="str">
        <f t="shared" si="94"/>
        <v/>
      </c>
      <c r="BG142" s="178" t="str">
        <f t="shared" si="82"/>
        <v/>
      </c>
      <c r="BH142" s="179" t="str">
        <f t="shared" si="64"/>
        <v/>
      </c>
      <c r="BI142" s="180">
        <f t="shared" si="83"/>
        <v>262</v>
      </c>
      <c r="BJ142" s="181">
        <f t="shared" si="87"/>
        <v>562.95299297626173</v>
      </c>
      <c r="BK142" s="182">
        <f t="shared" si="84"/>
        <v>1.6999999999999999E-3</v>
      </c>
    </row>
    <row r="143" spans="1:63" x14ac:dyDescent="0.25">
      <c r="A143" s="7">
        <f t="shared" si="65"/>
        <v>25</v>
      </c>
      <c r="B143" s="7">
        <f t="shared" si="66"/>
        <v>75</v>
      </c>
      <c r="C143" s="115">
        <f t="shared" si="67"/>
        <v>49949</v>
      </c>
      <c r="D143" s="2">
        <f t="shared" ref="D143:D206" si="96">IFERROR(G143/M142,0)</f>
        <v>3.8314176245210726E-3</v>
      </c>
      <c r="E143" s="169">
        <f t="shared" si="68"/>
        <v>129</v>
      </c>
      <c r="F143" s="165">
        <f t="shared" si="69"/>
        <v>2760.9431953030198</v>
      </c>
      <c r="G143" s="170">
        <f t="shared" si="85"/>
        <v>1266.0836996137264</v>
      </c>
      <c r="H143" s="164" t="str">
        <f t="shared" si="88"/>
        <v>🛵</v>
      </c>
      <c r="I143" s="171" t="str">
        <f t="shared" ref="I143:I206" si="97">IFERROR(IF((G143+N143-S143)/L143&lt;0,"🔙",IF((G143+N143-S143)/L143&lt;10%,"🥾",IF((G143+N143-S143)/L143&lt;20%,"🛴",IF((G143+N143-S143)/L143&lt;50%,"🚴‍♂️",IF((G143+N143-S143)/L143&lt;75%,"🚖","🚁"))))),"")</f>
        <v>🛴</v>
      </c>
      <c r="J143" s="172">
        <f t="shared" ref="J143:J206" si="98">G143+N143-S143</f>
        <v>704.32236209511598</v>
      </c>
      <c r="K143" s="173">
        <f t="shared" ref="K143:K206" si="99">IFERROR(J143/(L143+N143),0)</f>
        <v>0.17066095764062722</v>
      </c>
      <c r="L143" s="174">
        <f t="shared" ref="L143:L206" si="100">G143+F143+A143+B143</f>
        <v>4127.0268949167457</v>
      </c>
      <c r="M143" s="175">
        <f t="shared" si="70"/>
        <v>329743.52323708747</v>
      </c>
      <c r="N143" s="20"/>
      <c r="O143" s="37" t="str">
        <f t="shared" si="93"/>
        <v/>
      </c>
      <c r="P143" s="62" t="str">
        <f t="shared" si="71"/>
        <v/>
      </c>
      <c r="Q143" s="16" t="str">
        <f t="shared" ref="Q143:Q206" si="101">IF(N143=0,"",IF(N143&gt;M143,"🚫",IF(INT(N143/G143&lt;1),"👍",INT(N143/G143)&amp;"x")))</f>
        <v/>
      </c>
      <c r="R143" s="60">
        <f t="shared" si="72"/>
        <v>261</v>
      </c>
      <c r="S143" s="98">
        <f t="shared" si="73"/>
        <v>561.76133751861039</v>
      </c>
      <c r="T143" s="21">
        <f t="shared" si="74"/>
        <v>1.6999999999999999E-3</v>
      </c>
      <c r="AA143" s="14">
        <f t="shared" ref="AA143:AA206" si="102">-(L143+N143)</f>
        <v>-4127.0268949167457</v>
      </c>
      <c r="AH143" s="6">
        <f t="shared" ref="AH143:AH206" si="103">ROUNDUP(E143/120,0)</f>
        <v>2</v>
      </c>
      <c r="AI143" s="6">
        <f t="shared" ref="AI143:AI206" si="104">ROUNDUP(E143/36,0)</f>
        <v>4</v>
      </c>
      <c r="AJ143" s="12">
        <f t="shared" ref="AJ143:AJ206" si="105">ROUNDUP(E143/12,0)</f>
        <v>11</v>
      </c>
      <c r="AK143" s="72">
        <f t="shared" si="95"/>
        <v>31</v>
      </c>
      <c r="AR143">
        <f t="shared" si="75"/>
        <v>25</v>
      </c>
      <c r="AS143">
        <f t="shared" si="76"/>
        <v>75</v>
      </c>
      <c r="AT143" s="183">
        <f t="shared" si="77"/>
        <v>49949</v>
      </c>
      <c r="AU143" s="2">
        <f t="shared" si="78"/>
        <v>3.8314176245210726E-3</v>
      </c>
      <c r="AV143" s="169">
        <f t="shared" si="79"/>
        <v>129</v>
      </c>
      <c r="AW143" s="165">
        <f t="shared" si="80"/>
        <v>2760.9431953030198</v>
      </c>
      <c r="AX143" s="170">
        <f t="shared" si="86"/>
        <v>1266.0836996137264</v>
      </c>
      <c r="AY143" s="164" t="str">
        <f t="shared" si="89"/>
        <v>🛵</v>
      </c>
      <c r="AZ143" s="171" t="str">
        <f t="shared" ref="AZ143:AZ206" si="106">IFERROR(IF((AX143+BE143-BJ143)/BC143&lt;0,"🔙",IF((AX143+BE143-BJ143)/BC143&lt;10%,"🥾",IF((AX143+BE143-BJ143)/BC143&lt;20%,"🛴",IF((AX143+BE143-BJ143)/BC143&lt;50%,"🚴‍♂️",IF((AX143+BE143-BJ143)/BC143&lt;75%,"🚖","🚁"))))),"")</f>
        <v>🛴</v>
      </c>
      <c r="BA143" s="172">
        <f t="shared" ref="BA143:BA206" si="107">AX143+BE143-BJ143</f>
        <v>704.32236209511598</v>
      </c>
      <c r="BB143" s="173">
        <f t="shared" ref="BB143:BB206" si="108">IFERROR(BA143/(BC143+BE143),0)</f>
        <v>0.17066095764062722</v>
      </c>
      <c r="BC143" s="174">
        <f t="shared" ref="BC143:BC206" si="109">AX143+AW143+AR143+AS143</f>
        <v>4127.0268949167457</v>
      </c>
      <c r="BD143" s="175">
        <f t="shared" si="81"/>
        <v>329743.52323708747</v>
      </c>
      <c r="BE143" s="176"/>
      <c r="BF143" s="177" t="str">
        <f t="shared" si="94"/>
        <v/>
      </c>
      <c r="BG143" s="178" t="str">
        <f t="shared" si="82"/>
        <v/>
      </c>
      <c r="BH143" s="179" t="str">
        <f t="shared" ref="BH143:BH206" si="110">IF(BE143=0,"",IF(BE143&gt;BD143,"🚫",IF(INT(BE143/AX143&lt;1),"👍",INT(BE143/AX143)&amp;"x")))</f>
        <v/>
      </c>
      <c r="BI143" s="180">
        <f t="shared" si="83"/>
        <v>261</v>
      </c>
      <c r="BJ143" s="181">
        <f t="shared" si="87"/>
        <v>561.76133751861039</v>
      </c>
      <c r="BK143" s="182">
        <f t="shared" si="84"/>
        <v>1.6999999999999999E-3</v>
      </c>
    </row>
    <row r="144" spans="1:63" x14ac:dyDescent="0.25">
      <c r="A144" s="7">
        <f t="shared" ref="A144:A207" si="111">IF(INT(F144)&gt;0,A143,0)</f>
        <v>25</v>
      </c>
      <c r="B144" s="7">
        <f t="shared" ref="B144:B207" si="112">IF(F144&gt;0.1,B143,0)</f>
        <v>75</v>
      </c>
      <c r="C144" s="115">
        <f t="shared" ref="C144:C207" si="113">DATE(YEAR(C143),MONTH(C143)+1,1)</f>
        <v>49980</v>
      </c>
      <c r="D144" s="2">
        <f t="shared" si="96"/>
        <v>3.8461538461538459E-3</v>
      </c>
      <c r="E144" s="169">
        <f t="shared" ref="E144:E207" si="114">E143+1</f>
        <v>130</v>
      </c>
      <c r="F144" s="165">
        <f t="shared" ref="F144:F207" si="115">IF(OR(M143&lt;1,N143&gt;M143),0,(M143-N143)*IF(D$11&lt;&gt;"BB",$E$7,(1+$D$7)^(AK143/365)-1))</f>
        <v>2755.0584723162492</v>
      </c>
      <c r="G144" s="170">
        <f t="shared" si="85"/>
        <v>1268.244320142644</v>
      </c>
      <c r="H144" s="164" t="str">
        <f t="shared" si="88"/>
        <v>🛵</v>
      </c>
      <c r="I144" s="171" t="str">
        <f t="shared" si="97"/>
        <v>🛴</v>
      </c>
      <c r="J144" s="172">
        <f t="shared" si="98"/>
        <v>707.68033063959535</v>
      </c>
      <c r="K144" s="173">
        <f t="shared" si="99"/>
        <v>0.17162948399857308</v>
      </c>
      <c r="L144" s="174">
        <f t="shared" si="100"/>
        <v>4123.3027924588932</v>
      </c>
      <c r="M144" s="175">
        <f t="shared" ref="M144:M207" si="116">IF(R144=0,0,MAX(0,M143-G144+S144-N143))</f>
        <v>329035.84290644788</v>
      </c>
      <c r="N144" s="20"/>
      <c r="O144" s="37" t="str">
        <f t="shared" si="93"/>
        <v/>
      </c>
      <c r="P144" s="62" t="str">
        <f t="shared" ref="P144:P207" si="117">IF(N143=0,"",(L143-L144)/N143)</f>
        <v/>
      </c>
      <c r="Q144" s="16" t="str">
        <f t="shared" si="101"/>
        <v/>
      </c>
      <c r="R144" s="60">
        <f t="shared" ref="R144:R207" si="118">IF(M143=0,0,IF(OR(N143=0,O143="V"),R143-1,IF(OR(D$11="BRADESCO",D$11="BB"),R143-ROUNDDOWN(N143/(M143/R143),0)-1,ROUNDUP((M143-N143+S143-(M143/R143))/(L143-F144-A144-B144),0)+1)))</f>
        <v>260</v>
      </c>
      <c r="S144" s="98">
        <f t="shared" ref="S144:S207" si="119">M143*$T144</f>
        <v>560.56398950304867</v>
      </c>
      <c r="T144" s="21">
        <f t="shared" ref="T144:T207" si="120">IF(M143&gt;0,T143,0)</f>
        <v>1.6999999999999999E-3</v>
      </c>
      <c r="AA144" s="14">
        <f t="shared" si="102"/>
        <v>-4123.3027924588932</v>
      </c>
      <c r="AH144" s="6">
        <f t="shared" si="103"/>
        <v>2</v>
      </c>
      <c r="AI144" s="6">
        <f t="shared" si="104"/>
        <v>4</v>
      </c>
      <c r="AJ144" s="12">
        <f t="shared" si="105"/>
        <v>11</v>
      </c>
      <c r="AK144" s="72">
        <f t="shared" si="95"/>
        <v>30</v>
      </c>
      <c r="AR144">
        <f t="shared" ref="AR144:AR207" si="121">IF(INT(AW144)&gt;0,AR143,0)</f>
        <v>25</v>
      </c>
      <c r="AS144">
        <f t="shared" ref="AS144:AS207" si="122">IF(AW144&gt;0.1,AS143,0)</f>
        <v>75</v>
      </c>
      <c r="AT144" s="183">
        <f t="shared" ref="AT144:AT207" si="123">DATE(YEAR(AT143),MONTH(AT143)+1,1)</f>
        <v>49980</v>
      </c>
      <c r="AU144" s="2">
        <f t="shared" ref="AU144:AU207" si="124">IFERROR(AX144/BD143,0)</f>
        <v>3.8461538461538459E-3</v>
      </c>
      <c r="AV144" s="169">
        <f t="shared" ref="AV144:AV207" si="125">AV143+1</f>
        <v>130</v>
      </c>
      <c r="AW144" s="165">
        <f t="shared" ref="AW144:AW207" si="126">IF(OR(BD143&lt;1,BE143&gt;BD143),0,(BD143-BE143)*IF(AU$11&lt;&gt;"BB",$E$7,(1+$D$7)^(BY143/365)-1))</f>
        <v>2755.0584723162492</v>
      </c>
      <c r="AX144" s="170">
        <f t="shared" si="86"/>
        <v>1268.244320142644</v>
      </c>
      <c r="AY144" s="164" t="str">
        <f t="shared" si="89"/>
        <v>🛵</v>
      </c>
      <c r="AZ144" s="171" t="str">
        <f t="shared" si="106"/>
        <v>🛴</v>
      </c>
      <c r="BA144" s="172">
        <f t="shared" si="107"/>
        <v>707.68033063959535</v>
      </c>
      <c r="BB144" s="173">
        <f t="shared" si="108"/>
        <v>0.17162948399857308</v>
      </c>
      <c r="BC144" s="174">
        <f t="shared" si="109"/>
        <v>4123.3027924588932</v>
      </c>
      <c r="BD144" s="175">
        <f t="shared" ref="BD144:BD207" si="127">IF(BI144=0,0,MAX(0,BD143-AX144+BJ144-BE143))</f>
        <v>329035.84290644788</v>
      </c>
      <c r="BE144" s="176"/>
      <c r="BF144" s="177" t="str">
        <f t="shared" si="94"/>
        <v/>
      </c>
      <c r="BG144" s="178" t="str">
        <f t="shared" ref="BG144:BG207" si="128">IF(BE143=0,"",(BC143-BC144)/BE143)</f>
        <v/>
      </c>
      <c r="BH144" s="179" t="str">
        <f t="shared" si="110"/>
        <v/>
      </c>
      <c r="BI144" s="180">
        <f t="shared" ref="BI144:BI207" si="129">IF(BD143=0,0,IF(OR(BE143=0,BF143="V"),BI143-1,IF(OR(AU$11="BRADESCO",AU$11="BB"),BI143-ROUNDDOWN(BE143/(BD143/BI143),0)-1,ROUNDUP((BD143-BE143+BJ143-(BD143/BI143))/(BC143-AW144-AR144-AS144),0)+1)))</f>
        <v>260</v>
      </c>
      <c r="BJ144" s="181">
        <f t="shared" si="87"/>
        <v>560.56398950304867</v>
      </c>
      <c r="BK144" s="182">
        <f t="shared" ref="BK144:BK207" si="130">IF(BD143&gt;0,BK143,0)</f>
        <v>1.6999999999999999E-3</v>
      </c>
    </row>
    <row r="145" spans="1:63" x14ac:dyDescent="0.25">
      <c r="A145" s="7">
        <f t="shared" si="111"/>
        <v>25</v>
      </c>
      <c r="B145" s="7">
        <f t="shared" si="112"/>
        <v>75</v>
      </c>
      <c r="C145" s="115">
        <f t="shared" si="113"/>
        <v>50010</v>
      </c>
      <c r="D145" s="2">
        <f t="shared" si="96"/>
        <v>3.8610038610038607E-3</v>
      </c>
      <c r="E145" s="169">
        <f t="shared" si="114"/>
        <v>131</v>
      </c>
      <c r="F145" s="165">
        <f t="shared" si="115"/>
        <v>2749.145692979509</v>
      </c>
      <c r="G145" s="170">
        <f t="shared" ref="G145:G208" si="131">IF(R145=0,0,IF(M144&lt;1,0,IF(AND(AND(((M144-N144)/R145)&lt;G144,O144&lt;&gt;"V"),D$11&lt;&gt;"BRADESCO"),G144,  (M144-N144)/R145)))</f>
        <v>1270.408659870455</v>
      </c>
      <c r="H145" s="164" t="str">
        <f t="shared" si="88"/>
        <v>🛵</v>
      </c>
      <c r="I145" s="171" t="str">
        <f t="shared" si="97"/>
        <v>🛴</v>
      </c>
      <c r="J145" s="172">
        <f t="shared" si="98"/>
        <v>711.04772692949371</v>
      </c>
      <c r="K145" s="173">
        <f t="shared" si="99"/>
        <v>0.17260306965912009</v>
      </c>
      <c r="L145" s="174">
        <f t="shared" si="100"/>
        <v>4119.5543528499638</v>
      </c>
      <c r="M145" s="175">
        <f t="shared" si="116"/>
        <v>328324.79517951841</v>
      </c>
      <c r="N145" s="198"/>
      <c r="O145" s="37" t="str">
        <f t="shared" si="93"/>
        <v/>
      </c>
      <c r="P145" s="62" t="str">
        <f t="shared" si="117"/>
        <v/>
      </c>
      <c r="Q145" s="16" t="str">
        <f t="shared" si="101"/>
        <v/>
      </c>
      <c r="R145" s="60">
        <f t="shared" si="118"/>
        <v>259</v>
      </c>
      <c r="S145" s="98">
        <f t="shared" si="119"/>
        <v>559.36093294096133</v>
      </c>
      <c r="T145" s="21">
        <f t="shared" si="120"/>
        <v>1.6999999999999999E-3</v>
      </c>
      <c r="AA145" s="14">
        <f t="shared" si="102"/>
        <v>-4119.5543528499638</v>
      </c>
      <c r="AH145" s="6">
        <f t="shared" si="103"/>
        <v>2</v>
      </c>
      <c r="AI145" s="6">
        <f t="shared" si="104"/>
        <v>4</v>
      </c>
      <c r="AJ145" s="12">
        <f t="shared" si="105"/>
        <v>11</v>
      </c>
      <c r="AK145" s="72">
        <f t="shared" si="95"/>
        <v>31</v>
      </c>
      <c r="AR145">
        <f t="shared" si="121"/>
        <v>25</v>
      </c>
      <c r="AS145">
        <f t="shared" si="122"/>
        <v>75</v>
      </c>
      <c r="AT145" s="183">
        <f t="shared" si="123"/>
        <v>50010</v>
      </c>
      <c r="AU145" s="2">
        <f t="shared" si="124"/>
        <v>3.8610038610038607E-3</v>
      </c>
      <c r="AV145" s="169">
        <f t="shared" si="125"/>
        <v>131</v>
      </c>
      <c r="AW145" s="165">
        <f t="shared" si="126"/>
        <v>2749.145692979509</v>
      </c>
      <c r="AX145" s="170">
        <f t="shared" ref="AX145:AX208" si="132">IF(BI145=0,0,IF(BD144&lt;1,0,IF(AND(AND(((BD144-BE144)/BI145)&lt;AX144,BF144&lt;&gt;"V"),AU$11&lt;&gt;"BRADESCO"),AX144,  (BD144-BE144)/BI145)))</f>
        <v>1270.408659870455</v>
      </c>
      <c r="AY145" s="164" t="str">
        <f t="shared" si="89"/>
        <v>🛵</v>
      </c>
      <c r="AZ145" s="171" t="str">
        <f t="shared" si="106"/>
        <v>🛴</v>
      </c>
      <c r="BA145" s="172">
        <f t="shared" si="107"/>
        <v>711.04772692949371</v>
      </c>
      <c r="BB145" s="173">
        <f t="shared" si="108"/>
        <v>0.17260306965912009</v>
      </c>
      <c r="BC145" s="174">
        <f t="shared" si="109"/>
        <v>4119.5543528499638</v>
      </c>
      <c r="BD145" s="175">
        <f t="shared" si="127"/>
        <v>328324.79517951841</v>
      </c>
      <c r="BE145" s="176"/>
      <c r="BF145" s="177" t="str">
        <f t="shared" si="94"/>
        <v/>
      </c>
      <c r="BG145" s="178" t="str">
        <f t="shared" si="128"/>
        <v/>
      </c>
      <c r="BH145" s="179" t="str">
        <f t="shared" si="110"/>
        <v/>
      </c>
      <c r="BI145" s="180">
        <f t="shared" si="129"/>
        <v>259</v>
      </c>
      <c r="BJ145" s="181">
        <f t="shared" ref="BJ145:BJ208" si="133">BD144*$BK144</f>
        <v>559.36093294096133</v>
      </c>
      <c r="BK145" s="182">
        <f t="shared" si="130"/>
        <v>1.6999999999999999E-3</v>
      </c>
    </row>
    <row r="146" spans="1:63" x14ac:dyDescent="0.25">
      <c r="A146" s="7">
        <f t="shared" si="111"/>
        <v>25</v>
      </c>
      <c r="B146" s="7">
        <f t="shared" si="112"/>
        <v>75</v>
      </c>
      <c r="C146" s="115">
        <f t="shared" si="113"/>
        <v>50041</v>
      </c>
      <c r="D146" s="2">
        <f t="shared" si="96"/>
        <v>3.875968992248062E-3</v>
      </c>
      <c r="E146" s="169">
        <f t="shared" si="114"/>
        <v>132</v>
      </c>
      <c r="F146" s="165">
        <f t="shared" si="115"/>
        <v>2743.2047785225186</v>
      </c>
      <c r="G146" s="170">
        <f t="shared" si="131"/>
        <v>1272.5767255020094</v>
      </c>
      <c r="H146" s="164" t="str">
        <f t="shared" si="88"/>
        <v>🛵</v>
      </c>
      <c r="I146" s="171" t="str">
        <f t="shared" si="97"/>
        <v>🛴</v>
      </c>
      <c r="J146" s="172">
        <f t="shared" si="98"/>
        <v>714.42457369682813</v>
      </c>
      <c r="K146" s="173">
        <f t="shared" si="99"/>
        <v>0.17358175427880307</v>
      </c>
      <c r="L146" s="174">
        <f t="shared" si="100"/>
        <v>4115.7815040245277</v>
      </c>
      <c r="M146" s="175">
        <f t="shared" si="116"/>
        <v>327610.37060582155</v>
      </c>
      <c r="N146" s="20"/>
      <c r="O146" s="37" t="str">
        <f t="shared" si="93"/>
        <v/>
      </c>
      <c r="P146" s="62" t="str">
        <f t="shared" si="117"/>
        <v/>
      </c>
      <c r="Q146" s="16" t="str">
        <f t="shared" si="101"/>
        <v/>
      </c>
      <c r="R146" s="60">
        <f t="shared" si="118"/>
        <v>258</v>
      </c>
      <c r="S146" s="98">
        <f t="shared" si="119"/>
        <v>558.15215180518123</v>
      </c>
      <c r="T146" s="21">
        <f t="shared" si="120"/>
        <v>1.6999999999999999E-3</v>
      </c>
      <c r="AA146" s="14">
        <f t="shared" si="102"/>
        <v>-4115.7815040245277</v>
      </c>
      <c r="AH146" s="6">
        <f t="shared" si="103"/>
        <v>2</v>
      </c>
      <c r="AI146" s="6">
        <f t="shared" si="104"/>
        <v>4</v>
      </c>
      <c r="AJ146" s="12">
        <f t="shared" si="105"/>
        <v>11</v>
      </c>
      <c r="AK146" s="72">
        <f t="shared" si="95"/>
        <v>31</v>
      </c>
      <c r="AR146">
        <f t="shared" si="121"/>
        <v>25</v>
      </c>
      <c r="AS146">
        <f t="shared" si="122"/>
        <v>75</v>
      </c>
      <c r="AT146" s="183">
        <f t="shared" si="123"/>
        <v>50041</v>
      </c>
      <c r="AU146" s="2">
        <f t="shared" si="124"/>
        <v>3.875968992248062E-3</v>
      </c>
      <c r="AV146" s="169">
        <f t="shared" si="125"/>
        <v>132</v>
      </c>
      <c r="AW146" s="165">
        <f t="shared" si="126"/>
        <v>2743.2047785225186</v>
      </c>
      <c r="AX146" s="170">
        <f t="shared" si="132"/>
        <v>1272.5767255020094</v>
      </c>
      <c r="AY146" s="164" t="str">
        <f t="shared" si="89"/>
        <v>🛵</v>
      </c>
      <c r="AZ146" s="171" t="str">
        <f t="shared" si="106"/>
        <v>🛴</v>
      </c>
      <c r="BA146" s="172">
        <f t="shared" si="107"/>
        <v>714.42457369682813</v>
      </c>
      <c r="BB146" s="173">
        <f t="shared" si="108"/>
        <v>0.17358175427880307</v>
      </c>
      <c r="BC146" s="174">
        <f t="shared" si="109"/>
        <v>4115.7815040245277</v>
      </c>
      <c r="BD146" s="175">
        <f t="shared" si="127"/>
        <v>327610.37060582155</v>
      </c>
      <c r="BE146" s="176"/>
      <c r="BF146" s="177" t="str">
        <f t="shared" si="94"/>
        <v/>
      </c>
      <c r="BG146" s="178" t="str">
        <f t="shared" si="128"/>
        <v/>
      </c>
      <c r="BH146" s="179" t="str">
        <f t="shared" si="110"/>
        <v/>
      </c>
      <c r="BI146" s="180">
        <f t="shared" si="129"/>
        <v>258</v>
      </c>
      <c r="BJ146" s="181">
        <f t="shared" si="133"/>
        <v>558.15215180518123</v>
      </c>
      <c r="BK146" s="182">
        <f t="shared" si="130"/>
        <v>1.6999999999999999E-3</v>
      </c>
    </row>
    <row r="147" spans="1:63" x14ac:dyDescent="0.25">
      <c r="A147" s="7">
        <f t="shared" si="111"/>
        <v>25</v>
      </c>
      <c r="B147" s="7">
        <f t="shared" si="112"/>
        <v>75</v>
      </c>
      <c r="C147" s="115">
        <f t="shared" si="113"/>
        <v>50072</v>
      </c>
      <c r="D147" s="2">
        <f t="shared" si="96"/>
        <v>3.8910505836575872E-3</v>
      </c>
      <c r="E147" s="169">
        <f t="shared" si="114"/>
        <v>133</v>
      </c>
      <c r="F147" s="165">
        <f t="shared" si="115"/>
        <v>2737.2356499850666</v>
      </c>
      <c r="G147" s="170">
        <f t="shared" si="131"/>
        <v>1274.7485237580604</v>
      </c>
      <c r="H147" s="164" t="str">
        <f t="shared" si="88"/>
        <v>🛵</v>
      </c>
      <c r="I147" s="171" t="str">
        <f t="shared" si="97"/>
        <v>🛴</v>
      </c>
      <c r="J147" s="172">
        <f t="shared" si="98"/>
        <v>717.81089372816382</v>
      </c>
      <c r="K147" s="173">
        <f t="shared" si="99"/>
        <v>0.1745655779299225</v>
      </c>
      <c r="L147" s="174">
        <f t="shared" si="100"/>
        <v>4111.984173743127</v>
      </c>
      <c r="M147" s="175">
        <f t="shared" si="116"/>
        <v>326892.55971209338</v>
      </c>
      <c r="N147" s="20"/>
      <c r="O147" s="37" t="str">
        <f t="shared" si="93"/>
        <v/>
      </c>
      <c r="P147" s="62" t="str">
        <f t="shared" si="117"/>
        <v/>
      </c>
      <c r="Q147" s="16" t="str">
        <f t="shared" si="101"/>
        <v/>
      </c>
      <c r="R147" s="60">
        <f t="shared" si="118"/>
        <v>257</v>
      </c>
      <c r="S147" s="98">
        <f t="shared" si="119"/>
        <v>556.93763002989658</v>
      </c>
      <c r="T147" s="21">
        <f t="shared" si="120"/>
        <v>1.6999999999999999E-3</v>
      </c>
      <c r="AA147" s="14">
        <f t="shared" si="102"/>
        <v>-4111.984173743127</v>
      </c>
      <c r="AH147" s="6">
        <f t="shared" si="103"/>
        <v>2</v>
      </c>
      <c r="AI147" s="6">
        <f t="shared" si="104"/>
        <v>4</v>
      </c>
      <c r="AJ147" s="12">
        <f t="shared" si="105"/>
        <v>12</v>
      </c>
      <c r="AK147" s="72">
        <f t="shared" si="95"/>
        <v>28</v>
      </c>
      <c r="AR147">
        <f t="shared" si="121"/>
        <v>25</v>
      </c>
      <c r="AS147">
        <f t="shared" si="122"/>
        <v>75</v>
      </c>
      <c r="AT147" s="183">
        <f t="shared" si="123"/>
        <v>50072</v>
      </c>
      <c r="AU147" s="2">
        <f t="shared" si="124"/>
        <v>3.8910505836575872E-3</v>
      </c>
      <c r="AV147" s="169">
        <f t="shared" si="125"/>
        <v>133</v>
      </c>
      <c r="AW147" s="165">
        <f t="shared" si="126"/>
        <v>2737.2356499850666</v>
      </c>
      <c r="AX147" s="170">
        <f t="shared" si="132"/>
        <v>1274.7485237580604</v>
      </c>
      <c r="AY147" s="164" t="str">
        <f t="shared" si="89"/>
        <v>🛵</v>
      </c>
      <c r="AZ147" s="171" t="str">
        <f t="shared" si="106"/>
        <v>🛴</v>
      </c>
      <c r="BA147" s="172">
        <f t="shared" si="107"/>
        <v>717.81089372816382</v>
      </c>
      <c r="BB147" s="173">
        <f t="shared" si="108"/>
        <v>0.1745655779299225</v>
      </c>
      <c r="BC147" s="174">
        <f t="shared" si="109"/>
        <v>4111.984173743127</v>
      </c>
      <c r="BD147" s="175">
        <f t="shared" si="127"/>
        <v>326892.55971209338</v>
      </c>
      <c r="BE147" s="176"/>
      <c r="BF147" s="177" t="str">
        <f t="shared" si="94"/>
        <v/>
      </c>
      <c r="BG147" s="178" t="str">
        <f t="shared" si="128"/>
        <v/>
      </c>
      <c r="BH147" s="179" t="str">
        <f t="shared" si="110"/>
        <v/>
      </c>
      <c r="BI147" s="180">
        <f t="shared" si="129"/>
        <v>257</v>
      </c>
      <c r="BJ147" s="181">
        <f t="shared" si="133"/>
        <v>556.93763002989658</v>
      </c>
      <c r="BK147" s="182">
        <f t="shared" si="130"/>
        <v>1.6999999999999999E-3</v>
      </c>
    </row>
    <row r="148" spans="1:63" x14ac:dyDescent="0.25">
      <c r="A148" s="7">
        <f t="shared" si="111"/>
        <v>25</v>
      </c>
      <c r="B148" s="7">
        <f t="shared" si="112"/>
        <v>75</v>
      </c>
      <c r="C148" s="115">
        <f t="shared" si="113"/>
        <v>50100</v>
      </c>
      <c r="D148" s="2">
        <f t="shared" si="96"/>
        <v>3.90625E-3</v>
      </c>
      <c r="E148" s="169">
        <f t="shared" si="114"/>
        <v>134</v>
      </c>
      <c r="F148" s="165">
        <f t="shared" si="115"/>
        <v>2731.2382282165581</v>
      </c>
      <c r="G148" s="170">
        <f t="shared" si="131"/>
        <v>1276.9240613753648</v>
      </c>
      <c r="H148" s="164" t="str">
        <f t="shared" si="88"/>
        <v>🛵</v>
      </c>
      <c r="I148" s="171" t="str">
        <f t="shared" si="97"/>
        <v>🛴</v>
      </c>
      <c r="J148" s="172">
        <f t="shared" si="98"/>
        <v>721.20670986480604</v>
      </c>
      <c r="K148" s="173">
        <f t="shared" si="99"/>
        <v>0.17555458110600736</v>
      </c>
      <c r="L148" s="174">
        <f t="shared" si="100"/>
        <v>4108.1622895919227</v>
      </c>
      <c r="M148" s="175">
        <f t="shared" si="116"/>
        <v>326171.35300222854</v>
      </c>
      <c r="N148" s="20"/>
      <c r="O148" s="37" t="str">
        <f t="shared" si="93"/>
        <v/>
      </c>
      <c r="P148" s="62" t="str">
        <f t="shared" si="117"/>
        <v/>
      </c>
      <c r="Q148" s="16" t="str">
        <f t="shared" si="101"/>
        <v/>
      </c>
      <c r="R148" s="60">
        <f t="shared" si="118"/>
        <v>256</v>
      </c>
      <c r="S148" s="98">
        <f t="shared" si="119"/>
        <v>555.71735151055873</v>
      </c>
      <c r="T148" s="21">
        <f t="shared" si="120"/>
        <v>1.6999999999999999E-3</v>
      </c>
      <c r="AA148" s="14">
        <f t="shared" si="102"/>
        <v>-4108.1622895919227</v>
      </c>
      <c r="AH148" s="6">
        <f t="shared" si="103"/>
        <v>2</v>
      </c>
      <c r="AI148" s="6">
        <f t="shared" si="104"/>
        <v>4</v>
      </c>
      <c r="AJ148" s="12">
        <f t="shared" si="105"/>
        <v>12</v>
      </c>
      <c r="AK148" s="72">
        <f t="shared" si="95"/>
        <v>31</v>
      </c>
      <c r="AR148">
        <f t="shared" si="121"/>
        <v>25</v>
      </c>
      <c r="AS148">
        <f t="shared" si="122"/>
        <v>75</v>
      </c>
      <c r="AT148" s="183">
        <f t="shared" si="123"/>
        <v>50100</v>
      </c>
      <c r="AU148" s="2">
        <f t="shared" si="124"/>
        <v>3.90625E-3</v>
      </c>
      <c r="AV148" s="169">
        <f t="shared" si="125"/>
        <v>134</v>
      </c>
      <c r="AW148" s="165">
        <f t="shared" si="126"/>
        <v>2731.2382282165581</v>
      </c>
      <c r="AX148" s="170">
        <f t="shared" si="132"/>
        <v>1276.9240613753648</v>
      </c>
      <c r="AY148" s="164" t="str">
        <f t="shared" si="89"/>
        <v>🛵</v>
      </c>
      <c r="AZ148" s="171" t="str">
        <f t="shared" si="106"/>
        <v>🛴</v>
      </c>
      <c r="BA148" s="172">
        <f t="shared" si="107"/>
        <v>721.20670986480604</v>
      </c>
      <c r="BB148" s="173">
        <f t="shared" si="108"/>
        <v>0.17555458110600736</v>
      </c>
      <c r="BC148" s="174">
        <f t="shared" si="109"/>
        <v>4108.1622895919227</v>
      </c>
      <c r="BD148" s="175">
        <f t="shared" si="127"/>
        <v>326171.35300222854</v>
      </c>
      <c r="BE148" s="176"/>
      <c r="BF148" s="177" t="str">
        <f t="shared" si="94"/>
        <v/>
      </c>
      <c r="BG148" s="178" t="str">
        <f t="shared" si="128"/>
        <v/>
      </c>
      <c r="BH148" s="179" t="str">
        <f t="shared" si="110"/>
        <v/>
      </c>
      <c r="BI148" s="180">
        <f t="shared" si="129"/>
        <v>256</v>
      </c>
      <c r="BJ148" s="181">
        <f t="shared" si="133"/>
        <v>555.71735151055873</v>
      </c>
      <c r="BK148" s="182">
        <f t="shared" si="130"/>
        <v>1.6999999999999999E-3</v>
      </c>
    </row>
    <row r="149" spans="1:63" x14ac:dyDescent="0.25">
      <c r="A149" s="7">
        <f t="shared" si="111"/>
        <v>25</v>
      </c>
      <c r="B149" s="7">
        <f t="shared" si="112"/>
        <v>75</v>
      </c>
      <c r="C149" s="115">
        <f t="shared" si="113"/>
        <v>50131</v>
      </c>
      <c r="D149" s="2">
        <f t="shared" si="96"/>
        <v>3.9215686274509803E-3</v>
      </c>
      <c r="E149" s="169">
        <f t="shared" si="114"/>
        <v>135</v>
      </c>
      <c r="F149" s="165">
        <f t="shared" si="115"/>
        <v>2725.2124338755552</v>
      </c>
      <c r="G149" s="170">
        <f t="shared" si="131"/>
        <v>1279.1033451067785</v>
      </c>
      <c r="H149" s="164" t="str">
        <f t="shared" si="88"/>
        <v>🛵</v>
      </c>
      <c r="I149" s="171" t="str">
        <f t="shared" si="97"/>
        <v>🛴</v>
      </c>
      <c r="J149" s="172">
        <f t="shared" si="98"/>
        <v>724.61204500299004</v>
      </c>
      <c r="K149" s="173">
        <f t="shared" si="99"/>
        <v>0.17654880472736381</v>
      </c>
      <c r="L149" s="174">
        <f t="shared" si="100"/>
        <v>4104.3157789823335</v>
      </c>
      <c r="M149" s="175">
        <f t="shared" si="116"/>
        <v>325446.74095722556</v>
      </c>
      <c r="N149" s="20"/>
      <c r="O149" s="37" t="str">
        <f t="shared" si="93"/>
        <v/>
      </c>
      <c r="P149" s="62" t="str">
        <f t="shared" si="117"/>
        <v/>
      </c>
      <c r="Q149" s="16" t="str">
        <f t="shared" si="101"/>
        <v/>
      </c>
      <c r="R149" s="60">
        <f t="shared" si="118"/>
        <v>255</v>
      </c>
      <c r="S149" s="98">
        <f t="shared" si="119"/>
        <v>554.49130010378849</v>
      </c>
      <c r="T149" s="21">
        <f t="shared" si="120"/>
        <v>1.6999999999999999E-3</v>
      </c>
      <c r="AA149" s="14">
        <f t="shared" si="102"/>
        <v>-4104.3157789823335</v>
      </c>
      <c r="AH149" s="6">
        <f t="shared" si="103"/>
        <v>2</v>
      </c>
      <c r="AI149" s="6">
        <f t="shared" si="104"/>
        <v>4</v>
      </c>
      <c r="AJ149" s="12">
        <f t="shared" si="105"/>
        <v>12</v>
      </c>
      <c r="AK149" s="72">
        <f t="shared" si="95"/>
        <v>30</v>
      </c>
      <c r="AR149">
        <f t="shared" si="121"/>
        <v>25</v>
      </c>
      <c r="AS149">
        <f t="shared" si="122"/>
        <v>75</v>
      </c>
      <c r="AT149" s="183">
        <f t="shared" si="123"/>
        <v>50131</v>
      </c>
      <c r="AU149" s="2">
        <f t="shared" si="124"/>
        <v>3.9215686274509803E-3</v>
      </c>
      <c r="AV149" s="169">
        <f t="shared" si="125"/>
        <v>135</v>
      </c>
      <c r="AW149" s="165">
        <f t="shared" si="126"/>
        <v>2725.2124338755552</v>
      </c>
      <c r="AX149" s="170">
        <f t="shared" si="132"/>
        <v>1279.1033451067785</v>
      </c>
      <c r="AY149" s="164" t="str">
        <f t="shared" si="89"/>
        <v>🛵</v>
      </c>
      <c r="AZ149" s="171" t="str">
        <f t="shared" si="106"/>
        <v>🛴</v>
      </c>
      <c r="BA149" s="172">
        <f t="shared" si="107"/>
        <v>724.61204500299004</v>
      </c>
      <c r="BB149" s="173">
        <f t="shared" si="108"/>
        <v>0.17654880472736381</v>
      </c>
      <c r="BC149" s="174">
        <f t="shared" si="109"/>
        <v>4104.3157789823335</v>
      </c>
      <c r="BD149" s="175">
        <f t="shared" si="127"/>
        <v>325446.74095722556</v>
      </c>
      <c r="BE149" s="176"/>
      <c r="BF149" s="177" t="str">
        <f t="shared" si="94"/>
        <v/>
      </c>
      <c r="BG149" s="178" t="str">
        <f t="shared" si="128"/>
        <v/>
      </c>
      <c r="BH149" s="179" t="str">
        <f t="shared" si="110"/>
        <v/>
      </c>
      <c r="BI149" s="180">
        <f t="shared" si="129"/>
        <v>255</v>
      </c>
      <c r="BJ149" s="181">
        <f t="shared" si="133"/>
        <v>554.49130010378849</v>
      </c>
      <c r="BK149" s="182">
        <f t="shared" si="130"/>
        <v>1.6999999999999999E-3</v>
      </c>
    </row>
    <row r="150" spans="1:63" x14ac:dyDescent="0.25">
      <c r="A150" s="7">
        <f t="shared" si="111"/>
        <v>25</v>
      </c>
      <c r="B150" s="7">
        <f t="shared" si="112"/>
        <v>75</v>
      </c>
      <c r="C150" s="115">
        <f t="shared" si="113"/>
        <v>50161</v>
      </c>
      <c r="D150" s="2">
        <f t="shared" si="96"/>
        <v>3.937007874015748E-3</v>
      </c>
      <c r="E150" s="169">
        <f t="shared" si="114"/>
        <v>136</v>
      </c>
      <c r="F150" s="165">
        <f t="shared" si="115"/>
        <v>2719.1581874293179</v>
      </c>
      <c r="G150" s="170">
        <f t="shared" si="131"/>
        <v>1281.2863817213604</v>
      </c>
      <c r="H150" s="164" t="str">
        <f t="shared" si="88"/>
        <v>🛵</v>
      </c>
      <c r="I150" s="171" t="str">
        <f t="shared" si="97"/>
        <v>🛴</v>
      </c>
      <c r="J150" s="172">
        <f t="shared" si="98"/>
        <v>728.02692209407701</v>
      </c>
      <c r="K150" s="173">
        <f t="shared" si="99"/>
        <v>0.17754829014671272</v>
      </c>
      <c r="L150" s="174">
        <f t="shared" si="100"/>
        <v>4100.444569150678</v>
      </c>
      <c r="M150" s="175">
        <f t="shared" si="116"/>
        <v>324718.71403513144</v>
      </c>
      <c r="N150" s="20"/>
      <c r="O150" s="37" t="str">
        <f t="shared" si="93"/>
        <v/>
      </c>
      <c r="P150" s="62" t="str">
        <f t="shared" si="117"/>
        <v/>
      </c>
      <c r="Q150" s="16" t="str">
        <f t="shared" si="101"/>
        <v/>
      </c>
      <c r="R150" s="60">
        <f t="shared" si="118"/>
        <v>254</v>
      </c>
      <c r="S150" s="98">
        <f t="shared" si="119"/>
        <v>553.25945962728338</v>
      </c>
      <c r="T150" s="21">
        <f t="shared" si="120"/>
        <v>1.6999999999999999E-3</v>
      </c>
      <c r="AA150" s="14">
        <f t="shared" si="102"/>
        <v>-4100.444569150678</v>
      </c>
      <c r="AH150" s="6">
        <f t="shared" si="103"/>
        <v>2</v>
      </c>
      <c r="AI150" s="6">
        <f t="shared" si="104"/>
        <v>4</v>
      </c>
      <c r="AJ150" s="12">
        <f t="shared" si="105"/>
        <v>12</v>
      </c>
      <c r="AK150" s="72">
        <f t="shared" si="95"/>
        <v>31</v>
      </c>
      <c r="AR150">
        <f t="shared" si="121"/>
        <v>25</v>
      </c>
      <c r="AS150">
        <f t="shared" si="122"/>
        <v>75</v>
      </c>
      <c r="AT150" s="183">
        <f t="shared" si="123"/>
        <v>50161</v>
      </c>
      <c r="AU150" s="2">
        <f t="shared" si="124"/>
        <v>3.937007874015748E-3</v>
      </c>
      <c r="AV150" s="169">
        <f t="shared" si="125"/>
        <v>136</v>
      </c>
      <c r="AW150" s="165">
        <f t="shared" si="126"/>
        <v>2719.1581874293179</v>
      </c>
      <c r="AX150" s="170">
        <f t="shared" si="132"/>
        <v>1281.2863817213604</v>
      </c>
      <c r="AY150" s="164" t="str">
        <f t="shared" si="89"/>
        <v>🛵</v>
      </c>
      <c r="AZ150" s="171" t="str">
        <f t="shared" si="106"/>
        <v>🛴</v>
      </c>
      <c r="BA150" s="172">
        <f t="shared" si="107"/>
        <v>728.02692209407701</v>
      </c>
      <c r="BB150" s="173">
        <f t="shared" si="108"/>
        <v>0.17754829014671272</v>
      </c>
      <c r="BC150" s="174">
        <f t="shared" si="109"/>
        <v>4100.444569150678</v>
      </c>
      <c r="BD150" s="175">
        <f t="shared" si="127"/>
        <v>324718.71403513144</v>
      </c>
      <c r="BE150" s="176"/>
      <c r="BF150" s="177" t="str">
        <f t="shared" si="94"/>
        <v/>
      </c>
      <c r="BG150" s="178" t="str">
        <f t="shared" si="128"/>
        <v/>
      </c>
      <c r="BH150" s="179" t="str">
        <f t="shared" si="110"/>
        <v/>
      </c>
      <c r="BI150" s="180">
        <f t="shared" si="129"/>
        <v>254</v>
      </c>
      <c r="BJ150" s="181">
        <f t="shared" si="133"/>
        <v>553.25945962728338</v>
      </c>
      <c r="BK150" s="182">
        <f t="shared" si="130"/>
        <v>1.6999999999999999E-3</v>
      </c>
    </row>
    <row r="151" spans="1:63" x14ac:dyDescent="0.25">
      <c r="A151" s="7">
        <f t="shared" si="111"/>
        <v>25</v>
      </c>
      <c r="B151" s="7">
        <f t="shared" si="112"/>
        <v>75</v>
      </c>
      <c r="C151" s="115">
        <f t="shared" si="113"/>
        <v>50192</v>
      </c>
      <c r="D151" s="2">
        <f t="shared" si="96"/>
        <v>3.9525691699604749E-3</v>
      </c>
      <c r="E151" s="169">
        <f t="shared" si="114"/>
        <v>137</v>
      </c>
      <c r="F151" s="165">
        <f t="shared" si="115"/>
        <v>2713.075409153344</v>
      </c>
      <c r="G151" s="170">
        <f t="shared" si="131"/>
        <v>1283.4731780044722</v>
      </c>
      <c r="H151" s="164" t="str">
        <f t="shared" si="88"/>
        <v>🛵</v>
      </c>
      <c r="I151" s="171" t="str">
        <f t="shared" si="97"/>
        <v>🛴</v>
      </c>
      <c r="J151" s="172">
        <f t="shared" si="98"/>
        <v>731.45136414474871</v>
      </c>
      <c r="K151" s="173">
        <f t="shared" si="99"/>
        <v>0.17855307915491594</v>
      </c>
      <c r="L151" s="174">
        <f t="shared" si="100"/>
        <v>4096.5485871578167</v>
      </c>
      <c r="M151" s="175">
        <f t="shared" si="116"/>
        <v>323987.26267098665</v>
      </c>
      <c r="N151" s="20"/>
      <c r="O151" s="37" t="str">
        <f t="shared" si="93"/>
        <v/>
      </c>
      <c r="P151" s="62" t="str">
        <f t="shared" si="117"/>
        <v/>
      </c>
      <c r="Q151" s="16" t="str">
        <f t="shared" si="101"/>
        <v/>
      </c>
      <c r="R151" s="60">
        <f t="shared" si="118"/>
        <v>253</v>
      </c>
      <c r="S151" s="98">
        <f t="shared" si="119"/>
        <v>552.02181385972347</v>
      </c>
      <c r="T151" s="21">
        <f t="shared" si="120"/>
        <v>1.6999999999999999E-3</v>
      </c>
      <c r="AA151" s="14">
        <f t="shared" si="102"/>
        <v>-4096.5485871578167</v>
      </c>
      <c r="AH151" s="6">
        <f t="shared" si="103"/>
        <v>2</v>
      </c>
      <c r="AI151" s="6">
        <f t="shared" si="104"/>
        <v>4</v>
      </c>
      <c r="AJ151" s="12">
        <f t="shared" si="105"/>
        <v>12</v>
      </c>
      <c r="AK151" s="72">
        <f t="shared" si="95"/>
        <v>30</v>
      </c>
      <c r="AR151">
        <f t="shared" si="121"/>
        <v>25</v>
      </c>
      <c r="AS151">
        <f t="shared" si="122"/>
        <v>75</v>
      </c>
      <c r="AT151" s="183">
        <f t="shared" si="123"/>
        <v>50192</v>
      </c>
      <c r="AU151" s="2">
        <f t="shared" si="124"/>
        <v>3.9525691699604749E-3</v>
      </c>
      <c r="AV151" s="169">
        <f t="shared" si="125"/>
        <v>137</v>
      </c>
      <c r="AW151" s="165">
        <f t="shared" si="126"/>
        <v>2713.075409153344</v>
      </c>
      <c r="AX151" s="170">
        <f t="shared" si="132"/>
        <v>1283.4731780044722</v>
      </c>
      <c r="AY151" s="164" t="str">
        <f t="shared" si="89"/>
        <v>🛵</v>
      </c>
      <c r="AZ151" s="171" t="str">
        <f t="shared" si="106"/>
        <v>🛴</v>
      </c>
      <c r="BA151" s="172">
        <f t="shared" si="107"/>
        <v>731.45136414474871</v>
      </c>
      <c r="BB151" s="173">
        <f t="shared" si="108"/>
        <v>0.17855307915491594</v>
      </c>
      <c r="BC151" s="174">
        <f t="shared" si="109"/>
        <v>4096.5485871578167</v>
      </c>
      <c r="BD151" s="175">
        <f t="shared" si="127"/>
        <v>323987.26267098665</v>
      </c>
      <c r="BE151" s="184"/>
      <c r="BF151" s="177" t="str">
        <f t="shared" si="94"/>
        <v/>
      </c>
      <c r="BG151" s="178" t="str">
        <f t="shared" si="128"/>
        <v/>
      </c>
      <c r="BH151" s="179" t="str">
        <f t="shared" si="110"/>
        <v/>
      </c>
      <c r="BI151" s="180">
        <f t="shared" si="129"/>
        <v>253</v>
      </c>
      <c r="BJ151" s="181">
        <f t="shared" si="133"/>
        <v>552.02181385972347</v>
      </c>
      <c r="BK151" s="182">
        <f t="shared" si="130"/>
        <v>1.6999999999999999E-3</v>
      </c>
    </row>
    <row r="152" spans="1:63" x14ac:dyDescent="0.25">
      <c r="A152" s="7">
        <f t="shared" si="111"/>
        <v>25</v>
      </c>
      <c r="B152" s="7">
        <f t="shared" si="112"/>
        <v>75</v>
      </c>
      <c r="C152" s="115">
        <f t="shared" si="113"/>
        <v>50222</v>
      </c>
      <c r="D152" s="2">
        <f t="shared" si="96"/>
        <v>3.968253968253968E-3</v>
      </c>
      <c r="E152" s="169">
        <f t="shared" si="114"/>
        <v>138</v>
      </c>
      <c r="F152" s="165">
        <f t="shared" si="115"/>
        <v>2706.9640191309068</v>
      </c>
      <c r="G152" s="170">
        <f t="shared" si="131"/>
        <v>1285.6637407578835</v>
      </c>
      <c r="H152" s="164" t="str">
        <f t="shared" si="88"/>
        <v>🛵</v>
      </c>
      <c r="I152" s="171" t="str">
        <f t="shared" si="97"/>
        <v>🛴</v>
      </c>
      <c r="J152" s="172">
        <f t="shared" si="98"/>
        <v>734.88539421720623</v>
      </c>
      <c r="K152" s="173">
        <f t="shared" si="99"/>
        <v>0.17956321398679451</v>
      </c>
      <c r="L152" s="174">
        <f t="shared" si="100"/>
        <v>4092.62775988879</v>
      </c>
      <c r="M152" s="175">
        <f t="shared" si="116"/>
        <v>323252.37727676943</v>
      </c>
      <c r="N152" s="20"/>
      <c r="O152" s="37" t="str">
        <f t="shared" si="93"/>
        <v/>
      </c>
      <c r="P152" s="62" t="str">
        <f t="shared" si="117"/>
        <v/>
      </c>
      <c r="Q152" s="16" t="str">
        <f t="shared" si="101"/>
        <v/>
      </c>
      <c r="R152" s="60">
        <f t="shared" si="118"/>
        <v>252</v>
      </c>
      <c r="S152" s="98">
        <f t="shared" si="119"/>
        <v>550.77834654067726</v>
      </c>
      <c r="T152" s="21">
        <f t="shared" si="120"/>
        <v>1.6999999999999999E-3</v>
      </c>
      <c r="AA152" s="14">
        <f t="shared" si="102"/>
        <v>-4092.62775988879</v>
      </c>
      <c r="AH152" s="6">
        <f t="shared" si="103"/>
        <v>2</v>
      </c>
      <c r="AI152" s="6">
        <f t="shared" si="104"/>
        <v>4</v>
      </c>
      <c r="AJ152" s="12">
        <f t="shared" si="105"/>
        <v>12</v>
      </c>
      <c r="AK152" s="72">
        <f t="shared" si="95"/>
        <v>31</v>
      </c>
      <c r="AR152">
        <f t="shared" si="121"/>
        <v>25</v>
      </c>
      <c r="AS152">
        <f t="shared" si="122"/>
        <v>75</v>
      </c>
      <c r="AT152" s="183">
        <f t="shared" si="123"/>
        <v>50222</v>
      </c>
      <c r="AU152" s="2">
        <f t="shared" si="124"/>
        <v>3.968253968253968E-3</v>
      </c>
      <c r="AV152" s="169">
        <f t="shared" si="125"/>
        <v>138</v>
      </c>
      <c r="AW152" s="165">
        <f t="shared" si="126"/>
        <v>2706.9640191309068</v>
      </c>
      <c r="AX152" s="170">
        <f t="shared" si="132"/>
        <v>1285.6637407578835</v>
      </c>
      <c r="AY152" s="164" t="str">
        <f t="shared" si="89"/>
        <v>🛵</v>
      </c>
      <c r="AZ152" s="171" t="str">
        <f t="shared" si="106"/>
        <v>🛴</v>
      </c>
      <c r="BA152" s="172">
        <f t="shared" si="107"/>
        <v>734.88539421720623</v>
      </c>
      <c r="BB152" s="173">
        <f t="shared" si="108"/>
        <v>0.17956321398679451</v>
      </c>
      <c r="BC152" s="174">
        <f t="shared" si="109"/>
        <v>4092.62775988879</v>
      </c>
      <c r="BD152" s="175">
        <f t="shared" si="127"/>
        <v>323252.37727676943</v>
      </c>
      <c r="BE152" s="176"/>
      <c r="BF152" s="177" t="str">
        <f t="shared" si="94"/>
        <v/>
      </c>
      <c r="BG152" s="178" t="str">
        <f t="shared" si="128"/>
        <v/>
      </c>
      <c r="BH152" s="179" t="str">
        <f t="shared" si="110"/>
        <v/>
      </c>
      <c r="BI152" s="180">
        <f t="shared" si="129"/>
        <v>252</v>
      </c>
      <c r="BJ152" s="181">
        <f t="shared" si="133"/>
        <v>550.77834654067726</v>
      </c>
      <c r="BK152" s="182">
        <f t="shared" si="130"/>
        <v>1.6999999999999999E-3</v>
      </c>
    </row>
    <row r="153" spans="1:63" x14ac:dyDescent="0.25">
      <c r="A153" s="7">
        <f t="shared" si="111"/>
        <v>25</v>
      </c>
      <c r="B153" s="7">
        <f t="shared" si="112"/>
        <v>75</v>
      </c>
      <c r="C153" s="115">
        <f t="shared" si="113"/>
        <v>50253</v>
      </c>
      <c r="D153" s="2">
        <f t="shared" si="96"/>
        <v>3.9840637450199202E-3</v>
      </c>
      <c r="E153" s="169">
        <f t="shared" si="114"/>
        <v>139</v>
      </c>
      <c r="F153" s="165">
        <f t="shared" si="115"/>
        <v>2700.8239372525923</v>
      </c>
      <c r="G153" s="170">
        <f t="shared" si="131"/>
        <v>1287.8580767998783</v>
      </c>
      <c r="H153" s="164" t="str">
        <f t="shared" si="88"/>
        <v>🛵</v>
      </c>
      <c r="I153" s="171" t="str">
        <f t="shared" si="97"/>
        <v>🛴</v>
      </c>
      <c r="J153" s="172">
        <f t="shared" si="98"/>
        <v>738.32903542937026</v>
      </c>
      <c r="K153" s="173">
        <f t="shared" si="99"/>
        <v>0.18057873732703911</v>
      </c>
      <c r="L153" s="174">
        <f t="shared" si="100"/>
        <v>4088.6820140524705</v>
      </c>
      <c r="M153" s="175">
        <f t="shared" si="116"/>
        <v>322514.04824134003</v>
      </c>
      <c r="N153" s="20"/>
      <c r="O153" s="37" t="str">
        <f t="shared" si="93"/>
        <v/>
      </c>
      <c r="P153" s="62" t="str">
        <f t="shared" si="117"/>
        <v/>
      </c>
      <c r="Q153" s="16" t="str">
        <f t="shared" si="101"/>
        <v/>
      </c>
      <c r="R153" s="60">
        <f t="shared" si="118"/>
        <v>251</v>
      </c>
      <c r="S153" s="98">
        <f t="shared" si="119"/>
        <v>549.52904137050803</v>
      </c>
      <c r="T153" s="21">
        <f t="shared" si="120"/>
        <v>1.6999999999999999E-3</v>
      </c>
      <c r="AA153" s="14">
        <f t="shared" si="102"/>
        <v>-4088.6820140524705</v>
      </c>
      <c r="AH153" s="6">
        <f t="shared" si="103"/>
        <v>2</v>
      </c>
      <c r="AI153" s="6">
        <f t="shared" si="104"/>
        <v>4</v>
      </c>
      <c r="AJ153" s="12">
        <f t="shared" si="105"/>
        <v>12</v>
      </c>
      <c r="AK153" s="72">
        <f t="shared" si="95"/>
        <v>31</v>
      </c>
      <c r="AR153">
        <f t="shared" si="121"/>
        <v>25</v>
      </c>
      <c r="AS153">
        <f t="shared" si="122"/>
        <v>75</v>
      </c>
      <c r="AT153" s="183">
        <f t="shared" si="123"/>
        <v>50253</v>
      </c>
      <c r="AU153" s="2">
        <f t="shared" si="124"/>
        <v>3.9840637450199202E-3</v>
      </c>
      <c r="AV153" s="169">
        <f t="shared" si="125"/>
        <v>139</v>
      </c>
      <c r="AW153" s="165">
        <f t="shared" si="126"/>
        <v>2700.8239372525923</v>
      </c>
      <c r="AX153" s="170">
        <f t="shared" si="132"/>
        <v>1287.8580767998783</v>
      </c>
      <c r="AY153" s="164" t="str">
        <f t="shared" si="89"/>
        <v>🛵</v>
      </c>
      <c r="AZ153" s="171" t="str">
        <f t="shared" si="106"/>
        <v>🛴</v>
      </c>
      <c r="BA153" s="172">
        <f t="shared" si="107"/>
        <v>738.32903542937026</v>
      </c>
      <c r="BB153" s="173">
        <f t="shared" si="108"/>
        <v>0.18057873732703911</v>
      </c>
      <c r="BC153" s="174">
        <f t="shared" si="109"/>
        <v>4088.6820140524705</v>
      </c>
      <c r="BD153" s="175">
        <f t="shared" si="127"/>
        <v>322514.04824134003</v>
      </c>
      <c r="BE153" s="176"/>
      <c r="BF153" s="177" t="str">
        <f t="shared" si="94"/>
        <v/>
      </c>
      <c r="BG153" s="178" t="str">
        <f t="shared" si="128"/>
        <v/>
      </c>
      <c r="BH153" s="179" t="str">
        <f t="shared" si="110"/>
        <v/>
      </c>
      <c r="BI153" s="180">
        <f t="shared" si="129"/>
        <v>251</v>
      </c>
      <c r="BJ153" s="181">
        <f t="shared" si="133"/>
        <v>549.52904137050803</v>
      </c>
      <c r="BK153" s="182">
        <f t="shared" si="130"/>
        <v>1.6999999999999999E-3</v>
      </c>
    </row>
    <row r="154" spans="1:63" x14ac:dyDescent="0.25">
      <c r="A154" s="7">
        <f t="shared" si="111"/>
        <v>25</v>
      </c>
      <c r="B154" s="7">
        <f t="shared" si="112"/>
        <v>75</v>
      </c>
      <c r="C154" s="115">
        <f t="shared" si="113"/>
        <v>50284</v>
      </c>
      <c r="D154" s="2">
        <f t="shared" si="96"/>
        <v>4.0000000000000001E-3</v>
      </c>
      <c r="E154" s="169">
        <f t="shared" si="114"/>
        <v>140</v>
      </c>
      <c r="F154" s="165">
        <f t="shared" si="115"/>
        <v>2694.6550832158314</v>
      </c>
      <c r="G154" s="170">
        <f t="shared" si="131"/>
        <v>1290.0561929653602</v>
      </c>
      <c r="H154" s="164" t="str">
        <f t="shared" ref="H154:H217" si="134">IF(OR(G154=0,L154&lt;1),"",IF(G154/L154&gt;90%,"🛩",IF(G154/L154&gt;70%,"🏎",IF(G154/L154&gt;50%,"🚙",IF(G154/L154&gt;30%,"🛵",IF(G154/L154&gt;15%,"🐢","⚓️"))))))</f>
        <v>🛵</v>
      </c>
      <c r="I154" s="171" t="str">
        <f t="shared" si="97"/>
        <v>🛴</v>
      </c>
      <c r="J154" s="172">
        <f t="shared" si="98"/>
        <v>741.78231095508215</v>
      </c>
      <c r="K154" s="173">
        <f t="shared" si="99"/>
        <v>0.18159969231621595</v>
      </c>
      <c r="L154" s="174">
        <f t="shared" si="100"/>
        <v>4084.7112761811914</v>
      </c>
      <c r="M154" s="175">
        <f t="shared" si="116"/>
        <v>321772.26593038492</v>
      </c>
      <c r="N154" s="20"/>
      <c r="O154" s="37" t="str">
        <f t="shared" si="93"/>
        <v/>
      </c>
      <c r="P154" s="62" t="str">
        <f t="shared" si="117"/>
        <v/>
      </c>
      <c r="Q154" s="16" t="str">
        <f t="shared" si="101"/>
        <v/>
      </c>
      <c r="R154" s="60">
        <f t="shared" si="118"/>
        <v>250</v>
      </c>
      <c r="S154" s="98">
        <f t="shared" si="119"/>
        <v>548.27388201027804</v>
      </c>
      <c r="T154" s="21">
        <f t="shared" si="120"/>
        <v>1.6999999999999999E-3</v>
      </c>
      <c r="AA154" s="14">
        <f t="shared" si="102"/>
        <v>-4084.7112761811914</v>
      </c>
      <c r="AH154" s="6">
        <f t="shared" si="103"/>
        <v>2</v>
      </c>
      <c r="AI154" s="6">
        <f t="shared" si="104"/>
        <v>4</v>
      </c>
      <c r="AJ154" s="12">
        <f t="shared" si="105"/>
        <v>12</v>
      </c>
      <c r="AK154" s="72">
        <f t="shared" si="95"/>
        <v>30</v>
      </c>
      <c r="AR154">
        <f t="shared" si="121"/>
        <v>25</v>
      </c>
      <c r="AS154">
        <f t="shared" si="122"/>
        <v>75</v>
      </c>
      <c r="AT154" s="183">
        <f t="shared" si="123"/>
        <v>50284</v>
      </c>
      <c r="AU154" s="2">
        <f t="shared" si="124"/>
        <v>4.0000000000000001E-3</v>
      </c>
      <c r="AV154" s="169">
        <f t="shared" si="125"/>
        <v>140</v>
      </c>
      <c r="AW154" s="165">
        <f t="shared" si="126"/>
        <v>2694.6550832158314</v>
      </c>
      <c r="AX154" s="170">
        <f t="shared" si="132"/>
        <v>1290.0561929653602</v>
      </c>
      <c r="AY154" s="164" t="str">
        <f t="shared" ref="AY154:AY217" si="135">IF(OR(AX154=0,BC154&lt;1),"",IF(AX154/BC154&gt;90%,"🛩",IF(AX154/BC154&gt;70%,"🏎",IF(AX154/BC154&gt;50%,"🚙",IF(AX154/BC154&gt;30%,"🛵",IF(AX154/BC154&gt;15%,"🐢","⚓️"))))))</f>
        <v>🛵</v>
      </c>
      <c r="AZ154" s="171" t="str">
        <f t="shared" si="106"/>
        <v>🛴</v>
      </c>
      <c r="BA154" s="172">
        <f t="shared" si="107"/>
        <v>741.78231095508215</v>
      </c>
      <c r="BB154" s="173">
        <f t="shared" si="108"/>
        <v>0.18159969231621595</v>
      </c>
      <c r="BC154" s="174">
        <f t="shared" si="109"/>
        <v>4084.7112761811914</v>
      </c>
      <c r="BD154" s="175">
        <f t="shared" si="127"/>
        <v>321772.26593038492</v>
      </c>
      <c r="BE154" s="176"/>
      <c r="BF154" s="177" t="str">
        <f t="shared" si="94"/>
        <v/>
      </c>
      <c r="BG154" s="178" t="str">
        <f t="shared" si="128"/>
        <v/>
      </c>
      <c r="BH154" s="179" t="str">
        <f t="shared" si="110"/>
        <v/>
      </c>
      <c r="BI154" s="180">
        <f t="shared" si="129"/>
        <v>250</v>
      </c>
      <c r="BJ154" s="181">
        <f t="shared" si="133"/>
        <v>548.27388201027804</v>
      </c>
      <c r="BK154" s="182">
        <f t="shared" si="130"/>
        <v>1.6999999999999999E-3</v>
      </c>
    </row>
    <row r="155" spans="1:63" x14ac:dyDescent="0.25">
      <c r="A155" s="7">
        <f t="shared" si="111"/>
        <v>25</v>
      </c>
      <c r="B155" s="7">
        <f t="shared" si="112"/>
        <v>75</v>
      </c>
      <c r="C155" s="115">
        <f t="shared" si="113"/>
        <v>50314</v>
      </c>
      <c r="D155" s="2">
        <f t="shared" si="96"/>
        <v>4.0160642570281121E-3</v>
      </c>
      <c r="E155" s="169">
        <f t="shared" si="114"/>
        <v>141</v>
      </c>
      <c r="F155" s="165">
        <f t="shared" si="115"/>
        <v>2688.4573765244349</v>
      </c>
      <c r="G155" s="170">
        <f t="shared" si="131"/>
        <v>1292.2580961059634</v>
      </c>
      <c r="H155" s="164" t="str">
        <f t="shared" si="134"/>
        <v>🛵</v>
      </c>
      <c r="I155" s="171" t="str">
        <f t="shared" si="97"/>
        <v>🛴</v>
      </c>
      <c r="J155" s="172">
        <f t="shared" si="98"/>
        <v>745.24524402430905</v>
      </c>
      <c r="K155" s="173">
        <f t="shared" si="99"/>
        <v>0.18262612255686858</v>
      </c>
      <c r="L155" s="174">
        <f t="shared" si="100"/>
        <v>4080.7154726303984</v>
      </c>
      <c r="M155" s="175">
        <f t="shared" si="116"/>
        <v>321027.02068636066</v>
      </c>
      <c r="N155" s="20"/>
      <c r="O155" s="37" t="str">
        <f t="shared" si="93"/>
        <v/>
      </c>
      <c r="P155" s="62" t="str">
        <f t="shared" si="117"/>
        <v/>
      </c>
      <c r="Q155" s="16" t="str">
        <f t="shared" si="101"/>
        <v/>
      </c>
      <c r="R155" s="60">
        <f t="shared" si="118"/>
        <v>249</v>
      </c>
      <c r="S155" s="98">
        <f t="shared" si="119"/>
        <v>547.01285208165439</v>
      </c>
      <c r="T155" s="21">
        <f t="shared" si="120"/>
        <v>1.6999999999999999E-3</v>
      </c>
      <c r="AA155" s="14">
        <f t="shared" si="102"/>
        <v>-4080.7154726303984</v>
      </c>
      <c r="AH155" s="6">
        <f t="shared" si="103"/>
        <v>2</v>
      </c>
      <c r="AI155" s="6">
        <f t="shared" si="104"/>
        <v>4</v>
      </c>
      <c r="AJ155" s="12">
        <f t="shared" si="105"/>
        <v>12</v>
      </c>
      <c r="AK155" s="72">
        <f t="shared" si="95"/>
        <v>31</v>
      </c>
      <c r="AR155">
        <f t="shared" si="121"/>
        <v>25</v>
      </c>
      <c r="AS155">
        <f t="shared" si="122"/>
        <v>75</v>
      </c>
      <c r="AT155" s="183">
        <f t="shared" si="123"/>
        <v>50314</v>
      </c>
      <c r="AU155" s="2">
        <f t="shared" si="124"/>
        <v>4.0160642570281121E-3</v>
      </c>
      <c r="AV155" s="169">
        <f t="shared" si="125"/>
        <v>141</v>
      </c>
      <c r="AW155" s="165">
        <f t="shared" si="126"/>
        <v>2688.4573765244349</v>
      </c>
      <c r="AX155" s="170">
        <f t="shared" si="132"/>
        <v>1292.2580961059634</v>
      </c>
      <c r="AY155" s="164" t="str">
        <f t="shared" si="135"/>
        <v>🛵</v>
      </c>
      <c r="AZ155" s="171" t="str">
        <f t="shared" si="106"/>
        <v>🛴</v>
      </c>
      <c r="BA155" s="172">
        <f t="shared" si="107"/>
        <v>745.24524402430905</v>
      </c>
      <c r="BB155" s="173">
        <f t="shared" si="108"/>
        <v>0.18262612255686858</v>
      </c>
      <c r="BC155" s="174">
        <f t="shared" si="109"/>
        <v>4080.7154726303984</v>
      </c>
      <c r="BD155" s="175">
        <f t="shared" si="127"/>
        <v>321027.02068636066</v>
      </c>
      <c r="BE155" s="176"/>
      <c r="BF155" s="177" t="str">
        <f t="shared" si="94"/>
        <v/>
      </c>
      <c r="BG155" s="178" t="str">
        <f t="shared" si="128"/>
        <v/>
      </c>
      <c r="BH155" s="179" t="str">
        <f t="shared" si="110"/>
        <v/>
      </c>
      <c r="BI155" s="180">
        <f t="shared" si="129"/>
        <v>249</v>
      </c>
      <c r="BJ155" s="181">
        <f t="shared" si="133"/>
        <v>547.01285208165439</v>
      </c>
      <c r="BK155" s="182">
        <f t="shared" si="130"/>
        <v>1.6999999999999999E-3</v>
      </c>
    </row>
    <row r="156" spans="1:63" x14ac:dyDescent="0.25">
      <c r="A156" s="7">
        <f t="shared" si="111"/>
        <v>25</v>
      </c>
      <c r="B156" s="7">
        <f t="shared" si="112"/>
        <v>75</v>
      </c>
      <c r="C156" s="115">
        <f t="shared" si="113"/>
        <v>50345</v>
      </c>
      <c r="D156" s="2">
        <f t="shared" si="96"/>
        <v>4.0322580645161289E-3</v>
      </c>
      <c r="E156" s="169">
        <f t="shared" si="114"/>
        <v>142</v>
      </c>
      <c r="F156" s="165">
        <f t="shared" si="115"/>
        <v>2682.2307364881235</v>
      </c>
      <c r="G156" s="170">
        <f t="shared" si="131"/>
        <v>1294.463793090164</v>
      </c>
      <c r="H156" s="164" t="str">
        <f t="shared" si="134"/>
        <v>🛵</v>
      </c>
      <c r="I156" s="171" t="str">
        <f t="shared" si="97"/>
        <v>🛴</v>
      </c>
      <c r="J156" s="172">
        <f t="shared" si="98"/>
        <v>748.71785792335095</v>
      </c>
      <c r="K156" s="173">
        <f t="shared" si="99"/>
        <v>0.18365807211971849</v>
      </c>
      <c r="L156" s="174">
        <f t="shared" si="100"/>
        <v>4076.6945295782875</v>
      </c>
      <c r="M156" s="175">
        <f t="shared" si="116"/>
        <v>320278.30282843736</v>
      </c>
      <c r="N156" s="20"/>
      <c r="O156" s="37" t="str">
        <f t="shared" si="93"/>
        <v/>
      </c>
      <c r="P156" s="62" t="str">
        <f t="shared" si="117"/>
        <v/>
      </c>
      <c r="Q156" s="16" t="str">
        <f t="shared" si="101"/>
        <v/>
      </c>
      <c r="R156" s="60">
        <f t="shared" si="118"/>
        <v>248</v>
      </c>
      <c r="S156" s="98">
        <f t="shared" si="119"/>
        <v>545.74593516681307</v>
      </c>
      <c r="T156" s="21">
        <f t="shared" si="120"/>
        <v>1.6999999999999999E-3</v>
      </c>
      <c r="AA156" s="14">
        <f t="shared" si="102"/>
        <v>-4076.6945295782875</v>
      </c>
      <c r="AH156" s="6">
        <f t="shared" si="103"/>
        <v>2</v>
      </c>
      <c r="AI156" s="6">
        <f t="shared" si="104"/>
        <v>4</v>
      </c>
      <c r="AJ156" s="12">
        <f t="shared" si="105"/>
        <v>12</v>
      </c>
      <c r="AK156" s="72">
        <f t="shared" si="95"/>
        <v>30</v>
      </c>
      <c r="AR156">
        <f t="shared" si="121"/>
        <v>25</v>
      </c>
      <c r="AS156">
        <f t="shared" si="122"/>
        <v>75</v>
      </c>
      <c r="AT156" s="183">
        <f t="shared" si="123"/>
        <v>50345</v>
      </c>
      <c r="AU156" s="2">
        <f t="shared" si="124"/>
        <v>4.0322580645161289E-3</v>
      </c>
      <c r="AV156" s="169">
        <f t="shared" si="125"/>
        <v>142</v>
      </c>
      <c r="AW156" s="165">
        <f t="shared" si="126"/>
        <v>2682.2307364881235</v>
      </c>
      <c r="AX156" s="170">
        <f t="shared" si="132"/>
        <v>1294.463793090164</v>
      </c>
      <c r="AY156" s="164" t="str">
        <f t="shared" si="135"/>
        <v>🛵</v>
      </c>
      <c r="AZ156" s="171" t="str">
        <f t="shared" si="106"/>
        <v>🛴</v>
      </c>
      <c r="BA156" s="172">
        <f t="shared" si="107"/>
        <v>748.71785792335095</v>
      </c>
      <c r="BB156" s="173">
        <f t="shared" si="108"/>
        <v>0.18365807211971849</v>
      </c>
      <c r="BC156" s="174">
        <f t="shared" si="109"/>
        <v>4076.6945295782875</v>
      </c>
      <c r="BD156" s="175">
        <f t="shared" si="127"/>
        <v>320278.30282843736</v>
      </c>
      <c r="BE156" s="176"/>
      <c r="BF156" s="177" t="str">
        <f t="shared" si="94"/>
        <v/>
      </c>
      <c r="BG156" s="178" t="str">
        <f t="shared" si="128"/>
        <v/>
      </c>
      <c r="BH156" s="179" t="str">
        <f t="shared" si="110"/>
        <v/>
      </c>
      <c r="BI156" s="180">
        <f t="shared" si="129"/>
        <v>248</v>
      </c>
      <c r="BJ156" s="181">
        <f t="shared" si="133"/>
        <v>545.74593516681307</v>
      </c>
      <c r="BK156" s="182">
        <f t="shared" si="130"/>
        <v>1.6999999999999999E-3</v>
      </c>
    </row>
    <row r="157" spans="1:63" x14ac:dyDescent="0.25">
      <c r="A157" s="7">
        <f t="shared" si="111"/>
        <v>25</v>
      </c>
      <c r="B157" s="7">
        <f t="shared" si="112"/>
        <v>75</v>
      </c>
      <c r="C157" s="115">
        <f t="shared" si="113"/>
        <v>50375</v>
      </c>
      <c r="D157" s="2">
        <f t="shared" si="96"/>
        <v>4.048582995951417E-3</v>
      </c>
      <c r="E157" s="169">
        <f t="shared" si="114"/>
        <v>143</v>
      </c>
      <c r="F157" s="165">
        <f t="shared" si="115"/>
        <v>2675.9750822220562</v>
      </c>
      <c r="G157" s="170">
        <f t="shared" si="131"/>
        <v>1296.67329080339</v>
      </c>
      <c r="H157" s="164" t="str">
        <f t="shared" si="134"/>
        <v>🛵</v>
      </c>
      <c r="I157" s="171" t="str">
        <f t="shared" si="97"/>
        <v>🛴</v>
      </c>
      <c r="J157" s="172">
        <f t="shared" si="98"/>
        <v>752.20017599504661</v>
      </c>
      <c r="K157" s="173">
        <f t="shared" si="99"/>
        <v>0.18469558554996487</v>
      </c>
      <c r="L157" s="174">
        <f t="shared" si="100"/>
        <v>4072.6483730254463</v>
      </c>
      <c r="M157" s="175">
        <f t="shared" si="116"/>
        <v>319526.10265244229</v>
      </c>
      <c r="N157" s="198"/>
      <c r="O157" s="37" t="str">
        <f t="shared" si="93"/>
        <v/>
      </c>
      <c r="P157" s="62" t="str">
        <f t="shared" si="117"/>
        <v/>
      </c>
      <c r="Q157" s="16" t="str">
        <f t="shared" si="101"/>
        <v/>
      </c>
      <c r="R157" s="60">
        <f t="shared" si="118"/>
        <v>247</v>
      </c>
      <c r="S157" s="98">
        <f t="shared" si="119"/>
        <v>544.47311480834344</v>
      </c>
      <c r="T157" s="21">
        <f t="shared" si="120"/>
        <v>1.6999999999999999E-3</v>
      </c>
      <c r="AA157" s="14">
        <f t="shared" si="102"/>
        <v>-4072.6483730254463</v>
      </c>
      <c r="AH157" s="6">
        <f t="shared" si="103"/>
        <v>2</v>
      </c>
      <c r="AI157" s="6">
        <f t="shared" si="104"/>
        <v>4</v>
      </c>
      <c r="AJ157" s="12">
        <f t="shared" si="105"/>
        <v>12</v>
      </c>
      <c r="AK157" s="72">
        <f t="shared" si="95"/>
        <v>31</v>
      </c>
      <c r="AR157">
        <f t="shared" si="121"/>
        <v>25</v>
      </c>
      <c r="AS157">
        <f t="shared" si="122"/>
        <v>75</v>
      </c>
      <c r="AT157" s="183">
        <f t="shared" si="123"/>
        <v>50375</v>
      </c>
      <c r="AU157" s="2">
        <f t="shared" si="124"/>
        <v>4.048582995951417E-3</v>
      </c>
      <c r="AV157" s="169">
        <f t="shared" si="125"/>
        <v>143</v>
      </c>
      <c r="AW157" s="165">
        <f t="shared" si="126"/>
        <v>2675.9750822220562</v>
      </c>
      <c r="AX157" s="170">
        <f t="shared" si="132"/>
        <v>1296.67329080339</v>
      </c>
      <c r="AY157" s="164" t="str">
        <f t="shared" si="135"/>
        <v>🛵</v>
      </c>
      <c r="AZ157" s="171" t="str">
        <f t="shared" si="106"/>
        <v>🛴</v>
      </c>
      <c r="BA157" s="172">
        <f t="shared" si="107"/>
        <v>752.20017599504661</v>
      </c>
      <c r="BB157" s="173">
        <f t="shared" si="108"/>
        <v>0.18469558554996487</v>
      </c>
      <c r="BC157" s="174">
        <f t="shared" si="109"/>
        <v>4072.6483730254463</v>
      </c>
      <c r="BD157" s="175">
        <f t="shared" si="127"/>
        <v>319526.10265244229</v>
      </c>
      <c r="BE157" s="176"/>
      <c r="BF157" s="177" t="str">
        <f t="shared" si="94"/>
        <v/>
      </c>
      <c r="BG157" s="178" t="str">
        <f t="shared" si="128"/>
        <v/>
      </c>
      <c r="BH157" s="179" t="str">
        <f t="shared" si="110"/>
        <v/>
      </c>
      <c r="BI157" s="180">
        <f t="shared" si="129"/>
        <v>247</v>
      </c>
      <c r="BJ157" s="181">
        <f t="shared" si="133"/>
        <v>544.47311480834344</v>
      </c>
      <c r="BK157" s="182">
        <f t="shared" si="130"/>
        <v>1.6999999999999999E-3</v>
      </c>
    </row>
    <row r="158" spans="1:63" x14ac:dyDescent="0.25">
      <c r="A158" s="7">
        <f t="shared" si="111"/>
        <v>25</v>
      </c>
      <c r="B158" s="7">
        <f t="shared" si="112"/>
        <v>75</v>
      </c>
      <c r="C158" s="115">
        <f t="shared" si="113"/>
        <v>50406</v>
      </c>
      <c r="D158" s="2">
        <f t="shared" si="96"/>
        <v>4.0650406504065045E-3</v>
      </c>
      <c r="E158" s="169">
        <f t="shared" si="114"/>
        <v>144</v>
      </c>
      <c r="F158" s="165">
        <f t="shared" si="115"/>
        <v>2669.6903326463598</v>
      </c>
      <c r="G158" s="170">
        <f t="shared" si="131"/>
        <v>1298.8865961481395</v>
      </c>
      <c r="H158" s="164" t="str">
        <f t="shared" si="134"/>
        <v>🛵</v>
      </c>
      <c r="I158" s="171" t="str">
        <f t="shared" si="97"/>
        <v>🛴</v>
      </c>
      <c r="J158" s="172">
        <f t="shared" si="98"/>
        <v>755.69222163898758</v>
      </c>
      <c r="K158" s="173">
        <f t="shared" si="99"/>
        <v>0.18573870787368785</v>
      </c>
      <c r="L158" s="174">
        <f t="shared" si="100"/>
        <v>4068.5769287944995</v>
      </c>
      <c r="M158" s="175">
        <f t="shared" si="116"/>
        <v>318770.41043080331</v>
      </c>
      <c r="N158" s="20"/>
      <c r="O158" s="37" t="str">
        <f t="shared" si="93"/>
        <v/>
      </c>
      <c r="P158" s="62" t="str">
        <f t="shared" si="117"/>
        <v/>
      </c>
      <c r="Q158" s="16" t="str">
        <f t="shared" si="101"/>
        <v/>
      </c>
      <c r="R158" s="60">
        <f t="shared" si="118"/>
        <v>246</v>
      </c>
      <c r="S158" s="98">
        <f t="shared" si="119"/>
        <v>543.19437450915188</v>
      </c>
      <c r="T158" s="21">
        <f t="shared" si="120"/>
        <v>1.6999999999999999E-3</v>
      </c>
      <c r="AA158" s="14">
        <f t="shared" si="102"/>
        <v>-4068.5769287944995</v>
      </c>
      <c r="AH158" s="6">
        <f t="shared" si="103"/>
        <v>2</v>
      </c>
      <c r="AI158" s="6">
        <f t="shared" si="104"/>
        <v>4</v>
      </c>
      <c r="AJ158" s="12">
        <f t="shared" si="105"/>
        <v>12</v>
      </c>
      <c r="AK158" s="72">
        <f t="shared" si="95"/>
        <v>31</v>
      </c>
      <c r="AR158">
        <f t="shared" si="121"/>
        <v>25</v>
      </c>
      <c r="AS158">
        <f t="shared" si="122"/>
        <v>75</v>
      </c>
      <c r="AT158" s="183">
        <f t="shared" si="123"/>
        <v>50406</v>
      </c>
      <c r="AU158" s="2">
        <f t="shared" si="124"/>
        <v>4.0650406504065045E-3</v>
      </c>
      <c r="AV158" s="169">
        <f t="shared" si="125"/>
        <v>144</v>
      </c>
      <c r="AW158" s="165">
        <f t="shared" si="126"/>
        <v>2669.6903326463598</v>
      </c>
      <c r="AX158" s="170">
        <f t="shared" si="132"/>
        <v>1298.8865961481395</v>
      </c>
      <c r="AY158" s="164" t="str">
        <f t="shared" si="135"/>
        <v>🛵</v>
      </c>
      <c r="AZ158" s="171" t="str">
        <f t="shared" si="106"/>
        <v>🛴</v>
      </c>
      <c r="BA158" s="172">
        <f t="shared" si="107"/>
        <v>755.69222163898758</v>
      </c>
      <c r="BB158" s="173">
        <f t="shared" si="108"/>
        <v>0.18573870787368785</v>
      </c>
      <c r="BC158" s="174">
        <f t="shared" si="109"/>
        <v>4068.5769287944995</v>
      </c>
      <c r="BD158" s="175">
        <f t="shared" si="127"/>
        <v>318770.41043080331</v>
      </c>
      <c r="BE158" s="176"/>
      <c r="BF158" s="177" t="str">
        <f t="shared" si="94"/>
        <v/>
      </c>
      <c r="BG158" s="178" t="str">
        <f t="shared" si="128"/>
        <v/>
      </c>
      <c r="BH158" s="179" t="str">
        <f t="shared" si="110"/>
        <v/>
      </c>
      <c r="BI158" s="180">
        <f t="shared" si="129"/>
        <v>246</v>
      </c>
      <c r="BJ158" s="181">
        <f t="shared" si="133"/>
        <v>543.19437450915188</v>
      </c>
      <c r="BK158" s="182">
        <f t="shared" si="130"/>
        <v>1.6999999999999999E-3</v>
      </c>
    </row>
    <row r="159" spans="1:63" x14ac:dyDescent="0.25">
      <c r="A159" s="7">
        <f t="shared" si="111"/>
        <v>25</v>
      </c>
      <c r="B159" s="7">
        <f t="shared" si="112"/>
        <v>75</v>
      </c>
      <c r="C159" s="115">
        <f t="shared" si="113"/>
        <v>50437</v>
      </c>
      <c r="D159" s="2">
        <f t="shared" si="96"/>
        <v>4.081632653061224E-3</v>
      </c>
      <c r="E159" s="169">
        <f t="shared" si="114"/>
        <v>145</v>
      </c>
      <c r="F159" s="165">
        <f t="shared" si="115"/>
        <v>2663.3764064856541</v>
      </c>
      <c r="G159" s="170">
        <f t="shared" si="131"/>
        <v>1301.1037160440951</v>
      </c>
      <c r="H159" s="164" t="str">
        <f t="shared" si="134"/>
        <v>🛵</v>
      </c>
      <c r="I159" s="171" t="str">
        <f t="shared" si="97"/>
        <v>🛴</v>
      </c>
      <c r="J159" s="172">
        <f t="shared" si="98"/>
        <v>759.19401831172945</v>
      </c>
      <c r="K159" s="173">
        <f t="shared" si="99"/>
        <v>0.18678748460435426</v>
      </c>
      <c r="L159" s="174">
        <f t="shared" si="100"/>
        <v>4064.4801225297492</v>
      </c>
      <c r="M159" s="175">
        <f t="shared" si="116"/>
        <v>318011.21641249157</v>
      </c>
      <c r="N159" s="20"/>
      <c r="O159" s="37" t="str">
        <f t="shared" si="93"/>
        <v/>
      </c>
      <c r="P159" s="62" t="str">
        <f t="shared" si="117"/>
        <v/>
      </c>
      <c r="Q159" s="16" t="str">
        <f t="shared" si="101"/>
        <v/>
      </c>
      <c r="R159" s="60">
        <f t="shared" si="118"/>
        <v>245</v>
      </c>
      <c r="S159" s="98">
        <f t="shared" si="119"/>
        <v>541.90969773236566</v>
      </c>
      <c r="T159" s="21">
        <f t="shared" si="120"/>
        <v>1.6999999999999999E-3</v>
      </c>
      <c r="AA159" s="14">
        <f t="shared" si="102"/>
        <v>-4064.4801225297492</v>
      </c>
      <c r="AH159" s="6">
        <f t="shared" si="103"/>
        <v>2</v>
      </c>
      <c r="AI159" s="6">
        <f t="shared" si="104"/>
        <v>5</v>
      </c>
      <c r="AJ159" s="12">
        <f t="shared" si="105"/>
        <v>13</v>
      </c>
      <c r="AK159" s="72">
        <f t="shared" si="95"/>
        <v>28</v>
      </c>
      <c r="AR159">
        <f t="shared" si="121"/>
        <v>25</v>
      </c>
      <c r="AS159">
        <f t="shared" si="122"/>
        <v>75</v>
      </c>
      <c r="AT159" s="183">
        <f t="shared" si="123"/>
        <v>50437</v>
      </c>
      <c r="AU159" s="2">
        <f t="shared" si="124"/>
        <v>4.081632653061224E-3</v>
      </c>
      <c r="AV159" s="169">
        <f t="shared" si="125"/>
        <v>145</v>
      </c>
      <c r="AW159" s="165">
        <f t="shared" si="126"/>
        <v>2663.3764064856541</v>
      </c>
      <c r="AX159" s="170">
        <f t="shared" si="132"/>
        <v>1301.1037160440951</v>
      </c>
      <c r="AY159" s="164" t="str">
        <f t="shared" si="135"/>
        <v>🛵</v>
      </c>
      <c r="AZ159" s="171" t="str">
        <f t="shared" si="106"/>
        <v>🛴</v>
      </c>
      <c r="BA159" s="172">
        <f t="shared" si="107"/>
        <v>759.19401831172945</v>
      </c>
      <c r="BB159" s="173">
        <f t="shared" si="108"/>
        <v>0.18678748460435426</v>
      </c>
      <c r="BC159" s="174">
        <f t="shared" si="109"/>
        <v>4064.4801225297492</v>
      </c>
      <c r="BD159" s="175">
        <f t="shared" si="127"/>
        <v>318011.21641249157</v>
      </c>
      <c r="BE159" s="176"/>
      <c r="BF159" s="177" t="str">
        <f t="shared" si="94"/>
        <v/>
      </c>
      <c r="BG159" s="178" t="str">
        <f t="shared" si="128"/>
        <v/>
      </c>
      <c r="BH159" s="179" t="str">
        <f t="shared" si="110"/>
        <v/>
      </c>
      <c r="BI159" s="180">
        <f t="shared" si="129"/>
        <v>245</v>
      </c>
      <c r="BJ159" s="181">
        <f t="shared" si="133"/>
        <v>541.90969773236566</v>
      </c>
      <c r="BK159" s="182">
        <f t="shared" si="130"/>
        <v>1.6999999999999999E-3</v>
      </c>
    </row>
    <row r="160" spans="1:63" x14ac:dyDescent="0.25">
      <c r="A160" s="7">
        <f t="shared" si="111"/>
        <v>25</v>
      </c>
      <c r="B160" s="7">
        <f t="shared" si="112"/>
        <v>75</v>
      </c>
      <c r="C160" s="115">
        <f t="shared" si="113"/>
        <v>50465</v>
      </c>
      <c r="D160" s="2">
        <f t="shared" si="96"/>
        <v>4.0983606557377051E-3</v>
      </c>
      <c r="E160" s="169">
        <f t="shared" si="114"/>
        <v>146</v>
      </c>
      <c r="F160" s="165">
        <f t="shared" si="115"/>
        <v>2657.0332222685747</v>
      </c>
      <c r="G160" s="170">
        <f t="shared" si="131"/>
        <v>1303.3246574282441</v>
      </c>
      <c r="H160" s="164" t="str">
        <f t="shared" si="134"/>
        <v>🛵</v>
      </c>
      <c r="I160" s="171" t="str">
        <f t="shared" si="97"/>
        <v>🛴</v>
      </c>
      <c r="J160" s="172">
        <f t="shared" si="98"/>
        <v>762.70558952700844</v>
      </c>
      <c r="K160" s="173">
        <f t="shared" si="99"/>
        <v>0.18784196174943049</v>
      </c>
      <c r="L160" s="174">
        <f t="shared" si="100"/>
        <v>4060.3578796968186</v>
      </c>
      <c r="M160" s="175">
        <f t="shared" si="116"/>
        <v>317248.51082296454</v>
      </c>
      <c r="N160" s="20"/>
      <c r="O160" s="37" t="str">
        <f t="shared" si="93"/>
        <v/>
      </c>
      <c r="P160" s="62" t="str">
        <f t="shared" si="117"/>
        <v/>
      </c>
      <c r="Q160" s="16" t="str">
        <f t="shared" si="101"/>
        <v/>
      </c>
      <c r="R160" s="60">
        <f t="shared" si="118"/>
        <v>244</v>
      </c>
      <c r="S160" s="98">
        <f t="shared" si="119"/>
        <v>540.61906790123567</v>
      </c>
      <c r="T160" s="21">
        <f t="shared" si="120"/>
        <v>1.6999999999999999E-3</v>
      </c>
      <c r="U160" s="8"/>
      <c r="V160" s="8"/>
      <c r="W160" s="8"/>
      <c r="X160" s="8"/>
      <c r="Y160" s="8"/>
      <c r="AA160" s="14">
        <f t="shared" si="102"/>
        <v>-4060.3578796968186</v>
      </c>
      <c r="AH160" s="6">
        <f t="shared" si="103"/>
        <v>2</v>
      </c>
      <c r="AI160" s="6">
        <f t="shared" si="104"/>
        <v>5</v>
      </c>
      <c r="AJ160" s="12">
        <f t="shared" si="105"/>
        <v>13</v>
      </c>
      <c r="AK160" s="72">
        <f t="shared" si="95"/>
        <v>31</v>
      </c>
      <c r="AR160">
        <f t="shared" si="121"/>
        <v>25</v>
      </c>
      <c r="AS160">
        <f t="shared" si="122"/>
        <v>75</v>
      </c>
      <c r="AT160" s="183">
        <f t="shared" si="123"/>
        <v>50465</v>
      </c>
      <c r="AU160" s="2">
        <f t="shared" si="124"/>
        <v>4.0983606557377051E-3</v>
      </c>
      <c r="AV160" s="169">
        <f t="shared" si="125"/>
        <v>146</v>
      </c>
      <c r="AW160" s="165">
        <f t="shared" si="126"/>
        <v>2657.0332222685747</v>
      </c>
      <c r="AX160" s="170">
        <f t="shared" si="132"/>
        <v>1303.3246574282441</v>
      </c>
      <c r="AY160" s="164" t="str">
        <f t="shared" si="135"/>
        <v>🛵</v>
      </c>
      <c r="AZ160" s="171" t="str">
        <f t="shared" si="106"/>
        <v>🛴</v>
      </c>
      <c r="BA160" s="172">
        <f t="shared" si="107"/>
        <v>762.70558952700844</v>
      </c>
      <c r="BB160" s="173">
        <f t="shared" si="108"/>
        <v>0.18784196174943049</v>
      </c>
      <c r="BC160" s="174">
        <f t="shared" si="109"/>
        <v>4060.3578796968186</v>
      </c>
      <c r="BD160" s="175">
        <f t="shared" si="127"/>
        <v>317248.51082296454</v>
      </c>
      <c r="BE160" s="176"/>
      <c r="BF160" s="177" t="str">
        <f t="shared" si="94"/>
        <v/>
      </c>
      <c r="BG160" s="178" t="str">
        <f t="shared" si="128"/>
        <v/>
      </c>
      <c r="BH160" s="179" t="str">
        <f t="shared" si="110"/>
        <v/>
      </c>
      <c r="BI160" s="180">
        <f t="shared" si="129"/>
        <v>244</v>
      </c>
      <c r="BJ160" s="181">
        <f t="shared" si="133"/>
        <v>540.61906790123567</v>
      </c>
      <c r="BK160" s="182">
        <f t="shared" si="130"/>
        <v>1.6999999999999999E-3</v>
      </c>
    </row>
    <row r="161" spans="1:63" x14ac:dyDescent="0.25">
      <c r="A161" s="7">
        <f t="shared" si="111"/>
        <v>25</v>
      </c>
      <c r="B161" s="7">
        <f t="shared" si="112"/>
        <v>75</v>
      </c>
      <c r="C161" s="115">
        <f t="shared" si="113"/>
        <v>50496</v>
      </c>
      <c r="D161" s="2">
        <f t="shared" si="96"/>
        <v>4.11522633744856E-3</v>
      </c>
      <c r="E161" s="169">
        <f t="shared" si="114"/>
        <v>147</v>
      </c>
      <c r="F161" s="165">
        <f t="shared" si="115"/>
        <v>2650.6606983272977</v>
      </c>
      <c r="G161" s="170">
        <f t="shared" si="131"/>
        <v>1305.5494272549981</v>
      </c>
      <c r="H161" s="164" t="str">
        <f t="shared" si="134"/>
        <v>🛵</v>
      </c>
      <c r="I161" s="171" t="str">
        <f t="shared" si="97"/>
        <v>🛴</v>
      </c>
      <c r="J161" s="172">
        <f t="shared" si="98"/>
        <v>766.2269588559584</v>
      </c>
      <c r="K161" s="173">
        <f t="shared" si="99"/>
        <v>0.18890218581710222</v>
      </c>
      <c r="L161" s="174">
        <f t="shared" si="100"/>
        <v>4056.2101255822959</v>
      </c>
      <c r="M161" s="175">
        <f t="shared" si="116"/>
        <v>316482.28386410855</v>
      </c>
      <c r="N161" s="20"/>
      <c r="O161" s="37" t="str">
        <f t="shared" si="93"/>
        <v/>
      </c>
      <c r="P161" s="62" t="str">
        <f t="shared" si="117"/>
        <v/>
      </c>
      <c r="Q161" s="16" t="str">
        <f t="shared" si="101"/>
        <v/>
      </c>
      <c r="R161" s="60">
        <f t="shared" si="118"/>
        <v>243</v>
      </c>
      <c r="S161" s="98">
        <f t="shared" si="119"/>
        <v>539.32246839903974</v>
      </c>
      <c r="T161" s="21">
        <f t="shared" si="120"/>
        <v>1.6999999999999999E-3</v>
      </c>
      <c r="AA161" s="14">
        <f t="shared" si="102"/>
        <v>-4056.2101255822959</v>
      </c>
      <c r="AH161" s="6">
        <f t="shared" si="103"/>
        <v>2</v>
      </c>
      <c r="AI161" s="6">
        <f t="shared" si="104"/>
        <v>5</v>
      </c>
      <c r="AJ161" s="12">
        <f t="shared" si="105"/>
        <v>13</v>
      </c>
      <c r="AK161" s="72">
        <f t="shared" si="95"/>
        <v>30</v>
      </c>
      <c r="AR161">
        <f t="shared" si="121"/>
        <v>25</v>
      </c>
      <c r="AS161">
        <f t="shared" si="122"/>
        <v>75</v>
      </c>
      <c r="AT161" s="183">
        <f t="shared" si="123"/>
        <v>50496</v>
      </c>
      <c r="AU161" s="2">
        <f t="shared" si="124"/>
        <v>4.11522633744856E-3</v>
      </c>
      <c r="AV161" s="169">
        <f t="shared" si="125"/>
        <v>147</v>
      </c>
      <c r="AW161" s="165">
        <f t="shared" si="126"/>
        <v>2650.6606983272977</v>
      </c>
      <c r="AX161" s="170">
        <f t="shared" si="132"/>
        <v>1305.5494272549981</v>
      </c>
      <c r="AY161" s="164" t="str">
        <f t="shared" si="135"/>
        <v>🛵</v>
      </c>
      <c r="AZ161" s="171" t="str">
        <f t="shared" si="106"/>
        <v>🛴</v>
      </c>
      <c r="BA161" s="172">
        <f t="shared" si="107"/>
        <v>766.2269588559584</v>
      </c>
      <c r="BB161" s="173">
        <f t="shared" si="108"/>
        <v>0.18890218581710222</v>
      </c>
      <c r="BC161" s="174">
        <f t="shared" si="109"/>
        <v>4056.2101255822959</v>
      </c>
      <c r="BD161" s="175">
        <f t="shared" si="127"/>
        <v>316482.28386410855</v>
      </c>
      <c r="BE161" s="176"/>
      <c r="BF161" s="177" t="str">
        <f t="shared" si="94"/>
        <v/>
      </c>
      <c r="BG161" s="178" t="str">
        <f t="shared" si="128"/>
        <v/>
      </c>
      <c r="BH161" s="179" t="str">
        <f t="shared" si="110"/>
        <v/>
      </c>
      <c r="BI161" s="180">
        <f t="shared" si="129"/>
        <v>243</v>
      </c>
      <c r="BJ161" s="181">
        <f t="shared" si="133"/>
        <v>539.32246839903974</v>
      </c>
      <c r="BK161" s="182">
        <f t="shared" si="130"/>
        <v>1.6999999999999999E-3</v>
      </c>
    </row>
    <row r="162" spans="1:63" x14ac:dyDescent="0.25">
      <c r="A162" s="7">
        <f t="shared" si="111"/>
        <v>25</v>
      </c>
      <c r="B162" s="7">
        <f t="shared" si="112"/>
        <v>75</v>
      </c>
      <c r="C162" s="115">
        <f t="shared" si="113"/>
        <v>50526</v>
      </c>
      <c r="D162" s="2">
        <f t="shared" si="96"/>
        <v>4.1322314049586778E-3</v>
      </c>
      <c r="E162" s="169">
        <f t="shared" si="114"/>
        <v>148</v>
      </c>
      <c r="F162" s="165">
        <f t="shared" si="115"/>
        <v>2644.2587527970577</v>
      </c>
      <c r="G162" s="170">
        <f t="shared" si="131"/>
        <v>1307.7780324963164</v>
      </c>
      <c r="H162" s="164" t="str">
        <f t="shared" si="134"/>
        <v>🛵</v>
      </c>
      <c r="I162" s="171" t="str">
        <f t="shared" si="97"/>
        <v>🛴</v>
      </c>
      <c r="J162" s="172">
        <f t="shared" si="98"/>
        <v>769.75814992733194</v>
      </c>
      <c r="K162" s="173">
        <f t="shared" si="99"/>
        <v>0.18996820382310528</v>
      </c>
      <c r="L162" s="174">
        <f t="shared" si="100"/>
        <v>4052.0367852933741</v>
      </c>
      <c r="M162" s="175">
        <f t="shared" si="116"/>
        <v>315712.52571418119</v>
      </c>
      <c r="N162" s="76"/>
      <c r="O162" s="37" t="str">
        <f t="shared" si="93"/>
        <v/>
      </c>
      <c r="P162" s="62" t="str">
        <f t="shared" si="117"/>
        <v/>
      </c>
      <c r="Q162" s="16" t="str">
        <f t="shared" si="101"/>
        <v/>
      </c>
      <c r="R162" s="60">
        <f t="shared" si="118"/>
        <v>242</v>
      </c>
      <c r="S162" s="98">
        <f t="shared" si="119"/>
        <v>538.01988256898449</v>
      </c>
      <c r="T162" s="21">
        <f t="shared" si="120"/>
        <v>1.6999999999999999E-3</v>
      </c>
      <c r="AA162" s="14">
        <f t="shared" si="102"/>
        <v>-4052.0367852933741</v>
      </c>
      <c r="AH162" s="6">
        <f t="shared" si="103"/>
        <v>2</v>
      </c>
      <c r="AI162" s="6">
        <f t="shared" si="104"/>
        <v>5</v>
      </c>
      <c r="AJ162" s="12">
        <f t="shared" si="105"/>
        <v>13</v>
      </c>
      <c r="AK162" s="72">
        <f t="shared" si="95"/>
        <v>31</v>
      </c>
      <c r="AR162">
        <f t="shared" si="121"/>
        <v>25</v>
      </c>
      <c r="AS162">
        <f t="shared" si="122"/>
        <v>75</v>
      </c>
      <c r="AT162" s="183">
        <f t="shared" si="123"/>
        <v>50526</v>
      </c>
      <c r="AU162" s="2">
        <f t="shared" si="124"/>
        <v>4.1322314049586778E-3</v>
      </c>
      <c r="AV162" s="169">
        <f t="shared" si="125"/>
        <v>148</v>
      </c>
      <c r="AW162" s="165">
        <f t="shared" si="126"/>
        <v>2644.2587527970577</v>
      </c>
      <c r="AX162" s="170">
        <f t="shared" si="132"/>
        <v>1307.7780324963164</v>
      </c>
      <c r="AY162" s="164" t="str">
        <f t="shared" si="135"/>
        <v>🛵</v>
      </c>
      <c r="AZ162" s="171" t="str">
        <f t="shared" si="106"/>
        <v>🛴</v>
      </c>
      <c r="BA162" s="172">
        <f t="shared" si="107"/>
        <v>769.75814992733194</v>
      </c>
      <c r="BB162" s="173">
        <f t="shared" si="108"/>
        <v>0.18996820382310528</v>
      </c>
      <c r="BC162" s="174">
        <f t="shared" si="109"/>
        <v>4052.0367852933741</v>
      </c>
      <c r="BD162" s="175">
        <f t="shared" si="127"/>
        <v>315712.52571418119</v>
      </c>
      <c r="BE162" s="184"/>
      <c r="BF162" s="177" t="str">
        <f t="shared" si="94"/>
        <v/>
      </c>
      <c r="BG162" s="178" t="str">
        <f t="shared" si="128"/>
        <v/>
      </c>
      <c r="BH162" s="179" t="str">
        <f t="shared" si="110"/>
        <v/>
      </c>
      <c r="BI162" s="180">
        <f t="shared" si="129"/>
        <v>242</v>
      </c>
      <c r="BJ162" s="181">
        <f t="shared" si="133"/>
        <v>538.01988256898449</v>
      </c>
      <c r="BK162" s="182">
        <f t="shared" si="130"/>
        <v>1.6999999999999999E-3</v>
      </c>
    </row>
    <row r="163" spans="1:63" x14ac:dyDescent="0.25">
      <c r="A163" s="7">
        <f t="shared" si="111"/>
        <v>25</v>
      </c>
      <c r="B163" s="7">
        <f t="shared" si="112"/>
        <v>75</v>
      </c>
      <c r="C163" s="115">
        <f t="shared" si="113"/>
        <v>50557</v>
      </c>
      <c r="D163" s="2">
        <f t="shared" si="96"/>
        <v>4.1493775933609959E-3</v>
      </c>
      <c r="E163" s="169">
        <f t="shared" si="114"/>
        <v>149</v>
      </c>
      <c r="F163" s="165">
        <f t="shared" si="115"/>
        <v>2637.8273036156675</v>
      </c>
      <c r="G163" s="170">
        <f t="shared" si="131"/>
        <v>1310.0104801418306</v>
      </c>
      <c r="H163" s="164" t="str">
        <f t="shared" si="134"/>
        <v>🛵</v>
      </c>
      <c r="I163" s="171" t="str">
        <f t="shared" si="97"/>
        <v>🛴</v>
      </c>
      <c r="J163" s="172">
        <f t="shared" si="98"/>
        <v>773.29918642772259</v>
      </c>
      <c r="K163" s="173">
        <f t="shared" si="99"/>
        <v>0.19104006329766751</v>
      </c>
      <c r="L163" s="174">
        <f t="shared" si="100"/>
        <v>4047.8377837574981</v>
      </c>
      <c r="M163" s="175">
        <f t="shared" si="116"/>
        <v>314939.22652775346</v>
      </c>
      <c r="N163" s="76"/>
      <c r="O163" s="37" t="str">
        <f t="shared" si="93"/>
        <v/>
      </c>
      <c r="P163" s="62" t="str">
        <f t="shared" si="117"/>
        <v/>
      </c>
      <c r="Q163" s="16" t="str">
        <f t="shared" si="101"/>
        <v/>
      </c>
      <c r="R163" s="60">
        <f t="shared" si="118"/>
        <v>241</v>
      </c>
      <c r="S163" s="98">
        <f t="shared" si="119"/>
        <v>536.71129371410802</v>
      </c>
      <c r="T163" s="21">
        <f t="shared" si="120"/>
        <v>1.6999999999999999E-3</v>
      </c>
      <c r="AA163" s="14">
        <f t="shared" si="102"/>
        <v>-4047.8377837574981</v>
      </c>
      <c r="AH163" s="6">
        <f t="shared" si="103"/>
        <v>2</v>
      </c>
      <c r="AI163" s="6">
        <f t="shared" si="104"/>
        <v>5</v>
      </c>
      <c r="AJ163" s="12">
        <f t="shared" si="105"/>
        <v>13</v>
      </c>
      <c r="AK163" s="72">
        <f t="shared" si="95"/>
        <v>30</v>
      </c>
      <c r="AR163">
        <f t="shared" si="121"/>
        <v>25</v>
      </c>
      <c r="AS163">
        <f t="shared" si="122"/>
        <v>75</v>
      </c>
      <c r="AT163" s="183">
        <f t="shared" si="123"/>
        <v>50557</v>
      </c>
      <c r="AU163" s="2">
        <f t="shared" si="124"/>
        <v>4.1493775933609959E-3</v>
      </c>
      <c r="AV163" s="169">
        <f t="shared" si="125"/>
        <v>149</v>
      </c>
      <c r="AW163" s="165">
        <f t="shared" si="126"/>
        <v>2637.8273036156675</v>
      </c>
      <c r="AX163" s="170">
        <f t="shared" si="132"/>
        <v>1310.0104801418306</v>
      </c>
      <c r="AY163" s="164" t="str">
        <f t="shared" si="135"/>
        <v>🛵</v>
      </c>
      <c r="AZ163" s="171" t="str">
        <f t="shared" si="106"/>
        <v>🛴</v>
      </c>
      <c r="BA163" s="172">
        <f t="shared" si="107"/>
        <v>773.29918642772259</v>
      </c>
      <c r="BB163" s="173">
        <f t="shared" si="108"/>
        <v>0.19104006329766751</v>
      </c>
      <c r="BC163" s="174">
        <f t="shared" si="109"/>
        <v>4047.8377837574981</v>
      </c>
      <c r="BD163" s="175">
        <f t="shared" si="127"/>
        <v>314939.22652775346</v>
      </c>
      <c r="BE163" s="184"/>
      <c r="BF163" s="177" t="str">
        <f t="shared" si="94"/>
        <v/>
      </c>
      <c r="BG163" s="178" t="str">
        <f t="shared" si="128"/>
        <v/>
      </c>
      <c r="BH163" s="179" t="str">
        <f t="shared" si="110"/>
        <v/>
      </c>
      <c r="BI163" s="180">
        <f t="shared" si="129"/>
        <v>241</v>
      </c>
      <c r="BJ163" s="181">
        <f t="shared" si="133"/>
        <v>536.71129371410802</v>
      </c>
      <c r="BK163" s="182">
        <f t="shared" si="130"/>
        <v>1.6999999999999999E-3</v>
      </c>
    </row>
    <row r="164" spans="1:63" x14ac:dyDescent="0.25">
      <c r="A164" s="7">
        <f t="shared" si="111"/>
        <v>25</v>
      </c>
      <c r="B164" s="7">
        <f t="shared" si="112"/>
        <v>75</v>
      </c>
      <c r="C164" s="115">
        <f t="shared" si="113"/>
        <v>50587</v>
      </c>
      <c r="D164" s="2">
        <f t="shared" si="96"/>
        <v>4.1666666666666666E-3</v>
      </c>
      <c r="E164" s="169">
        <f t="shared" si="114"/>
        <v>150</v>
      </c>
      <c r="F164" s="165">
        <f t="shared" si="115"/>
        <v>2631.3662685230352</v>
      </c>
      <c r="G164" s="170">
        <f t="shared" si="131"/>
        <v>1312.2467771989727</v>
      </c>
      <c r="H164" s="164" t="str">
        <f t="shared" si="134"/>
        <v>🛵</v>
      </c>
      <c r="I164" s="171" t="str">
        <f t="shared" si="97"/>
        <v>🛴</v>
      </c>
      <c r="J164" s="172">
        <f t="shared" si="98"/>
        <v>776.85009210179192</v>
      </c>
      <c r="K164" s="173">
        <f t="shared" si="99"/>
        <v>0.19211781229256603</v>
      </c>
      <c r="L164" s="174">
        <f t="shared" si="100"/>
        <v>4043.6130457220079</v>
      </c>
      <c r="M164" s="175">
        <f t="shared" si="116"/>
        <v>314162.37643565168</v>
      </c>
      <c r="N164" s="76"/>
      <c r="O164" s="37" t="str">
        <f t="shared" si="93"/>
        <v/>
      </c>
      <c r="P164" s="62" t="str">
        <f t="shared" si="117"/>
        <v/>
      </c>
      <c r="Q164" s="16" t="str">
        <f t="shared" si="101"/>
        <v/>
      </c>
      <c r="R164" s="60">
        <f t="shared" si="118"/>
        <v>240</v>
      </c>
      <c r="S164" s="98">
        <f t="shared" si="119"/>
        <v>535.39668509718081</v>
      </c>
      <c r="T164" s="21">
        <f t="shared" si="120"/>
        <v>1.6999999999999999E-3</v>
      </c>
      <c r="AA164" s="14">
        <f t="shared" si="102"/>
        <v>-4043.6130457220079</v>
      </c>
      <c r="AH164" s="6">
        <f t="shared" si="103"/>
        <v>2</v>
      </c>
      <c r="AI164" s="6">
        <f t="shared" si="104"/>
        <v>5</v>
      </c>
      <c r="AJ164" s="12">
        <f t="shared" si="105"/>
        <v>13</v>
      </c>
      <c r="AK164" s="72">
        <f t="shared" si="95"/>
        <v>31</v>
      </c>
      <c r="AR164">
        <f t="shared" si="121"/>
        <v>25</v>
      </c>
      <c r="AS164">
        <f t="shared" si="122"/>
        <v>75</v>
      </c>
      <c r="AT164" s="183">
        <f t="shared" si="123"/>
        <v>50587</v>
      </c>
      <c r="AU164" s="2">
        <f t="shared" si="124"/>
        <v>4.1666666666666666E-3</v>
      </c>
      <c r="AV164" s="169">
        <f t="shared" si="125"/>
        <v>150</v>
      </c>
      <c r="AW164" s="165">
        <f t="shared" si="126"/>
        <v>2631.3662685230352</v>
      </c>
      <c r="AX164" s="170">
        <f t="shared" si="132"/>
        <v>1312.2467771989727</v>
      </c>
      <c r="AY164" s="164" t="str">
        <f t="shared" si="135"/>
        <v>🛵</v>
      </c>
      <c r="AZ164" s="171" t="str">
        <f t="shared" si="106"/>
        <v>🛴</v>
      </c>
      <c r="BA164" s="172">
        <f t="shared" si="107"/>
        <v>776.85009210179192</v>
      </c>
      <c r="BB164" s="173">
        <f t="shared" si="108"/>
        <v>0.19211781229256603</v>
      </c>
      <c r="BC164" s="174">
        <f t="shared" si="109"/>
        <v>4043.6130457220079</v>
      </c>
      <c r="BD164" s="175">
        <f t="shared" si="127"/>
        <v>314162.37643565168</v>
      </c>
      <c r="BE164" s="184"/>
      <c r="BF164" s="177" t="str">
        <f t="shared" si="94"/>
        <v/>
      </c>
      <c r="BG164" s="178" t="str">
        <f t="shared" si="128"/>
        <v/>
      </c>
      <c r="BH164" s="179" t="str">
        <f t="shared" si="110"/>
        <v/>
      </c>
      <c r="BI164" s="180">
        <f t="shared" si="129"/>
        <v>240</v>
      </c>
      <c r="BJ164" s="181">
        <f t="shared" si="133"/>
        <v>535.39668509718081</v>
      </c>
      <c r="BK164" s="182">
        <f t="shared" si="130"/>
        <v>1.6999999999999999E-3</v>
      </c>
    </row>
    <row r="165" spans="1:63" x14ac:dyDescent="0.25">
      <c r="A165" s="7">
        <f t="shared" si="111"/>
        <v>25</v>
      </c>
      <c r="B165" s="7">
        <f t="shared" si="112"/>
        <v>75</v>
      </c>
      <c r="C165" s="115">
        <f t="shared" si="113"/>
        <v>50618</v>
      </c>
      <c r="D165" s="2">
        <f t="shared" si="96"/>
        <v>4.1841004184100415E-3</v>
      </c>
      <c r="E165" s="169">
        <f t="shared" si="114"/>
        <v>151</v>
      </c>
      <c r="F165" s="165">
        <f t="shared" si="115"/>
        <v>2624.8755650606786</v>
      </c>
      <c r="G165" s="170">
        <f t="shared" si="131"/>
        <v>1314.4869306931032</v>
      </c>
      <c r="H165" s="164" t="str">
        <f t="shared" si="134"/>
        <v>🛵</v>
      </c>
      <c r="I165" s="171" t="str">
        <f t="shared" si="97"/>
        <v>🛴</v>
      </c>
      <c r="J165" s="172">
        <f t="shared" si="98"/>
        <v>780.41089075249533</v>
      </c>
      <c r="K165" s="173">
        <f t="shared" si="99"/>
        <v>0.19320149938829978</v>
      </c>
      <c r="L165" s="174">
        <f t="shared" si="100"/>
        <v>4039.3624957537818</v>
      </c>
      <c r="M165" s="175">
        <f t="shared" si="116"/>
        <v>313381.96554489917</v>
      </c>
      <c r="N165" s="20"/>
      <c r="O165" s="37" t="str">
        <f t="shared" si="93"/>
        <v/>
      </c>
      <c r="P165" s="62" t="str">
        <f t="shared" si="117"/>
        <v/>
      </c>
      <c r="Q165" s="16" t="str">
        <f t="shared" si="101"/>
        <v/>
      </c>
      <c r="R165" s="60">
        <f t="shared" si="118"/>
        <v>239</v>
      </c>
      <c r="S165" s="98">
        <f t="shared" si="119"/>
        <v>534.07603994060787</v>
      </c>
      <c r="T165" s="21">
        <f t="shared" si="120"/>
        <v>1.6999999999999999E-3</v>
      </c>
      <c r="AA165" s="14">
        <f t="shared" si="102"/>
        <v>-4039.3624957537818</v>
      </c>
      <c r="AH165" s="6">
        <f t="shared" si="103"/>
        <v>2</v>
      </c>
      <c r="AI165" s="6">
        <f t="shared" si="104"/>
        <v>5</v>
      </c>
      <c r="AJ165" s="12">
        <f t="shared" si="105"/>
        <v>13</v>
      </c>
      <c r="AK165" s="72">
        <f t="shared" si="95"/>
        <v>31</v>
      </c>
      <c r="AR165">
        <f t="shared" si="121"/>
        <v>25</v>
      </c>
      <c r="AS165">
        <f t="shared" si="122"/>
        <v>75</v>
      </c>
      <c r="AT165" s="183">
        <f t="shared" si="123"/>
        <v>50618</v>
      </c>
      <c r="AU165" s="2">
        <f t="shared" si="124"/>
        <v>4.1841004184100415E-3</v>
      </c>
      <c r="AV165" s="169">
        <f t="shared" si="125"/>
        <v>151</v>
      </c>
      <c r="AW165" s="165">
        <f t="shared" si="126"/>
        <v>2624.8755650606786</v>
      </c>
      <c r="AX165" s="170">
        <f t="shared" si="132"/>
        <v>1314.4869306931032</v>
      </c>
      <c r="AY165" s="164" t="str">
        <f t="shared" si="135"/>
        <v>🛵</v>
      </c>
      <c r="AZ165" s="171" t="str">
        <f t="shared" si="106"/>
        <v>🛴</v>
      </c>
      <c r="BA165" s="172">
        <f t="shared" si="107"/>
        <v>780.41089075249533</v>
      </c>
      <c r="BB165" s="173">
        <f t="shared" si="108"/>
        <v>0.19320149938829978</v>
      </c>
      <c r="BC165" s="174">
        <f t="shared" si="109"/>
        <v>4039.3624957537818</v>
      </c>
      <c r="BD165" s="175">
        <f t="shared" si="127"/>
        <v>313381.96554489917</v>
      </c>
      <c r="BE165" s="176"/>
      <c r="BF165" s="177" t="str">
        <f t="shared" si="94"/>
        <v/>
      </c>
      <c r="BG165" s="178" t="str">
        <f t="shared" si="128"/>
        <v/>
      </c>
      <c r="BH165" s="179" t="str">
        <f t="shared" si="110"/>
        <v/>
      </c>
      <c r="BI165" s="180">
        <f t="shared" si="129"/>
        <v>239</v>
      </c>
      <c r="BJ165" s="181">
        <f t="shared" si="133"/>
        <v>534.07603994060787</v>
      </c>
      <c r="BK165" s="182">
        <f t="shared" si="130"/>
        <v>1.6999999999999999E-3</v>
      </c>
    </row>
    <row r="166" spans="1:63" x14ac:dyDescent="0.25">
      <c r="A166" s="7">
        <f t="shared" si="111"/>
        <v>25</v>
      </c>
      <c r="B166" s="7">
        <f t="shared" si="112"/>
        <v>75</v>
      </c>
      <c r="C166" s="115">
        <f t="shared" si="113"/>
        <v>50649</v>
      </c>
      <c r="D166" s="2">
        <f t="shared" si="96"/>
        <v>4.2016806722689074E-3</v>
      </c>
      <c r="E166" s="169">
        <f t="shared" si="114"/>
        <v>152</v>
      </c>
      <c r="F166" s="165">
        <f t="shared" si="115"/>
        <v>2618.3551105712368</v>
      </c>
      <c r="G166" s="170">
        <f t="shared" si="131"/>
        <v>1316.7309476676435</v>
      </c>
      <c r="H166" s="164" t="str">
        <f t="shared" si="134"/>
        <v>🛵</v>
      </c>
      <c r="I166" s="171" t="str">
        <f t="shared" si="97"/>
        <v>🛴</v>
      </c>
      <c r="J166" s="172">
        <f t="shared" si="98"/>
        <v>783.98160624131492</v>
      </c>
      <c r="K166" s="173">
        <f t="shared" si="99"/>
        <v>0.19429117370138194</v>
      </c>
      <c r="L166" s="174">
        <f t="shared" si="100"/>
        <v>4035.0860582388805</v>
      </c>
      <c r="M166" s="175">
        <f t="shared" si="116"/>
        <v>312597.98393865785</v>
      </c>
      <c r="N166" s="76"/>
      <c r="O166" s="37" t="str">
        <f t="shared" si="93"/>
        <v/>
      </c>
      <c r="P166" s="62" t="str">
        <f t="shared" si="117"/>
        <v/>
      </c>
      <c r="Q166" s="16" t="str">
        <f t="shared" si="101"/>
        <v/>
      </c>
      <c r="R166" s="60">
        <f t="shared" si="118"/>
        <v>238</v>
      </c>
      <c r="S166" s="98">
        <f t="shared" si="119"/>
        <v>532.74934142632856</v>
      </c>
      <c r="T166" s="21">
        <f t="shared" si="120"/>
        <v>1.6999999999999999E-3</v>
      </c>
      <c r="AA166" s="14">
        <f t="shared" si="102"/>
        <v>-4035.0860582388805</v>
      </c>
      <c r="AH166" s="6">
        <f t="shared" si="103"/>
        <v>2</v>
      </c>
      <c r="AI166" s="6">
        <f t="shared" si="104"/>
        <v>5</v>
      </c>
      <c r="AJ166" s="12">
        <f t="shared" si="105"/>
        <v>13</v>
      </c>
      <c r="AK166" s="72">
        <f t="shared" si="95"/>
        <v>30</v>
      </c>
      <c r="AR166">
        <f t="shared" si="121"/>
        <v>25</v>
      </c>
      <c r="AS166">
        <f t="shared" si="122"/>
        <v>75</v>
      </c>
      <c r="AT166" s="183">
        <f t="shared" si="123"/>
        <v>50649</v>
      </c>
      <c r="AU166" s="2">
        <f t="shared" si="124"/>
        <v>4.2016806722689074E-3</v>
      </c>
      <c r="AV166" s="169">
        <f t="shared" si="125"/>
        <v>152</v>
      </c>
      <c r="AW166" s="165">
        <f t="shared" si="126"/>
        <v>2618.3551105712368</v>
      </c>
      <c r="AX166" s="170">
        <f t="shared" si="132"/>
        <v>1316.7309476676435</v>
      </c>
      <c r="AY166" s="164" t="str">
        <f t="shared" si="135"/>
        <v>🛵</v>
      </c>
      <c r="AZ166" s="171" t="str">
        <f t="shared" si="106"/>
        <v>🛴</v>
      </c>
      <c r="BA166" s="172">
        <f t="shared" si="107"/>
        <v>783.98160624131492</v>
      </c>
      <c r="BB166" s="173">
        <f t="shared" si="108"/>
        <v>0.19429117370138194</v>
      </c>
      <c r="BC166" s="174">
        <f t="shared" si="109"/>
        <v>4035.0860582388805</v>
      </c>
      <c r="BD166" s="175">
        <f t="shared" si="127"/>
        <v>312597.98393865785</v>
      </c>
      <c r="BE166" s="184"/>
      <c r="BF166" s="177" t="str">
        <f t="shared" si="94"/>
        <v/>
      </c>
      <c r="BG166" s="178" t="str">
        <f t="shared" si="128"/>
        <v/>
      </c>
      <c r="BH166" s="179" t="str">
        <f t="shared" si="110"/>
        <v/>
      </c>
      <c r="BI166" s="180">
        <f t="shared" si="129"/>
        <v>238</v>
      </c>
      <c r="BJ166" s="181">
        <f t="shared" si="133"/>
        <v>532.74934142632856</v>
      </c>
      <c r="BK166" s="182">
        <f t="shared" si="130"/>
        <v>1.6999999999999999E-3</v>
      </c>
    </row>
    <row r="167" spans="1:63" x14ac:dyDescent="0.25">
      <c r="A167" s="7">
        <f t="shared" si="111"/>
        <v>25</v>
      </c>
      <c r="B167" s="7">
        <f t="shared" si="112"/>
        <v>75</v>
      </c>
      <c r="C167" s="115">
        <f t="shared" si="113"/>
        <v>50679</v>
      </c>
      <c r="D167" s="2">
        <f t="shared" si="96"/>
        <v>4.2194092827004216E-3</v>
      </c>
      <c r="E167" s="169">
        <f t="shared" si="114"/>
        <v>153</v>
      </c>
      <c r="F167" s="165">
        <f t="shared" si="115"/>
        <v>2611.8048221979843</v>
      </c>
      <c r="G167" s="170">
        <f t="shared" si="131"/>
        <v>1318.9788351842103</v>
      </c>
      <c r="H167" s="164" t="str">
        <f t="shared" si="134"/>
        <v>🛵</v>
      </c>
      <c r="I167" s="171" t="str">
        <f t="shared" si="97"/>
        <v>🛴</v>
      </c>
      <c r="J167" s="172">
        <f t="shared" si="98"/>
        <v>787.56226248849202</v>
      </c>
      <c r="K167" s="173">
        <f t="shared" si="99"/>
        <v>0.19538688489175252</v>
      </c>
      <c r="L167" s="174">
        <f t="shared" si="100"/>
        <v>4030.7836573821946</v>
      </c>
      <c r="M167" s="175">
        <f t="shared" si="116"/>
        <v>311810.42167616938</v>
      </c>
      <c r="N167" s="20"/>
      <c r="O167" s="37" t="str">
        <f t="shared" si="93"/>
        <v/>
      </c>
      <c r="P167" s="62" t="str">
        <f t="shared" si="117"/>
        <v/>
      </c>
      <c r="Q167" s="16" t="str">
        <f t="shared" si="101"/>
        <v/>
      </c>
      <c r="R167" s="60">
        <f t="shared" si="118"/>
        <v>237</v>
      </c>
      <c r="S167" s="98">
        <f t="shared" si="119"/>
        <v>531.41657269571829</v>
      </c>
      <c r="T167" s="21">
        <f t="shared" si="120"/>
        <v>1.6999999999999999E-3</v>
      </c>
      <c r="AA167" s="14">
        <f t="shared" si="102"/>
        <v>-4030.7836573821946</v>
      </c>
      <c r="AH167" s="6">
        <f t="shared" si="103"/>
        <v>2</v>
      </c>
      <c r="AI167" s="6">
        <f t="shared" si="104"/>
        <v>5</v>
      </c>
      <c r="AJ167" s="12">
        <f t="shared" si="105"/>
        <v>13</v>
      </c>
      <c r="AK167" s="72">
        <f t="shared" si="95"/>
        <v>31</v>
      </c>
      <c r="AR167">
        <f t="shared" si="121"/>
        <v>25</v>
      </c>
      <c r="AS167">
        <f t="shared" si="122"/>
        <v>75</v>
      </c>
      <c r="AT167" s="183">
        <f t="shared" si="123"/>
        <v>50679</v>
      </c>
      <c r="AU167" s="2">
        <f t="shared" si="124"/>
        <v>4.2194092827004216E-3</v>
      </c>
      <c r="AV167" s="169">
        <f t="shared" si="125"/>
        <v>153</v>
      </c>
      <c r="AW167" s="165">
        <f t="shared" si="126"/>
        <v>2611.8048221979843</v>
      </c>
      <c r="AX167" s="170">
        <f t="shared" si="132"/>
        <v>1318.9788351842103</v>
      </c>
      <c r="AY167" s="164" t="str">
        <f t="shared" si="135"/>
        <v>🛵</v>
      </c>
      <c r="AZ167" s="171" t="str">
        <f t="shared" si="106"/>
        <v>🛴</v>
      </c>
      <c r="BA167" s="172">
        <f t="shared" si="107"/>
        <v>787.56226248849202</v>
      </c>
      <c r="BB167" s="173">
        <f t="shared" si="108"/>
        <v>0.19538688489175252</v>
      </c>
      <c r="BC167" s="174">
        <f t="shared" si="109"/>
        <v>4030.7836573821946</v>
      </c>
      <c r="BD167" s="175">
        <f t="shared" si="127"/>
        <v>311810.42167616938</v>
      </c>
      <c r="BE167" s="176"/>
      <c r="BF167" s="177" t="str">
        <f t="shared" si="94"/>
        <v/>
      </c>
      <c r="BG167" s="178" t="str">
        <f t="shared" si="128"/>
        <v/>
      </c>
      <c r="BH167" s="179" t="str">
        <f t="shared" si="110"/>
        <v/>
      </c>
      <c r="BI167" s="180">
        <f t="shared" si="129"/>
        <v>237</v>
      </c>
      <c r="BJ167" s="181">
        <f t="shared" si="133"/>
        <v>531.41657269571829</v>
      </c>
      <c r="BK167" s="182">
        <f t="shared" si="130"/>
        <v>1.6999999999999999E-3</v>
      </c>
    </row>
    <row r="168" spans="1:63" x14ac:dyDescent="0.25">
      <c r="A168" s="7">
        <f t="shared" si="111"/>
        <v>25</v>
      </c>
      <c r="B168" s="7">
        <f t="shared" si="112"/>
        <v>75</v>
      </c>
      <c r="C168" s="115">
        <f t="shared" si="113"/>
        <v>50710</v>
      </c>
      <c r="D168" s="2">
        <f t="shared" si="96"/>
        <v>4.2372881355932203E-3</v>
      </c>
      <c r="E168" s="169">
        <f t="shared" si="114"/>
        <v>154</v>
      </c>
      <c r="F168" s="165">
        <f t="shared" si="115"/>
        <v>2605.2246168843371</v>
      </c>
      <c r="G168" s="170">
        <f t="shared" si="131"/>
        <v>1321.2306003227516</v>
      </c>
      <c r="H168" s="164" t="str">
        <f t="shared" si="134"/>
        <v>🛵</v>
      </c>
      <c r="I168" s="171" t="str">
        <f t="shared" si="97"/>
        <v>🛴</v>
      </c>
      <c r="J168" s="172">
        <f t="shared" si="98"/>
        <v>791.15288347326361</v>
      </c>
      <c r="K168" s="173">
        <f t="shared" si="99"/>
        <v>0.19648868317031451</v>
      </c>
      <c r="L168" s="174">
        <f t="shared" si="100"/>
        <v>4026.4552172070889</v>
      </c>
      <c r="M168" s="175">
        <f t="shared" si="116"/>
        <v>311019.26879269612</v>
      </c>
      <c r="N168" s="20"/>
      <c r="O168" s="37" t="str">
        <f t="shared" si="93"/>
        <v/>
      </c>
      <c r="P168" s="62" t="str">
        <f t="shared" si="117"/>
        <v/>
      </c>
      <c r="Q168" s="16" t="str">
        <f t="shared" si="101"/>
        <v/>
      </c>
      <c r="R168" s="60">
        <f t="shared" si="118"/>
        <v>236</v>
      </c>
      <c r="S168" s="98">
        <f t="shared" si="119"/>
        <v>530.07771684948796</v>
      </c>
      <c r="T168" s="21">
        <f t="shared" si="120"/>
        <v>1.6999999999999999E-3</v>
      </c>
      <c r="AA168" s="14">
        <f t="shared" si="102"/>
        <v>-4026.4552172070889</v>
      </c>
      <c r="AH168" s="6">
        <f t="shared" si="103"/>
        <v>2</v>
      </c>
      <c r="AI168" s="6">
        <f t="shared" si="104"/>
        <v>5</v>
      </c>
      <c r="AJ168" s="12">
        <f t="shared" si="105"/>
        <v>13</v>
      </c>
      <c r="AK168" s="72">
        <f t="shared" si="95"/>
        <v>30</v>
      </c>
      <c r="AR168">
        <f t="shared" si="121"/>
        <v>25</v>
      </c>
      <c r="AS168">
        <f t="shared" si="122"/>
        <v>75</v>
      </c>
      <c r="AT168" s="183">
        <f t="shared" si="123"/>
        <v>50710</v>
      </c>
      <c r="AU168" s="2">
        <f t="shared" si="124"/>
        <v>4.2372881355932203E-3</v>
      </c>
      <c r="AV168" s="169">
        <f t="shared" si="125"/>
        <v>154</v>
      </c>
      <c r="AW168" s="165">
        <f t="shared" si="126"/>
        <v>2605.2246168843371</v>
      </c>
      <c r="AX168" s="170">
        <f t="shared" si="132"/>
        <v>1321.2306003227516</v>
      </c>
      <c r="AY168" s="164" t="str">
        <f t="shared" si="135"/>
        <v>🛵</v>
      </c>
      <c r="AZ168" s="171" t="str">
        <f t="shared" si="106"/>
        <v>🛴</v>
      </c>
      <c r="BA168" s="172">
        <f t="shared" si="107"/>
        <v>791.15288347326361</v>
      </c>
      <c r="BB168" s="173">
        <f t="shared" si="108"/>
        <v>0.19648868317031451</v>
      </c>
      <c r="BC168" s="174">
        <f t="shared" si="109"/>
        <v>4026.4552172070889</v>
      </c>
      <c r="BD168" s="175">
        <f t="shared" si="127"/>
        <v>311019.26879269612</v>
      </c>
      <c r="BE168" s="176"/>
      <c r="BF168" s="177" t="str">
        <f t="shared" si="94"/>
        <v/>
      </c>
      <c r="BG168" s="178" t="str">
        <f t="shared" si="128"/>
        <v/>
      </c>
      <c r="BH168" s="179" t="str">
        <f t="shared" si="110"/>
        <v/>
      </c>
      <c r="BI168" s="180">
        <f t="shared" si="129"/>
        <v>236</v>
      </c>
      <c r="BJ168" s="181">
        <f t="shared" si="133"/>
        <v>530.07771684948796</v>
      </c>
      <c r="BK168" s="182">
        <f t="shared" si="130"/>
        <v>1.6999999999999999E-3</v>
      </c>
    </row>
    <row r="169" spans="1:63" x14ac:dyDescent="0.25">
      <c r="A169" s="7">
        <f t="shared" si="111"/>
        <v>25</v>
      </c>
      <c r="B169" s="7">
        <f t="shared" si="112"/>
        <v>75</v>
      </c>
      <c r="C169" s="115">
        <f t="shared" si="113"/>
        <v>50740</v>
      </c>
      <c r="D169" s="2">
        <f t="shared" si="96"/>
        <v>4.2553191489361703E-3</v>
      </c>
      <c r="E169" s="169">
        <f t="shared" si="114"/>
        <v>155</v>
      </c>
      <c r="F169" s="165">
        <f t="shared" si="115"/>
        <v>2598.6144113733612</v>
      </c>
      <c r="G169" s="170">
        <f t="shared" si="131"/>
        <v>1323.4862501816856</v>
      </c>
      <c r="H169" s="164" t="str">
        <f t="shared" si="134"/>
        <v>🛵</v>
      </c>
      <c r="I169" s="171" t="str">
        <f t="shared" si="97"/>
        <v>🛴</v>
      </c>
      <c r="J169" s="172">
        <f t="shared" si="98"/>
        <v>794.75349323410217</v>
      </c>
      <c r="K169" s="173">
        <f t="shared" si="99"/>
        <v>0.19759661930659642</v>
      </c>
      <c r="L169" s="174">
        <f t="shared" si="100"/>
        <v>4022.1006615550468</v>
      </c>
      <c r="M169" s="175">
        <f t="shared" si="116"/>
        <v>310224.51529946201</v>
      </c>
      <c r="N169" s="76"/>
      <c r="O169" s="37" t="str">
        <f t="shared" si="93"/>
        <v/>
      </c>
      <c r="P169" s="62" t="str">
        <f t="shared" si="117"/>
        <v/>
      </c>
      <c r="Q169" s="16" t="str">
        <f t="shared" si="101"/>
        <v/>
      </c>
      <c r="R169" s="60">
        <f t="shared" si="118"/>
        <v>235</v>
      </c>
      <c r="S169" s="98">
        <f t="shared" si="119"/>
        <v>528.73275694758343</v>
      </c>
      <c r="T169" s="21">
        <f t="shared" si="120"/>
        <v>1.6999999999999999E-3</v>
      </c>
      <c r="AA169" s="14">
        <f t="shared" si="102"/>
        <v>-4022.1006615550468</v>
      </c>
      <c r="AH169" s="6">
        <f t="shared" si="103"/>
        <v>2</v>
      </c>
      <c r="AI169" s="6">
        <f t="shared" si="104"/>
        <v>5</v>
      </c>
      <c r="AJ169" s="12">
        <f t="shared" si="105"/>
        <v>13</v>
      </c>
      <c r="AK169" s="72">
        <f t="shared" si="95"/>
        <v>31</v>
      </c>
      <c r="AR169">
        <f t="shared" si="121"/>
        <v>25</v>
      </c>
      <c r="AS169">
        <f t="shared" si="122"/>
        <v>75</v>
      </c>
      <c r="AT169" s="183">
        <f t="shared" si="123"/>
        <v>50740</v>
      </c>
      <c r="AU169" s="2">
        <f t="shared" si="124"/>
        <v>4.2553191489361703E-3</v>
      </c>
      <c r="AV169" s="169">
        <f t="shared" si="125"/>
        <v>155</v>
      </c>
      <c r="AW169" s="165">
        <f t="shared" si="126"/>
        <v>2598.6144113733612</v>
      </c>
      <c r="AX169" s="170">
        <f t="shared" si="132"/>
        <v>1323.4862501816856</v>
      </c>
      <c r="AY169" s="164" t="str">
        <f t="shared" si="135"/>
        <v>🛵</v>
      </c>
      <c r="AZ169" s="171" t="str">
        <f t="shared" si="106"/>
        <v>🛴</v>
      </c>
      <c r="BA169" s="172">
        <f t="shared" si="107"/>
        <v>794.75349323410217</v>
      </c>
      <c r="BB169" s="173">
        <f t="shared" si="108"/>
        <v>0.19759661930659642</v>
      </c>
      <c r="BC169" s="174">
        <f t="shared" si="109"/>
        <v>4022.1006615550468</v>
      </c>
      <c r="BD169" s="175">
        <f t="shared" si="127"/>
        <v>310224.51529946201</v>
      </c>
      <c r="BE169" s="184"/>
      <c r="BF169" s="177" t="str">
        <f t="shared" si="94"/>
        <v/>
      </c>
      <c r="BG169" s="178" t="str">
        <f t="shared" si="128"/>
        <v/>
      </c>
      <c r="BH169" s="179" t="str">
        <f t="shared" si="110"/>
        <v/>
      </c>
      <c r="BI169" s="180">
        <f t="shared" si="129"/>
        <v>235</v>
      </c>
      <c r="BJ169" s="181">
        <f t="shared" si="133"/>
        <v>528.73275694758343</v>
      </c>
      <c r="BK169" s="182">
        <f t="shared" si="130"/>
        <v>1.6999999999999999E-3</v>
      </c>
    </row>
    <row r="170" spans="1:63" x14ac:dyDescent="0.25">
      <c r="A170" s="7">
        <f t="shared" si="111"/>
        <v>25</v>
      </c>
      <c r="B170" s="7">
        <f t="shared" si="112"/>
        <v>75</v>
      </c>
      <c r="C170" s="115">
        <f t="shared" si="113"/>
        <v>50771</v>
      </c>
      <c r="D170" s="2">
        <f t="shared" si="96"/>
        <v>4.2735042735042739E-3</v>
      </c>
      <c r="E170" s="169">
        <f t="shared" si="114"/>
        <v>156</v>
      </c>
      <c r="F170" s="165">
        <f t="shared" si="115"/>
        <v>2591.9741222072771</v>
      </c>
      <c r="G170" s="170">
        <f t="shared" si="131"/>
        <v>1325.7457918780428</v>
      </c>
      <c r="H170" s="164" t="str">
        <f t="shared" si="134"/>
        <v>🛵</v>
      </c>
      <c r="I170" s="171" t="str">
        <f t="shared" si="97"/>
        <v>🛴</v>
      </c>
      <c r="J170" s="172">
        <f t="shared" si="98"/>
        <v>798.36411586895747</v>
      </c>
      <c r="K170" s="173">
        <f t="shared" si="99"/>
        <v>0.19871074463654201</v>
      </c>
      <c r="L170" s="174">
        <f t="shared" si="100"/>
        <v>4017.7199140853199</v>
      </c>
      <c r="M170" s="175">
        <f t="shared" si="116"/>
        <v>309426.15118359309</v>
      </c>
      <c r="N170" s="20"/>
      <c r="O170" s="37" t="str">
        <f t="shared" si="93"/>
        <v/>
      </c>
      <c r="P170" s="62" t="str">
        <f t="shared" si="117"/>
        <v/>
      </c>
      <c r="Q170" s="16" t="str">
        <f t="shared" si="101"/>
        <v/>
      </c>
      <c r="R170" s="60">
        <f t="shared" si="118"/>
        <v>234</v>
      </c>
      <c r="S170" s="98">
        <f t="shared" si="119"/>
        <v>527.38167600908537</v>
      </c>
      <c r="T170" s="21">
        <f t="shared" si="120"/>
        <v>1.6999999999999999E-3</v>
      </c>
      <c r="AA170" s="14">
        <f t="shared" si="102"/>
        <v>-4017.7199140853199</v>
      </c>
      <c r="AH170" s="6">
        <f t="shared" si="103"/>
        <v>2</v>
      </c>
      <c r="AI170" s="6">
        <f t="shared" si="104"/>
        <v>5</v>
      </c>
      <c r="AJ170" s="12">
        <f t="shared" si="105"/>
        <v>13</v>
      </c>
      <c r="AK170" s="72">
        <f t="shared" si="95"/>
        <v>31</v>
      </c>
      <c r="AR170">
        <f t="shared" si="121"/>
        <v>25</v>
      </c>
      <c r="AS170">
        <f t="shared" si="122"/>
        <v>75</v>
      </c>
      <c r="AT170" s="183">
        <f t="shared" si="123"/>
        <v>50771</v>
      </c>
      <c r="AU170" s="2">
        <f t="shared" si="124"/>
        <v>4.2735042735042739E-3</v>
      </c>
      <c r="AV170" s="169">
        <f t="shared" si="125"/>
        <v>156</v>
      </c>
      <c r="AW170" s="165">
        <f t="shared" si="126"/>
        <v>2591.9741222072771</v>
      </c>
      <c r="AX170" s="170">
        <f t="shared" si="132"/>
        <v>1325.7457918780428</v>
      </c>
      <c r="AY170" s="164" t="str">
        <f t="shared" si="135"/>
        <v>🛵</v>
      </c>
      <c r="AZ170" s="171" t="str">
        <f t="shared" si="106"/>
        <v>🛴</v>
      </c>
      <c r="BA170" s="172">
        <f t="shared" si="107"/>
        <v>798.36411586895747</v>
      </c>
      <c r="BB170" s="173">
        <f t="shared" si="108"/>
        <v>0.19871074463654201</v>
      </c>
      <c r="BC170" s="174">
        <f t="shared" si="109"/>
        <v>4017.7199140853199</v>
      </c>
      <c r="BD170" s="175">
        <f t="shared" si="127"/>
        <v>309426.15118359309</v>
      </c>
      <c r="BE170" s="176"/>
      <c r="BF170" s="177" t="str">
        <f t="shared" si="94"/>
        <v/>
      </c>
      <c r="BG170" s="178" t="str">
        <f t="shared" si="128"/>
        <v/>
      </c>
      <c r="BH170" s="179" t="str">
        <f t="shared" si="110"/>
        <v/>
      </c>
      <c r="BI170" s="180">
        <f t="shared" si="129"/>
        <v>234</v>
      </c>
      <c r="BJ170" s="181">
        <f t="shared" si="133"/>
        <v>527.38167600908537</v>
      </c>
      <c r="BK170" s="182">
        <f t="shared" si="130"/>
        <v>1.6999999999999999E-3</v>
      </c>
    </row>
    <row r="171" spans="1:63" x14ac:dyDescent="0.25">
      <c r="A171" s="7">
        <f t="shared" si="111"/>
        <v>25</v>
      </c>
      <c r="B171" s="7">
        <f t="shared" si="112"/>
        <v>75</v>
      </c>
      <c r="C171" s="115">
        <f t="shared" si="113"/>
        <v>50802</v>
      </c>
      <c r="D171" s="2">
        <f t="shared" si="96"/>
        <v>4.2918454935622317E-3</v>
      </c>
      <c r="E171" s="169">
        <f t="shared" si="114"/>
        <v>157</v>
      </c>
      <c r="F171" s="165">
        <f t="shared" si="115"/>
        <v>2585.3036657269645</v>
      </c>
      <c r="G171" s="170">
        <f t="shared" si="131"/>
        <v>1328.0092325476098</v>
      </c>
      <c r="H171" s="164" t="str">
        <f t="shared" si="134"/>
        <v>🛵</v>
      </c>
      <c r="I171" s="171" t="str">
        <f t="shared" si="97"/>
        <v>🛴</v>
      </c>
      <c r="J171" s="172">
        <f t="shared" si="98"/>
        <v>801.98477553550163</v>
      </c>
      <c r="K171" s="173">
        <f t="shared" si="99"/>
        <v>0.19983111107043144</v>
      </c>
      <c r="L171" s="174">
        <f t="shared" si="100"/>
        <v>4013.3128982745743</v>
      </c>
      <c r="M171" s="175">
        <f t="shared" si="116"/>
        <v>308624.16640805762</v>
      </c>
      <c r="N171" s="20"/>
      <c r="O171" s="37" t="str">
        <f t="shared" si="93"/>
        <v/>
      </c>
      <c r="P171" s="62" t="str">
        <f t="shared" si="117"/>
        <v/>
      </c>
      <c r="Q171" s="16" t="str">
        <f t="shared" si="101"/>
        <v/>
      </c>
      <c r="R171" s="60">
        <f t="shared" si="118"/>
        <v>233</v>
      </c>
      <c r="S171" s="98">
        <f t="shared" si="119"/>
        <v>526.0244570121082</v>
      </c>
      <c r="T171" s="21">
        <f t="shared" si="120"/>
        <v>1.6999999999999999E-3</v>
      </c>
      <c r="U171" s="8"/>
      <c r="V171" s="8"/>
      <c r="W171" s="8"/>
      <c r="X171" s="8"/>
      <c r="Y171" s="8"/>
      <c r="AA171" s="14">
        <f t="shared" si="102"/>
        <v>-4013.3128982745743</v>
      </c>
      <c r="AH171" s="6">
        <f t="shared" si="103"/>
        <v>2</v>
      </c>
      <c r="AI171" s="6">
        <f t="shared" si="104"/>
        <v>5</v>
      </c>
      <c r="AJ171" s="12">
        <f t="shared" si="105"/>
        <v>14</v>
      </c>
      <c r="AK171" s="72">
        <f t="shared" si="95"/>
        <v>28</v>
      </c>
      <c r="AR171">
        <f t="shared" si="121"/>
        <v>25</v>
      </c>
      <c r="AS171">
        <f t="shared" si="122"/>
        <v>75</v>
      </c>
      <c r="AT171" s="183">
        <f t="shared" si="123"/>
        <v>50802</v>
      </c>
      <c r="AU171" s="2">
        <f t="shared" si="124"/>
        <v>4.2918454935622317E-3</v>
      </c>
      <c r="AV171" s="169">
        <f t="shared" si="125"/>
        <v>157</v>
      </c>
      <c r="AW171" s="165">
        <f t="shared" si="126"/>
        <v>2585.3036657269645</v>
      </c>
      <c r="AX171" s="170">
        <f t="shared" si="132"/>
        <v>1328.0092325476098</v>
      </c>
      <c r="AY171" s="164" t="str">
        <f t="shared" si="135"/>
        <v>🛵</v>
      </c>
      <c r="AZ171" s="171" t="str">
        <f t="shared" si="106"/>
        <v>🛴</v>
      </c>
      <c r="BA171" s="172">
        <f t="shared" si="107"/>
        <v>801.98477553550163</v>
      </c>
      <c r="BB171" s="173">
        <f t="shared" si="108"/>
        <v>0.19983111107043144</v>
      </c>
      <c r="BC171" s="174">
        <f t="shared" si="109"/>
        <v>4013.3128982745743</v>
      </c>
      <c r="BD171" s="175">
        <f t="shared" si="127"/>
        <v>308624.16640805762</v>
      </c>
      <c r="BE171" s="176"/>
      <c r="BF171" s="177" t="str">
        <f t="shared" si="94"/>
        <v/>
      </c>
      <c r="BG171" s="178" t="str">
        <f t="shared" si="128"/>
        <v/>
      </c>
      <c r="BH171" s="179" t="str">
        <f t="shared" si="110"/>
        <v/>
      </c>
      <c r="BI171" s="180">
        <f t="shared" si="129"/>
        <v>233</v>
      </c>
      <c r="BJ171" s="181">
        <f t="shared" si="133"/>
        <v>526.0244570121082</v>
      </c>
      <c r="BK171" s="182">
        <f t="shared" si="130"/>
        <v>1.6999999999999999E-3</v>
      </c>
    </row>
    <row r="172" spans="1:63" x14ac:dyDescent="0.25">
      <c r="A172" s="7">
        <f t="shared" si="111"/>
        <v>25</v>
      </c>
      <c r="B172" s="7">
        <f t="shared" si="112"/>
        <v>75</v>
      </c>
      <c r="C172" s="115">
        <f t="shared" si="113"/>
        <v>50830</v>
      </c>
      <c r="D172" s="2">
        <f t="shared" si="96"/>
        <v>4.3103448275862068E-3</v>
      </c>
      <c r="E172" s="169">
        <f t="shared" si="114"/>
        <v>158</v>
      </c>
      <c r="F172" s="165">
        <f t="shared" si="115"/>
        <v>2578.6029580714603</v>
      </c>
      <c r="G172" s="170">
        <f t="shared" si="131"/>
        <v>1330.276579345076</v>
      </c>
      <c r="H172" s="164" t="str">
        <f t="shared" si="134"/>
        <v>🛵</v>
      </c>
      <c r="I172" s="171" t="str">
        <f t="shared" si="97"/>
        <v>🚴‍♂️</v>
      </c>
      <c r="J172" s="172">
        <f t="shared" si="98"/>
        <v>805.61549645137814</v>
      </c>
      <c r="K172" s="173">
        <f t="shared" si="99"/>
        <v>0.20095777110093591</v>
      </c>
      <c r="L172" s="174">
        <f t="shared" si="100"/>
        <v>4008.8795374165366</v>
      </c>
      <c r="M172" s="175">
        <f t="shared" si="116"/>
        <v>307818.55091160629</v>
      </c>
      <c r="N172" s="20"/>
      <c r="O172" s="37" t="str">
        <f t="shared" si="93"/>
        <v/>
      </c>
      <c r="P172" s="62" t="str">
        <f t="shared" si="117"/>
        <v/>
      </c>
      <c r="Q172" s="16" t="str">
        <f t="shared" si="101"/>
        <v/>
      </c>
      <c r="R172" s="60">
        <f t="shared" si="118"/>
        <v>232</v>
      </c>
      <c r="S172" s="98">
        <f t="shared" si="119"/>
        <v>524.66108289369788</v>
      </c>
      <c r="T172" s="21">
        <f t="shared" si="120"/>
        <v>1.6999999999999999E-3</v>
      </c>
      <c r="AA172" s="14">
        <f t="shared" si="102"/>
        <v>-4008.8795374165366</v>
      </c>
      <c r="AG172" s="8"/>
      <c r="AH172" s="6">
        <f t="shared" si="103"/>
        <v>2</v>
      </c>
      <c r="AI172" s="6">
        <f t="shared" si="104"/>
        <v>5</v>
      </c>
      <c r="AJ172" s="12">
        <f t="shared" si="105"/>
        <v>14</v>
      </c>
      <c r="AK172" s="72">
        <f t="shared" si="95"/>
        <v>31</v>
      </c>
      <c r="AR172">
        <f t="shared" si="121"/>
        <v>25</v>
      </c>
      <c r="AS172">
        <f t="shared" si="122"/>
        <v>75</v>
      </c>
      <c r="AT172" s="183">
        <f t="shared" si="123"/>
        <v>50830</v>
      </c>
      <c r="AU172" s="2">
        <f t="shared" si="124"/>
        <v>4.3103448275862068E-3</v>
      </c>
      <c r="AV172" s="169">
        <f t="shared" si="125"/>
        <v>158</v>
      </c>
      <c r="AW172" s="165">
        <f t="shared" si="126"/>
        <v>2578.6029580714603</v>
      </c>
      <c r="AX172" s="170">
        <f t="shared" si="132"/>
        <v>1330.276579345076</v>
      </c>
      <c r="AY172" s="164" t="str">
        <f t="shared" si="135"/>
        <v>🛵</v>
      </c>
      <c r="AZ172" s="171" t="str">
        <f t="shared" si="106"/>
        <v>🚴‍♂️</v>
      </c>
      <c r="BA172" s="172">
        <f t="shared" si="107"/>
        <v>805.61549645137814</v>
      </c>
      <c r="BB172" s="173">
        <f t="shared" si="108"/>
        <v>0.20095777110093591</v>
      </c>
      <c r="BC172" s="174">
        <f t="shared" si="109"/>
        <v>4008.8795374165366</v>
      </c>
      <c r="BD172" s="175">
        <f t="shared" si="127"/>
        <v>307818.55091160629</v>
      </c>
      <c r="BE172" s="176"/>
      <c r="BF172" s="177" t="str">
        <f t="shared" si="94"/>
        <v/>
      </c>
      <c r="BG172" s="178" t="str">
        <f t="shared" si="128"/>
        <v/>
      </c>
      <c r="BH172" s="179" t="str">
        <f t="shared" si="110"/>
        <v/>
      </c>
      <c r="BI172" s="180">
        <f t="shared" si="129"/>
        <v>232</v>
      </c>
      <c r="BJ172" s="181">
        <f t="shared" si="133"/>
        <v>524.66108289369788</v>
      </c>
      <c r="BK172" s="182">
        <f t="shared" si="130"/>
        <v>1.6999999999999999E-3</v>
      </c>
    </row>
    <row r="173" spans="1:63" x14ac:dyDescent="0.25">
      <c r="A173" s="7">
        <f t="shared" si="111"/>
        <v>25</v>
      </c>
      <c r="B173" s="7">
        <f t="shared" si="112"/>
        <v>75</v>
      </c>
      <c r="C173" s="115">
        <f t="shared" si="113"/>
        <v>50861</v>
      </c>
      <c r="D173" s="2">
        <f t="shared" si="96"/>
        <v>4.329004329004329E-3</v>
      </c>
      <c r="E173" s="169">
        <f t="shared" si="114"/>
        <v>159</v>
      </c>
      <c r="F173" s="165">
        <f t="shared" si="115"/>
        <v>2571.8719151774608</v>
      </c>
      <c r="G173" s="170">
        <f t="shared" si="131"/>
        <v>1332.5478394441832</v>
      </c>
      <c r="H173" s="164" t="str">
        <f t="shared" si="134"/>
        <v>🛵</v>
      </c>
      <c r="I173" s="171" t="str">
        <f t="shared" si="97"/>
        <v>🚴‍♂️</v>
      </c>
      <c r="J173" s="172">
        <f t="shared" si="98"/>
        <v>809.25630289445257</v>
      </c>
      <c r="K173" s="173">
        <f t="shared" si="99"/>
        <v>0.20209077781130738</v>
      </c>
      <c r="L173" s="174">
        <f t="shared" si="100"/>
        <v>4004.4197546216437</v>
      </c>
      <c r="M173" s="175">
        <f t="shared" si="116"/>
        <v>307009.29460871185</v>
      </c>
      <c r="N173" s="20"/>
      <c r="O173" s="37" t="str">
        <f t="shared" si="93"/>
        <v/>
      </c>
      <c r="P173" s="62" t="str">
        <f t="shared" si="117"/>
        <v/>
      </c>
      <c r="Q173" s="16" t="str">
        <f t="shared" si="101"/>
        <v/>
      </c>
      <c r="R173" s="60">
        <f t="shared" si="118"/>
        <v>231</v>
      </c>
      <c r="S173" s="98">
        <f t="shared" si="119"/>
        <v>523.29153654973061</v>
      </c>
      <c r="T173" s="21">
        <f t="shared" si="120"/>
        <v>1.6999999999999999E-3</v>
      </c>
      <c r="AA173" s="14">
        <f t="shared" si="102"/>
        <v>-4004.4197546216437</v>
      </c>
      <c r="AH173" s="6">
        <f t="shared" si="103"/>
        <v>2</v>
      </c>
      <c r="AI173" s="6">
        <f t="shared" si="104"/>
        <v>5</v>
      </c>
      <c r="AJ173" s="12">
        <f t="shared" si="105"/>
        <v>14</v>
      </c>
      <c r="AK173" s="72">
        <f t="shared" si="95"/>
        <v>30</v>
      </c>
      <c r="AR173">
        <f t="shared" si="121"/>
        <v>25</v>
      </c>
      <c r="AS173">
        <f t="shared" si="122"/>
        <v>75</v>
      </c>
      <c r="AT173" s="183">
        <f t="shared" si="123"/>
        <v>50861</v>
      </c>
      <c r="AU173" s="2">
        <f t="shared" si="124"/>
        <v>4.329004329004329E-3</v>
      </c>
      <c r="AV173" s="169">
        <f t="shared" si="125"/>
        <v>159</v>
      </c>
      <c r="AW173" s="165">
        <f t="shared" si="126"/>
        <v>2571.8719151774608</v>
      </c>
      <c r="AX173" s="170">
        <f t="shared" si="132"/>
        <v>1332.5478394441832</v>
      </c>
      <c r="AY173" s="164" t="str">
        <f t="shared" si="135"/>
        <v>🛵</v>
      </c>
      <c r="AZ173" s="171" t="str">
        <f t="shared" si="106"/>
        <v>🚴‍♂️</v>
      </c>
      <c r="BA173" s="172">
        <f t="shared" si="107"/>
        <v>809.25630289445257</v>
      </c>
      <c r="BB173" s="173">
        <f t="shared" si="108"/>
        <v>0.20209077781130738</v>
      </c>
      <c r="BC173" s="174">
        <f t="shared" si="109"/>
        <v>4004.4197546216437</v>
      </c>
      <c r="BD173" s="175">
        <f t="shared" si="127"/>
        <v>307009.29460871185</v>
      </c>
      <c r="BE173" s="176"/>
      <c r="BF173" s="177" t="str">
        <f t="shared" si="94"/>
        <v/>
      </c>
      <c r="BG173" s="178" t="str">
        <f t="shared" si="128"/>
        <v/>
      </c>
      <c r="BH173" s="179" t="str">
        <f t="shared" si="110"/>
        <v/>
      </c>
      <c r="BI173" s="180">
        <f t="shared" si="129"/>
        <v>231</v>
      </c>
      <c r="BJ173" s="181">
        <f t="shared" si="133"/>
        <v>523.29153654973061</v>
      </c>
      <c r="BK173" s="182">
        <f t="shared" si="130"/>
        <v>1.6999999999999999E-3</v>
      </c>
    </row>
    <row r="174" spans="1:63" x14ac:dyDescent="0.25">
      <c r="A174" s="7">
        <f t="shared" si="111"/>
        <v>25</v>
      </c>
      <c r="B174" s="7">
        <f t="shared" si="112"/>
        <v>75</v>
      </c>
      <c r="C174" s="115">
        <f t="shared" si="113"/>
        <v>50891</v>
      </c>
      <c r="D174" s="2">
        <f t="shared" si="96"/>
        <v>4.3478260869565218E-3</v>
      </c>
      <c r="E174" s="169">
        <f t="shared" si="114"/>
        <v>160</v>
      </c>
      <c r="F174" s="165">
        <f t="shared" si="115"/>
        <v>2565.1104527788143</v>
      </c>
      <c r="G174" s="170">
        <f t="shared" si="131"/>
        <v>1334.8230200378775</v>
      </c>
      <c r="H174" s="164" t="str">
        <f t="shared" si="134"/>
        <v>🛵</v>
      </c>
      <c r="I174" s="171" t="str">
        <f t="shared" si="97"/>
        <v>🚴‍♂️</v>
      </c>
      <c r="J174" s="172">
        <f t="shared" si="98"/>
        <v>812.90721920306748</v>
      </c>
      <c r="K174" s="173">
        <f t="shared" si="99"/>
        <v>0.20323018488370775</v>
      </c>
      <c r="L174" s="174">
        <f t="shared" si="100"/>
        <v>3999.9334728166918</v>
      </c>
      <c r="M174" s="175">
        <f t="shared" si="116"/>
        <v>306196.38738950877</v>
      </c>
      <c r="N174" s="20"/>
      <c r="O174" s="37" t="str">
        <f t="shared" si="93"/>
        <v/>
      </c>
      <c r="P174" s="62" t="str">
        <f t="shared" si="117"/>
        <v/>
      </c>
      <c r="Q174" s="16" t="str">
        <f t="shared" si="101"/>
        <v/>
      </c>
      <c r="R174" s="60">
        <f t="shared" si="118"/>
        <v>230</v>
      </c>
      <c r="S174" s="98">
        <f t="shared" si="119"/>
        <v>521.91580083481006</v>
      </c>
      <c r="T174" s="21">
        <f t="shared" si="120"/>
        <v>1.6999999999999999E-3</v>
      </c>
      <c r="AA174" s="14">
        <f t="shared" si="102"/>
        <v>-3999.9334728166918</v>
      </c>
      <c r="AH174" s="6">
        <f t="shared" si="103"/>
        <v>2</v>
      </c>
      <c r="AI174" s="6">
        <f t="shared" si="104"/>
        <v>5</v>
      </c>
      <c r="AJ174" s="12">
        <f t="shared" si="105"/>
        <v>14</v>
      </c>
      <c r="AK174" s="72">
        <f t="shared" si="95"/>
        <v>31</v>
      </c>
      <c r="AR174">
        <f t="shared" si="121"/>
        <v>25</v>
      </c>
      <c r="AS174">
        <f t="shared" si="122"/>
        <v>75</v>
      </c>
      <c r="AT174" s="183">
        <f t="shared" si="123"/>
        <v>50891</v>
      </c>
      <c r="AU174" s="2">
        <f t="shared" si="124"/>
        <v>4.3478260869565218E-3</v>
      </c>
      <c r="AV174" s="169">
        <f t="shared" si="125"/>
        <v>160</v>
      </c>
      <c r="AW174" s="165">
        <f t="shared" si="126"/>
        <v>2565.1104527788143</v>
      </c>
      <c r="AX174" s="170">
        <f t="shared" si="132"/>
        <v>1334.8230200378775</v>
      </c>
      <c r="AY174" s="164" t="str">
        <f t="shared" si="135"/>
        <v>🛵</v>
      </c>
      <c r="AZ174" s="171" t="str">
        <f t="shared" si="106"/>
        <v>🚴‍♂️</v>
      </c>
      <c r="BA174" s="172">
        <f t="shared" si="107"/>
        <v>812.90721920306748</v>
      </c>
      <c r="BB174" s="173">
        <f t="shared" si="108"/>
        <v>0.20323018488370775</v>
      </c>
      <c r="BC174" s="174">
        <f t="shared" si="109"/>
        <v>3999.9334728166918</v>
      </c>
      <c r="BD174" s="175">
        <f t="shared" si="127"/>
        <v>306196.38738950877</v>
      </c>
      <c r="BE174" s="176"/>
      <c r="BF174" s="177" t="str">
        <f t="shared" si="94"/>
        <v/>
      </c>
      <c r="BG174" s="178" t="str">
        <f t="shared" si="128"/>
        <v/>
      </c>
      <c r="BH174" s="179" t="str">
        <f t="shared" si="110"/>
        <v/>
      </c>
      <c r="BI174" s="180">
        <f t="shared" si="129"/>
        <v>230</v>
      </c>
      <c r="BJ174" s="181">
        <f t="shared" si="133"/>
        <v>521.91580083481006</v>
      </c>
      <c r="BK174" s="182">
        <f t="shared" si="130"/>
        <v>1.6999999999999999E-3</v>
      </c>
    </row>
    <row r="175" spans="1:63" x14ac:dyDescent="0.25">
      <c r="A175" s="7">
        <f t="shared" si="111"/>
        <v>25</v>
      </c>
      <c r="B175" s="7">
        <f t="shared" si="112"/>
        <v>75</v>
      </c>
      <c r="C175" s="115">
        <f t="shared" si="113"/>
        <v>50922</v>
      </c>
      <c r="D175" s="2">
        <f t="shared" si="96"/>
        <v>4.3668122270742356E-3</v>
      </c>
      <c r="E175" s="169">
        <f t="shared" si="114"/>
        <v>161</v>
      </c>
      <c r="F175" s="165">
        <f t="shared" si="115"/>
        <v>2558.3184864060217</v>
      </c>
      <c r="G175" s="170">
        <f t="shared" si="131"/>
        <v>1337.1021283384662</v>
      </c>
      <c r="H175" s="164" t="str">
        <f t="shared" si="134"/>
        <v>🛵</v>
      </c>
      <c r="I175" s="171" t="str">
        <f t="shared" si="97"/>
        <v>🚴‍♂️</v>
      </c>
      <c r="J175" s="172">
        <f t="shared" si="98"/>
        <v>816.56826977630124</v>
      </c>
      <c r="K175" s="173">
        <f t="shared" si="99"/>
        <v>0.20437604660767908</v>
      </c>
      <c r="L175" s="174">
        <f t="shared" si="100"/>
        <v>3995.4206147444879</v>
      </c>
      <c r="M175" s="175">
        <f t="shared" si="116"/>
        <v>305379.81911973248</v>
      </c>
      <c r="N175" s="76"/>
      <c r="O175" s="37" t="str">
        <f t="shared" si="93"/>
        <v/>
      </c>
      <c r="P175" s="62" t="str">
        <f t="shared" si="117"/>
        <v/>
      </c>
      <c r="Q175" s="16" t="str">
        <f t="shared" si="101"/>
        <v/>
      </c>
      <c r="R175" s="60">
        <f t="shared" si="118"/>
        <v>229</v>
      </c>
      <c r="S175" s="98">
        <f t="shared" si="119"/>
        <v>520.53385856216494</v>
      </c>
      <c r="T175" s="21">
        <f t="shared" si="120"/>
        <v>1.6999999999999999E-3</v>
      </c>
      <c r="AA175" s="14">
        <f t="shared" si="102"/>
        <v>-3995.4206147444879</v>
      </c>
      <c r="AH175" s="6">
        <f t="shared" si="103"/>
        <v>2</v>
      </c>
      <c r="AI175" s="6">
        <f t="shared" si="104"/>
        <v>5</v>
      </c>
      <c r="AJ175" s="12">
        <f t="shared" si="105"/>
        <v>14</v>
      </c>
      <c r="AK175" s="72">
        <f t="shared" si="95"/>
        <v>30</v>
      </c>
      <c r="AR175">
        <f t="shared" si="121"/>
        <v>25</v>
      </c>
      <c r="AS175">
        <f t="shared" si="122"/>
        <v>75</v>
      </c>
      <c r="AT175" s="183">
        <f t="shared" si="123"/>
        <v>50922</v>
      </c>
      <c r="AU175" s="2">
        <f t="shared" si="124"/>
        <v>4.3668122270742356E-3</v>
      </c>
      <c r="AV175" s="169">
        <f t="shared" si="125"/>
        <v>161</v>
      </c>
      <c r="AW175" s="165">
        <f t="shared" si="126"/>
        <v>2558.3184864060217</v>
      </c>
      <c r="AX175" s="170">
        <f t="shared" si="132"/>
        <v>1337.1021283384662</v>
      </c>
      <c r="AY175" s="164" t="str">
        <f t="shared" si="135"/>
        <v>🛵</v>
      </c>
      <c r="AZ175" s="171" t="str">
        <f t="shared" si="106"/>
        <v>🚴‍♂️</v>
      </c>
      <c r="BA175" s="172">
        <f t="shared" si="107"/>
        <v>816.56826977630124</v>
      </c>
      <c r="BB175" s="173">
        <f t="shared" si="108"/>
        <v>0.20437604660767908</v>
      </c>
      <c r="BC175" s="174">
        <f t="shared" si="109"/>
        <v>3995.4206147444879</v>
      </c>
      <c r="BD175" s="175">
        <f t="shared" si="127"/>
        <v>305379.81911973248</v>
      </c>
      <c r="BE175" s="184"/>
      <c r="BF175" s="177" t="str">
        <f t="shared" si="94"/>
        <v/>
      </c>
      <c r="BG175" s="178" t="str">
        <f t="shared" si="128"/>
        <v/>
      </c>
      <c r="BH175" s="179" t="str">
        <f t="shared" si="110"/>
        <v/>
      </c>
      <c r="BI175" s="180">
        <f t="shared" si="129"/>
        <v>229</v>
      </c>
      <c r="BJ175" s="181">
        <f t="shared" si="133"/>
        <v>520.53385856216494</v>
      </c>
      <c r="BK175" s="182">
        <f t="shared" si="130"/>
        <v>1.6999999999999999E-3</v>
      </c>
    </row>
    <row r="176" spans="1:63" x14ac:dyDescent="0.25">
      <c r="A176" s="7">
        <f t="shared" si="111"/>
        <v>25</v>
      </c>
      <c r="B176" s="7">
        <f t="shared" si="112"/>
        <v>75</v>
      </c>
      <c r="C176" s="115">
        <f t="shared" si="113"/>
        <v>50952</v>
      </c>
      <c r="D176" s="2">
        <f t="shared" si="96"/>
        <v>4.3859649122807015E-3</v>
      </c>
      <c r="E176" s="169">
        <f t="shared" si="114"/>
        <v>162</v>
      </c>
      <c r="F176" s="165">
        <f t="shared" si="115"/>
        <v>2551.4959313857244</v>
      </c>
      <c r="G176" s="170">
        <f t="shared" si="131"/>
        <v>1339.3851715777739</v>
      </c>
      <c r="H176" s="164" t="str">
        <f t="shared" si="134"/>
        <v>🛵</v>
      </c>
      <c r="I176" s="171" t="str">
        <f t="shared" si="97"/>
        <v>🚴‍♂️</v>
      </c>
      <c r="J176" s="172">
        <f t="shared" si="98"/>
        <v>820.23947907422871</v>
      </c>
      <c r="K176" s="173">
        <f t="shared" si="99"/>
        <v>0.20552841788875786</v>
      </c>
      <c r="L176" s="174">
        <f t="shared" si="100"/>
        <v>3990.8811029634981</v>
      </c>
      <c r="M176" s="175">
        <f t="shared" si="116"/>
        <v>304559.57964065822</v>
      </c>
      <c r="N176" s="20"/>
      <c r="O176" s="37" t="str">
        <f t="shared" si="93"/>
        <v/>
      </c>
      <c r="P176" s="62" t="str">
        <f t="shared" si="117"/>
        <v/>
      </c>
      <c r="Q176" s="16" t="str">
        <f t="shared" si="101"/>
        <v/>
      </c>
      <c r="R176" s="60">
        <f t="shared" si="118"/>
        <v>228</v>
      </c>
      <c r="S176" s="98">
        <f t="shared" si="119"/>
        <v>519.14569250354521</v>
      </c>
      <c r="T176" s="21">
        <f t="shared" si="120"/>
        <v>1.6999999999999999E-3</v>
      </c>
      <c r="AA176" s="14">
        <f t="shared" si="102"/>
        <v>-3990.8811029634981</v>
      </c>
      <c r="AH176" s="6">
        <f t="shared" si="103"/>
        <v>2</v>
      </c>
      <c r="AI176" s="6">
        <f t="shared" si="104"/>
        <v>5</v>
      </c>
      <c r="AJ176" s="12">
        <f t="shared" si="105"/>
        <v>14</v>
      </c>
      <c r="AK176" s="72">
        <f t="shared" si="95"/>
        <v>31</v>
      </c>
      <c r="AR176">
        <f t="shared" si="121"/>
        <v>25</v>
      </c>
      <c r="AS176">
        <f t="shared" si="122"/>
        <v>75</v>
      </c>
      <c r="AT176" s="183">
        <f t="shared" si="123"/>
        <v>50952</v>
      </c>
      <c r="AU176" s="2">
        <f t="shared" si="124"/>
        <v>4.3859649122807015E-3</v>
      </c>
      <c r="AV176" s="169">
        <f t="shared" si="125"/>
        <v>162</v>
      </c>
      <c r="AW176" s="165">
        <f t="shared" si="126"/>
        <v>2551.4959313857244</v>
      </c>
      <c r="AX176" s="170">
        <f t="shared" si="132"/>
        <v>1339.3851715777739</v>
      </c>
      <c r="AY176" s="164" t="str">
        <f t="shared" si="135"/>
        <v>🛵</v>
      </c>
      <c r="AZ176" s="171" t="str">
        <f t="shared" si="106"/>
        <v>🚴‍♂️</v>
      </c>
      <c r="BA176" s="172">
        <f t="shared" si="107"/>
        <v>820.23947907422871</v>
      </c>
      <c r="BB176" s="173">
        <f t="shared" si="108"/>
        <v>0.20552841788875786</v>
      </c>
      <c r="BC176" s="174">
        <f t="shared" si="109"/>
        <v>3990.8811029634981</v>
      </c>
      <c r="BD176" s="175">
        <f t="shared" si="127"/>
        <v>304559.57964065822</v>
      </c>
      <c r="BE176" s="176"/>
      <c r="BF176" s="177" t="str">
        <f t="shared" si="94"/>
        <v/>
      </c>
      <c r="BG176" s="178" t="str">
        <f t="shared" si="128"/>
        <v/>
      </c>
      <c r="BH176" s="179" t="str">
        <f t="shared" si="110"/>
        <v/>
      </c>
      <c r="BI176" s="180">
        <f t="shared" si="129"/>
        <v>228</v>
      </c>
      <c r="BJ176" s="181">
        <f t="shared" si="133"/>
        <v>519.14569250354521</v>
      </c>
      <c r="BK176" s="182">
        <f t="shared" si="130"/>
        <v>1.6999999999999999E-3</v>
      </c>
    </row>
    <row r="177" spans="1:63" x14ac:dyDescent="0.25">
      <c r="A177" s="7">
        <f t="shared" si="111"/>
        <v>25</v>
      </c>
      <c r="B177" s="7">
        <f t="shared" si="112"/>
        <v>75</v>
      </c>
      <c r="C177" s="115">
        <f t="shared" si="113"/>
        <v>50983</v>
      </c>
      <c r="D177" s="2">
        <f t="shared" si="96"/>
        <v>4.4052863436123352E-3</v>
      </c>
      <c r="E177" s="169">
        <f t="shared" si="114"/>
        <v>163</v>
      </c>
      <c r="F177" s="165">
        <f t="shared" si="115"/>
        <v>2544.6427028401949</v>
      </c>
      <c r="G177" s="170">
        <f t="shared" si="131"/>
        <v>1341.672157007305</v>
      </c>
      <c r="H177" s="164" t="str">
        <f t="shared" si="134"/>
        <v>🛵</v>
      </c>
      <c r="I177" s="171" t="str">
        <f t="shared" si="97"/>
        <v>🚴‍♂️</v>
      </c>
      <c r="J177" s="172">
        <f t="shared" si="98"/>
        <v>823.92087161818608</v>
      </c>
      <c r="K177" s="173">
        <f t="shared" si="99"/>
        <v>0.20668735425723644</v>
      </c>
      <c r="L177" s="174">
        <f t="shared" si="100"/>
        <v>3986.3148598475</v>
      </c>
      <c r="M177" s="175">
        <f t="shared" si="116"/>
        <v>303735.65876904002</v>
      </c>
      <c r="N177" s="20"/>
      <c r="O177" s="37" t="str">
        <f t="shared" si="93"/>
        <v/>
      </c>
      <c r="P177" s="62" t="str">
        <f t="shared" si="117"/>
        <v/>
      </c>
      <c r="Q177" s="16" t="str">
        <f t="shared" si="101"/>
        <v/>
      </c>
      <c r="R177" s="60">
        <f t="shared" si="118"/>
        <v>227</v>
      </c>
      <c r="S177" s="98">
        <f t="shared" si="119"/>
        <v>517.75128538911895</v>
      </c>
      <c r="T177" s="21">
        <f t="shared" si="120"/>
        <v>1.6999999999999999E-3</v>
      </c>
      <c r="AA177" s="14">
        <f t="shared" si="102"/>
        <v>-3986.3148598475</v>
      </c>
      <c r="AH177" s="6">
        <f t="shared" si="103"/>
        <v>2</v>
      </c>
      <c r="AI177" s="6">
        <f t="shared" si="104"/>
        <v>5</v>
      </c>
      <c r="AJ177" s="12">
        <f t="shared" si="105"/>
        <v>14</v>
      </c>
      <c r="AK177" s="72">
        <f t="shared" si="95"/>
        <v>31</v>
      </c>
      <c r="AR177">
        <f t="shared" si="121"/>
        <v>25</v>
      </c>
      <c r="AS177">
        <f t="shared" si="122"/>
        <v>75</v>
      </c>
      <c r="AT177" s="183">
        <f t="shared" si="123"/>
        <v>50983</v>
      </c>
      <c r="AU177" s="2">
        <f t="shared" si="124"/>
        <v>4.4052863436123352E-3</v>
      </c>
      <c r="AV177" s="169">
        <f t="shared" si="125"/>
        <v>163</v>
      </c>
      <c r="AW177" s="165">
        <f t="shared" si="126"/>
        <v>2544.6427028401949</v>
      </c>
      <c r="AX177" s="170">
        <f t="shared" si="132"/>
        <v>1341.672157007305</v>
      </c>
      <c r="AY177" s="164" t="str">
        <f t="shared" si="135"/>
        <v>🛵</v>
      </c>
      <c r="AZ177" s="171" t="str">
        <f t="shared" si="106"/>
        <v>🚴‍♂️</v>
      </c>
      <c r="BA177" s="172">
        <f t="shared" si="107"/>
        <v>823.92087161818608</v>
      </c>
      <c r="BB177" s="173">
        <f t="shared" si="108"/>
        <v>0.20668735425723644</v>
      </c>
      <c r="BC177" s="174">
        <f t="shared" si="109"/>
        <v>3986.3148598475</v>
      </c>
      <c r="BD177" s="175">
        <f t="shared" si="127"/>
        <v>303735.65876904002</v>
      </c>
      <c r="BE177" s="176"/>
      <c r="BF177" s="177" t="str">
        <f t="shared" si="94"/>
        <v/>
      </c>
      <c r="BG177" s="178" t="str">
        <f t="shared" si="128"/>
        <v/>
      </c>
      <c r="BH177" s="179" t="str">
        <f t="shared" si="110"/>
        <v/>
      </c>
      <c r="BI177" s="180">
        <f t="shared" si="129"/>
        <v>227</v>
      </c>
      <c r="BJ177" s="181">
        <f t="shared" si="133"/>
        <v>517.75128538911895</v>
      </c>
      <c r="BK177" s="182">
        <f t="shared" si="130"/>
        <v>1.6999999999999999E-3</v>
      </c>
    </row>
    <row r="178" spans="1:63" x14ac:dyDescent="0.25">
      <c r="A178" s="7">
        <f t="shared" si="111"/>
        <v>25</v>
      </c>
      <c r="B178" s="7">
        <f t="shared" si="112"/>
        <v>75</v>
      </c>
      <c r="C178" s="115">
        <f t="shared" si="113"/>
        <v>51014</v>
      </c>
      <c r="D178" s="2">
        <f t="shared" si="96"/>
        <v>4.4247787610619468E-3</v>
      </c>
      <c r="E178" s="169">
        <f t="shared" si="114"/>
        <v>164</v>
      </c>
      <c r="F178" s="165">
        <f t="shared" si="115"/>
        <v>2537.7587156868285</v>
      </c>
      <c r="G178" s="170">
        <f t="shared" si="131"/>
        <v>1343.9630918984071</v>
      </c>
      <c r="H178" s="164" t="str">
        <f t="shared" si="134"/>
        <v>🛵</v>
      </c>
      <c r="I178" s="171" t="str">
        <f t="shared" si="97"/>
        <v>🚴‍♂️</v>
      </c>
      <c r="J178" s="172">
        <f t="shared" si="98"/>
        <v>827.61247199103911</v>
      </c>
      <c r="K178" s="173">
        <f t="shared" si="99"/>
        <v>0.20785291187707433</v>
      </c>
      <c r="L178" s="174">
        <f t="shared" si="100"/>
        <v>3981.7218075852356</v>
      </c>
      <c r="M178" s="175">
        <f t="shared" si="116"/>
        <v>302908.04629704898</v>
      </c>
      <c r="N178" s="20"/>
      <c r="O178" s="37" t="str">
        <f t="shared" si="93"/>
        <v/>
      </c>
      <c r="P178" s="62" t="str">
        <f t="shared" si="117"/>
        <v/>
      </c>
      <c r="Q178" s="16" t="str">
        <f t="shared" si="101"/>
        <v/>
      </c>
      <c r="R178" s="60">
        <f t="shared" si="118"/>
        <v>226</v>
      </c>
      <c r="S178" s="98">
        <f t="shared" si="119"/>
        <v>516.35061990736801</v>
      </c>
      <c r="T178" s="21">
        <f t="shared" si="120"/>
        <v>1.6999999999999999E-3</v>
      </c>
      <c r="AA178" s="14">
        <f t="shared" si="102"/>
        <v>-3981.7218075852356</v>
      </c>
      <c r="AH178" s="6">
        <f t="shared" si="103"/>
        <v>2</v>
      </c>
      <c r="AI178" s="6">
        <f t="shared" si="104"/>
        <v>5</v>
      </c>
      <c r="AJ178" s="12">
        <f t="shared" si="105"/>
        <v>14</v>
      </c>
      <c r="AK178" s="72">
        <f t="shared" si="95"/>
        <v>30</v>
      </c>
      <c r="AR178">
        <f t="shared" si="121"/>
        <v>25</v>
      </c>
      <c r="AS178">
        <f t="shared" si="122"/>
        <v>75</v>
      </c>
      <c r="AT178" s="183">
        <f t="shared" si="123"/>
        <v>51014</v>
      </c>
      <c r="AU178" s="2">
        <f t="shared" si="124"/>
        <v>4.4247787610619468E-3</v>
      </c>
      <c r="AV178" s="169">
        <f t="shared" si="125"/>
        <v>164</v>
      </c>
      <c r="AW178" s="165">
        <f t="shared" si="126"/>
        <v>2537.7587156868285</v>
      </c>
      <c r="AX178" s="170">
        <f t="shared" si="132"/>
        <v>1343.9630918984071</v>
      </c>
      <c r="AY178" s="164" t="str">
        <f t="shared" si="135"/>
        <v>🛵</v>
      </c>
      <c r="AZ178" s="171" t="str">
        <f t="shared" si="106"/>
        <v>🚴‍♂️</v>
      </c>
      <c r="BA178" s="172">
        <f t="shared" si="107"/>
        <v>827.61247199103911</v>
      </c>
      <c r="BB178" s="173">
        <f t="shared" si="108"/>
        <v>0.20785291187707433</v>
      </c>
      <c r="BC178" s="174">
        <f t="shared" si="109"/>
        <v>3981.7218075852356</v>
      </c>
      <c r="BD178" s="175">
        <f t="shared" si="127"/>
        <v>302908.04629704898</v>
      </c>
      <c r="BE178" s="176"/>
      <c r="BF178" s="177" t="str">
        <f t="shared" si="94"/>
        <v/>
      </c>
      <c r="BG178" s="178" t="str">
        <f t="shared" si="128"/>
        <v/>
      </c>
      <c r="BH178" s="179" t="str">
        <f t="shared" si="110"/>
        <v/>
      </c>
      <c r="BI178" s="180">
        <f t="shared" si="129"/>
        <v>226</v>
      </c>
      <c r="BJ178" s="181">
        <f t="shared" si="133"/>
        <v>516.35061990736801</v>
      </c>
      <c r="BK178" s="182">
        <f t="shared" si="130"/>
        <v>1.6999999999999999E-3</v>
      </c>
    </row>
    <row r="179" spans="1:63" x14ac:dyDescent="0.25">
      <c r="A179" s="7">
        <f t="shared" si="111"/>
        <v>25</v>
      </c>
      <c r="B179" s="7">
        <f t="shared" si="112"/>
        <v>75</v>
      </c>
      <c r="C179" s="115">
        <f t="shared" si="113"/>
        <v>51044</v>
      </c>
      <c r="D179" s="2">
        <f t="shared" si="96"/>
        <v>4.4444444444444444E-3</v>
      </c>
      <c r="E179" s="169">
        <f t="shared" si="114"/>
        <v>165</v>
      </c>
      <c r="F179" s="165">
        <f t="shared" si="115"/>
        <v>2530.8438846376253</v>
      </c>
      <c r="G179" s="170">
        <f t="shared" si="131"/>
        <v>1346.2579835424399</v>
      </c>
      <c r="H179" s="164" t="str">
        <f t="shared" si="134"/>
        <v>🛵</v>
      </c>
      <c r="I179" s="171" t="str">
        <f t="shared" si="97"/>
        <v>🚴‍♂️</v>
      </c>
      <c r="J179" s="172">
        <f t="shared" si="98"/>
        <v>831.31430483745669</v>
      </c>
      <c r="K179" s="173">
        <f t="shared" si="99"/>
        <v>0.2090251475549629</v>
      </c>
      <c r="L179" s="174">
        <f t="shared" si="100"/>
        <v>3977.1018681800651</v>
      </c>
      <c r="M179" s="175">
        <f t="shared" si="116"/>
        <v>302076.73199221148</v>
      </c>
      <c r="N179" s="20"/>
      <c r="O179" s="37" t="str">
        <f t="shared" si="93"/>
        <v/>
      </c>
      <c r="P179" s="62" t="str">
        <f t="shared" si="117"/>
        <v/>
      </c>
      <c r="Q179" s="16" t="str">
        <f t="shared" si="101"/>
        <v/>
      </c>
      <c r="R179" s="60">
        <f t="shared" si="118"/>
        <v>225</v>
      </c>
      <c r="S179" s="98">
        <f t="shared" si="119"/>
        <v>514.9436787049832</v>
      </c>
      <c r="T179" s="21">
        <f t="shared" si="120"/>
        <v>1.6999999999999999E-3</v>
      </c>
      <c r="AA179" s="14">
        <f t="shared" si="102"/>
        <v>-3977.1018681800651</v>
      </c>
      <c r="AH179" s="6">
        <f t="shared" si="103"/>
        <v>2</v>
      </c>
      <c r="AI179" s="6">
        <f t="shared" si="104"/>
        <v>5</v>
      </c>
      <c r="AJ179" s="12">
        <f t="shared" si="105"/>
        <v>14</v>
      </c>
      <c r="AK179" s="72">
        <f t="shared" si="95"/>
        <v>31</v>
      </c>
      <c r="AR179">
        <f t="shared" si="121"/>
        <v>25</v>
      </c>
      <c r="AS179">
        <f t="shared" si="122"/>
        <v>75</v>
      </c>
      <c r="AT179" s="183">
        <f t="shared" si="123"/>
        <v>51044</v>
      </c>
      <c r="AU179" s="2">
        <f t="shared" si="124"/>
        <v>4.4444444444444444E-3</v>
      </c>
      <c r="AV179" s="169">
        <f t="shared" si="125"/>
        <v>165</v>
      </c>
      <c r="AW179" s="165">
        <f t="shared" si="126"/>
        <v>2530.8438846376253</v>
      </c>
      <c r="AX179" s="170">
        <f t="shared" si="132"/>
        <v>1346.2579835424399</v>
      </c>
      <c r="AY179" s="164" t="str">
        <f t="shared" si="135"/>
        <v>🛵</v>
      </c>
      <c r="AZ179" s="171" t="str">
        <f t="shared" si="106"/>
        <v>🚴‍♂️</v>
      </c>
      <c r="BA179" s="172">
        <f t="shared" si="107"/>
        <v>831.31430483745669</v>
      </c>
      <c r="BB179" s="173">
        <f t="shared" si="108"/>
        <v>0.2090251475549629</v>
      </c>
      <c r="BC179" s="174">
        <f t="shared" si="109"/>
        <v>3977.1018681800651</v>
      </c>
      <c r="BD179" s="175">
        <f t="shared" si="127"/>
        <v>302076.73199221148</v>
      </c>
      <c r="BE179" s="176"/>
      <c r="BF179" s="177" t="str">
        <f t="shared" si="94"/>
        <v/>
      </c>
      <c r="BG179" s="178" t="str">
        <f t="shared" si="128"/>
        <v/>
      </c>
      <c r="BH179" s="179" t="str">
        <f t="shared" si="110"/>
        <v/>
      </c>
      <c r="BI179" s="180">
        <f t="shared" si="129"/>
        <v>225</v>
      </c>
      <c r="BJ179" s="181">
        <f t="shared" si="133"/>
        <v>514.9436787049832</v>
      </c>
      <c r="BK179" s="182">
        <f t="shared" si="130"/>
        <v>1.6999999999999999E-3</v>
      </c>
    </row>
    <row r="180" spans="1:63" x14ac:dyDescent="0.25">
      <c r="A180" s="7">
        <f t="shared" si="111"/>
        <v>25</v>
      </c>
      <c r="B180" s="7">
        <f t="shared" si="112"/>
        <v>75</v>
      </c>
      <c r="C180" s="115">
        <f t="shared" si="113"/>
        <v>51075</v>
      </c>
      <c r="D180" s="2">
        <f t="shared" si="96"/>
        <v>4.4642857142857149E-3</v>
      </c>
      <c r="E180" s="169">
        <f t="shared" si="114"/>
        <v>166</v>
      </c>
      <c r="F180" s="165">
        <f t="shared" si="115"/>
        <v>2523.8981241986749</v>
      </c>
      <c r="G180" s="170">
        <f t="shared" si="131"/>
        <v>1348.5568392509442</v>
      </c>
      <c r="H180" s="164" t="str">
        <f t="shared" si="134"/>
        <v>🛵</v>
      </c>
      <c r="I180" s="171" t="str">
        <f t="shared" si="97"/>
        <v>🚴‍♂️</v>
      </c>
      <c r="J180" s="172">
        <f t="shared" si="98"/>
        <v>835.02639486418468</v>
      </c>
      <c r="K180" s="173">
        <f t="shared" si="99"/>
        <v>0.21020411874954539</v>
      </c>
      <c r="L180" s="174">
        <f t="shared" si="100"/>
        <v>3972.4549634496188</v>
      </c>
      <c r="M180" s="175">
        <f t="shared" si="116"/>
        <v>301241.70559734729</v>
      </c>
      <c r="N180" s="20"/>
      <c r="O180" s="37" t="str">
        <f t="shared" si="93"/>
        <v/>
      </c>
      <c r="P180" s="62" t="str">
        <f t="shared" si="117"/>
        <v/>
      </c>
      <c r="Q180" s="16" t="str">
        <f t="shared" si="101"/>
        <v/>
      </c>
      <c r="R180" s="60">
        <f t="shared" si="118"/>
        <v>224</v>
      </c>
      <c r="S180" s="98">
        <f t="shared" si="119"/>
        <v>513.53044438675954</v>
      </c>
      <c r="T180" s="21">
        <f t="shared" si="120"/>
        <v>1.6999999999999999E-3</v>
      </c>
      <c r="AA180" s="14">
        <f t="shared" si="102"/>
        <v>-3972.4549634496188</v>
      </c>
      <c r="AH180" s="6">
        <f t="shared" si="103"/>
        <v>2</v>
      </c>
      <c r="AI180" s="6">
        <f t="shared" si="104"/>
        <v>5</v>
      </c>
      <c r="AJ180" s="12">
        <f t="shared" si="105"/>
        <v>14</v>
      </c>
      <c r="AK180" s="72">
        <f t="shared" si="95"/>
        <v>30</v>
      </c>
      <c r="AR180">
        <f t="shared" si="121"/>
        <v>25</v>
      </c>
      <c r="AS180">
        <f t="shared" si="122"/>
        <v>75</v>
      </c>
      <c r="AT180" s="183">
        <f t="shared" si="123"/>
        <v>51075</v>
      </c>
      <c r="AU180" s="2">
        <f t="shared" si="124"/>
        <v>4.4642857142857149E-3</v>
      </c>
      <c r="AV180" s="169">
        <f t="shared" si="125"/>
        <v>166</v>
      </c>
      <c r="AW180" s="165">
        <f t="shared" si="126"/>
        <v>2523.8981241986749</v>
      </c>
      <c r="AX180" s="170">
        <f t="shared" si="132"/>
        <v>1348.5568392509442</v>
      </c>
      <c r="AY180" s="164" t="str">
        <f t="shared" si="135"/>
        <v>🛵</v>
      </c>
      <c r="AZ180" s="171" t="str">
        <f t="shared" si="106"/>
        <v>🚴‍♂️</v>
      </c>
      <c r="BA180" s="172">
        <f t="shared" si="107"/>
        <v>835.02639486418468</v>
      </c>
      <c r="BB180" s="173">
        <f t="shared" si="108"/>
        <v>0.21020411874954539</v>
      </c>
      <c r="BC180" s="174">
        <f t="shared" si="109"/>
        <v>3972.4549634496188</v>
      </c>
      <c r="BD180" s="175">
        <f t="shared" si="127"/>
        <v>301241.70559734729</v>
      </c>
      <c r="BE180" s="176"/>
      <c r="BF180" s="177" t="str">
        <f t="shared" si="94"/>
        <v/>
      </c>
      <c r="BG180" s="178" t="str">
        <f t="shared" si="128"/>
        <v/>
      </c>
      <c r="BH180" s="179" t="str">
        <f t="shared" si="110"/>
        <v/>
      </c>
      <c r="BI180" s="180">
        <f t="shared" si="129"/>
        <v>224</v>
      </c>
      <c r="BJ180" s="181">
        <f t="shared" si="133"/>
        <v>513.53044438675954</v>
      </c>
      <c r="BK180" s="182">
        <f t="shared" si="130"/>
        <v>1.6999999999999999E-3</v>
      </c>
    </row>
    <row r="181" spans="1:63" x14ac:dyDescent="0.25">
      <c r="A181" s="7">
        <f t="shared" si="111"/>
        <v>25</v>
      </c>
      <c r="B181" s="7">
        <f t="shared" si="112"/>
        <v>75</v>
      </c>
      <c r="C181" s="115">
        <f t="shared" si="113"/>
        <v>51105</v>
      </c>
      <c r="D181" s="2">
        <f t="shared" si="96"/>
        <v>4.4843049327354259E-3</v>
      </c>
      <c r="E181" s="169">
        <f t="shared" si="114"/>
        <v>167</v>
      </c>
      <c r="F181" s="165">
        <f t="shared" si="115"/>
        <v>2516.9213486696399</v>
      </c>
      <c r="G181" s="170">
        <f t="shared" si="131"/>
        <v>1350.8596663558174</v>
      </c>
      <c r="H181" s="164" t="str">
        <f t="shared" si="134"/>
        <v>🛵</v>
      </c>
      <c r="I181" s="171" t="str">
        <f t="shared" si="97"/>
        <v>🚴‍♂️</v>
      </c>
      <c r="J181" s="172">
        <f t="shared" si="98"/>
        <v>838.74876684032699</v>
      </c>
      <c r="K181" s="173">
        <f t="shared" si="99"/>
        <v>0.21138988358079674</v>
      </c>
      <c r="L181" s="174">
        <f t="shared" si="100"/>
        <v>3967.7810150254572</v>
      </c>
      <c r="M181" s="175">
        <f t="shared" si="116"/>
        <v>300402.95683050697</v>
      </c>
      <c r="N181" s="20"/>
      <c r="O181" s="37" t="str">
        <f t="shared" si="93"/>
        <v/>
      </c>
      <c r="P181" s="62" t="str">
        <f t="shared" si="117"/>
        <v/>
      </c>
      <c r="Q181" s="16" t="str">
        <f t="shared" si="101"/>
        <v/>
      </c>
      <c r="R181" s="60">
        <f t="shared" si="118"/>
        <v>223</v>
      </c>
      <c r="S181" s="98">
        <f t="shared" si="119"/>
        <v>512.11089951549036</v>
      </c>
      <c r="T181" s="21">
        <f t="shared" si="120"/>
        <v>1.6999999999999999E-3</v>
      </c>
      <c r="AA181" s="14">
        <f t="shared" si="102"/>
        <v>-3967.7810150254572</v>
      </c>
      <c r="AH181" s="6">
        <f t="shared" si="103"/>
        <v>2</v>
      </c>
      <c r="AI181" s="6">
        <f t="shared" si="104"/>
        <v>5</v>
      </c>
      <c r="AJ181" s="12">
        <f t="shared" si="105"/>
        <v>14</v>
      </c>
      <c r="AK181" s="72">
        <f t="shared" si="95"/>
        <v>31</v>
      </c>
      <c r="AR181">
        <f t="shared" si="121"/>
        <v>25</v>
      </c>
      <c r="AS181">
        <f t="shared" si="122"/>
        <v>75</v>
      </c>
      <c r="AT181" s="183">
        <f t="shared" si="123"/>
        <v>51105</v>
      </c>
      <c r="AU181" s="2">
        <f t="shared" si="124"/>
        <v>4.4843049327354259E-3</v>
      </c>
      <c r="AV181" s="169">
        <f t="shared" si="125"/>
        <v>167</v>
      </c>
      <c r="AW181" s="165">
        <f t="shared" si="126"/>
        <v>2516.9213486696399</v>
      </c>
      <c r="AX181" s="170">
        <f t="shared" si="132"/>
        <v>1350.8596663558174</v>
      </c>
      <c r="AY181" s="164" t="str">
        <f t="shared" si="135"/>
        <v>🛵</v>
      </c>
      <c r="AZ181" s="171" t="str">
        <f t="shared" si="106"/>
        <v>🚴‍♂️</v>
      </c>
      <c r="BA181" s="172">
        <f t="shared" si="107"/>
        <v>838.74876684032699</v>
      </c>
      <c r="BB181" s="173">
        <f t="shared" si="108"/>
        <v>0.21138988358079674</v>
      </c>
      <c r="BC181" s="174">
        <f t="shared" si="109"/>
        <v>3967.7810150254572</v>
      </c>
      <c r="BD181" s="175">
        <f t="shared" si="127"/>
        <v>300402.95683050697</v>
      </c>
      <c r="BE181" s="176"/>
      <c r="BF181" s="177" t="str">
        <f t="shared" si="94"/>
        <v/>
      </c>
      <c r="BG181" s="178" t="str">
        <f t="shared" si="128"/>
        <v/>
      </c>
      <c r="BH181" s="179" t="str">
        <f t="shared" si="110"/>
        <v/>
      </c>
      <c r="BI181" s="180">
        <f t="shared" si="129"/>
        <v>223</v>
      </c>
      <c r="BJ181" s="181">
        <f t="shared" si="133"/>
        <v>512.11089951549036</v>
      </c>
      <c r="BK181" s="182">
        <f t="shared" si="130"/>
        <v>1.6999999999999999E-3</v>
      </c>
    </row>
    <row r="182" spans="1:63" x14ac:dyDescent="0.25">
      <c r="A182" s="7">
        <f t="shared" si="111"/>
        <v>25</v>
      </c>
      <c r="B182" s="7">
        <f t="shared" si="112"/>
        <v>75</v>
      </c>
      <c r="C182" s="115">
        <f t="shared" si="113"/>
        <v>51136</v>
      </c>
      <c r="D182" s="2">
        <f t="shared" si="96"/>
        <v>4.5045045045045045E-3</v>
      </c>
      <c r="E182" s="169">
        <f t="shared" si="114"/>
        <v>168</v>
      </c>
      <c r="F182" s="165">
        <f t="shared" si="115"/>
        <v>2509.913472143232</v>
      </c>
      <c r="G182" s="170">
        <f t="shared" si="131"/>
        <v>1353.1664722094908</v>
      </c>
      <c r="H182" s="164" t="str">
        <f t="shared" si="134"/>
        <v>🛵</v>
      </c>
      <c r="I182" s="171" t="str">
        <f t="shared" si="97"/>
        <v>🚴‍♂️</v>
      </c>
      <c r="J182" s="172">
        <f t="shared" si="98"/>
        <v>842.48144559762909</v>
      </c>
      <c r="K182" s="173">
        <f t="shared" si="99"/>
        <v>0.21258250083956579</v>
      </c>
      <c r="L182" s="174">
        <f t="shared" si="100"/>
        <v>3963.079944352723</v>
      </c>
      <c r="M182" s="175">
        <f t="shared" si="116"/>
        <v>299560.47538490931</v>
      </c>
      <c r="N182" s="20"/>
      <c r="O182" s="37" t="str">
        <f t="shared" si="93"/>
        <v/>
      </c>
      <c r="P182" s="62" t="str">
        <f t="shared" si="117"/>
        <v/>
      </c>
      <c r="Q182" s="16" t="str">
        <f t="shared" si="101"/>
        <v/>
      </c>
      <c r="R182" s="60">
        <f t="shared" si="118"/>
        <v>222</v>
      </c>
      <c r="S182" s="98">
        <f t="shared" si="119"/>
        <v>510.68502661186182</v>
      </c>
      <c r="T182" s="21">
        <f t="shared" si="120"/>
        <v>1.6999999999999999E-3</v>
      </c>
      <c r="AA182" s="14">
        <f t="shared" si="102"/>
        <v>-3963.079944352723</v>
      </c>
      <c r="AH182" s="6">
        <f t="shared" si="103"/>
        <v>2</v>
      </c>
      <c r="AI182" s="6">
        <f t="shared" si="104"/>
        <v>5</v>
      </c>
      <c r="AJ182" s="12">
        <f t="shared" si="105"/>
        <v>14</v>
      </c>
      <c r="AK182" s="72">
        <f t="shared" si="95"/>
        <v>31</v>
      </c>
      <c r="AR182">
        <f t="shared" si="121"/>
        <v>25</v>
      </c>
      <c r="AS182">
        <f t="shared" si="122"/>
        <v>75</v>
      </c>
      <c r="AT182" s="183">
        <f t="shared" si="123"/>
        <v>51136</v>
      </c>
      <c r="AU182" s="2">
        <f t="shared" si="124"/>
        <v>4.5045045045045045E-3</v>
      </c>
      <c r="AV182" s="169">
        <f t="shared" si="125"/>
        <v>168</v>
      </c>
      <c r="AW182" s="165">
        <f t="shared" si="126"/>
        <v>2509.913472143232</v>
      </c>
      <c r="AX182" s="170">
        <f t="shared" si="132"/>
        <v>1353.1664722094908</v>
      </c>
      <c r="AY182" s="164" t="str">
        <f t="shared" si="135"/>
        <v>🛵</v>
      </c>
      <c r="AZ182" s="171" t="str">
        <f t="shared" si="106"/>
        <v>🚴‍♂️</v>
      </c>
      <c r="BA182" s="172">
        <f t="shared" si="107"/>
        <v>842.48144559762909</v>
      </c>
      <c r="BB182" s="173">
        <f t="shared" si="108"/>
        <v>0.21258250083956579</v>
      </c>
      <c r="BC182" s="174">
        <f t="shared" si="109"/>
        <v>3963.079944352723</v>
      </c>
      <c r="BD182" s="175">
        <f t="shared" si="127"/>
        <v>299560.47538490931</v>
      </c>
      <c r="BE182" s="176"/>
      <c r="BF182" s="177" t="str">
        <f t="shared" si="94"/>
        <v/>
      </c>
      <c r="BG182" s="178" t="str">
        <f t="shared" si="128"/>
        <v/>
      </c>
      <c r="BH182" s="179" t="str">
        <f t="shared" si="110"/>
        <v/>
      </c>
      <c r="BI182" s="180">
        <f t="shared" si="129"/>
        <v>222</v>
      </c>
      <c r="BJ182" s="181">
        <f t="shared" si="133"/>
        <v>510.68502661186182</v>
      </c>
      <c r="BK182" s="182">
        <f t="shared" si="130"/>
        <v>1.6999999999999999E-3</v>
      </c>
    </row>
    <row r="183" spans="1:63" x14ac:dyDescent="0.25">
      <c r="A183" s="7">
        <f t="shared" si="111"/>
        <v>25</v>
      </c>
      <c r="B183" s="7">
        <f t="shared" si="112"/>
        <v>75</v>
      </c>
      <c r="C183" s="115">
        <f t="shared" si="113"/>
        <v>51167</v>
      </c>
      <c r="D183" s="2">
        <f t="shared" si="96"/>
        <v>4.5248868778280547E-3</v>
      </c>
      <c r="E183" s="169">
        <f t="shared" si="114"/>
        <v>169</v>
      </c>
      <c r="F183" s="165">
        <f t="shared" si="115"/>
        <v>2502.8744085046897</v>
      </c>
      <c r="G183" s="170">
        <f t="shared" si="131"/>
        <v>1355.47726418511</v>
      </c>
      <c r="H183" s="164" t="str">
        <f t="shared" si="134"/>
        <v>🛵</v>
      </c>
      <c r="I183" s="171" t="str">
        <f t="shared" si="97"/>
        <v>🚴‍♂️</v>
      </c>
      <c r="J183" s="172">
        <f t="shared" si="98"/>
        <v>846.22445603076426</v>
      </c>
      <c r="K183" s="173">
        <f t="shared" si="99"/>
        <v>0.21378202999728255</v>
      </c>
      <c r="L183" s="174">
        <f t="shared" si="100"/>
        <v>3958.3516726897997</v>
      </c>
      <c r="M183" s="175">
        <f t="shared" si="116"/>
        <v>298714.25092887855</v>
      </c>
      <c r="N183" s="20"/>
      <c r="O183" s="37" t="str">
        <f t="shared" si="93"/>
        <v/>
      </c>
      <c r="P183" s="62" t="str">
        <f t="shared" si="117"/>
        <v/>
      </c>
      <c r="Q183" s="16" t="str">
        <f t="shared" si="101"/>
        <v/>
      </c>
      <c r="R183" s="60">
        <f t="shared" si="118"/>
        <v>221</v>
      </c>
      <c r="S183" s="98">
        <f t="shared" si="119"/>
        <v>509.25280815434581</v>
      </c>
      <c r="T183" s="21">
        <f t="shared" si="120"/>
        <v>1.6999999999999999E-3</v>
      </c>
      <c r="AA183" s="14">
        <f t="shared" si="102"/>
        <v>-3958.3516726897997</v>
      </c>
      <c r="AH183" s="6">
        <f t="shared" si="103"/>
        <v>2</v>
      </c>
      <c r="AI183" s="6">
        <f t="shared" si="104"/>
        <v>5</v>
      </c>
      <c r="AJ183" s="12">
        <f t="shared" si="105"/>
        <v>15</v>
      </c>
      <c r="AK183" s="72">
        <f t="shared" si="95"/>
        <v>29</v>
      </c>
      <c r="AR183">
        <f t="shared" si="121"/>
        <v>25</v>
      </c>
      <c r="AS183">
        <f t="shared" si="122"/>
        <v>75</v>
      </c>
      <c r="AT183" s="183">
        <f t="shared" si="123"/>
        <v>51167</v>
      </c>
      <c r="AU183" s="2">
        <f t="shared" si="124"/>
        <v>4.5248868778280547E-3</v>
      </c>
      <c r="AV183" s="169">
        <f t="shared" si="125"/>
        <v>169</v>
      </c>
      <c r="AW183" s="165">
        <f t="shared" si="126"/>
        <v>2502.8744085046897</v>
      </c>
      <c r="AX183" s="170">
        <f t="shared" si="132"/>
        <v>1355.47726418511</v>
      </c>
      <c r="AY183" s="164" t="str">
        <f t="shared" si="135"/>
        <v>🛵</v>
      </c>
      <c r="AZ183" s="171" t="str">
        <f t="shared" si="106"/>
        <v>🚴‍♂️</v>
      </c>
      <c r="BA183" s="172">
        <f t="shared" si="107"/>
        <v>846.22445603076426</v>
      </c>
      <c r="BB183" s="173">
        <f t="shared" si="108"/>
        <v>0.21378202999728255</v>
      </c>
      <c r="BC183" s="174">
        <f t="shared" si="109"/>
        <v>3958.3516726897997</v>
      </c>
      <c r="BD183" s="175">
        <f t="shared" si="127"/>
        <v>298714.25092887855</v>
      </c>
      <c r="BE183" s="176"/>
      <c r="BF183" s="177" t="str">
        <f t="shared" si="94"/>
        <v/>
      </c>
      <c r="BG183" s="178" t="str">
        <f t="shared" si="128"/>
        <v/>
      </c>
      <c r="BH183" s="179" t="str">
        <f t="shared" si="110"/>
        <v/>
      </c>
      <c r="BI183" s="180">
        <f t="shared" si="129"/>
        <v>221</v>
      </c>
      <c r="BJ183" s="181">
        <f t="shared" si="133"/>
        <v>509.25280815434581</v>
      </c>
      <c r="BK183" s="182">
        <f t="shared" si="130"/>
        <v>1.6999999999999999E-3</v>
      </c>
    </row>
    <row r="184" spans="1:63" x14ac:dyDescent="0.25">
      <c r="A184" s="7">
        <f t="shared" si="111"/>
        <v>25</v>
      </c>
      <c r="B184" s="7">
        <f t="shared" si="112"/>
        <v>75</v>
      </c>
      <c r="C184" s="115">
        <f t="shared" si="113"/>
        <v>51196</v>
      </c>
      <c r="D184" s="2">
        <f t="shared" si="96"/>
        <v>4.5454545454545452E-3</v>
      </c>
      <c r="E184" s="169">
        <f t="shared" si="114"/>
        <v>170</v>
      </c>
      <c r="F184" s="165">
        <f t="shared" si="115"/>
        <v>2495.8040714312529</v>
      </c>
      <c r="G184" s="170">
        <f t="shared" si="131"/>
        <v>1357.7920496767206</v>
      </c>
      <c r="H184" s="164" t="str">
        <f t="shared" si="134"/>
        <v>🛵</v>
      </c>
      <c r="I184" s="171" t="str">
        <f t="shared" si="97"/>
        <v>🚴‍♂️</v>
      </c>
      <c r="J184" s="172">
        <f t="shared" si="98"/>
        <v>849.97782309762715</v>
      </c>
      <c r="K184" s="173">
        <f t="shared" si="99"/>
        <v>0.21498853121583536</v>
      </c>
      <c r="L184" s="174">
        <f t="shared" si="100"/>
        <v>3953.5961211079734</v>
      </c>
      <c r="M184" s="175">
        <f t="shared" si="116"/>
        <v>297864.27310578094</v>
      </c>
      <c r="N184" s="20"/>
      <c r="O184" s="37" t="str">
        <f t="shared" si="93"/>
        <v/>
      </c>
      <c r="P184" s="62" t="str">
        <f t="shared" si="117"/>
        <v/>
      </c>
      <c r="Q184" s="16" t="str">
        <f t="shared" si="101"/>
        <v/>
      </c>
      <c r="R184" s="60">
        <f t="shared" si="118"/>
        <v>220</v>
      </c>
      <c r="S184" s="98">
        <f t="shared" si="119"/>
        <v>507.81422657909349</v>
      </c>
      <c r="T184" s="21">
        <f t="shared" si="120"/>
        <v>1.6999999999999999E-3</v>
      </c>
      <c r="AA184" s="14">
        <f t="shared" si="102"/>
        <v>-3953.5961211079734</v>
      </c>
      <c r="AH184" s="6">
        <f t="shared" si="103"/>
        <v>2</v>
      </c>
      <c r="AI184" s="6">
        <f t="shared" si="104"/>
        <v>5</v>
      </c>
      <c r="AJ184" s="12">
        <f t="shared" si="105"/>
        <v>15</v>
      </c>
      <c r="AK184" s="72">
        <f t="shared" si="95"/>
        <v>31</v>
      </c>
      <c r="AR184">
        <f t="shared" si="121"/>
        <v>25</v>
      </c>
      <c r="AS184">
        <f t="shared" si="122"/>
        <v>75</v>
      </c>
      <c r="AT184" s="183">
        <f t="shared" si="123"/>
        <v>51196</v>
      </c>
      <c r="AU184" s="2">
        <f t="shared" si="124"/>
        <v>4.5454545454545452E-3</v>
      </c>
      <c r="AV184" s="169">
        <f t="shared" si="125"/>
        <v>170</v>
      </c>
      <c r="AW184" s="165">
        <f t="shared" si="126"/>
        <v>2495.8040714312529</v>
      </c>
      <c r="AX184" s="170">
        <f t="shared" si="132"/>
        <v>1357.7920496767206</v>
      </c>
      <c r="AY184" s="164" t="str">
        <f t="shared" si="135"/>
        <v>🛵</v>
      </c>
      <c r="AZ184" s="171" t="str">
        <f t="shared" si="106"/>
        <v>🚴‍♂️</v>
      </c>
      <c r="BA184" s="172">
        <f t="shared" si="107"/>
        <v>849.97782309762715</v>
      </c>
      <c r="BB184" s="173">
        <f t="shared" si="108"/>
        <v>0.21498853121583536</v>
      </c>
      <c r="BC184" s="174">
        <f t="shared" si="109"/>
        <v>3953.5961211079734</v>
      </c>
      <c r="BD184" s="175">
        <f t="shared" si="127"/>
        <v>297864.27310578094</v>
      </c>
      <c r="BE184" s="176"/>
      <c r="BF184" s="177" t="str">
        <f t="shared" si="94"/>
        <v/>
      </c>
      <c r="BG184" s="178" t="str">
        <f t="shared" si="128"/>
        <v/>
      </c>
      <c r="BH184" s="179" t="str">
        <f t="shared" si="110"/>
        <v/>
      </c>
      <c r="BI184" s="180">
        <f t="shared" si="129"/>
        <v>220</v>
      </c>
      <c r="BJ184" s="181">
        <f t="shared" si="133"/>
        <v>507.81422657909349</v>
      </c>
      <c r="BK184" s="182">
        <f t="shared" si="130"/>
        <v>1.6999999999999999E-3</v>
      </c>
    </row>
    <row r="185" spans="1:63" x14ac:dyDescent="0.25">
      <c r="A185" s="7">
        <f t="shared" si="111"/>
        <v>25</v>
      </c>
      <c r="B185" s="7">
        <f t="shared" si="112"/>
        <v>75</v>
      </c>
      <c r="C185" s="115">
        <f t="shared" si="113"/>
        <v>51227</v>
      </c>
      <c r="D185" s="2">
        <f t="shared" si="96"/>
        <v>4.5662100456621002E-3</v>
      </c>
      <c r="E185" s="169">
        <f t="shared" si="114"/>
        <v>171</v>
      </c>
      <c r="F185" s="165">
        <f t="shared" si="115"/>
        <v>2488.7023743916352</v>
      </c>
      <c r="G185" s="170">
        <f t="shared" si="131"/>
        <v>1360.1108360994563</v>
      </c>
      <c r="H185" s="164" t="str">
        <f t="shared" si="134"/>
        <v>🛵</v>
      </c>
      <c r="I185" s="171" t="str">
        <f t="shared" si="97"/>
        <v>🚴‍♂️</v>
      </c>
      <c r="J185" s="172">
        <f t="shared" si="98"/>
        <v>853.74157181962869</v>
      </c>
      <c r="K185" s="173">
        <f t="shared" si="99"/>
        <v>0.21620206535762013</v>
      </c>
      <c r="L185" s="174">
        <f t="shared" si="100"/>
        <v>3948.8132104910915</v>
      </c>
      <c r="M185" s="175">
        <f t="shared" si="116"/>
        <v>297010.5315339613</v>
      </c>
      <c r="N185" s="20"/>
      <c r="O185" s="37" t="str">
        <f t="shared" si="93"/>
        <v/>
      </c>
      <c r="P185" s="62" t="str">
        <f t="shared" si="117"/>
        <v/>
      </c>
      <c r="Q185" s="16" t="str">
        <f t="shared" si="101"/>
        <v/>
      </c>
      <c r="R185" s="60">
        <f t="shared" si="118"/>
        <v>219</v>
      </c>
      <c r="S185" s="98">
        <f t="shared" si="119"/>
        <v>506.36926427982758</v>
      </c>
      <c r="T185" s="21">
        <f t="shared" si="120"/>
        <v>1.6999999999999999E-3</v>
      </c>
      <c r="AA185" s="14">
        <f t="shared" si="102"/>
        <v>-3948.8132104910915</v>
      </c>
      <c r="AH185" s="6">
        <f t="shared" si="103"/>
        <v>2</v>
      </c>
      <c r="AI185" s="6">
        <f t="shared" si="104"/>
        <v>5</v>
      </c>
      <c r="AJ185" s="12">
        <f t="shared" si="105"/>
        <v>15</v>
      </c>
      <c r="AK185" s="72">
        <f t="shared" si="95"/>
        <v>30</v>
      </c>
      <c r="AR185">
        <f t="shared" si="121"/>
        <v>25</v>
      </c>
      <c r="AS185">
        <f t="shared" si="122"/>
        <v>75</v>
      </c>
      <c r="AT185" s="183">
        <f t="shared" si="123"/>
        <v>51227</v>
      </c>
      <c r="AU185" s="2">
        <f t="shared" si="124"/>
        <v>4.5662100456621002E-3</v>
      </c>
      <c r="AV185" s="169">
        <f t="shared" si="125"/>
        <v>171</v>
      </c>
      <c r="AW185" s="165">
        <f t="shared" si="126"/>
        <v>2488.7023743916352</v>
      </c>
      <c r="AX185" s="170">
        <f t="shared" si="132"/>
        <v>1360.1108360994563</v>
      </c>
      <c r="AY185" s="164" t="str">
        <f t="shared" si="135"/>
        <v>🛵</v>
      </c>
      <c r="AZ185" s="171" t="str">
        <f t="shared" si="106"/>
        <v>🚴‍♂️</v>
      </c>
      <c r="BA185" s="172">
        <f t="shared" si="107"/>
        <v>853.74157181962869</v>
      </c>
      <c r="BB185" s="173">
        <f t="shared" si="108"/>
        <v>0.21620206535762013</v>
      </c>
      <c r="BC185" s="174">
        <f t="shared" si="109"/>
        <v>3948.8132104910915</v>
      </c>
      <c r="BD185" s="175">
        <f t="shared" si="127"/>
        <v>297010.5315339613</v>
      </c>
      <c r="BE185" s="176"/>
      <c r="BF185" s="177" t="str">
        <f t="shared" si="94"/>
        <v/>
      </c>
      <c r="BG185" s="178" t="str">
        <f t="shared" si="128"/>
        <v/>
      </c>
      <c r="BH185" s="179" t="str">
        <f t="shared" si="110"/>
        <v/>
      </c>
      <c r="BI185" s="180">
        <f t="shared" si="129"/>
        <v>219</v>
      </c>
      <c r="BJ185" s="181">
        <f t="shared" si="133"/>
        <v>506.36926427982758</v>
      </c>
      <c r="BK185" s="182">
        <f t="shared" si="130"/>
        <v>1.6999999999999999E-3</v>
      </c>
    </row>
    <row r="186" spans="1:63" x14ac:dyDescent="0.25">
      <c r="A186" s="7">
        <f t="shared" si="111"/>
        <v>25</v>
      </c>
      <c r="B186" s="7">
        <f t="shared" si="112"/>
        <v>75</v>
      </c>
      <c r="C186" s="115">
        <f t="shared" si="113"/>
        <v>51257</v>
      </c>
      <c r="D186" s="2">
        <f t="shared" si="96"/>
        <v>4.5871559633027525E-3</v>
      </c>
      <c r="E186" s="169">
        <f t="shared" si="114"/>
        <v>172</v>
      </c>
      <c r="F186" s="165">
        <f t="shared" si="115"/>
        <v>2481.5692306454907</v>
      </c>
      <c r="G186" s="170">
        <f t="shared" si="131"/>
        <v>1362.4336308897307</v>
      </c>
      <c r="H186" s="164" t="str">
        <f t="shared" si="134"/>
        <v>🛵</v>
      </c>
      <c r="I186" s="171" t="str">
        <f t="shared" si="97"/>
        <v>🚴‍♂️</v>
      </c>
      <c r="J186" s="172">
        <f t="shared" si="98"/>
        <v>857.51572728199653</v>
      </c>
      <c r="K186" s="173">
        <f t="shared" si="99"/>
        <v>0.21742269399576566</v>
      </c>
      <c r="L186" s="174">
        <f t="shared" si="100"/>
        <v>3944.0028615352212</v>
      </c>
      <c r="M186" s="175">
        <f t="shared" si="116"/>
        <v>296153.01580667926</v>
      </c>
      <c r="N186" s="76"/>
      <c r="O186" s="37" t="str">
        <f t="shared" si="93"/>
        <v/>
      </c>
      <c r="P186" s="62" t="str">
        <f t="shared" si="117"/>
        <v/>
      </c>
      <c r="Q186" s="16" t="str">
        <f t="shared" si="101"/>
        <v/>
      </c>
      <c r="R186" s="60">
        <f t="shared" si="118"/>
        <v>218</v>
      </c>
      <c r="S186" s="98">
        <f t="shared" si="119"/>
        <v>504.91790360773416</v>
      </c>
      <c r="T186" s="21">
        <f t="shared" si="120"/>
        <v>1.6999999999999999E-3</v>
      </c>
      <c r="U186" s="8"/>
      <c r="V186" s="8"/>
      <c r="W186" s="8"/>
      <c r="X186" s="8"/>
      <c r="Y186" s="8"/>
      <c r="AA186" s="14">
        <f t="shared" si="102"/>
        <v>-3944.0028615352212</v>
      </c>
      <c r="AH186" s="6">
        <f t="shared" si="103"/>
        <v>2</v>
      </c>
      <c r="AI186" s="6">
        <f t="shared" si="104"/>
        <v>5</v>
      </c>
      <c r="AJ186" s="12">
        <f t="shared" si="105"/>
        <v>15</v>
      </c>
      <c r="AK186" s="72">
        <f t="shared" si="95"/>
        <v>31</v>
      </c>
      <c r="AR186">
        <f t="shared" si="121"/>
        <v>25</v>
      </c>
      <c r="AS186">
        <f t="shared" si="122"/>
        <v>75</v>
      </c>
      <c r="AT186" s="183">
        <f t="shared" si="123"/>
        <v>51257</v>
      </c>
      <c r="AU186" s="2">
        <f t="shared" si="124"/>
        <v>4.5871559633027525E-3</v>
      </c>
      <c r="AV186" s="169">
        <f t="shared" si="125"/>
        <v>172</v>
      </c>
      <c r="AW186" s="165">
        <f t="shared" si="126"/>
        <v>2481.5692306454907</v>
      </c>
      <c r="AX186" s="170">
        <f t="shared" si="132"/>
        <v>1362.4336308897307</v>
      </c>
      <c r="AY186" s="164" t="str">
        <f t="shared" si="135"/>
        <v>🛵</v>
      </c>
      <c r="AZ186" s="171" t="str">
        <f t="shared" si="106"/>
        <v>🚴‍♂️</v>
      </c>
      <c r="BA186" s="172">
        <f t="shared" si="107"/>
        <v>857.51572728199653</v>
      </c>
      <c r="BB186" s="173">
        <f t="shared" si="108"/>
        <v>0.21742269399576566</v>
      </c>
      <c r="BC186" s="174">
        <f t="shared" si="109"/>
        <v>3944.0028615352212</v>
      </c>
      <c r="BD186" s="175">
        <f t="shared" si="127"/>
        <v>296153.01580667926</v>
      </c>
      <c r="BE186" s="184"/>
      <c r="BF186" s="177" t="str">
        <f t="shared" si="94"/>
        <v/>
      </c>
      <c r="BG186" s="178" t="str">
        <f t="shared" si="128"/>
        <v/>
      </c>
      <c r="BH186" s="179" t="str">
        <f t="shared" si="110"/>
        <v/>
      </c>
      <c r="BI186" s="180">
        <f t="shared" si="129"/>
        <v>218</v>
      </c>
      <c r="BJ186" s="181">
        <f t="shared" si="133"/>
        <v>504.91790360773416</v>
      </c>
      <c r="BK186" s="182">
        <f t="shared" si="130"/>
        <v>1.6999999999999999E-3</v>
      </c>
    </row>
    <row r="187" spans="1:63" x14ac:dyDescent="0.25">
      <c r="A187" s="7">
        <f t="shared" si="111"/>
        <v>25</v>
      </c>
      <c r="B187" s="7">
        <f t="shared" si="112"/>
        <v>75</v>
      </c>
      <c r="C187" s="115">
        <f t="shared" si="113"/>
        <v>51288</v>
      </c>
      <c r="D187" s="2">
        <f t="shared" si="96"/>
        <v>4.608294930875576E-3</v>
      </c>
      <c r="E187" s="169">
        <f t="shared" si="114"/>
        <v>173</v>
      </c>
      <c r="F187" s="165">
        <f t="shared" si="115"/>
        <v>2474.4045532428836</v>
      </c>
      <c r="G187" s="170">
        <f t="shared" si="131"/>
        <v>1364.7604415054343</v>
      </c>
      <c r="H187" s="164" t="str">
        <f t="shared" si="134"/>
        <v>🛵</v>
      </c>
      <c r="I187" s="171" t="str">
        <f t="shared" si="97"/>
        <v>🚴‍♂️</v>
      </c>
      <c r="J187" s="172">
        <f t="shared" si="98"/>
        <v>861.30031463407954</v>
      </c>
      <c r="K187" s="173">
        <f t="shared" si="99"/>
        <v>0.21865047942453855</v>
      </c>
      <c r="L187" s="174">
        <f t="shared" si="100"/>
        <v>3939.1649947483179</v>
      </c>
      <c r="M187" s="175">
        <f t="shared" si="116"/>
        <v>295291.71549204522</v>
      </c>
      <c r="N187" s="65"/>
      <c r="O187" s="37" t="str">
        <f t="shared" si="93"/>
        <v/>
      </c>
      <c r="P187" s="62" t="str">
        <f t="shared" si="117"/>
        <v/>
      </c>
      <c r="Q187" s="16" t="str">
        <f t="shared" si="101"/>
        <v/>
      </c>
      <c r="R187" s="60">
        <f t="shared" si="118"/>
        <v>217</v>
      </c>
      <c r="S187" s="98">
        <f t="shared" si="119"/>
        <v>503.4601268713547</v>
      </c>
      <c r="T187" s="21">
        <f t="shared" si="120"/>
        <v>1.6999999999999999E-3</v>
      </c>
      <c r="AA187" s="14">
        <f t="shared" si="102"/>
        <v>-3939.1649947483179</v>
      </c>
      <c r="AH187" s="6">
        <f t="shared" si="103"/>
        <v>2</v>
      </c>
      <c r="AI187" s="6">
        <f t="shared" si="104"/>
        <v>5</v>
      </c>
      <c r="AJ187" s="12">
        <f t="shared" si="105"/>
        <v>15</v>
      </c>
      <c r="AK187" s="72">
        <f t="shared" si="95"/>
        <v>30</v>
      </c>
      <c r="AR187">
        <f t="shared" si="121"/>
        <v>25</v>
      </c>
      <c r="AS187">
        <f t="shared" si="122"/>
        <v>75</v>
      </c>
      <c r="AT187" s="183">
        <f t="shared" si="123"/>
        <v>51288</v>
      </c>
      <c r="AU187" s="2">
        <f t="shared" si="124"/>
        <v>4.608294930875576E-3</v>
      </c>
      <c r="AV187" s="169">
        <f t="shared" si="125"/>
        <v>173</v>
      </c>
      <c r="AW187" s="165">
        <f t="shared" si="126"/>
        <v>2474.4045532428836</v>
      </c>
      <c r="AX187" s="170">
        <f t="shared" si="132"/>
        <v>1364.7604415054343</v>
      </c>
      <c r="AY187" s="164" t="str">
        <f t="shared" si="135"/>
        <v>🛵</v>
      </c>
      <c r="AZ187" s="171" t="str">
        <f t="shared" si="106"/>
        <v>🚴‍♂️</v>
      </c>
      <c r="BA187" s="172">
        <f t="shared" si="107"/>
        <v>861.30031463407954</v>
      </c>
      <c r="BB187" s="173">
        <f t="shared" si="108"/>
        <v>0.21865047942453855</v>
      </c>
      <c r="BC187" s="174">
        <f t="shared" si="109"/>
        <v>3939.1649947483179</v>
      </c>
      <c r="BD187" s="175">
        <f t="shared" si="127"/>
        <v>295291.71549204522</v>
      </c>
      <c r="BE187" s="187"/>
      <c r="BF187" s="177" t="str">
        <f t="shared" si="94"/>
        <v/>
      </c>
      <c r="BG187" s="178" t="str">
        <f t="shared" si="128"/>
        <v/>
      </c>
      <c r="BH187" s="179" t="str">
        <f t="shared" si="110"/>
        <v/>
      </c>
      <c r="BI187" s="180">
        <f t="shared" si="129"/>
        <v>217</v>
      </c>
      <c r="BJ187" s="181">
        <f t="shared" si="133"/>
        <v>503.4601268713547</v>
      </c>
      <c r="BK187" s="182">
        <f t="shared" si="130"/>
        <v>1.6999999999999999E-3</v>
      </c>
    </row>
    <row r="188" spans="1:63" x14ac:dyDescent="0.25">
      <c r="A188" s="7">
        <f t="shared" si="111"/>
        <v>25</v>
      </c>
      <c r="B188" s="7">
        <f t="shared" si="112"/>
        <v>75</v>
      </c>
      <c r="C188" s="115">
        <f t="shared" si="113"/>
        <v>51318</v>
      </c>
      <c r="D188" s="2">
        <f t="shared" si="96"/>
        <v>4.6296296296296302E-3</v>
      </c>
      <c r="E188" s="169">
        <f t="shared" si="114"/>
        <v>174</v>
      </c>
      <c r="F188" s="165">
        <f t="shared" si="115"/>
        <v>2467.2082550237519</v>
      </c>
      <c r="G188" s="170">
        <f t="shared" si="131"/>
        <v>1367.0912754261353</v>
      </c>
      <c r="H188" s="164" t="str">
        <f t="shared" si="134"/>
        <v>🛵</v>
      </c>
      <c r="I188" s="171" t="str">
        <f t="shared" si="97"/>
        <v>🚴‍♂️</v>
      </c>
      <c r="J188" s="172">
        <f t="shared" si="98"/>
        <v>865.09535908965847</v>
      </c>
      <c r="K188" s="173">
        <f t="shared" si="99"/>
        <v>0.21988548466993177</v>
      </c>
      <c r="L188" s="174">
        <f t="shared" si="100"/>
        <v>3934.2995304498872</v>
      </c>
      <c r="M188" s="175">
        <f t="shared" si="116"/>
        <v>294426.62013295555</v>
      </c>
      <c r="N188" s="65"/>
      <c r="O188" s="37" t="str">
        <f t="shared" si="93"/>
        <v/>
      </c>
      <c r="P188" s="62" t="str">
        <f t="shared" si="117"/>
        <v/>
      </c>
      <c r="Q188" s="16" t="str">
        <f t="shared" si="101"/>
        <v/>
      </c>
      <c r="R188" s="60">
        <f t="shared" si="118"/>
        <v>216</v>
      </c>
      <c r="S188" s="98">
        <f t="shared" si="119"/>
        <v>501.99591633647685</v>
      </c>
      <c r="T188" s="21">
        <f t="shared" si="120"/>
        <v>1.6999999999999999E-3</v>
      </c>
      <c r="AA188" s="14">
        <f t="shared" si="102"/>
        <v>-3934.2995304498872</v>
      </c>
      <c r="AH188" s="6">
        <f t="shared" si="103"/>
        <v>2</v>
      </c>
      <c r="AI188" s="6">
        <f t="shared" si="104"/>
        <v>5</v>
      </c>
      <c r="AJ188" s="12">
        <f t="shared" si="105"/>
        <v>15</v>
      </c>
      <c r="AK188" s="72">
        <f t="shared" si="95"/>
        <v>31</v>
      </c>
      <c r="AR188">
        <f t="shared" si="121"/>
        <v>25</v>
      </c>
      <c r="AS188">
        <f t="shared" si="122"/>
        <v>75</v>
      </c>
      <c r="AT188" s="183">
        <f t="shared" si="123"/>
        <v>51318</v>
      </c>
      <c r="AU188" s="2">
        <f t="shared" si="124"/>
        <v>4.6296296296296302E-3</v>
      </c>
      <c r="AV188" s="169">
        <f t="shared" si="125"/>
        <v>174</v>
      </c>
      <c r="AW188" s="165">
        <f t="shared" si="126"/>
        <v>2467.2082550237519</v>
      </c>
      <c r="AX188" s="170">
        <f t="shared" si="132"/>
        <v>1367.0912754261353</v>
      </c>
      <c r="AY188" s="164" t="str">
        <f t="shared" si="135"/>
        <v>🛵</v>
      </c>
      <c r="AZ188" s="171" t="str">
        <f t="shared" si="106"/>
        <v>🚴‍♂️</v>
      </c>
      <c r="BA188" s="172">
        <f t="shared" si="107"/>
        <v>865.09535908965847</v>
      </c>
      <c r="BB188" s="173">
        <f t="shared" si="108"/>
        <v>0.21988548466993177</v>
      </c>
      <c r="BC188" s="174">
        <f t="shared" si="109"/>
        <v>3934.2995304498872</v>
      </c>
      <c r="BD188" s="175">
        <f t="shared" si="127"/>
        <v>294426.62013295555</v>
      </c>
      <c r="BE188" s="187"/>
      <c r="BF188" s="177" t="str">
        <f t="shared" si="94"/>
        <v/>
      </c>
      <c r="BG188" s="178" t="str">
        <f t="shared" si="128"/>
        <v/>
      </c>
      <c r="BH188" s="179" t="str">
        <f t="shared" si="110"/>
        <v/>
      </c>
      <c r="BI188" s="180">
        <f t="shared" si="129"/>
        <v>216</v>
      </c>
      <c r="BJ188" s="181">
        <f t="shared" si="133"/>
        <v>501.99591633647685</v>
      </c>
      <c r="BK188" s="182">
        <f t="shared" si="130"/>
        <v>1.6999999999999999E-3</v>
      </c>
    </row>
    <row r="189" spans="1:63" x14ac:dyDescent="0.25">
      <c r="A189" s="7">
        <f t="shared" si="111"/>
        <v>25</v>
      </c>
      <c r="B189" s="7">
        <f t="shared" si="112"/>
        <v>75</v>
      </c>
      <c r="C189" s="115">
        <f t="shared" si="113"/>
        <v>51349</v>
      </c>
      <c r="D189" s="2">
        <f t="shared" si="96"/>
        <v>4.6511627906976744E-3</v>
      </c>
      <c r="E189" s="169">
        <f t="shared" si="114"/>
        <v>175</v>
      </c>
      <c r="F189" s="165">
        <f t="shared" si="115"/>
        <v>2459.9802486173676</v>
      </c>
      <c r="G189" s="170">
        <f t="shared" si="131"/>
        <v>1369.4261401532817</v>
      </c>
      <c r="H189" s="164" t="str">
        <f t="shared" si="134"/>
        <v>🛵</v>
      </c>
      <c r="I189" s="171" t="str">
        <f t="shared" si="97"/>
        <v>🚴‍♂️</v>
      </c>
      <c r="J189" s="172">
        <f t="shared" si="98"/>
        <v>868.90088592725738</v>
      </c>
      <c r="K189" s="173">
        <f t="shared" si="99"/>
        <v>0.22112777350043983</v>
      </c>
      <c r="L189" s="174">
        <f t="shared" si="100"/>
        <v>3929.4063887706493</v>
      </c>
      <c r="M189" s="175">
        <f t="shared" si="116"/>
        <v>293557.71924702829</v>
      </c>
      <c r="N189" s="65"/>
      <c r="O189" s="37" t="str">
        <f t="shared" si="93"/>
        <v/>
      </c>
      <c r="P189" s="62" t="str">
        <f t="shared" si="117"/>
        <v/>
      </c>
      <c r="Q189" s="16" t="str">
        <f t="shared" si="101"/>
        <v/>
      </c>
      <c r="R189" s="60">
        <f t="shared" si="118"/>
        <v>215</v>
      </c>
      <c r="S189" s="98">
        <f t="shared" si="119"/>
        <v>500.5252542260244</v>
      </c>
      <c r="T189" s="21">
        <f t="shared" si="120"/>
        <v>1.6999999999999999E-3</v>
      </c>
      <c r="AA189" s="14">
        <f t="shared" si="102"/>
        <v>-3929.4063887706493</v>
      </c>
      <c r="AH189" s="6">
        <f t="shared" si="103"/>
        <v>2</v>
      </c>
      <c r="AI189" s="6">
        <f t="shared" si="104"/>
        <v>5</v>
      </c>
      <c r="AJ189" s="12">
        <f t="shared" si="105"/>
        <v>15</v>
      </c>
      <c r="AK189" s="72">
        <f t="shared" si="95"/>
        <v>31</v>
      </c>
      <c r="AR189">
        <f t="shared" si="121"/>
        <v>25</v>
      </c>
      <c r="AS189">
        <f t="shared" si="122"/>
        <v>75</v>
      </c>
      <c r="AT189" s="183">
        <f t="shared" si="123"/>
        <v>51349</v>
      </c>
      <c r="AU189" s="2">
        <f t="shared" si="124"/>
        <v>4.6511627906976744E-3</v>
      </c>
      <c r="AV189" s="169">
        <f t="shared" si="125"/>
        <v>175</v>
      </c>
      <c r="AW189" s="165">
        <f t="shared" si="126"/>
        <v>2459.9802486173676</v>
      </c>
      <c r="AX189" s="170">
        <f t="shared" si="132"/>
        <v>1369.4261401532817</v>
      </c>
      <c r="AY189" s="164" t="str">
        <f t="shared" si="135"/>
        <v>🛵</v>
      </c>
      <c r="AZ189" s="171" t="str">
        <f t="shared" si="106"/>
        <v>🚴‍♂️</v>
      </c>
      <c r="BA189" s="172">
        <f t="shared" si="107"/>
        <v>868.90088592725738</v>
      </c>
      <c r="BB189" s="173">
        <f t="shared" si="108"/>
        <v>0.22112777350043983</v>
      </c>
      <c r="BC189" s="174">
        <f t="shared" si="109"/>
        <v>3929.4063887706493</v>
      </c>
      <c r="BD189" s="175">
        <f t="shared" si="127"/>
        <v>293557.71924702829</v>
      </c>
      <c r="BE189" s="187"/>
      <c r="BF189" s="177" t="str">
        <f t="shared" si="94"/>
        <v/>
      </c>
      <c r="BG189" s="178" t="str">
        <f t="shared" si="128"/>
        <v/>
      </c>
      <c r="BH189" s="179" t="str">
        <f t="shared" si="110"/>
        <v/>
      </c>
      <c r="BI189" s="180">
        <f t="shared" si="129"/>
        <v>215</v>
      </c>
      <c r="BJ189" s="181">
        <f t="shared" si="133"/>
        <v>500.5252542260244</v>
      </c>
      <c r="BK189" s="182">
        <f t="shared" si="130"/>
        <v>1.6999999999999999E-3</v>
      </c>
    </row>
    <row r="190" spans="1:63" x14ac:dyDescent="0.25">
      <c r="A190" s="7">
        <f t="shared" si="111"/>
        <v>25</v>
      </c>
      <c r="B190" s="7">
        <f t="shared" si="112"/>
        <v>75</v>
      </c>
      <c r="C190" s="115">
        <f t="shared" si="113"/>
        <v>51380</v>
      </c>
      <c r="D190" s="2">
        <f t="shared" si="96"/>
        <v>4.6728971962616828E-3</v>
      </c>
      <c r="E190" s="169">
        <f t="shared" si="114"/>
        <v>176</v>
      </c>
      <c r="F190" s="165">
        <f t="shared" si="115"/>
        <v>2452.7204464417969</v>
      </c>
      <c r="G190" s="170">
        <f t="shared" si="131"/>
        <v>1371.7650432104126</v>
      </c>
      <c r="H190" s="164" t="str">
        <f t="shared" si="134"/>
        <v>🛵</v>
      </c>
      <c r="I190" s="171" t="str">
        <f t="shared" si="97"/>
        <v>🚴‍♂️</v>
      </c>
      <c r="J190" s="172">
        <f t="shared" si="98"/>
        <v>872.71692049046453</v>
      </c>
      <c r="K190" s="173">
        <f t="shared" si="99"/>
        <v>0.22237741043802542</v>
      </c>
      <c r="L190" s="174">
        <f t="shared" si="100"/>
        <v>3924.4854896522093</v>
      </c>
      <c r="M190" s="175">
        <f t="shared" si="116"/>
        <v>292685.0023265378</v>
      </c>
      <c r="N190" s="65"/>
      <c r="O190" s="37" t="str">
        <f t="shared" si="93"/>
        <v/>
      </c>
      <c r="P190" s="62" t="str">
        <f t="shared" si="117"/>
        <v/>
      </c>
      <c r="Q190" s="16" t="str">
        <f t="shared" si="101"/>
        <v/>
      </c>
      <c r="R190" s="60">
        <f t="shared" si="118"/>
        <v>214</v>
      </c>
      <c r="S190" s="98">
        <f t="shared" si="119"/>
        <v>499.04812271994808</v>
      </c>
      <c r="T190" s="21">
        <f t="shared" si="120"/>
        <v>1.6999999999999999E-3</v>
      </c>
      <c r="AA190" s="14">
        <f t="shared" si="102"/>
        <v>-3924.4854896522093</v>
      </c>
      <c r="AH190" s="6">
        <f t="shared" si="103"/>
        <v>2</v>
      </c>
      <c r="AI190" s="6">
        <f t="shared" si="104"/>
        <v>5</v>
      </c>
      <c r="AJ190" s="12">
        <f t="shared" si="105"/>
        <v>15</v>
      </c>
      <c r="AK190" s="72">
        <f t="shared" si="95"/>
        <v>30</v>
      </c>
      <c r="AR190">
        <f t="shared" si="121"/>
        <v>25</v>
      </c>
      <c r="AS190">
        <f t="shared" si="122"/>
        <v>75</v>
      </c>
      <c r="AT190" s="183">
        <f t="shared" si="123"/>
        <v>51380</v>
      </c>
      <c r="AU190" s="2">
        <f t="shared" si="124"/>
        <v>4.6728971962616828E-3</v>
      </c>
      <c r="AV190" s="169">
        <f t="shared" si="125"/>
        <v>176</v>
      </c>
      <c r="AW190" s="165">
        <f t="shared" si="126"/>
        <v>2452.7204464417969</v>
      </c>
      <c r="AX190" s="170">
        <f t="shared" si="132"/>
        <v>1371.7650432104126</v>
      </c>
      <c r="AY190" s="164" t="str">
        <f t="shared" si="135"/>
        <v>🛵</v>
      </c>
      <c r="AZ190" s="171" t="str">
        <f t="shared" si="106"/>
        <v>🚴‍♂️</v>
      </c>
      <c r="BA190" s="172">
        <f t="shared" si="107"/>
        <v>872.71692049046453</v>
      </c>
      <c r="BB190" s="173">
        <f t="shared" si="108"/>
        <v>0.22237741043802542</v>
      </c>
      <c r="BC190" s="174">
        <f t="shared" si="109"/>
        <v>3924.4854896522093</v>
      </c>
      <c r="BD190" s="175">
        <f t="shared" si="127"/>
        <v>292685.0023265378</v>
      </c>
      <c r="BE190" s="187"/>
      <c r="BF190" s="177" t="str">
        <f t="shared" si="94"/>
        <v/>
      </c>
      <c r="BG190" s="178" t="str">
        <f t="shared" si="128"/>
        <v/>
      </c>
      <c r="BH190" s="179" t="str">
        <f t="shared" si="110"/>
        <v/>
      </c>
      <c r="BI190" s="180">
        <f t="shared" si="129"/>
        <v>214</v>
      </c>
      <c r="BJ190" s="181">
        <f t="shared" si="133"/>
        <v>499.04812271994808</v>
      </c>
      <c r="BK190" s="182">
        <f t="shared" si="130"/>
        <v>1.6999999999999999E-3</v>
      </c>
    </row>
    <row r="191" spans="1:63" x14ac:dyDescent="0.25">
      <c r="A191" s="7">
        <f t="shared" si="111"/>
        <v>25</v>
      </c>
      <c r="B191" s="7">
        <f t="shared" si="112"/>
        <v>75</v>
      </c>
      <c r="C191" s="115">
        <f t="shared" si="113"/>
        <v>51410</v>
      </c>
      <c r="D191" s="2">
        <f t="shared" si="96"/>
        <v>4.6948356807511738E-3</v>
      </c>
      <c r="E191" s="169">
        <f t="shared" si="114"/>
        <v>177</v>
      </c>
      <c r="F191" s="165">
        <f t="shared" si="115"/>
        <v>2445.4287607033561</v>
      </c>
      <c r="G191" s="170">
        <f t="shared" si="131"/>
        <v>1374.10799214337</v>
      </c>
      <c r="H191" s="164" t="str">
        <f t="shared" si="134"/>
        <v>🛵</v>
      </c>
      <c r="I191" s="171" t="str">
        <f t="shared" si="97"/>
        <v>🚴‍♂️</v>
      </c>
      <c r="J191" s="172">
        <f t="shared" si="98"/>
        <v>876.54348818825576</v>
      </c>
      <c r="K191" s="173">
        <f t="shared" si="99"/>
        <v>0.2236344607692809</v>
      </c>
      <c r="L191" s="174">
        <f t="shared" si="100"/>
        <v>3919.5367528467259</v>
      </c>
      <c r="M191" s="175">
        <f t="shared" si="116"/>
        <v>291808.45883834956</v>
      </c>
      <c r="N191" s="65"/>
      <c r="O191" s="37" t="str">
        <f t="shared" si="93"/>
        <v/>
      </c>
      <c r="P191" s="62" t="str">
        <f t="shared" si="117"/>
        <v/>
      </c>
      <c r="Q191" s="16" t="str">
        <f t="shared" si="101"/>
        <v/>
      </c>
      <c r="R191" s="60">
        <f t="shared" si="118"/>
        <v>213</v>
      </c>
      <c r="S191" s="98">
        <f t="shared" si="119"/>
        <v>497.56450395511422</v>
      </c>
      <c r="T191" s="21">
        <f t="shared" si="120"/>
        <v>1.6999999999999999E-3</v>
      </c>
      <c r="AA191" s="14">
        <f t="shared" si="102"/>
        <v>-3919.5367528467259</v>
      </c>
      <c r="AH191" s="6">
        <f t="shared" si="103"/>
        <v>2</v>
      </c>
      <c r="AI191" s="6">
        <f t="shared" si="104"/>
        <v>5</v>
      </c>
      <c r="AJ191" s="12">
        <f t="shared" si="105"/>
        <v>15</v>
      </c>
      <c r="AK191" s="72">
        <f t="shared" si="95"/>
        <v>31</v>
      </c>
      <c r="AR191">
        <f t="shared" si="121"/>
        <v>25</v>
      </c>
      <c r="AS191">
        <f t="shared" si="122"/>
        <v>75</v>
      </c>
      <c r="AT191" s="183">
        <f t="shared" si="123"/>
        <v>51410</v>
      </c>
      <c r="AU191" s="2">
        <f t="shared" si="124"/>
        <v>4.6948356807511738E-3</v>
      </c>
      <c r="AV191" s="169">
        <f t="shared" si="125"/>
        <v>177</v>
      </c>
      <c r="AW191" s="165">
        <f t="shared" si="126"/>
        <v>2445.4287607033561</v>
      </c>
      <c r="AX191" s="170">
        <f t="shared" si="132"/>
        <v>1374.10799214337</v>
      </c>
      <c r="AY191" s="164" t="str">
        <f t="shared" si="135"/>
        <v>🛵</v>
      </c>
      <c r="AZ191" s="171" t="str">
        <f t="shared" si="106"/>
        <v>🚴‍♂️</v>
      </c>
      <c r="BA191" s="172">
        <f t="shared" si="107"/>
        <v>876.54348818825576</v>
      </c>
      <c r="BB191" s="173">
        <f t="shared" si="108"/>
        <v>0.2236344607692809</v>
      </c>
      <c r="BC191" s="174">
        <f t="shared" si="109"/>
        <v>3919.5367528467259</v>
      </c>
      <c r="BD191" s="175">
        <f t="shared" si="127"/>
        <v>291808.45883834956</v>
      </c>
      <c r="BE191" s="187"/>
      <c r="BF191" s="177" t="str">
        <f t="shared" si="94"/>
        <v/>
      </c>
      <c r="BG191" s="178" t="str">
        <f t="shared" si="128"/>
        <v/>
      </c>
      <c r="BH191" s="179" t="str">
        <f t="shared" si="110"/>
        <v/>
      </c>
      <c r="BI191" s="180">
        <f t="shared" si="129"/>
        <v>213</v>
      </c>
      <c r="BJ191" s="181">
        <f t="shared" si="133"/>
        <v>497.56450395511422</v>
      </c>
      <c r="BK191" s="182">
        <f t="shared" si="130"/>
        <v>1.6999999999999999E-3</v>
      </c>
    </row>
    <row r="192" spans="1:63" x14ac:dyDescent="0.25">
      <c r="A192" s="7">
        <f t="shared" si="111"/>
        <v>25</v>
      </c>
      <c r="B192" s="7">
        <f t="shared" si="112"/>
        <v>75</v>
      </c>
      <c r="C192" s="115">
        <f t="shared" si="113"/>
        <v>51441</v>
      </c>
      <c r="D192" s="2">
        <f t="shared" si="96"/>
        <v>4.7169811320754715E-3</v>
      </c>
      <c r="E192" s="169">
        <f t="shared" si="114"/>
        <v>178</v>
      </c>
      <c r="F192" s="165">
        <f t="shared" si="115"/>
        <v>2438.1051033960666</v>
      </c>
      <c r="G192" s="170">
        <f t="shared" si="131"/>
        <v>1376.4549945205167</v>
      </c>
      <c r="H192" s="164" t="str">
        <f t="shared" si="134"/>
        <v>🛵</v>
      </c>
      <c r="I192" s="171" t="str">
        <f t="shared" si="97"/>
        <v>🚴‍♂️</v>
      </c>
      <c r="J192" s="172">
        <f t="shared" si="98"/>
        <v>880.38061449532256</v>
      </c>
      <c r="K192" s="173">
        <f t="shared" si="99"/>
        <v>0.22489899055678844</v>
      </c>
      <c r="L192" s="174">
        <f t="shared" si="100"/>
        <v>3914.5600979165833</v>
      </c>
      <c r="M192" s="175">
        <f t="shared" si="116"/>
        <v>290928.07822385425</v>
      </c>
      <c r="N192" s="65"/>
      <c r="O192" s="37" t="str">
        <f t="shared" si="93"/>
        <v/>
      </c>
      <c r="P192" s="62" t="str">
        <f t="shared" si="117"/>
        <v/>
      </c>
      <c r="Q192" s="16" t="str">
        <f t="shared" si="101"/>
        <v/>
      </c>
      <c r="R192" s="60">
        <f t="shared" si="118"/>
        <v>212</v>
      </c>
      <c r="S192" s="98">
        <f t="shared" si="119"/>
        <v>496.07438002519422</v>
      </c>
      <c r="T192" s="21">
        <f t="shared" si="120"/>
        <v>1.6999999999999999E-3</v>
      </c>
      <c r="AA192" s="14">
        <f t="shared" si="102"/>
        <v>-3914.5600979165833</v>
      </c>
      <c r="AH192" s="6">
        <f t="shared" si="103"/>
        <v>2</v>
      </c>
      <c r="AI192" s="6">
        <f t="shared" si="104"/>
        <v>5</v>
      </c>
      <c r="AJ192" s="12">
        <f t="shared" si="105"/>
        <v>15</v>
      </c>
      <c r="AK192" s="72">
        <f t="shared" si="95"/>
        <v>30</v>
      </c>
      <c r="AR192">
        <f t="shared" si="121"/>
        <v>25</v>
      </c>
      <c r="AS192">
        <f t="shared" si="122"/>
        <v>75</v>
      </c>
      <c r="AT192" s="183">
        <f t="shared" si="123"/>
        <v>51441</v>
      </c>
      <c r="AU192" s="2">
        <f t="shared" si="124"/>
        <v>4.7169811320754715E-3</v>
      </c>
      <c r="AV192" s="169">
        <f t="shared" si="125"/>
        <v>178</v>
      </c>
      <c r="AW192" s="165">
        <f t="shared" si="126"/>
        <v>2438.1051033960666</v>
      </c>
      <c r="AX192" s="170">
        <f t="shared" si="132"/>
        <v>1376.4549945205167</v>
      </c>
      <c r="AY192" s="164" t="str">
        <f t="shared" si="135"/>
        <v>🛵</v>
      </c>
      <c r="AZ192" s="171" t="str">
        <f t="shared" si="106"/>
        <v>🚴‍♂️</v>
      </c>
      <c r="BA192" s="172">
        <f t="shared" si="107"/>
        <v>880.38061449532256</v>
      </c>
      <c r="BB192" s="173">
        <f t="shared" si="108"/>
        <v>0.22489899055678844</v>
      </c>
      <c r="BC192" s="174">
        <f t="shared" si="109"/>
        <v>3914.5600979165833</v>
      </c>
      <c r="BD192" s="175">
        <f t="shared" si="127"/>
        <v>290928.07822385425</v>
      </c>
      <c r="BE192" s="187"/>
      <c r="BF192" s="177" t="str">
        <f t="shared" si="94"/>
        <v/>
      </c>
      <c r="BG192" s="178" t="str">
        <f t="shared" si="128"/>
        <v/>
      </c>
      <c r="BH192" s="179" t="str">
        <f t="shared" si="110"/>
        <v/>
      </c>
      <c r="BI192" s="180">
        <f t="shared" si="129"/>
        <v>212</v>
      </c>
      <c r="BJ192" s="181">
        <f t="shared" si="133"/>
        <v>496.07438002519422</v>
      </c>
      <c r="BK192" s="182">
        <f t="shared" si="130"/>
        <v>1.6999999999999999E-3</v>
      </c>
    </row>
    <row r="193" spans="1:63" x14ac:dyDescent="0.25">
      <c r="A193" s="7">
        <f t="shared" si="111"/>
        <v>25</v>
      </c>
      <c r="B193" s="7">
        <f t="shared" si="112"/>
        <v>75</v>
      </c>
      <c r="C193" s="115">
        <f t="shared" si="113"/>
        <v>51471</v>
      </c>
      <c r="D193" s="2">
        <f t="shared" si="96"/>
        <v>4.7393364928909956E-3</v>
      </c>
      <c r="E193" s="169">
        <f t="shared" si="114"/>
        <v>179</v>
      </c>
      <c r="F193" s="165">
        <f t="shared" si="115"/>
        <v>2430.7493863011041</v>
      </c>
      <c r="G193" s="170">
        <f t="shared" si="131"/>
        <v>1378.8060579329585</v>
      </c>
      <c r="H193" s="164" t="str">
        <f t="shared" si="134"/>
        <v>🛵</v>
      </c>
      <c r="I193" s="171" t="str">
        <f t="shared" si="97"/>
        <v>🚴‍♂️</v>
      </c>
      <c r="J193" s="172">
        <f t="shared" si="98"/>
        <v>884.22832495240641</v>
      </c>
      <c r="K193" s="173">
        <f t="shared" si="99"/>
        <v>0.22617106665068393</v>
      </c>
      <c r="L193" s="174">
        <f t="shared" si="100"/>
        <v>3909.5554442340626</v>
      </c>
      <c r="M193" s="175">
        <f t="shared" si="116"/>
        <v>290043.84989890183</v>
      </c>
      <c r="N193" s="65"/>
      <c r="O193" s="37" t="str">
        <f t="shared" si="93"/>
        <v/>
      </c>
      <c r="P193" s="62" t="str">
        <f t="shared" si="117"/>
        <v/>
      </c>
      <c r="Q193" s="16" t="str">
        <f t="shared" si="101"/>
        <v/>
      </c>
      <c r="R193" s="60">
        <f t="shared" si="118"/>
        <v>211</v>
      </c>
      <c r="S193" s="98">
        <f t="shared" si="119"/>
        <v>494.57773298055218</v>
      </c>
      <c r="T193" s="21">
        <f t="shared" si="120"/>
        <v>1.6999999999999999E-3</v>
      </c>
      <c r="AA193" s="14">
        <f t="shared" si="102"/>
        <v>-3909.5554442340626</v>
      </c>
      <c r="AH193" s="6">
        <f t="shared" si="103"/>
        <v>2</v>
      </c>
      <c r="AI193" s="6">
        <f t="shared" si="104"/>
        <v>5</v>
      </c>
      <c r="AJ193" s="12">
        <f t="shared" si="105"/>
        <v>15</v>
      </c>
      <c r="AK193" s="72">
        <f t="shared" si="95"/>
        <v>31</v>
      </c>
      <c r="AR193">
        <f t="shared" si="121"/>
        <v>25</v>
      </c>
      <c r="AS193">
        <f t="shared" si="122"/>
        <v>75</v>
      </c>
      <c r="AT193" s="183">
        <f t="shared" si="123"/>
        <v>51471</v>
      </c>
      <c r="AU193" s="2">
        <f t="shared" si="124"/>
        <v>4.7393364928909956E-3</v>
      </c>
      <c r="AV193" s="169">
        <f t="shared" si="125"/>
        <v>179</v>
      </c>
      <c r="AW193" s="165">
        <f t="shared" si="126"/>
        <v>2430.7493863011041</v>
      </c>
      <c r="AX193" s="170">
        <f t="shared" si="132"/>
        <v>1378.8060579329585</v>
      </c>
      <c r="AY193" s="164" t="str">
        <f t="shared" si="135"/>
        <v>🛵</v>
      </c>
      <c r="AZ193" s="171" t="str">
        <f t="shared" si="106"/>
        <v>🚴‍♂️</v>
      </c>
      <c r="BA193" s="172">
        <f t="shared" si="107"/>
        <v>884.22832495240641</v>
      </c>
      <c r="BB193" s="173">
        <f t="shared" si="108"/>
        <v>0.22617106665068393</v>
      </c>
      <c r="BC193" s="174">
        <f t="shared" si="109"/>
        <v>3909.5554442340626</v>
      </c>
      <c r="BD193" s="175">
        <f t="shared" si="127"/>
        <v>290043.84989890183</v>
      </c>
      <c r="BE193" s="187"/>
      <c r="BF193" s="177" t="str">
        <f t="shared" si="94"/>
        <v/>
      </c>
      <c r="BG193" s="178" t="str">
        <f t="shared" si="128"/>
        <v/>
      </c>
      <c r="BH193" s="179" t="str">
        <f t="shared" si="110"/>
        <v/>
      </c>
      <c r="BI193" s="180">
        <f t="shared" si="129"/>
        <v>211</v>
      </c>
      <c r="BJ193" s="181">
        <f t="shared" si="133"/>
        <v>494.57773298055218</v>
      </c>
      <c r="BK193" s="182">
        <f t="shared" si="130"/>
        <v>1.6999999999999999E-3</v>
      </c>
    </row>
    <row r="194" spans="1:63" x14ac:dyDescent="0.25">
      <c r="A194" s="7">
        <f t="shared" si="111"/>
        <v>25</v>
      </c>
      <c r="B194" s="7">
        <f t="shared" si="112"/>
        <v>75</v>
      </c>
      <c r="C194" s="115">
        <f t="shared" si="113"/>
        <v>51502</v>
      </c>
      <c r="D194" s="2">
        <f t="shared" si="96"/>
        <v>4.7619047619047623E-3</v>
      </c>
      <c r="E194" s="169">
        <f t="shared" si="114"/>
        <v>180</v>
      </c>
      <c r="F194" s="165">
        <f t="shared" si="115"/>
        <v>2423.3615209862464</v>
      </c>
      <c r="G194" s="170">
        <f t="shared" si="131"/>
        <v>1381.1611899947707</v>
      </c>
      <c r="H194" s="164" t="str">
        <f t="shared" si="134"/>
        <v>🛵</v>
      </c>
      <c r="I194" s="171" t="str">
        <f t="shared" si="97"/>
        <v>🚴‍♂️</v>
      </c>
      <c r="J194" s="172">
        <f t="shared" si="98"/>
        <v>888.0866451666376</v>
      </c>
      <c r="K194" s="173">
        <f t="shared" si="99"/>
        <v>0.22745075670042766</v>
      </c>
      <c r="L194" s="174">
        <f t="shared" si="100"/>
        <v>3904.5227109810171</v>
      </c>
      <c r="M194" s="175">
        <f t="shared" si="116"/>
        <v>289155.7632537352</v>
      </c>
      <c r="N194" s="65"/>
      <c r="O194" s="37" t="str">
        <f t="shared" si="93"/>
        <v/>
      </c>
      <c r="P194" s="62" t="str">
        <f t="shared" si="117"/>
        <v/>
      </c>
      <c r="Q194" s="16" t="str">
        <f t="shared" si="101"/>
        <v/>
      </c>
      <c r="R194" s="60">
        <f t="shared" si="118"/>
        <v>210</v>
      </c>
      <c r="S194" s="98">
        <f t="shared" si="119"/>
        <v>493.07454482813307</v>
      </c>
      <c r="T194" s="21">
        <f t="shared" si="120"/>
        <v>1.6999999999999999E-3</v>
      </c>
      <c r="AA194" s="14">
        <f t="shared" si="102"/>
        <v>-3904.5227109810171</v>
      </c>
      <c r="AH194" s="6">
        <f t="shared" si="103"/>
        <v>2</v>
      </c>
      <c r="AI194" s="6">
        <f t="shared" si="104"/>
        <v>5</v>
      </c>
      <c r="AJ194" s="12">
        <f t="shared" si="105"/>
        <v>15</v>
      </c>
      <c r="AK194" s="72">
        <f t="shared" si="95"/>
        <v>31</v>
      </c>
      <c r="AR194">
        <f t="shared" si="121"/>
        <v>25</v>
      </c>
      <c r="AS194">
        <f t="shared" si="122"/>
        <v>75</v>
      </c>
      <c r="AT194" s="183">
        <f t="shared" si="123"/>
        <v>51502</v>
      </c>
      <c r="AU194" s="2">
        <f t="shared" si="124"/>
        <v>4.7619047619047623E-3</v>
      </c>
      <c r="AV194" s="169">
        <f t="shared" si="125"/>
        <v>180</v>
      </c>
      <c r="AW194" s="165">
        <f t="shared" si="126"/>
        <v>2423.3615209862464</v>
      </c>
      <c r="AX194" s="170">
        <f t="shared" si="132"/>
        <v>1381.1611899947707</v>
      </c>
      <c r="AY194" s="164" t="str">
        <f t="shared" si="135"/>
        <v>🛵</v>
      </c>
      <c r="AZ194" s="171" t="str">
        <f t="shared" si="106"/>
        <v>🚴‍♂️</v>
      </c>
      <c r="BA194" s="172">
        <f t="shared" si="107"/>
        <v>888.0866451666376</v>
      </c>
      <c r="BB194" s="173">
        <f t="shared" si="108"/>
        <v>0.22745075670042766</v>
      </c>
      <c r="BC194" s="174">
        <f t="shared" si="109"/>
        <v>3904.5227109810171</v>
      </c>
      <c r="BD194" s="175">
        <f t="shared" si="127"/>
        <v>289155.7632537352</v>
      </c>
      <c r="BE194" s="187"/>
      <c r="BF194" s="177" t="str">
        <f t="shared" si="94"/>
        <v/>
      </c>
      <c r="BG194" s="178" t="str">
        <f t="shared" si="128"/>
        <v/>
      </c>
      <c r="BH194" s="179" t="str">
        <f t="shared" si="110"/>
        <v/>
      </c>
      <c r="BI194" s="180">
        <f t="shared" si="129"/>
        <v>210</v>
      </c>
      <c r="BJ194" s="181">
        <f t="shared" si="133"/>
        <v>493.07454482813307</v>
      </c>
      <c r="BK194" s="182">
        <f t="shared" si="130"/>
        <v>1.6999999999999999E-3</v>
      </c>
    </row>
    <row r="195" spans="1:63" x14ac:dyDescent="0.25">
      <c r="A195" s="7">
        <f t="shared" si="111"/>
        <v>25</v>
      </c>
      <c r="B195" s="7">
        <f t="shared" si="112"/>
        <v>75</v>
      </c>
      <c r="C195" s="115">
        <f t="shared" si="113"/>
        <v>51533</v>
      </c>
      <c r="D195" s="2">
        <f t="shared" si="96"/>
        <v>4.7846889952153108E-3</v>
      </c>
      <c r="E195" s="169">
        <f t="shared" si="114"/>
        <v>181</v>
      </c>
      <c r="F195" s="165">
        <f t="shared" si="115"/>
        <v>2415.941418805322</v>
      </c>
      <c r="G195" s="170">
        <f t="shared" si="131"/>
        <v>1383.5203983432307</v>
      </c>
      <c r="H195" s="164" t="str">
        <f t="shared" si="134"/>
        <v>🛵</v>
      </c>
      <c r="I195" s="171" t="str">
        <f t="shared" si="97"/>
        <v>🚴‍♂️</v>
      </c>
      <c r="J195" s="172">
        <f t="shared" si="98"/>
        <v>891.95560081188091</v>
      </c>
      <c r="K195" s="173">
        <f t="shared" si="99"/>
        <v>0.22873812916678735</v>
      </c>
      <c r="L195" s="174">
        <f t="shared" si="100"/>
        <v>3899.4618171485527</v>
      </c>
      <c r="M195" s="175">
        <f t="shared" si="116"/>
        <v>288263.80765292334</v>
      </c>
      <c r="N195" s="65"/>
      <c r="O195" s="37" t="str">
        <f t="shared" si="93"/>
        <v/>
      </c>
      <c r="P195" s="62" t="str">
        <f t="shared" si="117"/>
        <v/>
      </c>
      <c r="Q195" s="16" t="str">
        <f t="shared" si="101"/>
        <v/>
      </c>
      <c r="R195" s="60">
        <f t="shared" si="118"/>
        <v>209</v>
      </c>
      <c r="S195" s="98">
        <f t="shared" si="119"/>
        <v>491.56479753134983</v>
      </c>
      <c r="T195" s="21">
        <f t="shared" si="120"/>
        <v>1.6999999999999999E-3</v>
      </c>
      <c r="AA195" s="14">
        <f t="shared" si="102"/>
        <v>-3899.4618171485527</v>
      </c>
      <c r="AH195" s="6">
        <f t="shared" si="103"/>
        <v>2</v>
      </c>
      <c r="AI195" s="6">
        <f t="shared" si="104"/>
        <v>6</v>
      </c>
      <c r="AJ195" s="12">
        <f t="shared" si="105"/>
        <v>16</v>
      </c>
      <c r="AK195" s="72">
        <f t="shared" si="95"/>
        <v>28</v>
      </c>
      <c r="AR195">
        <f t="shared" si="121"/>
        <v>25</v>
      </c>
      <c r="AS195">
        <f t="shared" si="122"/>
        <v>75</v>
      </c>
      <c r="AT195" s="183">
        <f t="shared" si="123"/>
        <v>51533</v>
      </c>
      <c r="AU195" s="2">
        <f t="shared" si="124"/>
        <v>4.7846889952153108E-3</v>
      </c>
      <c r="AV195" s="169">
        <f t="shared" si="125"/>
        <v>181</v>
      </c>
      <c r="AW195" s="165">
        <f t="shared" si="126"/>
        <v>2415.941418805322</v>
      </c>
      <c r="AX195" s="170">
        <f t="shared" si="132"/>
        <v>1383.5203983432307</v>
      </c>
      <c r="AY195" s="164" t="str">
        <f t="shared" si="135"/>
        <v>🛵</v>
      </c>
      <c r="AZ195" s="171" t="str">
        <f t="shared" si="106"/>
        <v>🚴‍♂️</v>
      </c>
      <c r="BA195" s="172">
        <f t="shared" si="107"/>
        <v>891.95560081188091</v>
      </c>
      <c r="BB195" s="173">
        <f t="shared" si="108"/>
        <v>0.22873812916678735</v>
      </c>
      <c r="BC195" s="174">
        <f t="shared" si="109"/>
        <v>3899.4618171485527</v>
      </c>
      <c r="BD195" s="175">
        <f t="shared" si="127"/>
        <v>288263.80765292334</v>
      </c>
      <c r="BE195" s="187"/>
      <c r="BF195" s="177" t="str">
        <f t="shared" si="94"/>
        <v/>
      </c>
      <c r="BG195" s="178" t="str">
        <f t="shared" si="128"/>
        <v/>
      </c>
      <c r="BH195" s="179" t="str">
        <f t="shared" si="110"/>
        <v/>
      </c>
      <c r="BI195" s="180">
        <f t="shared" si="129"/>
        <v>209</v>
      </c>
      <c r="BJ195" s="181">
        <f t="shared" si="133"/>
        <v>491.56479753134983</v>
      </c>
      <c r="BK195" s="182">
        <f t="shared" si="130"/>
        <v>1.6999999999999999E-3</v>
      </c>
    </row>
    <row r="196" spans="1:63" x14ac:dyDescent="0.25">
      <c r="A196" s="7">
        <f t="shared" si="111"/>
        <v>25</v>
      </c>
      <c r="B196" s="7">
        <f t="shared" si="112"/>
        <v>75</v>
      </c>
      <c r="C196" s="115">
        <f t="shared" si="113"/>
        <v>51561</v>
      </c>
      <c r="D196" s="2">
        <f t="shared" si="96"/>
        <v>4.807692307692308E-3</v>
      </c>
      <c r="E196" s="169">
        <f t="shared" si="114"/>
        <v>182</v>
      </c>
      <c r="F196" s="165">
        <f t="shared" si="115"/>
        <v>2408.4889908976484</v>
      </c>
      <c r="G196" s="170">
        <f t="shared" si="131"/>
        <v>1385.8836906390545</v>
      </c>
      <c r="H196" s="164" t="str">
        <f t="shared" si="134"/>
        <v>🛵</v>
      </c>
      <c r="I196" s="171" t="str">
        <f t="shared" si="97"/>
        <v>🚴‍♂️</v>
      </c>
      <c r="J196" s="172">
        <f t="shared" si="98"/>
        <v>895.83521762908481</v>
      </c>
      <c r="K196" s="173">
        <f t="shared" si="99"/>
        <v>0.23003325333403687</v>
      </c>
      <c r="L196" s="174">
        <f t="shared" si="100"/>
        <v>3894.3726815367027</v>
      </c>
      <c r="M196" s="175">
        <f t="shared" si="116"/>
        <v>287367.97243529424</v>
      </c>
      <c r="N196" s="65"/>
      <c r="O196" s="37" t="str">
        <f t="shared" si="93"/>
        <v/>
      </c>
      <c r="P196" s="62" t="str">
        <f t="shared" si="117"/>
        <v/>
      </c>
      <c r="Q196" s="16" t="str">
        <f t="shared" si="101"/>
        <v/>
      </c>
      <c r="R196" s="60">
        <f t="shared" si="118"/>
        <v>208</v>
      </c>
      <c r="S196" s="98">
        <f t="shared" si="119"/>
        <v>490.04847300996965</v>
      </c>
      <c r="T196" s="21">
        <f t="shared" si="120"/>
        <v>1.6999999999999999E-3</v>
      </c>
      <c r="AA196" s="14">
        <f t="shared" si="102"/>
        <v>-3894.3726815367027</v>
      </c>
      <c r="AH196" s="6">
        <f t="shared" si="103"/>
        <v>2</v>
      </c>
      <c r="AI196" s="6">
        <f t="shared" si="104"/>
        <v>6</v>
      </c>
      <c r="AJ196" s="12">
        <f t="shared" si="105"/>
        <v>16</v>
      </c>
      <c r="AK196" s="72">
        <f t="shared" si="95"/>
        <v>31</v>
      </c>
      <c r="AR196">
        <f t="shared" si="121"/>
        <v>25</v>
      </c>
      <c r="AS196">
        <f t="shared" si="122"/>
        <v>75</v>
      </c>
      <c r="AT196" s="183">
        <f t="shared" si="123"/>
        <v>51561</v>
      </c>
      <c r="AU196" s="2">
        <f t="shared" si="124"/>
        <v>4.807692307692308E-3</v>
      </c>
      <c r="AV196" s="169">
        <f t="shared" si="125"/>
        <v>182</v>
      </c>
      <c r="AW196" s="165">
        <f t="shared" si="126"/>
        <v>2408.4889908976484</v>
      </c>
      <c r="AX196" s="170">
        <f t="shared" si="132"/>
        <v>1385.8836906390545</v>
      </c>
      <c r="AY196" s="164" t="str">
        <f t="shared" si="135"/>
        <v>🛵</v>
      </c>
      <c r="AZ196" s="171" t="str">
        <f t="shared" si="106"/>
        <v>🚴‍♂️</v>
      </c>
      <c r="BA196" s="172">
        <f t="shared" si="107"/>
        <v>895.83521762908481</v>
      </c>
      <c r="BB196" s="173">
        <f t="shared" si="108"/>
        <v>0.23003325333403687</v>
      </c>
      <c r="BC196" s="174">
        <f t="shared" si="109"/>
        <v>3894.3726815367027</v>
      </c>
      <c r="BD196" s="175">
        <f t="shared" si="127"/>
        <v>287367.97243529424</v>
      </c>
      <c r="BE196" s="187"/>
      <c r="BF196" s="177" t="str">
        <f t="shared" si="94"/>
        <v/>
      </c>
      <c r="BG196" s="178" t="str">
        <f t="shared" si="128"/>
        <v/>
      </c>
      <c r="BH196" s="179" t="str">
        <f t="shared" si="110"/>
        <v/>
      </c>
      <c r="BI196" s="180">
        <f t="shared" si="129"/>
        <v>208</v>
      </c>
      <c r="BJ196" s="181">
        <f t="shared" si="133"/>
        <v>490.04847300996965</v>
      </c>
      <c r="BK196" s="182">
        <f t="shared" si="130"/>
        <v>1.6999999999999999E-3</v>
      </c>
    </row>
    <row r="197" spans="1:63" x14ac:dyDescent="0.25">
      <c r="A197" s="7">
        <f t="shared" si="111"/>
        <v>25</v>
      </c>
      <c r="B197" s="7">
        <f t="shared" si="112"/>
        <v>75</v>
      </c>
      <c r="C197" s="115">
        <f t="shared" si="113"/>
        <v>51592</v>
      </c>
      <c r="D197" s="2">
        <f t="shared" si="96"/>
        <v>4.830917874396135E-3</v>
      </c>
      <c r="E197" s="169">
        <f t="shared" si="114"/>
        <v>183</v>
      </c>
      <c r="F197" s="165">
        <f t="shared" si="115"/>
        <v>2401.0041481874741</v>
      </c>
      <c r="G197" s="170">
        <f t="shared" si="131"/>
        <v>1388.2510745666389</v>
      </c>
      <c r="H197" s="164" t="str">
        <f t="shared" si="134"/>
        <v>🛵</v>
      </c>
      <c r="I197" s="171" t="str">
        <f t="shared" si="97"/>
        <v>🚴‍♂️</v>
      </c>
      <c r="J197" s="172">
        <f t="shared" si="98"/>
        <v>899.72552142663869</v>
      </c>
      <c r="K197" s="173">
        <f t="shared" si="99"/>
        <v>0.23133619932237637</v>
      </c>
      <c r="L197" s="174">
        <f t="shared" si="100"/>
        <v>3889.2552227541128</v>
      </c>
      <c r="M197" s="175">
        <f t="shared" si="116"/>
        <v>286468.2469138676</v>
      </c>
      <c r="N197" s="65"/>
      <c r="O197" s="37" t="str">
        <f t="shared" si="93"/>
        <v/>
      </c>
      <c r="P197" s="62" t="str">
        <f t="shared" si="117"/>
        <v/>
      </c>
      <c r="Q197" s="16" t="str">
        <f t="shared" si="101"/>
        <v/>
      </c>
      <c r="R197" s="60">
        <f t="shared" si="118"/>
        <v>207</v>
      </c>
      <c r="S197" s="98">
        <f t="shared" si="119"/>
        <v>488.52555314000017</v>
      </c>
      <c r="T197" s="21">
        <f t="shared" si="120"/>
        <v>1.6999999999999999E-3</v>
      </c>
      <c r="AA197" s="14">
        <f t="shared" si="102"/>
        <v>-3889.2552227541128</v>
      </c>
      <c r="AH197" s="6">
        <f t="shared" si="103"/>
        <v>2</v>
      </c>
      <c r="AI197" s="6">
        <f t="shared" si="104"/>
        <v>6</v>
      </c>
      <c r="AJ197" s="12">
        <f t="shared" si="105"/>
        <v>16</v>
      </c>
      <c r="AK197" s="72">
        <f t="shared" si="95"/>
        <v>30</v>
      </c>
      <c r="AR197">
        <f t="shared" si="121"/>
        <v>25</v>
      </c>
      <c r="AS197">
        <f t="shared" si="122"/>
        <v>75</v>
      </c>
      <c r="AT197" s="183">
        <f t="shared" si="123"/>
        <v>51592</v>
      </c>
      <c r="AU197" s="2">
        <f t="shared" si="124"/>
        <v>4.830917874396135E-3</v>
      </c>
      <c r="AV197" s="169">
        <f t="shared" si="125"/>
        <v>183</v>
      </c>
      <c r="AW197" s="165">
        <f t="shared" si="126"/>
        <v>2401.0041481874741</v>
      </c>
      <c r="AX197" s="170">
        <f t="shared" si="132"/>
        <v>1388.2510745666389</v>
      </c>
      <c r="AY197" s="164" t="str">
        <f t="shared" si="135"/>
        <v>🛵</v>
      </c>
      <c r="AZ197" s="171" t="str">
        <f t="shared" si="106"/>
        <v>🚴‍♂️</v>
      </c>
      <c r="BA197" s="172">
        <f t="shared" si="107"/>
        <v>899.72552142663869</v>
      </c>
      <c r="BB197" s="173">
        <f t="shared" si="108"/>
        <v>0.23133619932237637</v>
      </c>
      <c r="BC197" s="174">
        <f t="shared" si="109"/>
        <v>3889.2552227541128</v>
      </c>
      <c r="BD197" s="175">
        <f t="shared" si="127"/>
        <v>286468.2469138676</v>
      </c>
      <c r="BE197" s="187"/>
      <c r="BF197" s="177" t="str">
        <f t="shared" si="94"/>
        <v/>
      </c>
      <c r="BG197" s="178" t="str">
        <f t="shared" si="128"/>
        <v/>
      </c>
      <c r="BH197" s="179" t="str">
        <f t="shared" si="110"/>
        <v/>
      </c>
      <c r="BI197" s="180">
        <f t="shared" si="129"/>
        <v>207</v>
      </c>
      <c r="BJ197" s="181">
        <f t="shared" si="133"/>
        <v>488.52555314000017</v>
      </c>
      <c r="BK197" s="182">
        <f t="shared" si="130"/>
        <v>1.6999999999999999E-3</v>
      </c>
    </row>
    <row r="198" spans="1:63" x14ac:dyDescent="0.25">
      <c r="A198" s="7">
        <f t="shared" si="111"/>
        <v>25</v>
      </c>
      <c r="B198" s="7">
        <f t="shared" si="112"/>
        <v>75</v>
      </c>
      <c r="C198" s="115">
        <f t="shared" si="113"/>
        <v>51622</v>
      </c>
      <c r="D198" s="2">
        <f t="shared" si="96"/>
        <v>4.8543689320388354E-3</v>
      </c>
      <c r="E198" s="169">
        <f t="shared" si="114"/>
        <v>184</v>
      </c>
      <c r="F198" s="165">
        <f t="shared" si="115"/>
        <v>2393.4868013834148</v>
      </c>
      <c r="G198" s="170">
        <f t="shared" si="131"/>
        <v>1390.6225578343087</v>
      </c>
      <c r="H198" s="164" t="str">
        <f t="shared" si="134"/>
        <v>🛵</v>
      </c>
      <c r="I198" s="171" t="str">
        <f t="shared" si="97"/>
        <v>🚴‍♂️</v>
      </c>
      <c r="J198" s="172">
        <f t="shared" si="98"/>
        <v>903.62653808073378</v>
      </c>
      <c r="K198" s="173">
        <f t="shared" si="99"/>
        <v>0.23264703810057707</v>
      </c>
      <c r="L198" s="174">
        <f t="shared" si="100"/>
        <v>3884.1093592177235</v>
      </c>
      <c r="M198" s="175">
        <f t="shared" si="116"/>
        <v>285564.62037578685</v>
      </c>
      <c r="N198" s="65"/>
      <c r="O198" s="37" t="str">
        <f t="shared" si="93"/>
        <v/>
      </c>
      <c r="P198" s="62" t="str">
        <f t="shared" si="117"/>
        <v/>
      </c>
      <c r="Q198" s="16" t="str">
        <f t="shared" si="101"/>
        <v/>
      </c>
      <c r="R198" s="60">
        <f t="shared" si="118"/>
        <v>206</v>
      </c>
      <c r="S198" s="98">
        <f t="shared" si="119"/>
        <v>486.9960197535749</v>
      </c>
      <c r="T198" s="21">
        <f t="shared" si="120"/>
        <v>1.6999999999999999E-3</v>
      </c>
      <c r="AA198" s="14">
        <f t="shared" si="102"/>
        <v>-3884.1093592177235</v>
      </c>
      <c r="AH198" s="6">
        <f t="shared" si="103"/>
        <v>2</v>
      </c>
      <c r="AI198" s="6">
        <f t="shared" si="104"/>
        <v>6</v>
      </c>
      <c r="AJ198" s="12">
        <f t="shared" si="105"/>
        <v>16</v>
      </c>
      <c r="AK198" s="72">
        <f t="shared" si="95"/>
        <v>31</v>
      </c>
      <c r="AR198">
        <f t="shared" si="121"/>
        <v>25</v>
      </c>
      <c r="AS198">
        <f t="shared" si="122"/>
        <v>75</v>
      </c>
      <c r="AT198" s="183">
        <f t="shared" si="123"/>
        <v>51622</v>
      </c>
      <c r="AU198" s="2">
        <f t="shared" si="124"/>
        <v>4.8543689320388354E-3</v>
      </c>
      <c r="AV198" s="169">
        <f t="shared" si="125"/>
        <v>184</v>
      </c>
      <c r="AW198" s="165">
        <f t="shared" si="126"/>
        <v>2393.4868013834148</v>
      </c>
      <c r="AX198" s="170">
        <f t="shared" si="132"/>
        <v>1390.6225578343087</v>
      </c>
      <c r="AY198" s="164" t="str">
        <f t="shared" si="135"/>
        <v>🛵</v>
      </c>
      <c r="AZ198" s="171" t="str">
        <f t="shared" si="106"/>
        <v>🚴‍♂️</v>
      </c>
      <c r="BA198" s="172">
        <f t="shared" si="107"/>
        <v>903.62653808073378</v>
      </c>
      <c r="BB198" s="173">
        <f t="shared" si="108"/>
        <v>0.23264703810057707</v>
      </c>
      <c r="BC198" s="174">
        <f t="shared" si="109"/>
        <v>3884.1093592177235</v>
      </c>
      <c r="BD198" s="175">
        <f t="shared" si="127"/>
        <v>285564.62037578685</v>
      </c>
      <c r="BE198" s="187"/>
      <c r="BF198" s="177" t="str">
        <f t="shared" si="94"/>
        <v/>
      </c>
      <c r="BG198" s="178" t="str">
        <f t="shared" si="128"/>
        <v/>
      </c>
      <c r="BH198" s="179" t="str">
        <f t="shared" si="110"/>
        <v/>
      </c>
      <c r="BI198" s="180">
        <f t="shared" si="129"/>
        <v>206</v>
      </c>
      <c r="BJ198" s="181">
        <f t="shared" si="133"/>
        <v>486.9960197535749</v>
      </c>
      <c r="BK198" s="182">
        <f t="shared" si="130"/>
        <v>1.6999999999999999E-3</v>
      </c>
    </row>
    <row r="199" spans="1:63" x14ac:dyDescent="0.25">
      <c r="A199" s="7">
        <f t="shared" si="111"/>
        <v>25</v>
      </c>
      <c r="B199" s="7">
        <f t="shared" si="112"/>
        <v>75</v>
      </c>
      <c r="C199" s="115">
        <f t="shared" si="113"/>
        <v>51653</v>
      </c>
      <c r="D199" s="2">
        <f t="shared" si="96"/>
        <v>4.8780487804878049E-3</v>
      </c>
      <c r="E199" s="169">
        <f t="shared" si="114"/>
        <v>185</v>
      </c>
      <c r="F199" s="165">
        <f t="shared" si="115"/>
        <v>2385.9368609778858</v>
      </c>
      <c r="G199" s="170">
        <f t="shared" si="131"/>
        <v>1392.9981481745699</v>
      </c>
      <c r="H199" s="164" t="str">
        <f t="shared" si="134"/>
        <v>🛵</v>
      </c>
      <c r="I199" s="171" t="str">
        <f t="shared" si="97"/>
        <v>🚴‍♂️</v>
      </c>
      <c r="J199" s="172">
        <f t="shared" si="98"/>
        <v>907.53829353573224</v>
      </c>
      <c r="K199" s="173">
        <f t="shared" si="99"/>
        <v>0.23396584149885735</v>
      </c>
      <c r="L199" s="174">
        <f t="shared" si="100"/>
        <v>3878.9350091524557</v>
      </c>
      <c r="M199" s="175">
        <f t="shared" si="116"/>
        <v>284657.08208225115</v>
      </c>
      <c r="N199" s="65"/>
      <c r="O199" s="37" t="str">
        <f t="shared" si="93"/>
        <v/>
      </c>
      <c r="P199" s="62" t="str">
        <f t="shared" si="117"/>
        <v/>
      </c>
      <c r="Q199" s="16" t="str">
        <f t="shared" si="101"/>
        <v/>
      </c>
      <c r="R199" s="60">
        <f t="shared" si="118"/>
        <v>205</v>
      </c>
      <c r="S199" s="98">
        <f t="shared" si="119"/>
        <v>485.45985463883761</v>
      </c>
      <c r="T199" s="21">
        <f t="shared" si="120"/>
        <v>1.6999999999999999E-3</v>
      </c>
      <c r="AA199" s="14">
        <f t="shared" si="102"/>
        <v>-3878.9350091524557</v>
      </c>
      <c r="AH199" s="6">
        <f t="shared" si="103"/>
        <v>2</v>
      </c>
      <c r="AI199" s="6">
        <f t="shared" si="104"/>
        <v>6</v>
      </c>
      <c r="AJ199" s="12">
        <f t="shared" si="105"/>
        <v>16</v>
      </c>
      <c r="AK199" s="72">
        <f t="shared" si="95"/>
        <v>30</v>
      </c>
      <c r="AR199">
        <f t="shared" si="121"/>
        <v>25</v>
      </c>
      <c r="AS199">
        <f t="shared" si="122"/>
        <v>75</v>
      </c>
      <c r="AT199" s="183">
        <f t="shared" si="123"/>
        <v>51653</v>
      </c>
      <c r="AU199" s="2">
        <f t="shared" si="124"/>
        <v>4.8780487804878049E-3</v>
      </c>
      <c r="AV199" s="169">
        <f t="shared" si="125"/>
        <v>185</v>
      </c>
      <c r="AW199" s="165">
        <f t="shared" si="126"/>
        <v>2385.9368609778858</v>
      </c>
      <c r="AX199" s="170">
        <f t="shared" si="132"/>
        <v>1392.9981481745699</v>
      </c>
      <c r="AY199" s="164" t="str">
        <f t="shared" si="135"/>
        <v>🛵</v>
      </c>
      <c r="AZ199" s="171" t="str">
        <f t="shared" si="106"/>
        <v>🚴‍♂️</v>
      </c>
      <c r="BA199" s="172">
        <f t="shared" si="107"/>
        <v>907.53829353573224</v>
      </c>
      <c r="BB199" s="173">
        <f t="shared" si="108"/>
        <v>0.23396584149885735</v>
      </c>
      <c r="BC199" s="174">
        <f t="shared" si="109"/>
        <v>3878.9350091524557</v>
      </c>
      <c r="BD199" s="175">
        <f t="shared" si="127"/>
        <v>284657.08208225115</v>
      </c>
      <c r="BE199" s="187"/>
      <c r="BF199" s="177" t="str">
        <f t="shared" si="94"/>
        <v/>
      </c>
      <c r="BG199" s="178" t="str">
        <f t="shared" si="128"/>
        <v/>
      </c>
      <c r="BH199" s="179" t="str">
        <f t="shared" si="110"/>
        <v/>
      </c>
      <c r="BI199" s="180">
        <f t="shared" si="129"/>
        <v>205</v>
      </c>
      <c r="BJ199" s="181">
        <f t="shared" si="133"/>
        <v>485.45985463883761</v>
      </c>
      <c r="BK199" s="182">
        <f t="shared" si="130"/>
        <v>1.6999999999999999E-3</v>
      </c>
    </row>
    <row r="200" spans="1:63" x14ac:dyDescent="0.25">
      <c r="A200" s="7">
        <f t="shared" si="111"/>
        <v>25</v>
      </c>
      <c r="B200" s="7">
        <f t="shared" si="112"/>
        <v>75</v>
      </c>
      <c r="C200" s="115">
        <f t="shared" si="113"/>
        <v>51683</v>
      </c>
      <c r="D200" s="2">
        <f t="shared" si="96"/>
        <v>4.9019607843137254E-3</v>
      </c>
      <c r="E200" s="169">
        <f t="shared" si="114"/>
        <v>186</v>
      </c>
      <c r="F200" s="165">
        <f t="shared" si="115"/>
        <v>2378.3542372465345</v>
      </c>
      <c r="G200" s="170">
        <f t="shared" si="131"/>
        <v>1395.3778533443683</v>
      </c>
      <c r="H200" s="164" t="str">
        <f t="shared" si="134"/>
        <v>🛵</v>
      </c>
      <c r="I200" s="171" t="str">
        <f t="shared" si="97"/>
        <v>🚴‍♂️</v>
      </c>
      <c r="J200" s="172">
        <f t="shared" si="98"/>
        <v>911.46081380454143</v>
      </c>
      <c r="K200" s="173">
        <f t="shared" si="99"/>
        <v>0.23529268222199287</v>
      </c>
      <c r="L200" s="174">
        <f t="shared" si="100"/>
        <v>3873.7320905909028</v>
      </c>
      <c r="M200" s="175">
        <f t="shared" si="116"/>
        <v>283745.62126844662</v>
      </c>
      <c r="N200" s="65"/>
      <c r="O200" s="37" t="str">
        <f t="shared" si="93"/>
        <v/>
      </c>
      <c r="P200" s="62" t="str">
        <f t="shared" si="117"/>
        <v/>
      </c>
      <c r="Q200" s="16" t="str">
        <f t="shared" si="101"/>
        <v/>
      </c>
      <c r="R200" s="60">
        <f t="shared" si="118"/>
        <v>204</v>
      </c>
      <c r="S200" s="98">
        <f t="shared" si="119"/>
        <v>483.91703953982693</v>
      </c>
      <c r="T200" s="21">
        <f t="shared" si="120"/>
        <v>1.6999999999999999E-3</v>
      </c>
      <c r="AA200" s="14">
        <f t="shared" si="102"/>
        <v>-3873.7320905909028</v>
      </c>
      <c r="AH200" s="6">
        <f t="shared" si="103"/>
        <v>2</v>
      </c>
      <c r="AI200" s="6">
        <f t="shared" si="104"/>
        <v>6</v>
      </c>
      <c r="AJ200" s="12">
        <f t="shared" si="105"/>
        <v>16</v>
      </c>
      <c r="AK200" s="72">
        <f t="shared" si="95"/>
        <v>31</v>
      </c>
      <c r="AR200">
        <f t="shared" si="121"/>
        <v>25</v>
      </c>
      <c r="AS200">
        <f t="shared" si="122"/>
        <v>75</v>
      </c>
      <c r="AT200" s="183">
        <f t="shared" si="123"/>
        <v>51683</v>
      </c>
      <c r="AU200" s="2">
        <f t="shared" si="124"/>
        <v>4.9019607843137254E-3</v>
      </c>
      <c r="AV200" s="169">
        <f t="shared" si="125"/>
        <v>186</v>
      </c>
      <c r="AW200" s="165">
        <f t="shared" si="126"/>
        <v>2378.3542372465345</v>
      </c>
      <c r="AX200" s="170">
        <f t="shared" si="132"/>
        <v>1395.3778533443683</v>
      </c>
      <c r="AY200" s="164" t="str">
        <f t="shared" si="135"/>
        <v>🛵</v>
      </c>
      <c r="AZ200" s="171" t="str">
        <f t="shared" si="106"/>
        <v>🚴‍♂️</v>
      </c>
      <c r="BA200" s="172">
        <f t="shared" si="107"/>
        <v>911.46081380454143</v>
      </c>
      <c r="BB200" s="173">
        <f t="shared" si="108"/>
        <v>0.23529268222199287</v>
      </c>
      <c r="BC200" s="174">
        <f t="shared" si="109"/>
        <v>3873.7320905909028</v>
      </c>
      <c r="BD200" s="175">
        <f t="shared" si="127"/>
        <v>283745.62126844662</v>
      </c>
      <c r="BE200" s="187"/>
      <c r="BF200" s="177" t="str">
        <f t="shared" si="94"/>
        <v/>
      </c>
      <c r="BG200" s="178" t="str">
        <f t="shared" si="128"/>
        <v/>
      </c>
      <c r="BH200" s="179" t="str">
        <f t="shared" si="110"/>
        <v/>
      </c>
      <c r="BI200" s="180">
        <f t="shared" si="129"/>
        <v>204</v>
      </c>
      <c r="BJ200" s="181">
        <f t="shared" si="133"/>
        <v>483.91703953982693</v>
      </c>
      <c r="BK200" s="182">
        <f t="shared" si="130"/>
        <v>1.6999999999999999E-3</v>
      </c>
    </row>
    <row r="201" spans="1:63" x14ac:dyDescent="0.25">
      <c r="A201" s="7">
        <f t="shared" si="111"/>
        <v>25</v>
      </c>
      <c r="B201" s="7">
        <f t="shared" si="112"/>
        <v>75</v>
      </c>
      <c r="C201" s="115">
        <f t="shared" si="113"/>
        <v>51714</v>
      </c>
      <c r="D201" s="2">
        <f t="shared" si="96"/>
        <v>4.9261083743842365E-3</v>
      </c>
      <c r="E201" s="169">
        <f t="shared" si="114"/>
        <v>187</v>
      </c>
      <c r="F201" s="165">
        <f t="shared" si="115"/>
        <v>2370.7388402476645</v>
      </c>
      <c r="G201" s="170">
        <f t="shared" si="131"/>
        <v>1397.7616811253529</v>
      </c>
      <c r="H201" s="164" t="str">
        <f t="shared" si="134"/>
        <v>🛵</v>
      </c>
      <c r="I201" s="171" t="str">
        <f t="shared" si="97"/>
        <v>🚴‍♂️</v>
      </c>
      <c r="J201" s="172">
        <f t="shared" si="98"/>
        <v>915.39412496899365</v>
      </c>
      <c r="K201" s="173">
        <f t="shared" si="99"/>
        <v>0.23662763386266775</v>
      </c>
      <c r="L201" s="174">
        <f t="shared" si="100"/>
        <v>3868.5005213730174</v>
      </c>
      <c r="M201" s="175">
        <f t="shared" si="116"/>
        <v>282830.22714347765</v>
      </c>
      <c r="N201" s="65"/>
      <c r="O201" s="37" t="str">
        <f t="shared" si="93"/>
        <v/>
      </c>
      <c r="P201" s="62" t="str">
        <f t="shared" si="117"/>
        <v/>
      </c>
      <c r="Q201" s="16" t="str">
        <f t="shared" si="101"/>
        <v/>
      </c>
      <c r="R201" s="60">
        <f t="shared" si="118"/>
        <v>203</v>
      </c>
      <c r="S201" s="98">
        <f t="shared" si="119"/>
        <v>482.36755615635923</v>
      </c>
      <c r="T201" s="21">
        <f t="shared" si="120"/>
        <v>1.6999999999999999E-3</v>
      </c>
      <c r="AA201" s="14">
        <f t="shared" si="102"/>
        <v>-3868.5005213730174</v>
      </c>
      <c r="AH201" s="6">
        <f t="shared" si="103"/>
        <v>2</v>
      </c>
      <c r="AI201" s="6">
        <f t="shared" si="104"/>
        <v>6</v>
      </c>
      <c r="AJ201" s="12">
        <f t="shared" si="105"/>
        <v>16</v>
      </c>
      <c r="AK201" s="72">
        <f t="shared" si="95"/>
        <v>31</v>
      </c>
      <c r="AR201">
        <f t="shared" si="121"/>
        <v>25</v>
      </c>
      <c r="AS201">
        <f t="shared" si="122"/>
        <v>75</v>
      </c>
      <c r="AT201" s="183">
        <f t="shared" si="123"/>
        <v>51714</v>
      </c>
      <c r="AU201" s="2">
        <f t="shared" si="124"/>
        <v>4.9261083743842365E-3</v>
      </c>
      <c r="AV201" s="169">
        <f t="shared" si="125"/>
        <v>187</v>
      </c>
      <c r="AW201" s="165">
        <f t="shared" si="126"/>
        <v>2370.7388402476645</v>
      </c>
      <c r="AX201" s="170">
        <f t="shared" si="132"/>
        <v>1397.7616811253529</v>
      </c>
      <c r="AY201" s="164" t="str">
        <f t="shared" si="135"/>
        <v>🛵</v>
      </c>
      <c r="AZ201" s="171" t="str">
        <f t="shared" si="106"/>
        <v>🚴‍♂️</v>
      </c>
      <c r="BA201" s="172">
        <f t="shared" si="107"/>
        <v>915.39412496899365</v>
      </c>
      <c r="BB201" s="173">
        <f t="shared" si="108"/>
        <v>0.23662763386266775</v>
      </c>
      <c r="BC201" s="174">
        <f t="shared" si="109"/>
        <v>3868.5005213730174</v>
      </c>
      <c r="BD201" s="175">
        <f t="shared" si="127"/>
        <v>282830.22714347765</v>
      </c>
      <c r="BE201" s="187"/>
      <c r="BF201" s="177" t="str">
        <f t="shared" si="94"/>
        <v/>
      </c>
      <c r="BG201" s="178" t="str">
        <f t="shared" si="128"/>
        <v/>
      </c>
      <c r="BH201" s="179" t="str">
        <f t="shared" si="110"/>
        <v/>
      </c>
      <c r="BI201" s="180">
        <f t="shared" si="129"/>
        <v>203</v>
      </c>
      <c r="BJ201" s="181">
        <f t="shared" si="133"/>
        <v>482.36755615635923</v>
      </c>
      <c r="BK201" s="182">
        <f t="shared" si="130"/>
        <v>1.6999999999999999E-3</v>
      </c>
    </row>
    <row r="202" spans="1:63" x14ac:dyDescent="0.25">
      <c r="A202" s="7">
        <f t="shared" si="111"/>
        <v>25</v>
      </c>
      <c r="B202" s="7">
        <f t="shared" si="112"/>
        <v>75</v>
      </c>
      <c r="C202" s="115">
        <f t="shared" si="113"/>
        <v>51745</v>
      </c>
      <c r="D202" s="2">
        <f t="shared" si="96"/>
        <v>4.9504950495049506E-3</v>
      </c>
      <c r="E202" s="169">
        <f t="shared" si="114"/>
        <v>188</v>
      </c>
      <c r="F202" s="165">
        <f t="shared" si="115"/>
        <v>2363.0905798216641</v>
      </c>
      <c r="G202" s="170">
        <f t="shared" si="131"/>
        <v>1400.1496393241468</v>
      </c>
      <c r="H202" s="164" t="str">
        <f t="shared" si="134"/>
        <v>🛵</v>
      </c>
      <c r="I202" s="171" t="str">
        <f t="shared" si="97"/>
        <v>🚴‍♂️</v>
      </c>
      <c r="J202" s="172">
        <f t="shared" si="98"/>
        <v>919.33825318023491</v>
      </c>
      <c r="K202" s="173">
        <f t="shared" si="99"/>
        <v>0.2379707709150706</v>
      </c>
      <c r="L202" s="174">
        <f t="shared" si="100"/>
        <v>3863.2402191458109</v>
      </c>
      <c r="M202" s="175">
        <f t="shared" si="116"/>
        <v>281910.88889029738</v>
      </c>
      <c r="N202" s="65"/>
      <c r="O202" s="37" t="str">
        <f t="shared" si="93"/>
        <v/>
      </c>
      <c r="P202" s="62" t="str">
        <f t="shared" si="117"/>
        <v/>
      </c>
      <c r="Q202" s="16" t="str">
        <f t="shared" si="101"/>
        <v/>
      </c>
      <c r="R202" s="60">
        <f t="shared" si="118"/>
        <v>202</v>
      </c>
      <c r="S202" s="98">
        <f t="shared" si="119"/>
        <v>480.81138614391199</v>
      </c>
      <c r="T202" s="21">
        <f t="shared" si="120"/>
        <v>1.6999999999999999E-3</v>
      </c>
      <c r="U202" s="8"/>
      <c r="V202" s="8"/>
      <c r="W202" s="8"/>
      <c r="X202" s="8"/>
      <c r="Y202" s="8"/>
      <c r="AA202" s="14">
        <f t="shared" si="102"/>
        <v>-3863.2402191458109</v>
      </c>
      <c r="AH202" s="6">
        <f t="shared" si="103"/>
        <v>2</v>
      </c>
      <c r="AI202" s="6">
        <f t="shared" si="104"/>
        <v>6</v>
      </c>
      <c r="AJ202" s="12">
        <f t="shared" si="105"/>
        <v>16</v>
      </c>
      <c r="AK202" s="72">
        <f t="shared" si="95"/>
        <v>30</v>
      </c>
      <c r="AR202">
        <f t="shared" si="121"/>
        <v>25</v>
      </c>
      <c r="AS202">
        <f t="shared" si="122"/>
        <v>75</v>
      </c>
      <c r="AT202" s="183">
        <f t="shared" si="123"/>
        <v>51745</v>
      </c>
      <c r="AU202" s="2">
        <f t="shared" si="124"/>
        <v>4.9504950495049506E-3</v>
      </c>
      <c r="AV202" s="169">
        <f t="shared" si="125"/>
        <v>188</v>
      </c>
      <c r="AW202" s="165">
        <f t="shared" si="126"/>
        <v>2363.0905798216641</v>
      </c>
      <c r="AX202" s="170">
        <f t="shared" si="132"/>
        <v>1400.1496393241468</v>
      </c>
      <c r="AY202" s="164" t="str">
        <f t="shared" si="135"/>
        <v>🛵</v>
      </c>
      <c r="AZ202" s="171" t="str">
        <f t="shared" si="106"/>
        <v>🚴‍♂️</v>
      </c>
      <c r="BA202" s="172">
        <f t="shared" si="107"/>
        <v>919.33825318023491</v>
      </c>
      <c r="BB202" s="173">
        <f t="shared" si="108"/>
        <v>0.2379707709150706</v>
      </c>
      <c r="BC202" s="174">
        <f t="shared" si="109"/>
        <v>3863.2402191458109</v>
      </c>
      <c r="BD202" s="175">
        <f t="shared" si="127"/>
        <v>281910.88889029738</v>
      </c>
      <c r="BE202" s="187"/>
      <c r="BF202" s="177" t="str">
        <f t="shared" si="94"/>
        <v/>
      </c>
      <c r="BG202" s="178" t="str">
        <f t="shared" si="128"/>
        <v/>
      </c>
      <c r="BH202" s="179" t="str">
        <f t="shared" si="110"/>
        <v/>
      </c>
      <c r="BI202" s="180">
        <f t="shared" si="129"/>
        <v>202</v>
      </c>
      <c r="BJ202" s="181">
        <f t="shared" si="133"/>
        <v>480.81138614391199</v>
      </c>
      <c r="BK202" s="182">
        <f t="shared" si="130"/>
        <v>1.6999999999999999E-3</v>
      </c>
    </row>
    <row r="203" spans="1:63" x14ac:dyDescent="0.25">
      <c r="A203" s="7">
        <f t="shared" si="111"/>
        <v>25</v>
      </c>
      <c r="B203" s="7">
        <f t="shared" si="112"/>
        <v>75</v>
      </c>
      <c r="C203" s="115">
        <f t="shared" si="113"/>
        <v>51775</v>
      </c>
      <c r="D203" s="2">
        <f t="shared" si="96"/>
        <v>4.9751243781094526E-3</v>
      </c>
      <c r="E203" s="169">
        <f t="shared" si="114"/>
        <v>189</v>
      </c>
      <c r="F203" s="165">
        <f t="shared" si="115"/>
        <v>2355.4093655904217</v>
      </c>
      <c r="G203" s="170">
        <f t="shared" si="131"/>
        <v>1402.5417357726237</v>
      </c>
      <c r="H203" s="164" t="str">
        <f t="shared" si="134"/>
        <v>🛵</v>
      </c>
      <c r="I203" s="171" t="str">
        <f t="shared" si="97"/>
        <v>🚴‍♂️</v>
      </c>
      <c r="J203" s="172">
        <f t="shared" si="98"/>
        <v>923.29322465911821</v>
      </c>
      <c r="K203" s="173">
        <f t="shared" si="99"/>
        <v>0.23932216878874157</v>
      </c>
      <c r="L203" s="174">
        <f t="shared" si="100"/>
        <v>3857.9511013630454</v>
      </c>
      <c r="M203" s="175">
        <f t="shared" si="116"/>
        <v>280987.59566563828</v>
      </c>
      <c r="N203" s="65"/>
      <c r="O203" s="37" t="str">
        <f t="shared" ref="O203:O266" si="136">IF(AND(N203&lt;&gt;"",N203&lt;R203),"V","")</f>
        <v/>
      </c>
      <c r="P203" s="62" t="str">
        <f t="shared" si="117"/>
        <v/>
      </c>
      <c r="Q203" s="16" t="str">
        <f t="shared" si="101"/>
        <v/>
      </c>
      <c r="R203" s="60">
        <f t="shared" si="118"/>
        <v>201</v>
      </c>
      <c r="S203" s="98">
        <f t="shared" si="119"/>
        <v>479.24851111350551</v>
      </c>
      <c r="T203" s="21">
        <f t="shared" si="120"/>
        <v>1.6999999999999999E-3</v>
      </c>
      <c r="AA203" s="14">
        <f t="shared" si="102"/>
        <v>-3857.9511013630454</v>
      </c>
      <c r="AH203" s="6">
        <f t="shared" si="103"/>
        <v>2</v>
      </c>
      <c r="AI203" s="6">
        <f t="shared" si="104"/>
        <v>6</v>
      </c>
      <c r="AJ203" s="12">
        <f t="shared" si="105"/>
        <v>16</v>
      </c>
      <c r="AK203" s="72">
        <f t="shared" si="95"/>
        <v>31</v>
      </c>
      <c r="AR203">
        <f t="shared" si="121"/>
        <v>25</v>
      </c>
      <c r="AS203">
        <f t="shared" si="122"/>
        <v>75</v>
      </c>
      <c r="AT203" s="183">
        <f t="shared" si="123"/>
        <v>51775</v>
      </c>
      <c r="AU203" s="2">
        <f t="shared" si="124"/>
        <v>4.9751243781094526E-3</v>
      </c>
      <c r="AV203" s="169">
        <f t="shared" si="125"/>
        <v>189</v>
      </c>
      <c r="AW203" s="165">
        <f t="shared" si="126"/>
        <v>2355.4093655904217</v>
      </c>
      <c r="AX203" s="170">
        <f t="shared" si="132"/>
        <v>1402.5417357726237</v>
      </c>
      <c r="AY203" s="164" t="str">
        <f t="shared" si="135"/>
        <v>🛵</v>
      </c>
      <c r="AZ203" s="171" t="str">
        <f t="shared" si="106"/>
        <v>🚴‍♂️</v>
      </c>
      <c r="BA203" s="172">
        <f t="shared" si="107"/>
        <v>923.29322465911821</v>
      </c>
      <c r="BB203" s="173">
        <f t="shared" si="108"/>
        <v>0.23932216878874157</v>
      </c>
      <c r="BC203" s="174">
        <f t="shared" si="109"/>
        <v>3857.9511013630454</v>
      </c>
      <c r="BD203" s="175">
        <f t="shared" si="127"/>
        <v>280987.59566563828</v>
      </c>
      <c r="BE203" s="187"/>
      <c r="BF203" s="177" t="str">
        <f t="shared" ref="BF203:BF266" si="137">IF(AND(BE203&lt;&gt;"",BE203&lt;BI203),"V","")</f>
        <v/>
      </c>
      <c r="BG203" s="178" t="str">
        <f t="shared" si="128"/>
        <v/>
      </c>
      <c r="BH203" s="179" t="str">
        <f t="shared" si="110"/>
        <v/>
      </c>
      <c r="BI203" s="180">
        <f t="shared" si="129"/>
        <v>201</v>
      </c>
      <c r="BJ203" s="181">
        <f t="shared" si="133"/>
        <v>479.24851111350551</v>
      </c>
      <c r="BK203" s="182">
        <f t="shared" si="130"/>
        <v>1.6999999999999999E-3</v>
      </c>
    </row>
    <row r="204" spans="1:63" x14ac:dyDescent="0.25">
      <c r="A204" s="7">
        <f t="shared" si="111"/>
        <v>25</v>
      </c>
      <c r="B204" s="7">
        <f t="shared" si="112"/>
        <v>75</v>
      </c>
      <c r="C204" s="115">
        <f t="shared" si="113"/>
        <v>51806</v>
      </c>
      <c r="D204" s="2">
        <f t="shared" si="96"/>
        <v>5.0000000000000001E-3</v>
      </c>
      <c r="E204" s="169">
        <f t="shared" si="114"/>
        <v>190</v>
      </c>
      <c r="F204" s="165">
        <f t="shared" si="115"/>
        <v>2347.695106956749</v>
      </c>
      <c r="G204" s="170">
        <f t="shared" si="131"/>
        <v>1404.9379783281913</v>
      </c>
      <c r="H204" s="164" t="str">
        <f t="shared" si="134"/>
        <v>🛵</v>
      </c>
      <c r="I204" s="171" t="str">
        <f t="shared" si="97"/>
        <v>🚴‍♂️</v>
      </c>
      <c r="J204" s="172">
        <f t="shared" si="98"/>
        <v>927.25906569660629</v>
      </c>
      <c r="K204" s="173">
        <f t="shared" si="99"/>
        <v>0.24068190382267515</v>
      </c>
      <c r="L204" s="174">
        <f t="shared" si="100"/>
        <v>3852.6330852849405</v>
      </c>
      <c r="M204" s="175">
        <f t="shared" si="116"/>
        <v>280060.33659994166</v>
      </c>
      <c r="N204" s="65"/>
      <c r="O204" s="37" t="str">
        <f t="shared" si="136"/>
        <v/>
      </c>
      <c r="P204" s="62" t="str">
        <f t="shared" si="117"/>
        <v/>
      </c>
      <c r="Q204" s="16" t="str">
        <f t="shared" si="101"/>
        <v/>
      </c>
      <c r="R204" s="60">
        <f t="shared" si="118"/>
        <v>200</v>
      </c>
      <c r="S204" s="98">
        <f t="shared" si="119"/>
        <v>477.67891263158504</v>
      </c>
      <c r="T204" s="21">
        <f t="shared" si="120"/>
        <v>1.6999999999999999E-3</v>
      </c>
      <c r="AA204" s="14">
        <f t="shared" si="102"/>
        <v>-3852.6330852849405</v>
      </c>
      <c r="AH204" s="6">
        <f t="shared" si="103"/>
        <v>2</v>
      </c>
      <c r="AI204" s="6">
        <f t="shared" si="104"/>
        <v>6</v>
      </c>
      <c r="AJ204" s="12">
        <f t="shared" si="105"/>
        <v>16</v>
      </c>
      <c r="AK204" s="72">
        <f t="shared" si="95"/>
        <v>30</v>
      </c>
      <c r="AR204">
        <f t="shared" si="121"/>
        <v>25</v>
      </c>
      <c r="AS204">
        <f t="shared" si="122"/>
        <v>75</v>
      </c>
      <c r="AT204" s="183">
        <f t="shared" si="123"/>
        <v>51806</v>
      </c>
      <c r="AU204" s="2">
        <f t="shared" si="124"/>
        <v>5.0000000000000001E-3</v>
      </c>
      <c r="AV204" s="169">
        <f t="shared" si="125"/>
        <v>190</v>
      </c>
      <c r="AW204" s="165">
        <f t="shared" si="126"/>
        <v>2347.695106956749</v>
      </c>
      <c r="AX204" s="170">
        <f t="shared" si="132"/>
        <v>1404.9379783281913</v>
      </c>
      <c r="AY204" s="164" t="str">
        <f t="shared" si="135"/>
        <v>🛵</v>
      </c>
      <c r="AZ204" s="171" t="str">
        <f t="shared" si="106"/>
        <v>🚴‍♂️</v>
      </c>
      <c r="BA204" s="172">
        <f t="shared" si="107"/>
        <v>927.25906569660629</v>
      </c>
      <c r="BB204" s="173">
        <f t="shared" si="108"/>
        <v>0.24068190382267515</v>
      </c>
      <c r="BC204" s="174">
        <f t="shared" si="109"/>
        <v>3852.6330852849405</v>
      </c>
      <c r="BD204" s="175">
        <f t="shared" si="127"/>
        <v>280060.33659994166</v>
      </c>
      <c r="BE204" s="187"/>
      <c r="BF204" s="177" t="str">
        <f t="shared" si="137"/>
        <v/>
      </c>
      <c r="BG204" s="178" t="str">
        <f t="shared" si="128"/>
        <v/>
      </c>
      <c r="BH204" s="179" t="str">
        <f t="shared" si="110"/>
        <v/>
      </c>
      <c r="BI204" s="180">
        <f t="shared" si="129"/>
        <v>200</v>
      </c>
      <c r="BJ204" s="181">
        <f t="shared" si="133"/>
        <v>477.67891263158504</v>
      </c>
      <c r="BK204" s="182">
        <f t="shared" si="130"/>
        <v>1.6999999999999999E-3</v>
      </c>
    </row>
    <row r="205" spans="1:63" x14ac:dyDescent="0.25">
      <c r="A205" s="7">
        <f t="shared" si="111"/>
        <v>25</v>
      </c>
      <c r="B205" s="7">
        <f t="shared" si="112"/>
        <v>75</v>
      </c>
      <c r="C205" s="115">
        <f t="shared" si="113"/>
        <v>51836</v>
      </c>
      <c r="D205" s="2">
        <f t="shared" si="96"/>
        <v>5.0251256281407036E-3</v>
      </c>
      <c r="E205" s="169">
        <f t="shared" si="114"/>
        <v>191</v>
      </c>
      <c r="F205" s="165">
        <f t="shared" si="115"/>
        <v>2339.9477131037916</v>
      </c>
      <c r="G205" s="170">
        <f t="shared" si="131"/>
        <v>1407.3383748740787</v>
      </c>
      <c r="H205" s="164" t="str">
        <f t="shared" si="134"/>
        <v>🛵</v>
      </c>
      <c r="I205" s="171" t="str">
        <f t="shared" si="97"/>
        <v>🚴‍♂️</v>
      </c>
      <c r="J205" s="172">
        <f t="shared" si="98"/>
        <v>931.23580265417786</v>
      </c>
      <c r="K205" s="173">
        <f t="shared" si="99"/>
        <v>0.24205005329968443</v>
      </c>
      <c r="L205" s="174">
        <f t="shared" si="100"/>
        <v>3847.28608797787</v>
      </c>
      <c r="M205" s="175">
        <f t="shared" si="116"/>
        <v>279129.10079728748</v>
      </c>
      <c r="N205" s="65"/>
      <c r="O205" s="37" t="str">
        <f t="shared" si="136"/>
        <v/>
      </c>
      <c r="P205" s="62" t="str">
        <f t="shared" si="117"/>
        <v/>
      </c>
      <c r="Q205" s="16" t="str">
        <f t="shared" si="101"/>
        <v/>
      </c>
      <c r="R205" s="60">
        <f t="shared" si="118"/>
        <v>199</v>
      </c>
      <c r="S205" s="98">
        <f t="shared" si="119"/>
        <v>476.10257221990076</v>
      </c>
      <c r="T205" s="21">
        <f t="shared" si="120"/>
        <v>1.6999999999999999E-3</v>
      </c>
      <c r="AA205" s="14">
        <f t="shared" si="102"/>
        <v>-3847.28608797787</v>
      </c>
      <c r="AH205" s="6">
        <f t="shared" si="103"/>
        <v>2</v>
      </c>
      <c r="AI205" s="6">
        <f t="shared" si="104"/>
        <v>6</v>
      </c>
      <c r="AJ205" s="12">
        <f t="shared" si="105"/>
        <v>16</v>
      </c>
      <c r="AK205" s="72">
        <f t="shared" si="95"/>
        <v>31</v>
      </c>
      <c r="AR205">
        <f t="shared" si="121"/>
        <v>25</v>
      </c>
      <c r="AS205">
        <f t="shared" si="122"/>
        <v>75</v>
      </c>
      <c r="AT205" s="183">
        <f t="shared" si="123"/>
        <v>51836</v>
      </c>
      <c r="AU205" s="2">
        <f t="shared" si="124"/>
        <v>5.0251256281407036E-3</v>
      </c>
      <c r="AV205" s="169">
        <f t="shared" si="125"/>
        <v>191</v>
      </c>
      <c r="AW205" s="165">
        <f t="shared" si="126"/>
        <v>2339.9477131037916</v>
      </c>
      <c r="AX205" s="170">
        <f t="shared" si="132"/>
        <v>1407.3383748740787</v>
      </c>
      <c r="AY205" s="164" t="str">
        <f t="shared" si="135"/>
        <v>🛵</v>
      </c>
      <c r="AZ205" s="171" t="str">
        <f t="shared" si="106"/>
        <v>🚴‍♂️</v>
      </c>
      <c r="BA205" s="172">
        <f t="shared" si="107"/>
        <v>931.23580265417786</v>
      </c>
      <c r="BB205" s="173">
        <f t="shared" si="108"/>
        <v>0.24205005329968443</v>
      </c>
      <c r="BC205" s="174">
        <f t="shared" si="109"/>
        <v>3847.28608797787</v>
      </c>
      <c r="BD205" s="175">
        <f t="shared" si="127"/>
        <v>279129.10079728748</v>
      </c>
      <c r="BE205" s="187"/>
      <c r="BF205" s="177" t="str">
        <f t="shared" si="137"/>
        <v/>
      </c>
      <c r="BG205" s="178" t="str">
        <f t="shared" si="128"/>
        <v/>
      </c>
      <c r="BH205" s="179" t="str">
        <f t="shared" si="110"/>
        <v/>
      </c>
      <c r="BI205" s="180">
        <f t="shared" si="129"/>
        <v>199</v>
      </c>
      <c r="BJ205" s="181">
        <f t="shared" si="133"/>
        <v>476.10257221990076</v>
      </c>
      <c r="BK205" s="182">
        <f t="shared" si="130"/>
        <v>1.6999999999999999E-3</v>
      </c>
    </row>
    <row r="206" spans="1:63" x14ac:dyDescent="0.25">
      <c r="A206" s="7">
        <f t="shared" si="111"/>
        <v>25</v>
      </c>
      <c r="B206" s="7">
        <f t="shared" si="112"/>
        <v>75</v>
      </c>
      <c r="C206" s="115">
        <f t="shared" si="113"/>
        <v>51867</v>
      </c>
      <c r="D206" s="2">
        <f t="shared" si="96"/>
        <v>5.0505050505050501E-3</v>
      </c>
      <c r="E206" s="169">
        <f t="shared" si="114"/>
        <v>192</v>
      </c>
      <c r="F206" s="165">
        <f t="shared" si="115"/>
        <v>2332.1670929944412</v>
      </c>
      <c r="G206" s="170">
        <f t="shared" si="131"/>
        <v>1409.7429333196337</v>
      </c>
      <c r="H206" s="164" t="str">
        <f t="shared" si="134"/>
        <v>🛵</v>
      </c>
      <c r="I206" s="171" t="str">
        <f t="shared" si="97"/>
        <v>🚴‍♂️</v>
      </c>
      <c r="J206" s="172">
        <f t="shared" si="98"/>
        <v>935.22346196424496</v>
      </c>
      <c r="K206" s="173">
        <f t="shared" si="99"/>
        <v>0.24342669546103285</v>
      </c>
      <c r="L206" s="174">
        <f t="shared" si="100"/>
        <v>3841.9100263140749</v>
      </c>
      <c r="M206" s="175">
        <f t="shared" si="116"/>
        <v>278193.8773353232</v>
      </c>
      <c r="N206" s="65"/>
      <c r="O206" s="37" t="str">
        <f t="shared" si="136"/>
        <v/>
      </c>
      <c r="P206" s="62" t="str">
        <f t="shared" si="117"/>
        <v/>
      </c>
      <c r="Q206" s="16" t="str">
        <f t="shared" si="101"/>
        <v/>
      </c>
      <c r="R206" s="60">
        <f t="shared" si="118"/>
        <v>198</v>
      </c>
      <c r="S206" s="98">
        <f t="shared" si="119"/>
        <v>474.5194713553887</v>
      </c>
      <c r="T206" s="21">
        <f t="shared" si="120"/>
        <v>1.6999999999999999E-3</v>
      </c>
      <c r="AA206" s="14">
        <f t="shared" si="102"/>
        <v>-3841.9100263140749</v>
      </c>
      <c r="AH206" s="6">
        <f t="shared" si="103"/>
        <v>2</v>
      </c>
      <c r="AI206" s="6">
        <f t="shared" si="104"/>
        <v>6</v>
      </c>
      <c r="AJ206" s="12">
        <f t="shared" si="105"/>
        <v>16</v>
      </c>
      <c r="AK206" s="72">
        <f t="shared" ref="AK206:AK269" si="138">DAY(DATE(YEAR(C206),MONTH(C206)+1,1)-1)</f>
        <v>31</v>
      </c>
      <c r="AR206">
        <f t="shared" si="121"/>
        <v>25</v>
      </c>
      <c r="AS206">
        <f t="shared" si="122"/>
        <v>75</v>
      </c>
      <c r="AT206" s="183">
        <f t="shared" si="123"/>
        <v>51867</v>
      </c>
      <c r="AU206" s="2">
        <f t="shared" si="124"/>
        <v>5.0505050505050501E-3</v>
      </c>
      <c r="AV206" s="169">
        <f t="shared" si="125"/>
        <v>192</v>
      </c>
      <c r="AW206" s="165">
        <f t="shared" si="126"/>
        <v>2332.1670929944412</v>
      </c>
      <c r="AX206" s="170">
        <f t="shared" si="132"/>
        <v>1409.7429333196337</v>
      </c>
      <c r="AY206" s="164" t="str">
        <f t="shared" si="135"/>
        <v>🛵</v>
      </c>
      <c r="AZ206" s="171" t="str">
        <f t="shared" si="106"/>
        <v>🚴‍♂️</v>
      </c>
      <c r="BA206" s="172">
        <f t="shared" si="107"/>
        <v>935.22346196424496</v>
      </c>
      <c r="BB206" s="173">
        <f t="shared" si="108"/>
        <v>0.24342669546103285</v>
      </c>
      <c r="BC206" s="174">
        <f t="shared" si="109"/>
        <v>3841.9100263140749</v>
      </c>
      <c r="BD206" s="175">
        <f t="shared" si="127"/>
        <v>278193.8773353232</v>
      </c>
      <c r="BE206" s="187"/>
      <c r="BF206" s="177" t="str">
        <f t="shared" si="137"/>
        <v/>
      </c>
      <c r="BG206" s="178" t="str">
        <f t="shared" si="128"/>
        <v/>
      </c>
      <c r="BH206" s="179" t="str">
        <f t="shared" si="110"/>
        <v/>
      </c>
      <c r="BI206" s="180">
        <f t="shared" si="129"/>
        <v>198</v>
      </c>
      <c r="BJ206" s="181">
        <f t="shared" si="133"/>
        <v>474.5194713553887</v>
      </c>
      <c r="BK206" s="182">
        <f t="shared" si="130"/>
        <v>1.6999999999999999E-3</v>
      </c>
    </row>
    <row r="207" spans="1:63" x14ac:dyDescent="0.25">
      <c r="A207" s="7">
        <f t="shared" si="111"/>
        <v>25</v>
      </c>
      <c r="B207" s="7">
        <f t="shared" si="112"/>
        <v>75</v>
      </c>
      <c r="C207" s="115">
        <f t="shared" si="113"/>
        <v>51898</v>
      </c>
      <c r="D207" s="2">
        <f t="shared" ref="D207:D270" si="139">IFERROR(G207/M206,0)</f>
        <v>5.0761421319796959E-3</v>
      </c>
      <c r="E207" s="169">
        <f t="shared" si="114"/>
        <v>193</v>
      </c>
      <c r="F207" s="165">
        <f t="shared" si="115"/>
        <v>2324.3531553707412</v>
      </c>
      <c r="G207" s="170">
        <f t="shared" si="131"/>
        <v>1412.1516616006254</v>
      </c>
      <c r="H207" s="164" t="str">
        <f t="shared" si="134"/>
        <v>🛵</v>
      </c>
      <c r="I207" s="171" t="str">
        <f t="shared" ref="I207:I270" si="140">IFERROR(IF((G207+N207-S207)/L207&lt;0,"🔙",IF((G207+N207-S207)/L207&lt;10%,"🥾",IF((G207+N207-S207)/L207&lt;20%,"🛴",IF((G207+N207-S207)/L207&lt;50%,"🚴‍♂️",IF((G207+N207-S207)/L207&lt;75%,"🚖","🚁"))))),"")</f>
        <v>🚴‍♂️</v>
      </c>
      <c r="J207" s="172">
        <f t="shared" ref="J207:J270" si="141">G207+N207-S207</f>
        <v>939.22207013057596</v>
      </c>
      <c r="K207" s="173">
        <f t="shared" ref="K207:K270" si="142">IFERROR(J207/(L207+N207),0)</f>
        <v>0.24481190952133916</v>
      </c>
      <c r="L207" s="174">
        <f t="shared" ref="L207:L270" si="143">G207+F207+A207+B207</f>
        <v>3836.5048169713664</v>
      </c>
      <c r="M207" s="175">
        <f t="shared" si="116"/>
        <v>277254.65526519262</v>
      </c>
      <c r="N207" s="65"/>
      <c r="O207" s="37" t="str">
        <f t="shared" si="136"/>
        <v/>
      </c>
      <c r="P207" s="62" t="str">
        <f t="shared" si="117"/>
        <v/>
      </c>
      <c r="Q207" s="16" t="str">
        <f t="shared" ref="Q207:Q270" si="144">IF(N207=0,"",IF(N207&gt;M207,"🚫",IF(INT(N207/G207&lt;1),"👍",INT(N207/G207)&amp;"x")))</f>
        <v/>
      </c>
      <c r="R207" s="60">
        <f t="shared" si="118"/>
        <v>197</v>
      </c>
      <c r="S207" s="98">
        <f t="shared" si="119"/>
        <v>472.92959147004939</v>
      </c>
      <c r="T207" s="21">
        <f t="shared" si="120"/>
        <v>1.6999999999999999E-3</v>
      </c>
      <c r="AA207" s="14">
        <f t="shared" ref="AA207:AA270" si="145">-(L207+N207)</f>
        <v>-3836.5048169713664</v>
      </c>
      <c r="AH207" s="6">
        <f t="shared" ref="AH207:AH270" si="146">ROUNDUP(E207/120,0)</f>
        <v>2</v>
      </c>
      <c r="AI207" s="6">
        <f t="shared" ref="AI207:AI270" si="147">ROUNDUP(E207/36,0)</f>
        <v>6</v>
      </c>
      <c r="AJ207" s="12">
        <f t="shared" ref="AJ207:AJ270" si="148">ROUNDUP(E207/12,0)</f>
        <v>17</v>
      </c>
      <c r="AK207" s="72">
        <f t="shared" si="138"/>
        <v>28</v>
      </c>
      <c r="AR207">
        <f t="shared" si="121"/>
        <v>25</v>
      </c>
      <c r="AS207">
        <f t="shared" si="122"/>
        <v>75</v>
      </c>
      <c r="AT207" s="183">
        <f t="shared" si="123"/>
        <v>51898</v>
      </c>
      <c r="AU207" s="2">
        <f t="shared" si="124"/>
        <v>5.0761421319796959E-3</v>
      </c>
      <c r="AV207" s="169">
        <f t="shared" si="125"/>
        <v>193</v>
      </c>
      <c r="AW207" s="165">
        <f t="shared" si="126"/>
        <v>2324.3531553707412</v>
      </c>
      <c r="AX207" s="170">
        <f t="shared" si="132"/>
        <v>1412.1516616006254</v>
      </c>
      <c r="AY207" s="164" t="str">
        <f t="shared" si="135"/>
        <v>🛵</v>
      </c>
      <c r="AZ207" s="171" t="str">
        <f t="shared" ref="AZ207:AZ270" si="149">IFERROR(IF((AX207+BE207-BJ207)/BC207&lt;0,"🔙",IF((AX207+BE207-BJ207)/BC207&lt;10%,"🥾",IF((AX207+BE207-BJ207)/BC207&lt;20%,"🛴",IF((AX207+BE207-BJ207)/BC207&lt;50%,"🚴‍♂️",IF((AX207+BE207-BJ207)/BC207&lt;75%,"🚖","🚁"))))),"")</f>
        <v>🚴‍♂️</v>
      </c>
      <c r="BA207" s="172">
        <f t="shared" ref="BA207:BA270" si="150">AX207+BE207-BJ207</f>
        <v>939.22207013057596</v>
      </c>
      <c r="BB207" s="173">
        <f t="shared" ref="BB207:BB270" si="151">IFERROR(BA207/(BC207+BE207),0)</f>
        <v>0.24481190952133916</v>
      </c>
      <c r="BC207" s="174">
        <f t="shared" ref="BC207:BC270" si="152">AX207+AW207+AR207+AS207</f>
        <v>3836.5048169713664</v>
      </c>
      <c r="BD207" s="175">
        <f t="shared" si="127"/>
        <v>277254.65526519262</v>
      </c>
      <c r="BE207" s="187"/>
      <c r="BF207" s="177" t="str">
        <f t="shared" si="137"/>
        <v/>
      </c>
      <c r="BG207" s="178" t="str">
        <f t="shared" si="128"/>
        <v/>
      </c>
      <c r="BH207" s="179" t="str">
        <f t="shared" ref="BH207:BH270" si="153">IF(BE207=0,"",IF(BE207&gt;BD207,"🚫",IF(INT(BE207/AX207&lt;1),"👍",INT(BE207/AX207)&amp;"x")))</f>
        <v/>
      </c>
      <c r="BI207" s="180">
        <f t="shared" si="129"/>
        <v>197</v>
      </c>
      <c r="BJ207" s="181">
        <f t="shared" si="133"/>
        <v>472.92959147004939</v>
      </c>
      <c r="BK207" s="182">
        <f t="shared" si="130"/>
        <v>1.6999999999999999E-3</v>
      </c>
    </row>
    <row r="208" spans="1:63" x14ac:dyDescent="0.25">
      <c r="A208" s="7">
        <f t="shared" ref="A208:A271" si="154">IF(INT(F208)&gt;0,A207,0)</f>
        <v>25</v>
      </c>
      <c r="B208" s="7">
        <f t="shared" ref="B208:B271" si="155">IF(F208&gt;0.1,B207,0)</f>
        <v>75</v>
      </c>
      <c r="C208" s="115">
        <f t="shared" ref="C208:C271" si="156">DATE(YEAR(C207),MONTH(C207)+1,1)</f>
        <v>51926</v>
      </c>
      <c r="D208" s="2">
        <f t="shared" si="139"/>
        <v>5.1020408163265302E-3</v>
      </c>
      <c r="E208" s="169">
        <f t="shared" ref="E208:E271" si="157">E207+1</f>
        <v>194</v>
      </c>
      <c r="F208" s="165">
        <f t="shared" ref="F208:F271" si="158">IF(OR(M207&lt;1,N207&gt;M207),0,(M207-N207)*IF(D$11&lt;&gt;"BB",$E$7,(1+$D$7)^(AK207/365)-1))</f>
        <v>2316.5058087532939</v>
      </c>
      <c r="G208" s="170">
        <f t="shared" si="131"/>
        <v>1414.5645676795541</v>
      </c>
      <c r="H208" s="164" t="str">
        <f t="shared" si="134"/>
        <v>🛵</v>
      </c>
      <c r="I208" s="171" t="str">
        <f t="shared" si="140"/>
        <v>🚴‍♂️</v>
      </c>
      <c r="J208" s="172">
        <f t="shared" si="141"/>
        <v>943.23165372872666</v>
      </c>
      <c r="K208" s="173">
        <f t="shared" si="142"/>
        <v>0.24620577568376073</v>
      </c>
      <c r="L208" s="174">
        <f t="shared" si="143"/>
        <v>3831.0703764328482</v>
      </c>
      <c r="M208" s="175">
        <f t="shared" ref="M208:M271" si="159">IF(R208=0,0,MAX(0,M207-G208+S208-N207))</f>
        <v>276311.42361146392</v>
      </c>
      <c r="N208" s="65"/>
      <c r="O208" s="37" t="str">
        <f t="shared" si="136"/>
        <v/>
      </c>
      <c r="P208" s="62" t="str">
        <f t="shared" ref="P208:P271" si="160">IF(N207=0,"",(L207-L208)/N207)</f>
        <v/>
      </c>
      <c r="Q208" s="16" t="str">
        <f t="shared" si="144"/>
        <v/>
      </c>
      <c r="R208" s="60">
        <f t="shared" ref="R208:R271" si="161">IF(M207=0,0,IF(OR(N207=0,O207="V"),R207-1,IF(OR(D$11="BRADESCO",D$11="BB"),R207-ROUNDDOWN(N207/(M207/R207),0)-1,ROUNDUP((M207-N207+S207-(M207/R207))/(L207-F208-A208-B208),0)+1)))</f>
        <v>196</v>
      </c>
      <c r="S208" s="98">
        <f t="shared" ref="S208:S271" si="162">M207*$T208</f>
        <v>471.33291395082745</v>
      </c>
      <c r="T208" s="21">
        <f t="shared" ref="T208:T271" si="163">IF(M207&gt;0,T207,0)</f>
        <v>1.6999999999999999E-3</v>
      </c>
      <c r="AA208" s="14">
        <f t="shared" si="145"/>
        <v>-3831.0703764328482</v>
      </c>
      <c r="AH208" s="6">
        <f t="shared" si="146"/>
        <v>2</v>
      </c>
      <c r="AI208" s="6">
        <f t="shared" si="147"/>
        <v>6</v>
      </c>
      <c r="AJ208" s="12">
        <f t="shared" si="148"/>
        <v>17</v>
      </c>
      <c r="AK208" s="72">
        <f t="shared" si="138"/>
        <v>31</v>
      </c>
      <c r="AR208">
        <f t="shared" ref="AR208:AR271" si="164">IF(INT(AW208)&gt;0,AR207,0)</f>
        <v>25</v>
      </c>
      <c r="AS208">
        <f t="shared" ref="AS208:AS271" si="165">IF(AW208&gt;0.1,AS207,0)</f>
        <v>75</v>
      </c>
      <c r="AT208" s="183">
        <f t="shared" ref="AT208:AT271" si="166">DATE(YEAR(AT207),MONTH(AT207)+1,1)</f>
        <v>51926</v>
      </c>
      <c r="AU208" s="2">
        <f t="shared" ref="AU208:AU271" si="167">IFERROR(AX208/BD207,0)</f>
        <v>5.1020408163265302E-3</v>
      </c>
      <c r="AV208" s="169">
        <f t="shared" ref="AV208:AV271" si="168">AV207+1</f>
        <v>194</v>
      </c>
      <c r="AW208" s="165">
        <f t="shared" ref="AW208:AW271" si="169">IF(OR(BD207&lt;1,BE207&gt;BD207),0,(BD207-BE207)*IF(AU$11&lt;&gt;"BB",$E$7,(1+$D$7)^(BY207/365)-1))</f>
        <v>2316.5058087532939</v>
      </c>
      <c r="AX208" s="170">
        <f t="shared" si="132"/>
        <v>1414.5645676795541</v>
      </c>
      <c r="AY208" s="164" t="str">
        <f t="shared" si="135"/>
        <v>🛵</v>
      </c>
      <c r="AZ208" s="171" t="str">
        <f t="shared" si="149"/>
        <v>🚴‍♂️</v>
      </c>
      <c r="BA208" s="172">
        <f t="shared" si="150"/>
        <v>943.23165372872666</v>
      </c>
      <c r="BB208" s="173">
        <f t="shared" si="151"/>
        <v>0.24620577568376073</v>
      </c>
      <c r="BC208" s="174">
        <f t="shared" si="152"/>
        <v>3831.0703764328482</v>
      </c>
      <c r="BD208" s="175">
        <f t="shared" ref="BD208:BD271" si="170">IF(BI208=0,0,MAX(0,BD207-AX208+BJ208-BE207))</f>
        <v>276311.42361146392</v>
      </c>
      <c r="BE208" s="187"/>
      <c r="BF208" s="177" t="str">
        <f t="shared" si="137"/>
        <v/>
      </c>
      <c r="BG208" s="178" t="str">
        <f t="shared" ref="BG208:BG271" si="171">IF(BE207=0,"",(BC207-BC208)/BE207)</f>
        <v/>
      </c>
      <c r="BH208" s="179" t="str">
        <f t="shared" si="153"/>
        <v/>
      </c>
      <c r="BI208" s="180">
        <f t="shared" ref="BI208:BI271" si="172">IF(BD207=0,0,IF(OR(BE207=0,BF207="V"),BI207-1,IF(OR(AU$11="BRADESCO",AU$11="BB"),BI207-ROUNDDOWN(BE207/(BD207/BI207),0)-1,ROUNDUP((BD207-BE207+BJ207-(BD207/BI207))/(BC207-AW208-AR208-AS208),0)+1)))</f>
        <v>196</v>
      </c>
      <c r="BJ208" s="181">
        <f t="shared" si="133"/>
        <v>471.33291395082745</v>
      </c>
      <c r="BK208" s="182">
        <f t="shared" ref="BK208:BK271" si="173">IF(BD207&gt;0,BK207,0)</f>
        <v>1.6999999999999999E-3</v>
      </c>
    </row>
    <row r="209" spans="1:63" x14ac:dyDescent="0.25">
      <c r="A209" s="7">
        <f t="shared" si="154"/>
        <v>25</v>
      </c>
      <c r="B209" s="7">
        <f t="shared" si="155"/>
        <v>75</v>
      </c>
      <c r="C209" s="115">
        <f t="shared" si="156"/>
        <v>51957</v>
      </c>
      <c r="D209" s="2">
        <f t="shared" si="139"/>
        <v>5.1282051282051282E-3</v>
      </c>
      <c r="E209" s="169">
        <f t="shared" si="157"/>
        <v>195</v>
      </c>
      <c r="F209" s="165">
        <f t="shared" si="158"/>
        <v>2308.6249614406579</v>
      </c>
      <c r="G209" s="170">
        <f t="shared" ref="G209:G272" si="174">IF(R209=0,0,IF(M208&lt;1,0,IF(AND(AND(((M208-N208)/R209)&lt;G208,O208&lt;&gt;"V"),D$11&lt;&gt;"BRADESCO"),G208,  (M208-N208)/R209)))</f>
        <v>1416.9816595459688</v>
      </c>
      <c r="H209" s="164" t="str">
        <f t="shared" si="134"/>
        <v>🛵</v>
      </c>
      <c r="I209" s="171" t="str">
        <f t="shared" si="140"/>
        <v>🚴‍♂️</v>
      </c>
      <c r="J209" s="172">
        <f t="shared" si="141"/>
        <v>947.25223940648016</v>
      </c>
      <c r="K209" s="173">
        <f t="shared" si="142"/>
        <v>0.24760837515546308</v>
      </c>
      <c r="L209" s="174">
        <f t="shared" si="143"/>
        <v>3825.6066209866267</v>
      </c>
      <c r="M209" s="175">
        <f t="shared" si="159"/>
        <v>275364.17137205746</v>
      </c>
      <c r="N209" s="65"/>
      <c r="O209" s="37" t="str">
        <f t="shared" si="136"/>
        <v/>
      </c>
      <c r="P209" s="62" t="str">
        <f t="shared" si="160"/>
        <v/>
      </c>
      <c r="Q209" s="16" t="str">
        <f t="shared" si="144"/>
        <v/>
      </c>
      <c r="R209" s="60">
        <f t="shared" si="161"/>
        <v>195</v>
      </c>
      <c r="S209" s="98">
        <f t="shared" si="162"/>
        <v>469.72942013948864</v>
      </c>
      <c r="T209" s="21">
        <f t="shared" si="163"/>
        <v>1.6999999999999999E-3</v>
      </c>
      <c r="AA209" s="14">
        <f t="shared" si="145"/>
        <v>-3825.6066209866267</v>
      </c>
      <c r="AH209" s="6">
        <f t="shared" si="146"/>
        <v>2</v>
      </c>
      <c r="AI209" s="6">
        <f t="shared" si="147"/>
        <v>6</v>
      </c>
      <c r="AJ209" s="12">
        <f t="shared" si="148"/>
        <v>17</v>
      </c>
      <c r="AK209" s="72">
        <f t="shared" si="138"/>
        <v>30</v>
      </c>
      <c r="AR209">
        <f t="shared" si="164"/>
        <v>25</v>
      </c>
      <c r="AS209">
        <f t="shared" si="165"/>
        <v>75</v>
      </c>
      <c r="AT209" s="183">
        <f t="shared" si="166"/>
        <v>51957</v>
      </c>
      <c r="AU209" s="2">
        <f t="shared" si="167"/>
        <v>5.1282051282051282E-3</v>
      </c>
      <c r="AV209" s="169">
        <f t="shared" si="168"/>
        <v>195</v>
      </c>
      <c r="AW209" s="165">
        <f t="shared" si="169"/>
        <v>2308.6249614406579</v>
      </c>
      <c r="AX209" s="170">
        <f t="shared" ref="AX209:AX272" si="175">IF(BI209=0,0,IF(BD208&lt;1,0,IF(AND(AND(((BD208-BE208)/BI209)&lt;AX208,BF208&lt;&gt;"V"),AU$11&lt;&gt;"BRADESCO"),AX208,  (BD208-BE208)/BI209)))</f>
        <v>1416.9816595459688</v>
      </c>
      <c r="AY209" s="164" t="str">
        <f t="shared" si="135"/>
        <v>🛵</v>
      </c>
      <c r="AZ209" s="171" t="str">
        <f t="shared" si="149"/>
        <v>🚴‍♂️</v>
      </c>
      <c r="BA209" s="172">
        <f t="shared" si="150"/>
        <v>947.25223940648016</v>
      </c>
      <c r="BB209" s="173">
        <f t="shared" si="151"/>
        <v>0.24760837515546308</v>
      </c>
      <c r="BC209" s="174">
        <f t="shared" si="152"/>
        <v>3825.6066209866267</v>
      </c>
      <c r="BD209" s="175">
        <f t="shared" si="170"/>
        <v>275364.17137205746</v>
      </c>
      <c r="BE209" s="187"/>
      <c r="BF209" s="177" t="str">
        <f t="shared" si="137"/>
        <v/>
      </c>
      <c r="BG209" s="178" t="str">
        <f t="shared" si="171"/>
        <v/>
      </c>
      <c r="BH209" s="179" t="str">
        <f t="shared" si="153"/>
        <v/>
      </c>
      <c r="BI209" s="180">
        <f t="shared" si="172"/>
        <v>195</v>
      </c>
      <c r="BJ209" s="181">
        <f t="shared" ref="BJ209:BJ272" si="176">BD208*$BK208</f>
        <v>469.72942013948864</v>
      </c>
      <c r="BK209" s="182">
        <f t="shared" si="173"/>
        <v>1.6999999999999999E-3</v>
      </c>
    </row>
    <row r="210" spans="1:63" x14ac:dyDescent="0.25">
      <c r="A210" s="7">
        <f t="shared" si="154"/>
        <v>25</v>
      </c>
      <c r="B210" s="7">
        <f t="shared" si="155"/>
        <v>75</v>
      </c>
      <c r="C210" s="115">
        <f t="shared" si="156"/>
        <v>51987</v>
      </c>
      <c r="D210" s="2">
        <f t="shared" si="139"/>
        <v>5.1546391752577319E-3</v>
      </c>
      <c r="E210" s="169">
        <f t="shared" si="157"/>
        <v>196</v>
      </c>
      <c r="F210" s="165">
        <f t="shared" si="158"/>
        <v>2300.7105215087449</v>
      </c>
      <c r="G210" s="170">
        <f t="shared" si="174"/>
        <v>1419.4029452167911</v>
      </c>
      <c r="H210" s="164" t="str">
        <f t="shared" si="134"/>
        <v>🛵</v>
      </c>
      <c r="I210" s="171" t="str">
        <f t="shared" si="140"/>
        <v>🚴‍♂️</v>
      </c>
      <c r="J210" s="172">
        <f t="shared" si="141"/>
        <v>951.28385388429342</v>
      </c>
      <c r="K210" s="173">
        <f t="shared" si="142"/>
        <v>0.24901979016337955</v>
      </c>
      <c r="L210" s="174">
        <f t="shared" si="143"/>
        <v>3820.113466725536</v>
      </c>
      <c r="M210" s="175">
        <f t="shared" si="159"/>
        <v>274412.88751817314</v>
      </c>
      <c r="N210" s="65"/>
      <c r="O210" s="37" t="str">
        <f t="shared" si="136"/>
        <v/>
      </c>
      <c r="P210" s="62" t="str">
        <f t="shared" si="160"/>
        <v/>
      </c>
      <c r="Q210" s="16" t="str">
        <f t="shared" si="144"/>
        <v/>
      </c>
      <c r="R210" s="60">
        <f t="shared" si="161"/>
        <v>194</v>
      </c>
      <c r="S210" s="98">
        <f t="shared" si="162"/>
        <v>468.11909133249765</v>
      </c>
      <c r="T210" s="21">
        <f t="shared" si="163"/>
        <v>1.6999999999999999E-3</v>
      </c>
      <c r="AA210" s="14">
        <f t="shared" si="145"/>
        <v>-3820.113466725536</v>
      </c>
      <c r="AH210" s="6">
        <f t="shared" si="146"/>
        <v>2</v>
      </c>
      <c r="AI210" s="6">
        <f t="shared" si="147"/>
        <v>6</v>
      </c>
      <c r="AJ210" s="12">
        <f t="shared" si="148"/>
        <v>17</v>
      </c>
      <c r="AK210" s="72">
        <f t="shared" si="138"/>
        <v>31</v>
      </c>
      <c r="AR210">
        <f t="shared" si="164"/>
        <v>25</v>
      </c>
      <c r="AS210">
        <f t="shared" si="165"/>
        <v>75</v>
      </c>
      <c r="AT210" s="183">
        <f t="shared" si="166"/>
        <v>51987</v>
      </c>
      <c r="AU210" s="2">
        <f t="shared" si="167"/>
        <v>5.1546391752577319E-3</v>
      </c>
      <c r="AV210" s="169">
        <f t="shared" si="168"/>
        <v>196</v>
      </c>
      <c r="AW210" s="165">
        <f t="shared" si="169"/>
        <v>2300.7105215087449</v>
      </c>
      <c r="AX210" s="170">
        <f t="shared" si="175"/>
        <v>1419.4029452167911</v>
      </c>
      <c r="AY210" s="164" t="str">
        <f t="shared" si="135"/>
        <v>🛵</v>
      </c>
      <c r="AZ210" s="171" t="str">
        <f t="shared" si="149"/>
        <v>🚴‍♂️</v>
      </c>
      <c r="BA210" s="172">
        <f t="shared" si="150"/>
        <v>951.28385388429342</v>
      </c>
      <c r="BB210" s="173">
        <f t="shared" si="151"/>
        <v>0.24901979016337955</v>
      </c>
      <c r="BC210" s="174">
        <f t="shared" si="152"/>
        <v>3820.113466725536</v>
      </c>
      <c r="BD210" s="175">
        <f t="shared" si="170"/>
        <v>274412.88751817314</v>
      </c>
      <c r="BE210" s="187"/>
      <c r="BF210" s="177" t="str">
        <f t="shared" si="137"/>
        <v/>
      </c>
      <c r="BG210" s="178" t="str">
        <f t="shared" si="171"/>
        <v/>
      </c>
      <c r="BH210" s="179" t="str">
        <f t="shared" si="153"/>
        <v/>
      </c>
      <c r="BI210" s="180">
        <f t="shared" si="172"/>
        <v>194</v>
      </c>
      <c r="BJ210" s="181">
        <f t="shared" si="176"/>
        <v>468.11909133249765</v>
      </c>
      <c r="BK210" s="182">
        <f t="shared" si="173"/>
        <v>1.6999999999999999E-3</v>
      </c>
    </row>
    <row r="211" spans="1:63" x14ac:dyDescent="0.25">
      <c r="A211" s="7">
        <f t="shared" si="154"/>
        <v>25</v>
      </c>
      <c r="B211" s="7">
        <f t="shared" si="155"/>
        <v>75</v>
      </c>
      <c r="C211" s="115">
        <f t="shared" si="156"/>
        <v>52018</v>
      </c>
      <c r="D211" s="2">
        <f t="shared" si="139"/>
        <v>5.1813471502590676E-3</v>
      </c>
      <c r="E211" s="169">
        <f t="shared" si="157"/>
        <v>197</v>
      </c>
      <c r="F211" s="165">
        <f t="shared" si="158"/>
        <v>2292.762396810213</v>
      </c>
      <c r="G211" s="170">
        <f t="shared" si="174"/>
        <v>1421.8284327366484</v>
      </c>
      <c r="H211" s="164" t="str">
        <f t="shared" si="134"/>
        <v>🛵</v>
      </c>
      <c r="I211" s="171" t="str">
        <f t="shared" si="140"/>
        <v>🚴‍♂️</v>
      </c>
      <c r="J211" s="172">
        <f t="shared" si="141"/>
        <v>955.32652395575406</v>
      </c>
      <c r="K211" s="173">
        <f t="shared" si="142"/>
        <v>0.25044010397026989</v>
      </c>
      <c r="L211" s="174">
        <f t="shared" si="143"/>
        <v>3814.5908295468616</v>
      </c>
      <c r="M211" s="175">
        <f t="shared" si="159"/>
        <v>273457.56099421741</v>
      </c>
      <c r="N211" s="65"/>
      <c r="O211" s="37" t="str">
        <f t="shared" si="136"/>
        <v/>
      </c>
      <c r="P211" s="62" t="str">
        <f t="shared" si="160"/>
        <v/>
      </c>
      <c r="Q211" s="16" t="str">
        <f t="shared" si="144"/>
        <v/>
      </c>
      <c r="R211" s="60">
        <f t="shared" si="161"/>
        <v>193</v>
      </c>
      <c r="S211" s="98">
        <f t="shared" si="162"/>
        <v>466.50190878089433</v>
      </c>
      <c r="T211" s="21">
        <f t="shared" si="163"/>
        <v>1.6999999999999999E-3</v>
      </c>
      <c r="AA211" s="14">
        <f t="shared" si="145"/>
        <v>-3814.5908295468616</v>
      </c>
      <c r="AH211" s="6">
        <f t="shared" si="146"/>
        <v>2</v>
      </c>
      <c r="AI211" s="6">
        <f t="shared" si="147"/>
        <v>6</v>
      </c>
      <c r="AJ211" s="12">
        <f t="shared" si="148"/>
        <v>17</v>
      </c>
      <c r="AK211" s="72">
        <f t="shared" si="138"/>
        <v>30</v>
      </c>
      <c r="AR211">
        <f t="shared" si="164"/>
        <v>25</v>
      </c>
      <c r="AS211">
        <f t="shared" si="165"/>
        <v>75</v>
      </c>
      <c r="AT211" s="183">
        <f t="shared" si="166"/>
        <v>52018</v>
      </c>
      <c r="AU211" s="2">
        <f t="shared" si="167"/>
        <v>5.1813471502590676E-3</v>
      </c>
      <c r="AV211" s="169">
        <f t="shared" si="168"/>
        <v>197</v>
      </c>
      <c r="AW211" s="165">
        <f t="shared" si="169"/>
        <v>2292.762396810213</v>
      </c>
      <c r="AX211" s="170">
        <f t="shared" si="175"/>
        <v>1421.8284327366484</v>
      </c>
      <c r="AY211" s="164" t="str">
        <f t="shared" si="135"/>
        <v>🛵</v>
      </c>
      <c r="AZ211" s="171" t="str">
        <f t="shared" si="149"/>
        <v>🚴‍♂️</v>
      </c>
      <c r="BA211" s="172">
        <f t="shared" si="150"/>
        <v>955.32652395575406</v>
      </c>
      <c r="BB211" s="173">
        <f t="shared" si="151"/>
        <v>0.25044010397026989</v>
      </c>
      <c r="BC211" s="174">
        <f t="shared" si="152"/>
        <v>3814.5908295468616</v>
      </c>
      <c r="BD211" s="175">
        <f t="shared" si="170"/>
        <v>273457.56099421741</v>
      </c>
      <c r="BE211" s="187"/>
      <c r="BF211" s="177" t="str">
        <f t="shared" si="137"/>
        <v/>
      </c>
      <c r="BG211" s="178" t="str">
        <f t="shared" si="171"/>
        <v/>
      </c>
      <c r="BH211" s="179" t="str">
        <f t="shared" si="153"/>
        <v/>
      </c>
      <c r="BI211" s="180">
        <f t="shared" si="172"/>
        <v>193</v>
      </c>
      <c r="BJ211" s="181">
        <f t="shared" si="176"/>
        <v>466.50190878089433</v>
      </c>
      <c r="BK211" s="182">
        <f t="shared" si="173"/>
        <v>1.6999999999999999E-3</v>
      </c>
    </row>
    <row r="212" spans="1:63" x14ac:dyDescent="0.25">
      <c r="A212" s="7">
        <f t="shared" si="154"/>
        <v>25</v>
      </c>
      <c r="B212" s="7">
        <f t="shared" si="155"/>
        <v>75</v>
      </c>
      <c r="C212" s="115">
        <f t="shared" si="156"/>
        <v>52048</v>
      </c>
      <c r="D212" s="2">
        <f t="shared" si="139"/>
        <v>5.208333333333333E-3</v>
      </c>
      <c r="E212" s="169">
        <f t="shared" si="157"/>
        <v>198</v>
      </c>
      <c r="F212" s="165">
        <f t="shared" si="158"/>
        <v>2284.780494973857</v>
      </c>
      <c r="G212" s="170">
        <f t="shared" si="174"/>
        <v>1424.2581301782157</v>
      </c>
      <c r="H212" s="164" t="str">
        <f t="shared" si="134"/>
        <v>🛵</v>
      </c>
      <c r="I212" s="171" t="str">
        <f t="shared" si="140"/>
        <v>🚴‍♂️</v>
      </c>
      <c r="J212" s="172">
        <f t="shared" si="141"/>
        <v>959.38027648804609</v>
      </c>
      <c r="K212" s="173">
        <f t="shared" si="142"/>
        <v>0.25186940089108278</v>
      </c>
      <c r="L212" s="174">
        <f t="shared" si="143"/>
        <v>3809.0386251520727</v>
      </c>
      <c r="M212" s="175">
        <f t="shared" si="159"/>
        <v>272498.18071772938</v>
      </c>
      <c r="N212" s="65"/>
      <c r="O212" s="37" t="str">
        <f t="shared" si="136"/>
        <v/>
      </c>
      <c r="P212" s="62" t="str">
        <f t="shared" si="160"/>
        <v/>
      </c>
      <c r="Q212" s="16" t="str">
        <f t="shared" si="144"/>
        <v/>
      </c>
      <c r="R212" s="60">
        <f t="shared" si="161"/>
        <v>192</v>
      </c>
      <c r="S212" s="98">
        <f t="shared" si="162"/>
        <v>464.87785369016956</v>
      </c>
      <c r="T212" s="21">
        <f t="shared" si="163"/>
        <v>1.6999999999999999E-3</v>
      </c>
      <c r="AA212" s="14">
        <f t="shared" si="145"/>
        <v>-3809.0386251520727</v>
      </c>
      <c r="AH212" s="6">
        <f t="shared" si="146"/>
        <v>2</v>
      </c>
      <c r="AI212" s="6">
        <f t="shared" si="147"/>
        <v>6</v>
      </c>
      <c r="AJ212" s="12">
        <f t="shared" si="148"/>
        <v>17</v>
      </c>
      <c r="AK212" s="72">
        <f t="shared" si="138"/>
        <v>31</v>
      </c>
      <c r="AR212">
        <f t="shared" si="164"/>
        <v>25</v>
      </c>
      <c r="AS212">
        <f t="shared" si="165"/>
        <v>75</v>
      </c>
      <c r="AT212" s="183">
        <f t="shared" si="166"/>
        <v>52048</v>
      </c>
      <c r="AU212" s="2">
        <f t="shared" si="167"/>
        <v>5.208333333333333E-3</v>
      </c>
      <c r="AV212" s="169">
        <f t="shared" si="168"/>
        <v>198</v>
      </c>
      <c r="AW212" s="165">
        <f t="shared" si="169"/>
        <v>2284.780494973857</v>
      </c>
      <c r="AX212" s="170">
        <f t="shared" si="175"/>
        <v>1424.2581301782157</v>
      </c>
      <c r="AY212" s="164" t="str">
        <f t="shared" si="135"/>
        <v>🛵</v>
      </c>
      <c r="AZ212" s="171" t="str">
        <f t="shared" si="149"/>
        <v>🚴‍♂️</v>
      </c>
      <c r="BA212" s="172">
        <f t="shared" si="150"/>
        <v>959.38027648804609</v>
      </c>
      <c r="BB212" s="173">
        <f t="shared" si="151"/>
        <v>0.25186940089108278</v>
      </c>
      <c r="BC212" s="174">
        <f t="shared" si="152"/>
        <v>3809.0386251520727</v>
      </c>
      <c r="BD212" s="175">
        <f t="shared" si="170"/>
        <v>272498.18071772938</v>
      </c>
      <c r="BE212" s="187"/>
      <c r="BF212" s="177" t="str">
        <f t="shared" si="137"/>
        <v/>
      </c>
      <c r="BG212" s="178" t="str">
        <f t="shared" si="171"/>
        <v/>
      </c>
      <c r="BH212" s="179" t="str">
        <f t="shared" si="153"/>
        <v/>
      </c>
      <c r="BI212" s="180">
        <f t="shared" si="172"/>
        <v>192</v>
      </c>
      <c r="BJ212" s="181">
        <f t="shared" si="176"/>
        <v>464.87785369016956</v>
      </c>
      <c r="BK212" s="182">
        <f t="shared" si="173"/>
        <v>1.6999999999999999E-3</v>
      </c>
    </row>
    <row r="213" spans="1:63" x14ac:dyDescent="0.25">
      <c r="A213" s="7">
        <f t="shared" si="154"/>
        <v>25</v>
      </c>
      <c r="B213" s="7">
        <f t="shared" si="155"/>
        <v>75</v>
      </c>
      <c r="C213" s="115">
        <f t="shared" si="156"/>
        <v>52079</v>
      </c>
      <c r="D213" s="2">
        <f t="shared" si="139"/>
        <v>5.2356020942408371E-3</v>
      </c>
      <c r="E213" s="169">
        <f t="shared" si="157"/>
        <v>199</v>
      </c>
      <c r="F213" s="165">
        <f t="shared" si="158"/>
        <v>2276.7647234039905</v>
      </c>
      <c r="G213" s="170">
        <f t="shared" si="174"/>
        <v>1426.6920456425621</v>
      </c>
      <c r="H213" s="164" t="str">
        <f t="shared" si="134"/>
        <v>🛵</v>
      </c>
      <c r="I213" s="171" t="str">
        <f t="shared" si="140"/>
        <v>🚴‍♂️</v>
      </c>
      <c r="J213" s="172">
        <f t="shared" si="141"/>
        <v>963.44513842242213</v>
      </c>
      <c r="K213" s="173">
        <f t="shared" si="142"/>
        <v>0.25330776630962937</v>
      </c>
      <c r="L213" s="174">
        <f t="shared" si="143"/>
        <v>3803.4567690465528</v>
      </c>
      <c r="M213" s="175">
        <f t="shared" si="159"/>
        <v>271534.73557930696</v>
      </c>
      <c r="N213" s="65"/>
      <c r="O213" s="37" t="str">
        <f t="shared" si="136"/>
        <v/>
      </c>
      <c r="P213" s="62" t="str">
        <f t="shared" si="160"/>
        <v/>
      </c>
      <c r="Q213" s="16" t="str">
        <f t="shared" si="144"/>
        <v/>
      </c>
      <c r="R213" s="60">
        <f t="shared" si="161"/>
        <v>191</v>
      </c>
      <c r="S213" s="98">
        <f t="shared" si="162"/>
        <v>463.24690722013992</v>
      </c>
      <c r="T213" s="21">
        <f t="shared" si="163"/>
        <v>1.6999999999999999E-3</v>
      </c>
      <c r="AA213" s="14">
        <f t="shared" si="145"/>
        <v>-3803.4567690465528</v>
      </c>
      <c r="AH213" s="6">
        <f t="shared" si="146"/>
        <v>2</v>
      </c>
      <c r="AI213" s="6">
        <f t="shared" si="147"/>
        <v>6</v>
      </c>
      <c r="AJ213" s="12">
        <f t="shared" si="148"/>
        <v>17</v>
      </c>
      <c r="AK213" s="72">
        <f t="shared" si="138"/>
        <v>31</v>
      </c>
      <c r="AR213">
        <f t="shared" si="164"/>
        <v>25</v>
      </c>
      <c r="AS213">
        <f t="shared" si="165"/>
        <v>75</v>
      </c>
      <c r="AT213" s="183">
        <f t="shared" si="166"/>
        <v>52079</v>
      </c>
      <c r="AU213" s="2">
        <f t="shared" si="167"/>
        <v>5.2356020942408371E-3</v>
      </c>
      <c r="AV213" s="169">
        <f t="shared" si="168"/>
        <v>199</v>
      </c>
      <c r="AW213" s="165">
        <f t="shared" si="169"/>
        <v>2276.7647234039905</v>
      </c>
      <c r="AX213" s="170">
        <f t="shared" si="175"/>
        <v>1426.6920456425621</v>
      </c>
      <c r="AY213" s="164" t="str">
        <f t="shared" si="135"/>
        <v>🛵</v>
      </c>
      <c r="AZ213" s="171" t="str">
        <f t="shared" si="149"/>
        <v>🚴‍♂️</v>
      </c>
      <c r="BA213" s="172">
        <f t="shared" si="150"/>
        <v>963.44513842242213</v>
      </c>
      <c r="BB213" s="173">
        <f t="shared" si="151"/>
        <v>0.25330776630962937</v>
      </c>
      <c r="BC213" s="174">
        <f t="shared" si="152"/>
        <v>3803.4567690465528</v>
      </c>
      <c r="BD213" s="175">
        <f t="shared" si="170"/>
        <v>271534.73557930696</v>
      </c>
      <c r="BE213" s="187"/>
      <c r="BF213" s="177" t="str">
        <f t="shared" si="137"/>
        <v/>
      </c>
      <c r="BG213" s="178" t="str">
        <f t="shared" si="171"/>
        <v/>
      </c>
      <c r="BH213" s="179" t="str">
        <f t="shared" si="153"/>
        <v/>
      </c>
      <c r="BI213" s="180">
        <f t="shared" si="172"/>
        <v>191</v>
      </c>
      <c r="BJ213" s="181">
        <f t="shared" si="176"/>
        <v>463.24690722013992</v>
      </c>
      <c r="BK213" s="182">
        <f t="shared" si="173"/>
        <v>1.6999999999999999E-3</v>
      </c>
    </row>
    <row r="214" spans="1:63" x14ac:dyDescent="0.25">
      <c r="A214" s="7">
        <f t="shared" si="154"/>
        <v>25</v>
      </c>
      <c r="B214" s="7">
        <f t="shared" si="155"/>
        <v>75</v>
      </c>
      <c r="C214" s="115">
        <f t="shared" si="156"/>
        <v>52110</v>
      </c>
      <c r="D214" s="2">
        <f t="shared" si="139"/>
        <v>5.263157894736842E-3</v>
      </c>
      <c r="E214" s="169">
        <f t="shared" si="157"/>
        <v>200</v>
      </c>
      <c r="F214" s="165">
        <f t="shared" si="158"/>
        <v>2268.7149892798298</v>
      </c>
      <c r="G214" s="170">
        <f t="shared" si="174"/>
        <v>1429.1301872595102</v>
      </c>
      <c r="H214" s="164" t="str">
        <f t="shared" si="134"/>
        <v>🛵</v>
      </c>
      <c r="I214" s="171" t="str">
        <f t="shared" si="140"/>
        <v>🚴‍♂️</v>
      </c>
      <c r="J214" s="172">
        <f t="shared" si="141"/>
        <v>967.52113677468833</v>
      </c>
      <c r="K214" s="173">
        <f t="shared" si="142"/>
        <v>0.25475528669557557</v>
      </c>
      <c r="L214" s="174">
        <f t="shared" si="143"/>
        <v>3797.8451765393402</v>
      </c>
      <c r="M214" s="175">
        <f t="shared" si="159"/>
        <v>270567.21444253228</v>
      </c>
      <c r="N214" s="65"/>
      <c r="O214" s="37" t="str">
        <f t="shared" si="136"/>
        <v/>
      </c>
      <c r="P214" s="62" t="str">
        <f t="shared" si="160"/>
        <v/>
      </c>
      <c r="Q214" s="16" t="str">
        <f t="shared" si="144"/>
        <v/>
      </c>
      <c r="R214" s="60">
        <f t="shared" si="161"/>
        <v>190</v>
      </c>
      <c r="S214" s="98">
        <f t="shared" si="162"/>
        <v>461.60905048482181</v>
      </c>
      <c r="T214" s="21">
        <f t="shared" si="163"/>
        <v>1.6999999999999999E-3</v>
      </c>
      <c r="AA214" s="14">
        <f t="shared" si="145"/>
        <v>-3797.8451765393402</v>
      </c>
      <c r="AH214" s="6">
        <f t="shared" si="146"/>
        <v>2</v>
      </c>
      <c r="AI214" s="6">
        <f t="shared" si="147"/>
        <v>6</v>
      </c>
      <c r="AJ214" s="12">
        <f t="shared" si="148"/>
        <v>17</v>
      </c>
      <c r="AK214" s="72">
        <f t="shared" si="138"/>
        <v>30</v>
      </c>
      <c r="AR214">
        <f t="shared" si="164"/>
        <v>25</v>
      </c>
      <c r="AS214">
        <f t="shared" si="165"/>
        <v>75</v>
      </c>
      <c r="AT214" s="183">
        <f t="shared" si="166"/>
        <v>52110</v>
      </c>
      <c r="AU214" s="2">
        <f t="shared" si="167"/>
        <v>5.263157894736842E-3</v>
      </c>
      <c r="AV214" s="169">
        <f t="shared" si="168"/>
        <v>200</v>
      </c>
      <c r="AW214" s="165">
        <f t="shared" si="169"/>
        <v>2268.7149892798298</v>
      </c>
      <c r="AX214" s="170">
        <f t="shared" si="175"/>
        <v>1429.1301872595102</v>
      </c>
      <c r="AY214" s="164" t="str">
        <f t="shared" si="135"/>
        <v>🛵</v>
      </c>
      <c r="AZ214" s="171" t="str">
        <f t="shared" si="149"/>
        <v>🚴‍♂️</v>
      </c>
      <c r="BA214" s="172">
        <f t="shared" si="150"/>
        <v>967.52113677468833</v>
      </c>
      <c r="BB214" s="173">
        <f t="shared" si="151"/>
        <v>0.25475528669557557</v>
      </c>
      <c r="BC214" s="174">
        <f t="shared" si="152"/>
        <v>3797.8451765393402</v>
      </c>
      <c r="BD214" s="175">
        <f t="shared" si="170"/>
        <v>270567.21444253228</v>
      </c>
      <c r="BE214" s="187"/>
      <c r="BF214" s="177" t="str">
        <f t="shared" si="137"/>
        <v/>
      </c>
      <c r="BG214" s="178" t="str">
        <f t="shared" si="171"/>
        <v/>
      </c>
      <c r="BH214" s="179" t="str">
        <f t="shared" si="153"/>
        <v/>
      </c>
      <c r="BI214" s="180">
        <f t="shared" si="172"/>
        <v>190</v>
      </c>
      <c r="BJ214" s="181">
        <f t="shared" si="176"/>
        <v>461.60905048482181</v>
      </c>
      <c r="BK214" s="182">
        <f t="shared" si="173"/>
        <v>1.6999999999999999E-3</v>
      </c>
    </row>
    <row r="215" spans="1:63" x14ac:dyDescent="0.25">
      <c r="A215" s="7">
        <f t="shared" si="154"/>
        <v>25</v>
      </c>
      <c r="B215" s="7">
        <f t="shared" si="155"/>
        <v>75</v>
      </c>
      <c r="C215" s="115">
        <f t="shared" si="156"/>
        <v>52140</v>
      </c>
      <c r="D215" s="2">
        <f t="shared" si="139"/>
        <v>5.2910052910052907E-3</v>
      </c>
      <c r="E215" s="169">
        <f t="shared" si="157"/>
        <v>201</v>
      </c>
      <c r="F215" s="165">
        <f t="shared" si="158"/>
        <v>2260.6311995548695</v>
      </c>
      <c r="G215" s="170">
        <f t="shared" si="174"/>
        <v>1431.5725631880014</v>
      </c>
      <c r="H215" s="164" t="str">
        <f t="shared" si="134"/>
        <v>🛵</v>
      </c>
      <c r="I215" s="171" t="str">
        <f t="shared" si="140"/>
        <v>🚴‍♂️</v>
      </c>
      <c r="J215" s="172">
        <f t="shared" si="141"/>
        <v>971.60829863569654</v>
      </c>
      <c r="K215" s="173">
        <f t="shared" si="142"/>
        <v>0.2562120496217587</v>
      </c>
      <c r="L215" s="174">
        <f t="shared" si="143"/>
        <v>3792.2037627428708</v>
      </c>
      <c r="M215" s="175">
        <f t="shared" si="159"/>
        <v>269595.60614389658</v>
      </c>
      <c r="N215" s="65"/>
      <c r="O215" s="37" t="str">
        <f t="shared" si="136"/>
        <v/>
      </c>
      <c r="P215" s="62" t="str">
        <f t="shared" si="160"/>
        <v/>
      </c>
      <c r="Q215" s="16" t="str">
        <f t="shared" si="144"/>
        <v/>
      </c>
      <c r="R215" s="60">
        <f t="shared" si="161"/>
        <v>189</v>
      </c>
      <c r="S215" s="98">
        <f t="shared" si="162"/>
        <v>459.96426455230483</v>
      </c>
      <c r="T215" s="21">
        <f t="shared" si="163"/>
        <v>1.6999999999999999E-3</v>
      </c>
      <c r="AA215" s="14">
        <f t="shared" si="145"/>
        <v>-3792.2037627428708</v>
      </c>
      <c r="AH215" s="6">
        <f t="shared" si="146"/>
        <v>2</v>
      </c>
      <c r="AI215" s="6">
        <f t="shared" si="147"/>
        <v>6</v>
      </c>
      <c r="AJ215" s="12">
        <f t="shared" si="148"/>
        <v>17</v>
      </c>
      <c r="AK215" s="72">
        <f t="shared" si="138"/>
        <v>31</v>
      </c>
      <c r="AR215">
        <f t="shared" si="164"/>
        <v>25</v>
      </c>
      <c r="AS215">
        <f t="shared" si="165"/>
        <v>75</v>
      </c>
      <c r="AT215" s="183">
        <f t="shared" si="166"/>
        <v>52140</v>
      </c>
      <c r="AU215" s="2">
        <f t="shared" si="167"/>
        <v>5.2910052910052907E-3</v>
      </c>
      <c r="AV215" s="169">
        <f t="shared" si="168"/>
        <v>201</v>
      </c>
      <c r="AW215" s="165">
        <f t="shared" si="169"/>
        <v>2260.6311995548695</v>
      </c>
      <c r="AX215" s="170">
        <f t="shared" si="175"/>
        <v>1431.5725631880014</v>
      </c>
      <c r="AY215" s="164" t="str">
        <f t="shared" si="135"/>
        <v>🛵</v>
      </c>
      <c r="AZ215" s="171" t="str">
        <f t="shared" si="149"/>
        <v>🚴‍♂️</v>
      </c>
      <c r="BA215" s="172">
        <f t="shared" si="150"/>
        <v>971.60829863569654</v>
      </c>
      <c r="BB215" s="173">
        <f t="shared" si="151"/>
        <v>0.2562120496217587</v>
      </c>
      <c r="BC215" s="174">
        <f t="shared" si="152"/>
        <v>3792.2037627428708</v>
      </c>
      <c r="BD215" s="175">
        <f t="shared" si="170"/>
        <v>269595.60614389658</v>
      </c>
      <c r="BE215" s="187"/>
      <c r="BF215" s="177" t="str">
        <f t="shared" si="137"/>
        <v/>
      </c>
      <c r="BG215" s="178" t="str">
        <f t="shared" si="171"/>
        <v/>
      </c>
      <c r="BH215" s="179" t="str">
        <f t="shared" si="153"/>
        <v/>
      </c>
      <c r="BI215" s="180">
        <f t="shared" si="172"/>
        <v>189</v>
      </c>
      <c r="BJ215" s="181">
        <f t="shared" si="176"/>
        <v>459.96426455230483</v>
      </c>
      <c r="BK215" s="182">
        <f t="shared" si="173"/>
        <v>1.6999999999999999E-3</v>
      </c>
    </row>
    <row r="216" spans="1:63" x14ac:dyDescent="0.25">
      <c r="A216" s="7">
        <f t="shared" si="154"/>
        <v>25</v>
      </c>
      <c r="B216" s="7">
        <f t="shared" si="155"/>
        <v>75</v>
      </c>
      <c r="C216" s="115">
        <f t="shared" si="156"/>
        <v>52171</v>
      </c>
      <c r="D216" s="2">
        <f t="shared" si="139"/>
        <v>5.3191489361702126E-3</v>
      </c>
      <c r="E216" s="169">
        <f t="shared" si="157"/>
        <v>202</v>
      </c>
      <c r="F216" s="165">
        <f t="shared" si="158"/>
        <v>2252.5132609562561</v>
      </c>
      <c r="G216" s="170">
        <f t="shared" si="174"/>
        <v>1434.0191816164711</v>
      </c>
      <c r="H216" s="164" t="str">
        <f t="shared" si="134"/>
        <v>🛵</v>
      </c>
      <c r="I216" s="171" t="str">
        <f t="shared" si="140"/>
        <v>🚴‍♂️</v>
      </c>
      <c r="J216" s="172">
        <f t="shared" si="141"/>
        <v>975.70665117184694</v>
      </c>
      <c r="K216" s="173">
        <f t="shared" si="142"/>
        <v>0.25767814378183734</v>
      </c>
      <c r="L216" s="174">
        <f t="shared" si="143"/>
        <v>3786.5324425727272</v>
      </c>
      <c r="M216" s="175">
        <f t="shared" si="159"/>
        <v>268619.89949272474</v>
      </c>
      <c r="N216" s="65"/>
      <c r="O216" s="37" t="str">
        <f t="shared" si="136"/>
        <v/>
      </c>
      <c r="P216" s="62" t="str">
        <f t="shared" si="160"/>
        <v/>
      </c>
      <c r="Q216" s="16" t="str">
        <f t="shared" si="144"/>
        <v/>
      </c>
      <c r="R216" s="60">
        <f t="shared" si="161"/>
        <v>188</v>
      </c>
      <c r="S216" s="98">
        <f t="shared" si="162"/>
        <v>458.31253044462414</v>
      </c>
      <c r="T216" s="21">
        <f t="shared" si="163"/>
        <v>1.6999999999999999E-3</v>
      </c>
      <c r="AA216" s="14">
        <f t="shared" si="145"/>
        <v>-3786.5324425727272</v>
      </c>
      <c r="AH216" s="6">
        <f t="shared" si="146"/>
        <v>2</v>
      </c>
      <c r="AI216" s="6">
        <f t="shared" si="147"/>
        <v>6</v>
      </c>
      <c r="AJ216" s="12">
        <f t="shared" si="148"/>
        <v>17</v>
      </c>
      <c r="AK216" s="72">
        <f t="shared" si="138"/>
        <v>30</v>
      </c>
      <c r="AR216">
        <f t="shared" si="164"/>
        <v>25</v>
      </c>
      <c r="AS216">
        <f t="shared" si="165"/>
        <v>75</v>
      </c>
      <c r="AT216" s="183">
        <f t="shared" si="166"/>
        <v>52171</v>
      </c>
      <c r="AU216" s="2">
        <f t="shared" si="167"/>
        <v>5.3191489361702126E-3</v>
      </c>
      <c r="AV216" s="169">
        <f t="shared" si="168"/>
        <v>202</v>
      </c>
      <c r="AW216" s="165">
        <f t="shared" si="169"/>
        <v>2252.5132609562561</v>
      </c>
      <c r="AX216" s="170">
        <f t="shared" si="175"/>
        <v>1434.0191816164711</v>
      </c>
      <c r="AY216" s="164" t="str">
        <f t="shared" si="135"/>
        <v>🛵</v>
      </c>
      <c r="AZ216" s="171" t="str">
        <f t="shared" si="149"/>
        <v>🚴‍♂️</v>
      </c>
      <c r="BA216" s="172">
        <f t="shared" si="150"/>
        <v>975.70665117184694</v>
      </c>
      <c r="BB216" s="173">
        <f t="shared" si="151"/>
        <v>0.25767814378183734</v>
      </c>
      <c r="BC216" s="174">
        <f t="shared" si="152"/>
        <v>3786.5324425727272</v>
      </c>
      <c r="BD216" s="175">
        <f t="shared" si="170"/>
        <v>268619.89949272474</v>
      </c>
      <c r="BE216" s="187"/>
      <c r="BF216" s="177" t="str">
        <f t="shared" si="137"/>
        <v/>
      </c>
      <c r="BG216" s="178" t="str">
        <f t="shared" si="171"/>
        <v/>
      </c>
      <c r="BH216" s="179" t="str">
        <f t="shared" si="153"/>
        <v/>
      </c>
      <c r="BI216" s="180">
        <f t="shared" si="172"/>
        <v>188</v>
      </c>
      <c r="BJ216" s="181">
        <f t="shared" si="176"/>
        <v>458.31253044462414</v>
      </c>
      <c r="BK216" s="182">
        <f t="shared" si="173"/>
        <v>1.6999999999999999E-3</v>
      </c>
    </row>
    <row r="217" spans="1:63" x14ac:dyDescent="0.25">
      <c r="A217" s="7">
        <f t="shared" si="154"/>
        <v>25</v>
      </c>
      <c r="B217" s="7">
        <f t="shared" si="155"/>
        <v>75</v>
      </c>
      <c r="C217" s="115">
        <f t="shared" si="156"/>
        <v>52201</v>
      </c>
      <c r="D217" s="2">
        <f t="shared" si="139"/>
        <v>5.3475935828877011E-3</v>
      </c>
      <c r="E217" s="169">
        <f t="shared" si="157"/>
        <v>203</v>
      </c>
      <c r="F217" s="165">
        <f t="shared" si="158"/>
        <v>2244.3610799841572</v>
      </c>
      <c r="G217" s="170">
        <f t="shared" si="174"/>
        <v>1436.470050763234</v>
      </c>
      <c r="H217" s="164" t="str">
        <f t="shared" si="134"/>
        <v>🛵</v>
      </c>
      <c r="I217" s="171" t="str">
        <f t="shared" si="140"/>
        <v>🚴‍♂️</v>
      </c>
      <c r="J217" s="172">
        <f t="shared" si="141"/>
        <v>979.81622162560188</v>
      </c>
      <c r="K217" s="173">
        <f t="shared" si="142"/>
        <v>0.25915365900828075</v>
      </c>
      <c r="L217" s="174">
        <f t="shared" si="143"/>
        <v>3780.8311307473914</v>
      </c>
      <c r="M217" s="175">
        <f t="shared" si="159"/>
        <v>267640.08327109914</v>
      </c>
      <c r="N217" s="65"/>
      <c r="O217" s="37" t="str">
        <f t="shared" si="136"/>
        <v/>
      </c>
      <c r="P217" s="62" t="str">
        <f t="shared" si="160"/>
        <v/>
      </c>
      <c r="Q217" s="16" t="str">
        <f t="shared" si="144"/>
        <v/>
      </c>
      <c r="R217" s="60">
        <f t="shared" si="161"/>
        <v>187</v>
      </c>
      <c r="S217" s="98">
        <f t="shared" si="162"/>
        <v>456.65382913763204</v>
      </c>
      <c r="T217" s="21">
        <f t="shared" si="163"/>
        <v>1.6999999999999999E-3</v>
      </c>
      <c r="AA217" s="14">
        <f t="shared" si="145"/>
        <v>-3780.8311307473914</v>
      </c>
      <c r="AH217" s="6">
        <f t="shared" si="146"/>
        <v>2</v>
      </c>
      <c r="AI217" s="6">
        <f t="shared" si="147"/>
        <v>6</v>
      </c>
      <c r="AJ217" s="12">
        <f t="shared" si="148"/>
        <v>17</v>
      </c>
      <c r="AK217" s="72">
        <f t="shared" si="138"/>
        <v>31</v>
      </c>
      <c r="AR217">
        <f t="shared" si="164"/>
        <v>25</v>
      </c>
      <c r="AS217">
        <f t="shared" si="165"/>
        <v>75</v>
      </c>
      <c r="AT217" s="183">
        <f t="shared" si="166"/>
        <v>52201</v>
      </c>
      <c r="AU217" s="2">
        <f t="shared" si="167"/>
        <v>5.3475935828877011E-3</v>
      </c>
      <c r="AV217" s="169">
        <f t="shared" si="168"/>
        <v>203</v>
      </c>
      <c r="AW217" s="165">
        <f t="shared" si="169"/>
        <v>2244.3610799841572</v>
      </c>
      <c r="AX217" s="170">
        <f t="shared" si="175"/>
        <v>1436.470050763234</v>
      </c>
      <c r="AY217" s="164" t="str">
        <f t="shared" si="135"/>
        <v>🛵</v>
      </c>
      <c r="AZ217" s="171" t="str">
        <f t="shared" si="149"/>
        <v>🚴‍♂️</v>
      </c>
      <c r="BA217" s="172">
        <f t="shared" si="150"/>
        <v>979.81622162560188</v>
      </c>
      <c r="BB217" s="173">
        <f t="shared" si="151"/>
        <v>0.25915365900828075</v>
      </c>
      <c r="BC217" s="174">
        <f t="shared" si="152"/>
        <v>3780.8311307473914</v>
      </c>
      <c r="BD217" s="175">
        <f t="shared" si="170"/>
        <v>267640.08327109914</v>
      </c>
      <c r="BE217" s="187"/>
      <c r="BF217" s="177" t="str">
        <f t="shared" si="137"/>
        <v/>
      </c>
      <c r="BG217" s="178" t="str">
        <f t="shared" si="171"/>
        <v/>
      </c>
      <c r="BH217" s="179" t="str">
        <f t="shared" si="153"/>
        <v/>
      </c>
      <c r="BI217" s="180">
        <f t="shared" si="172"/>
        <v>187</v>
      </c>
      <c r="BJ217" s="181">
        <f t="shared" si="176"/>
        <v>456.65382913763204</v>
      </c>
      <c r="BK217" s="182">
        <f t="shared" si="173"/>
        <v>1.6999999999999999E-3</v>
      </c>
    </row>
    <row r="218" spans="1:63" x14ac:dyDescent="0.25">
      <c r="A218" s="7">
        <f t="shared" si="154"/>
        <v>25</v>
      </c>
      <c r="B218" s="7">
        <f t="shared" si="155"/>
        <v>75</v>
      </c>
      <c r="C218" s="115">
        <f t="shared" si="156"/>
        <v>52232</v>
      </c>
      <c r="D218" s="2">
        <f t="shared" si="139"/>
        <v>5.3763440860215049E-3</v>
      </c>
      <c r="E218" s="169">
        <f t="shared" si="157"/>
        <v>204</v>
      </c>
      <c r="F218" s="165">
        <f t="shared" si="158"/>
        <v>2236.1745629111242</v>
      </c>
      <c r="G218" s="170">
        <f t="shared" si="174"/>
        <v>1438.925178876877</v>
      </c>
      <c r="H218" s="164" t="str">
        <f t="shared" ref="H218:H281" si="177">IF(OR(G218=0,L218&lt;1),"",IF(G218/L218&gt;90%,"🛩",IF(G218/L218&gt;70%,"🏎",IF(G218/L218&gt;50%,"🚙",IF(G218/L218&gt;30%,"🛵",IF(G218/L218&gt;15%,"🐢","⚓️"))))))</f>
        <v>🛵</v>
      </c>
      <c r="I218" s="171" t="str">
        <f t="shared" si="140"/>
        <v>🚴‍♂️</v>
      </c>
      <c r="J218" s="172">
        <f t="shared" si="141"/>
        <v>983.93703731600851</v>
      </c>
      <c r="K218" s="173">
        <f t="shared" si="142"/>
        <v>0.26063868629070613</v>
      </c>
      <c r="L218" s="174">
        <f t="shared" si="143"/>
        <v>3775.0997417880012</v>
      </c>
      <c r="M218" s="175">
        <f t="shared" si="159"/>
        <v>266656.1462337831</v>
      </c>
      <c r="N218" s="65"/>
      <c r="O218" s="37" t="str">
        <f t="shared" si="136"/>
        <v/>
      </c>
      <c r="P218" s="62" t="str">
        <f t="shared" si="160"/>
        <v/>
      </c>
      <c r="Q218" s="16" t="str">
        <f t="shared" si="144"/>
        <v/>
      </c>
      <c r="R218" s="60">
        <f t="shared" si="161"/>
        <v>186</v>
      </c>
      <c r="S218" s="98">
        <f t="shared" si="162"/>
        <v>454.98814156086848</v>
      </c>
      <c r="T218" s="21">
        <f t="shared" si="163"/>
        <v>1.6999999999999999E-3</v>
      </c>
      <c r="AA218" s="14">
        <f t="shared" si="145"/>
        <v>-3775.0997417880012</v>
      </c>
      <c r="AH218" s="6">
        <f t="shared" si="146"/>
        <v>2</v>
      </c>
      <c r="AI218" s="6">
        <f t="shared" si="147"/>
        <v>6</v>
      </c>
      <c r="AJ218" s="12">
        <f t="shared" si="148"/>
        <v>17</v>
      </c>
      <c r="AK218" s="72">
        <f t="shared" si="138"/>
        <v>31</v>
      </c>
      <c r="AR218">
        <f t="shared" si="164"/>
        <v>25</v>
      </c>
      <c r="AS218">
        <f t="shared" si="165"/>
        <v>75</v>
      </c>
      <c r="AT218" s="183">
        <f t="shared" si="166"/>
        <v>52232</v>
      </c>
      <c r="AU218" s="2">
        <f t="shared" si="167"/>
        <v>5.3763440860215049E-3</v>
      </c>
      <c r="AV218" s="169">
        <f t="shared" si="168"/>
        <v>204</v>
      </c>
      <c r="AW218" s="165">
        <f t="shared" si="169"/>
        <v>2236.1745629111242</v>
      </c>
      <c r="AX218" s="170">
        <f t="shared" si="175"/>
        <v>1438.925178876877</v>
      </c>
      <c r="AY218" s="164" t="str">
        <f t="shared" ref="AY218:AY281" si="178">IF(OR(AX218=0,BC218&lt;1),"",IF(AX218/BC218&gt;90%,"🛩",IF(AX218/BC218&gt;70%,"🏎",IF(AX218/BC218&gt;50%,"🚙",IF(AX218/BC218&gt;30%,"🛵",IF(AX218/BC218&gt;15%,"🐢","⚓️"))))))</f>
        <v>🛵</v>
      </c>
      <c r="AZ218" s="171" t="str">
        <f t="shared" si="149"/>
        <v>🚴‍♂️</v>
      </c>
      <c r="BA218" s="172">
        <f t="shared" si="150"/>
        <v>983.93703731600851</v>
      </c>
      <c r="BB218" s="173">
        <f t="shared" si="151"/>
        <v>0.26063868629070613</v>
      </c>
      <c r="BC218" s="174">
        <f t="shared" si="152"/>
        <v>3775.0997417880012</v>
      </c>
      <c r="BD218" s="175">
        <f t="shared" si="170"/>
        <v>266656.1462337831</v>
      </c>
      <c r="BE218" s="187"/>
      <c r="BF218" s="177" t="str">
        <f t="shared" si="137"/>
        <v/>
      </c>
      <c r="BG218" s="178" t="str">
        <f t="shared" si="171"/>
        <v/>
      </c>
      <c r="BH218" s="179" t="str">
        <f t="shared" si="153"/>
        <v/>
      </c>
      <c r="BI218" s="180">
        <f t="shared" si="172"/>
        <v>186</v>
      </c>
      <c r="BJ218" s="181">
        <f t="shared" si="176"/>
        <v>454.98814156086848</v>
      </c>
      <c r="BK218" s="182">
        <f t="shared" si="173"/>
        <v>1.6999999999999999E-3</v>
      </c>
    </row>
    <row r="219" spans="1:63" x14ac:dyDescent="0.25">
      <c r="A219" s="7">
        <f t="shared" si="154"/>
        <v>25</v>
      </c>
      <c r="B219" s="7">
        <f t="shared" si="155"/>
        <v>75</v>
      </c>
      <c r="C219" s="115">
        <f t="shared" si="156"/>
        <v>52263</v>
      </c>
      <c r="D219" s="2">
        <f t="shared" si="139"/>
        <v>5.4054054054054057E-3</v>
      </c>
      <c r="E219" s="169">
        <f t="shared" si="157"/>
        <v>205</v>
      </c>
      <c r="F219" s="165">
        <f t="shared" si="158"/>
        <v>2227.9536157814537</v>
      </c>
      <c r="G219" s="170">
        <f t="shared" si="174"/>
        <v>1441.3845742366655</v>
      </c>
      <c r="H219" s="164" t="str">
        <f t="shared" si="177"/>
        <v>🛵</v>
      </c>
      <c r="I219" s="171" t="str">
        <f t="shared" si="140"/>
        <v>🚴‍♂️</v>
      </c>
      <c r="J219" s="172">
        <f t="shared" si="141"/>
        <v>988.06912563923424</v>
      </c>
      <c r="K219" s="173">
        <f t="shared" si="142"/>
        <v>0.26213331779457139</v>
      </c>
      <c r="L219" s="174">
        <f t="shared" si="143"/>
        <v>3769.3381900181193</v>
      </c>
      <c r="M219" s="175">
        <f t="shared" si="159"/>
        <v>265668.07710814389</v>
      </c>
      <c r="N219" s="65"/>
      <c r="O219" s="37" t="str">
        <f t="shared" si="136"/>
        <v/>
      </c>
      <c r="P219" s="62" t="str">
        <f t="shared" si="160"/>
        <v/>
      </c>
      <c r="Q219" s="16" t="str">
        <f t="shared" si="144"/>
        <v/>
      </c>
      <c r="R219" s="60">
        <f t="shared" si="161"/>
        <v>185</v>
      </c>
      <c r="S219" s="98">
        <f t="shared" si="162"/>
        <v>453.31544859743127</v>
      </c>
      <c r="T219" s="21">
        <f t="shared" si="163"/>
        <v>1.6999999999999999E-3</v>
      </c>
      <c r="AA219" s="14">
        <f t="shared" si="145"/>
        <v>-3769.3381900181193</v>
      </c>
      <c r="AH219" s="6">
        <f t="shared" si="146"/>
        <v>2</v>
      </c>
      <c r="AI219" s="6">
        <f t="shared" si="147"/>
        <v>6</v>
      </c>
      <c r="AJ219" s="12">
        <f t="shared" si="148"/>
        <v>18</v>
      </c>
      <c r="AK219" s="72">
        <f t="shared" si="138"/>
        <v>28</v>
      </c>
      <c r="AR219">
        <f t="shared" si="164"/>
        <v>25</v>
      </c>
      <c r="AS219">
        <f t="shared" si="165"/>
        <v>75</v>
      </c>
      <c r="AT219" s="183">
        <f t="shared" si="166"/>
        <v>52263</v>
      </c>
      <c r="AU219" s="2">
        <f t="shared" si="167"/>
        <v>5.4054054054054057E-3</v>
      </c>
      <c r="AV219" s="169">
        <f t="shared" si="168"/>
        <v>205</v>
      </c>
      <c r="AW219" s="165">
        <f t="shared" si="169"/>
        <v>2227.9536157814537</v>
      </c>
      <c r="AX219" s="170">
        <f t="shared" si="175"/>
        <v>1441.3845742366655</v>
      </c>
      <c r="AY219" s="164" t="str">
        <f t="shared" si="178"/>
        <v>🛵</v>
      </c>
      <c r="AZ219" s="171" t="str">
        <f t="shared" si="149"/>
        <v>🚴‍♂️</v>
      </c>
      <c r="BA219" s="172">
        <f t="shared" si="150"/>
        <v>988.06912563923424</v>
      </c>
      <c r="BB219" s="173">
        <f t="shared" si="151"/>
        <v>0.26213331779457139</v>
      </c>
      <c r="BC219" s="174">
        <f t="shared" si="152"/>
        <v>3769.3381900181193</v>
      </c>
      <c r="BD219" s="175">
        <f t="shared" si="170"/>
        <v>265668.07710814389</v>
      </c>
      <c r="BE219" s="187"/>
      <c r="BF219" s="177" t="str">
        <f t="shared" si="137"/>
        <v/>
      </c>
      <c r="BG219" s="178" t="str">
        <f t="shared" si="171"/>
        <v/>
      </c>
      <c r="BH219" s="179" t="str">
        <f t="shared" si="153"/>
        <v/>
      </c>
      <c r="BI219" s="180">
        <f t="shared" si="172"/>
        <v>185</v>
      </c>
      <c r="BJ219" s="181">
        <f t="shared" si="176"/>
        <v>453.31544859743127</v>
      </c>
      <c r="BK219" s="182">
        <f t="shared" si="173"/>
        <v>1.6999999999999999E-3</v>
      </c>
    </row>
    <row r="220" spans="1:63" x14ac:dyDescent="0.25">
      <c r="A220" s="7">
        <f t="shared" si="154"/>
        <v>25</v>
      </c>
      <c r="B220" s="7">
        <f t="shared" si="155"/>
        <v>75</v>
      </c>
      <c r="C220" s="115">
        <f t="shared" si="156"/>
        <v>52291</v>
      </c>
      <c r="D220" s="2">
        <f t="shared" si="139"/>
        <v>5.4347826086956529E-3</v>
      </c>
      <c r="E220" s="169">
        <f t="shared" si="157"/>
        <v>206</v>
      </c>
      <c r="F220" s="165">
        <f t="shared" si="158"/>
        <v>2219.698144410545</v>
      </c>
      <c r="G220" s="170">
        <f t="shared" si="174"/>
        <v>1443.848245152956</v>
      </c>
      <c r="H220" s="164" t="str">
        <f t="shared" si="177"/>
        <v>🛵</v>
      </c>
      <c r="I220" s="171" t="str">
        <f t="shared" si="140"/>
        <v>🚴‍♂️</v>
      </c>
      <c r="J220" s="172">
        <f t="shared" si="141"/>
        <v>992.21251406911142</v>
      </c>
      <c r="K220" s="173">
        <f t="shared" si="142"/>
        <v>0.26363764688023122</v>
      </c>
      <c r="L220" s="174">
        <f t="shared" si="143"/>
        <v>3763.5463895635012</v>
      </c>
      <c r="M220" s="175">
        <f t="shared" si="159"/>
        <v>264675.86459407478</v>
      </c>
      <c r="N220" s="65"/>
      <c r="O220" s="37" t="str">
        <f t="shared" si="136"/>
        <v/>
      </c>
      <c r="P220" s="62" t="str">
        <f t="shared" si="160"/>
        <v/>
      </c>
      <c r="Q220" s="16" t="str">
        <f t="shared" si="144"/>
        <v/>
      </c>
      <c r="R220" s="60">
        <f t="shared" si="161"/>
        <v>184</v>
      </c>
      <c r="S220" s="98">
        <f t="shared" si="162"/>
        <v>451.63573108384458</v>
      </c>
      <c r="T220" s="21">
        <f t="shared" si="163"/>
        <v>1.6999999999999999E-3</v>
      </c>
      <c r="AA220" s="14">
        <f t="shared" si="145"/>
        <v>-3763.5463895635012</v>
      </c>
      <c r="AH220" s="6">
        <f t="shared" si="146"/>
        <v>2</v>
      </c>
      <c r="AI220" s="6">
        <f t="shared" si="147"/>
        <v>6</v>
      </c>
      <c r="AJ220" s="12">
        <f t="shared" si="148"/>
        <v>18</v>
      </c>
      <c r="AK220" s="72">
        <f t="shared" si="138"/>
        <v>31</v>
      </c>
      <c r="AR220">
        <f t="shared" si="164"/>
        <v>25</v>
      </c>
      <c r="AS220">
        <f t="shared" si="165"/>
        <v>75</v>
      </c>
      <c r="AT220" s="183">
        <f t="shared" si="166"/>
        <v>52291</v>
      </c>
      <c r="AU220" s="2">
        <f t="shared" si="167"/>
        <v>5.4347826086956529E-3</v>
      </c>
      <c r="AV220" s="169">
        <f t="shared" si="168"/>
        <v>206</v>
      </c>
      <c r="AW220" s="165">
        <f t="shared" si="169"/>
        <v>2219.698144410545</v>
      </c>
      <c r="AX220" s="170">
        <f t="shared" si="175"/>
        <v>1443.848245152956</v>
      </c>
      <c r="AY220" s="164" t="str">
        <f t="shared" si="178"/>
        <v>🛵</v>
      </c>
      <c r="AZ220" s="171" t="str">
        <f t="shared" si="149"/>
        <v>🚴‍♂️</v>
      </c>
      <c r="BA220" s="172">
        <f t="shared" si="150"/>
        <v>992.21251406911142</v>
      </c>
      <c r="BB220" s="173">
        <f t="shared" si="151"/>
        <v>0.26363764688023122</v>
      </c>
      <c r="BC220" s="174">
        <f t="shared" si="152"/>
        <v>3763.5463895635012</v>
      </c>
      <c r="BD220" s="175">
        <f t="shared" si="170"/>
        <v>264675.86459407478</v>
      </c>
      <c r="BE220" s="187"/>
      <c r="BF220" s="177" t="str">
        <f t="shared" si="137"/>
        <v/>
      </c>
      <c r="BG220" s="178" t="str">
        <f t="shared" si="171"/>
        <v/>
      </c>
      <c r="BH220" s="179" t="str">
        <f t="shared" si="153"/>
        <v/>
      </c>
      <c r="BI220" s="180">
        <f t="shared" si="172"/>
        <v>184</v>
      </c>
      <c r="BJ220" s="181">
        <f t="shared" si="176"/>
        <v>451.63573108384458</v>
      </c>
      <c r="BK220" s="182">
        <f t="shared" si="173"/>
        <v>1.6999999999999999E-3</v>
      </c>
    </row>
    <row r="221" spans="1:63" x14ac:dyDescent="0.25">
      <c r="A221" s="7">
        <f t="shared" si="154"/>
        <v>25</v>
      </c>
      <c r="B221" s="7">
        <f t="shared" si="155"/>
        <v>75</v>
      </c>
      <c r="C221" s="115">
        <f t="shared" si="156"/>
        <v>52322</v>
      </c>
      <c r="D221" s="2">
        <f t="shared" si="139"/>
        <v>5.4644808743169399E-3</v>
      </c>
      <c r="E221" s="169">
        <f t="shared" si="157"/>
        <v>207</v>
      </c>
      <c r="F221" s="165">
        <f t="shared" si="158"/>
        <v>2211.4080543842465</v>
      </c>
      <c r="G221" s="170">
        <f t="shared" si="174"/>
        <v>1446.3161999676217</v>
      </c>
      <c r="H221" s="164" t="str">
        <f t="shared" si="177"/>
        <v>🛵</v>
      </c>
      <c r="I221" s="171" t="str">
        <f t="shared" si="140"/>
        <v>🚴‍♂️</v>
      </c>
      <c r="J221" s="172">
        <f t="shared" si="141"/>
        <v>996.36723015769462</v>
      </c>
      <c r="K221" s="173">
        <f t="shared" si="142"/>
        <v>0.26515176812236529</v>
      </c>
      <c r="L221" s="174">
        <f t="shared" si="143"/>
        <v>3757.7242543518682</v>
      </c>
      <c r="M221" s="175">
        <f t="shared" si="159"/>
        <v>263679.49736391706</v>
      </c>
      <c r="N221" s="65"/>
      <c r="O221" s="37" t="str">
        <f t="shared" si="136"/>
        <v/>
      </c>
      <c r="P221" s="62" t="str">
        <f t="shared" si="160"/>
        <v/>
      </c>
      <c r="Q221" s="16" t="str">
        <f t="shared" si="144"/>
        <v/>
      </c>
      <c r="R221" s="60">
        <f t="shared" si="161"/>
        <v>183</v>
      </c>
      <c r="S221" s="98">
        <f t="shared" si="162"/>
        <v>449.94896980992712</v>
      </c>
      <c r="T221" s="21">
        <f t="shared" si="163"/>
        <v>1.6999999999999999E-3</v>
      </c>
      <c r="AA221" s="14">
        <f t="shared" si="145"/>
        <v>-3757.7242543518682</v>
      </c>
      <c r="AH221" s="6">
        <f t="shared" si="146"/>
        <v>2</v>
      </c>
      <c r="AI221" s="6">
        <f t="shared" si="147"/>
        <v>6</v>
      </c>
      <c r="AJ221" s="12">
        <f t="shared" si="148"/>
        <v>18</v>
      </c>
      <c r="AK221" s="72">
        <f t="shared" si="138"/>
        <v>30</v>
      </c>
      <c r="AR221">
        <f t="shared" si="164"/>
        <v>25</v>
      </c>
      <c r="AS221">
        <f t="shared" si="165"/>
        <v>75</v>
      </c>
      <c r="AT221" s="183">
        <f t="shared" si="166"/>
        <v>52322</v>
      </c>
      <c r="AU221" s="2">
        <f t="shared" si="167"/>
        <v>5.4644808743169399E-3</v>
      </c>
      <c r="AV221" s="169">
        <f t="shared" si="168"/>
        <v>207</v>
      </c>
      <c r="AW221" s="165">
        <f t="shared" si="169"/>
        <v>2211.4080543842465</v>
      </c>
      <c r="AX221" s="170">
        <f t="shared" si="175"/>
        <v>1446.3161999676217</v>
      </c>
      <c r="AY221" s="164" t="str">
        <f t="shared" si="178"/>
        <v>🛵</v>
      </c>
      <c r="AZ221" s="171" t="str">
        <f t="shared" si="149"/>
        <v>🚴‍♂️</v>
      </c>
      <c r="BA221" s="172">
        <f t="shared" si="150"/>
        <v>996.36723015769462</v>
      </c>
      <c r="BB221" s="173">
        <f t="shared" si="151"/>
        <v>0.26515176812236529</v>
      </c>
      <c r="BC221" s="174">
        <f t="shared" si="152"/>
        <v>3757.7242543518682</v>
      </c>
      <c r="BD221" s="175">
        <f t="shared" si="170"/>
        <v>263679.49736391706</v>
      </c>
      <c r="BE221" s="187"/>
      <c r="BF221" s="177" t="str">
        <f t="shared" si="137"/>
        <v/>
      </c>
      <c r="BG221" s="178" t="str">
        <f t="shared" si="171"/>
        <v/>
      </c>
      <c r="BH221" s="179" t="str">
        <f t="shared" si="153"/>
        <v/>
      </c>
      <c r="BI221" s="180">
        <f t="shared" si="172"/>
        <v>183</v>
      </c>
      <c r="BJ221" s="181">
        <f t="shared" si="176"/>
        <v>449.94896980992712</v>
      </c>
      <c r="BK221" s="182">
        <f t="shared" si="173"/>
        <v>1.6999999999999999E-3</v>
      </c>
    </row>
    <row r="222" spans="1:63" x14ac:dyDescent="0.25">
      <c r="A222" s="7">
        <f t="shared" si="154"/>
        <v>25</v>
      </c>
      <c r="B222" s="7">
        <f t="shared" si="155"/>
        <v>75</v>
      </c>
      <c r="C222" s="115">
        <f t="shared" si="156"/>
        <v>52352</v>
      </c>
      <c r="D222" s="2">
        <f t="shared" si="139"/>
        <v>5.4945054945054941E-3</v>
      </c>
      <c r="E222" s="169">
        <f t="shared" si="157"/>
        <v>208</v>
      </c>
      <c r="F222" s="165">
        <f t="shared" si="158"/>
        <v>2203.0832510582063</v>
      </c>
      <c r="G222" s="170">
        <f t="shared" si="174"/>
        <v>1448.7884470544893</v>
      </c>
      <c r="H222" s="164" t="str">
        <f t="shared" si="177"/>
        <v>🛵</v>
      </c>
      <c r="I222" s="171" t="str">
        <f t="shared" si="140"/>
        <v>🚴‍♂️</v>
      </c>
      <c r="J222" s="172">
        <f t="shared" si="141"/>
        <v>1000.5333015358303</v>
      </c>
      <c r="K222" s="173">
        <f t="shared" si="142"/>
        <v>0.26667577732978681</v>
      </c>
      <c r="L222" s="174">
        <f t="shared" si="143"/>
        <v>3751.8716981126954</v>
      </c>
      <c r="M222" s="175">
        <f t="shared" si="159"/>
        <v>262678.96406238119</v>
      </c>
      <c r="N222" s="65"/>
      <c r="O222" s="37" t="str">
        <f t="shared" si="136"/>
        <v/>
      </c>
      <c r="P222" s="62" t="str">
        <f t="shared" si="160"/>
        <v/>
      </c>
      <c r="Q222" s="16" t="str">
        <f t="shared" si="144"/>
        <v/>
      </c>
      <c r="R222" s="60">
        <f t="shared" si="161"/>
        <v>182</v>
      </c>
      <c r="S222" s="98">
        <f t="shared" si="162"/>
        <v>448.25514551865899</v>
      </c>
      <c r="T222" s="21">
        <f t="shared" si="163"/>
        <v>1.6999999999999999E-3</v>
      </c>
      <c r="AA222" s="14">
        <f t="shared" si="145"/>
        <v>-3751.8716981126954</v>
      </c>
      <c r="AH222" s="6">
        <f t="shared" si="146"/>
        <v>2</v>
      </c>
      <c r="AI222" s="6">
        <f t="shared" si="147"/>
        <v>6</v>
      </c>
      <c r="AJ222" s="12">
        <f t="shared" si="148"/>
        <v>18</v>
      </c>
      <c r="AK222" s="72">
        <f t="shared" si="138"/>
        <v>31</v>
      </c>
      <c r="AR222">
        <f t="shared" si="164"/>
        <v>25</v>
      </c>
      <c r="AS222">
        <f t="shared" si="165"/>
        <v>75</v>
      </c>
      <c r="AT222" s="183">
        <f t="shared" si="166"/>
        <v>52352</v>
      </c>
      <c r="AU222" s="2">
        <f t="shared" si="167"/>
        <v>5.4945054945054941E-3</v>
      </c>
      <c r="AV222" s="169">
        <f t="shared" si="168"/>
        <v>208</v>
      </c>
      <c r="AW222" s="165">
        <f t="shared" si="169"/>
        <v>2203.0832510582063</v>
      </c>
      <c r="AX222" s="170">
        <f t="shared" si="175"/>
        <v>1448.7884470544893</v>
      </c>
      <c r="AY222" s="164" t="str">
        <f t="shared" si="178"/>
        <v>🛵</v>
      </c>
      <c r="AZ222" s="171" t="str">
        <f t="shared" si="149"/>
        <v>🚴‍♂️</v>
      </c>
      <c r="BA222" s="172">
        <f t="shared" si="150"/>
        <v>1000.5333015358303</v>
      </c>
      <c r="BB222" s="173">
        <f t="shared" si="151"/>
        <v>0.26667577732978681</v>
      </c>
      <c r="BC222" s="174">
        <f t="shared" si="152"/>
        <v>3751.8716981126954</v>
      </c>
      <c r="BD222" s="175">
        <f t="shared" si="170"/>
        <v>262678.96406238119</v>
      </c>
      <c r="BE222" s="187"/>
      <c r="BF222" s="177" t="str">
        <f t="shared" si="137"/>
        <v/>
      </c>
      <c r="BG222" s="178" t="str">
        <f t="shared" si="171"/>
        <v/>
      </c>
      <c r="BH222" s="179" t="str">
        <f t="shared" si="153"/>
        <v/>
      </c>
      <c r="BI222" s="180">
        <f t="shared" si="172"/>
        <v>182</v>
      </c>
      <c r="BJ222" s="181">
        <f t="shared" si="176"/>
        <v>448.25514551865899</v>
      </c>
      <c r="BK222" s="182">
        <f t="shared" si="173"/>
        <v>1.6999999999999999E-3</v>
      </c>
    </row>
    <row r="223" spans="1:63" x14ac:dyDescent="0.25">
      <c r="A223" s="7">
        <f t="shared" si="154"/>
        <v>25</v>
      </c>
      <c r="B223" s="7">
        <f t="shared" si="155"/>
        <v>75</v>
      </c>
      <c r="C223" s="115">
        <f t="shared" si="156"/>
        <v>52383</v>
      </c>
      <c r="D223" s="2">
        <f t="shared" si="139"/>
        <v>5.5248618784530393E-3</v>
      </c>
      <c r="E223" s="169">
        <f t="shared" si="157"/>
        <v>209</v>
      </c>
      <c r="F223" s="165">
        <f t="shared" si="158"/>
        <v>2194.7236395572127</v>
      </c>
      <c r="G223" s="170">
        <f t="shared" si="174"/>
        <v>1451.2649948197857</v>
      </c>
      <c r="H223" s="164" t="str">
        <f t="shared" si="177"/>
        <v>🛵</v>
      </c>
      <c r="I223" s="171" t="str">
        <f t="shared" si="140"/>
        <v>🚴‍♂️</v>
      </c>
      <c r="J223" s="172">
        <f t="shared" si="141"/>
        <v>1004.7107559137377</v>
      </c>
      <c r="K223" s="173">
        <f t="shared" si="142"/>
        <v>0.2682097715656398</v>
      </c>
      <c r="L223" s="174">
        <f t="shared" si="143"/>
        <v>3745.9886343769986</v>
      </c>
      <c r="M223" s="175">
        <f t="shared" si="159"/>
        <v>261674.25330646744</v>
      </c>
      <c r="N223" s="65"/>
      <c r="O223" s="37" t="str">
        <f t="shared" si="136"/>
        <v/>
      </c>
      <c r="P223" s="62" t="str">
        <f t="shared" si="160"/>
        <v/>
      </c>
      <c r="Q223" s="16" t="str">
        <f t="shared" si="144"/>
        <v/>
      </c>
      <c r="R223" s="60">
        <f t="shared" si="161"/>
        <v>181</v>
      </c>
      <c r="S223" s="98">
        <f t="shared" si="162"/>
        <v>446.554238906048</v>
      </c>
      <c r="T223" s="21">
        <f t="shared" si="163"/>
        <v>1.6999999999999999E-3</v>
      </c>
      <c r="AA223" s="14">
        <f t="shared" si="145"/>
        <v>-3745.9886343769986</v>
      </c>
      <c r="AH223" s="6">
        <f t="shared" si="146"/>
        <v>2</v>
      </c>
      <c r="AI223" s="6">
        <f t="shared" si="147"/>
        <v>6</v>
      </c>
      <c r="AJ223" s="12">
        <f t="shared" si="148"/>
        <v>18</v>
      </c>
      <c r="AK223" s="72">
        <f t="shared" si="138"/>
        <v>30</v>
      </c>
      <c r="AR223">
        <f t="shared" si="164"/>
        <v>25</v>
      </c>
      <c r="AS223">
        <f t="shared" si="165"/>
        <v>75</v>
      </c>
      <c r="AT223" s="183">
        <f t="shared" si="166"/>
        <v>52383</v>
      </c>
      <c r="AU223" s="2">
        <f t="shared" si="167"/>
        <v>5.5248618784530393E-3</v>
      </c>
      <c r="AV223" s="169">
        <f t="shared" si="168"/>
        <v>209</v>
      </c>
      <c r="AW223" s="165">
        <f t="shared" si="169"/>
        <v>2194.7236395572127</v>
      </c>
      <c r="AX223" s="170">
        <f t="shared" si="175"/>
        <v>1451.2649948197857</v>
      </c>
      <c r="AY223" s="164" t="str">
        <f t="shared" si="178"/>
        <v>🛵</v>
      </c>
      <c r="AZ223" s="171" t="str">
        <f t="shared" si="149"/>
        <v>🚴‍♂️</v>
      </c>
      <c r="BA223" s="172">
        <f t="shared" si="150"/>
        <v>1004.7107559137377</v>
      </c>
      <c r="BB223" s="173">
        <f t="shared" si="151"/>
        <v>0.2682097715656398</v>
      </c>
      <c r="BC223" s="174">
        <f t="shared" si="152"/>
        <v>3745.9886343769986</v>
      </c>
      <c r="BD223" s="175">
        <f t="shared" si="170"/>
        <v>261674.25330646744</v>
      </c>
      <c r="BE223" s="187"/>
      <c r="BF223" s="177" t="str">
        <f t="shared" si="137"/>
        <v/>
      </c>
      <c r="BG223" s="178" t="str">
        <f t="shared" si="171"/>
        <v/>
      </c>
      <c r="BH223" s="179" t="str">
        <f t="shared" si="153"/>
        <v/>
      </c>
      <c r="BI223" s="180">
        <f t="shared" si="172"/>
        <v>181</v>
      </c>
      <c r="BJ223" s="181">
        <f t="shared" si="176"/>
        <v>446.554238906048</v>
      </c>
      <c r="BK223" s="182">
        <f t="shared" si="173"/>
        <v>1.6999999999999999E-3</v>
      </c>
    </row>
    <row r="224" spans="1:63" x14ac:dyDescent="0.25">
      <c r="A224" s="7">
        <f t="shared" si="154"/>
        <v>25</v>
      </c>
      <c r="B224" s="7">
        <f t="shared" si="155"/>
        <v>75</v>
      </c>
      <c r="C224" s="115">
        <f t="shared" si="156"/>
        <v>52413</v>
      </c>
      <c r="D224" s="2">
        <f t="shared" si="139"/>
        <v>5.5555555555555558E-3</v>
      </c>
      <c r="E224" s="169">
        <f t="shared" si="157"/>
        <v>210</v>
      </c>
      <c r="F224" s="165">
        <f t="shared" si="158"/>
        <v>2186.3291247745301</v>
      </c>
      <c r="G224" s="170">
        <f t="shared" si="174"/>
        <v>1453.7458517025968</v>
      </c>
      <c r="H224" s="164" t="str">
        <f t="shared" si="177"/>
        <v>🛵</v>
      </c>
      <c r="I224" s="171" t="str">
        <f t="shared" si="140"/>
        <v>🚴‍♂️</v>
      </c>
      <c r="J224" s="172">
        <f t="shared" si="141"/>
        <v>1008.8996210816022</v>
      </c>
      <c r="K224" s="173">
        <f t="shared" si="142"/>
        <v>0.26975384916799466</v>
      </c>
      <c r="L224" s="174">
        <f t="shared" si="143"/>
        <v>3740.0749764771272</v>
      </c>
      <c r="M224" s="175">
        <f t="shared" si="159"/>
        <v>260665.35368538581</v>
      </c>
      <c r="N224" s="65"/>
      <c r="O224" s="37" t="str">
        <f t="shared" si="136"/>
        <v/>
      </c>
      <c r="P224" s="62" t="str">
        <f t="shared" si="160"/>
        <v/>
      </c>
      <c r="Q224" s="16" t="str">
        <f t="shared" si="144"/>
        <v/>
      </c>
      <c r="R224" s="60">
        <f t="shared" si="161"/>
        <v>180</v>
      </c>
      <c r="S224" s="98">
        <f t="shared" si="162"/>
        <v>444.84623062099462</v>
      </c>
      <c r="T224" s="21">
        <f t="shared" si="163"/>
        <v>1.6999999999999999E-3</v>
      </c>
      <c r="AA224" s="14">
        <f t="shared" si="145"/>
        <v>-3740.0749764771272</v>
      </c>
      <c r="AH224" s="6">
        <f t="shared" si="146"/>
        <v>2</v>
      </c>
      <c r="AI224" s="6">
        <f t="shared" si="147"/>
        <v>6</v>
      </c>
      <c r="AJ224" s="12">
        <f t="shared" si="148"/>
        <v>18</v>
      </c>
      <c r="AK224" s="72">
        <f t="shared" si="138"/>
        <v>31</v>
      </c>
      <c r="AR224">
        <f t="shared" si="164"/>
        <v>25</v>
      </c>
      <c r="AS224">
        <f t="shared" si="165"/>
        <v>75</v>
      </c>
      <c r="AT224" s="183">
        <f t="shared" si="166"/>
        <v>52413</v>
      </c>
      <c r="AU224" s="2">
        <f t="shared" si="167"/>
        <v>5.5555555555555558E-3</v>
      </c>
      <c r="AV224" s="169">
        <f t="shared" si="168"/>
        <v>210</v>
      </c>
      <c r="AW224" s="165">
        <f t="shared" si="169"/>
        <v>2186.3291247745301</v>
      </c>
      <c r="AX224" s="170">
        <f t="shared" si="175"/>
        <v>1453.7458517025968</v>
      </c>
      <c r="AY224" s="164" t="str">
        <f t="shared" si="178"/>
        <v>🛵</v>
      </c>
      <c r="AZ224" s="171" t="str">
        <f t="shared" si="149"/>
        <v>🚴‍♂️</v>
      </c>
      <c r="BA224" s="172">
        <f t="shared" si="150"/>
        <v>1008.8996210816022</v>
      </c>
      <c r="BB224" s="173">
        <f t="shared" si="151"/>
        <v>0.26975384916799466</v>
      </c>
      <c r="BC224" s="174">
        <f t="shared" si="152"/>
        <v>3740.0749764771272</v>
      </c>
      <c r="BD224" s="175">
        <f t="shared" si="170"/>
        <v>260665.35368538581</v>
      </c>
      <c r="BE224" s="187"/>
      <c r="BF224" s="177" t="str">
        <f t="shared" si="137"/>
        <v/>
      </c>
      <c r="BG224" s="178" t="str">
        <f t="shared" si="171"/>
        <v/>
      </c>
      <c r="BH224" s="179" t="str">
        <f t="shared" si="153"/>
        <v/>
      </c>
      <c r="BI224" s="180">
        <f t="shared" si="172"/>
        <v>180</v>
      </c>
      <c r="BJ224" s="181">
        <f t="shared" si="176"/>
        <v>444.84623062099462</v>
      </c>
      <c r="BK224" s="182">
        <f t="shared" si="173"/>
        <v>1.6999999999999999E-3</v>
      </c>
    </row>
    <row r="225" spans="1:63" x14ac:dyDescent="0.25">
      <c r="A225" s="7">
        <f t="shared" si="154"/>
        <v>25</v>
      </c>
      <c r="B225" s="7">
        <f t="shared" si="155"/>
        <v>75</v>
      </c>
      <c r="C225" s="115">
        <f t="shared" si="156"/>
        <v>52444</v>
      </c>
      <c r="D225" s="2">
        <f t="shared" si="139"/>
        <v>5.5865921787709499E-3</v>
      </c>
      <c r="E225" s="169">
        <f t="shared" si="157"/>
        <v>211</v>
      </c>
      <c r="F225" s="165">
        <f t="shared" si="158"/>
        <v>2177.8996113712328</v>
      </c>
      <c r="G225" s="170">
        <f t="shared" si="174"/>
        <v>1456.2310261753398</v>
      </c>
      <c r="H225" s="164" t="str">
        <f t="shared" si="177"/>
        <v>🛵</v>
      </c>
      <c r="I225" s="171" t="str">
        <f t="shared" si="140"/>
        <v>🚴‍♂️</v>
      </c>
      <c r="J225" s="172">
        <f t="shared" si="141"/>
        <v>1013.099924910184</v>
      </c>
      <c r="K225" s="173">
        <f t="shared" si="142"/>
        <v>0.27130810977085112</v>
      </c>
      <c r="L225" s="174">
        <f t="shared" si="143"/>
        <v>3734.1306375465729</v>
      </c>
      <c r="M225" s="175">
        <f t="shared" si="159"/>
        <v>259652.25376047561</v>
      </c>
      <c r="N225" s="65"/>
      <c r="O225" s="37" t="str">
        <f t="shared" si="136"/>
        <v/>
      </c>
      <c r="P225" s="62" t="str">
        <f t="shared" si="160"/>
        <v/>
      </c>
      <c r="Q225" s="16" t="str">
        <f t="shared" si="144"/>
        <v/>
      </c>
      <c r="R225" s="60">
        <f t="shared" si="161"/>
        <v>179</v>
      </c>
      <c r="S225" s="98">
        <f t="shared" si="162"/>
        <v>443.13110126515585</v>
      </c>
      <c r="T225" s="21">
        <f t="shared" si="163"/>
        <v>1.6999999999999999E-3</v>
      </c>
      <c r="AA225" s="14">
        <f t="shared" si="145"/>
        <v>-3734.1306375465729</v>
      </c>
      <c r="AH225" s="6">
        <f t="shared" si="146"/>
        <v>2</v>
      </c>
      <c r="AI225" s="6">
        <f t="shared" si="147"/>
        <v>6</v>
      </c>
      <c r="AJ225" s="12">
        <f t="shared" si="148"/>
        <v>18</v>
      </c>
      <c r="AK225" s="72">
        <f t="shared" si="138"/>
        <v>31</v>
      </c>
      <c r="AR225">
        <f t="shared" si="164"/>
        <v>25</v>
      </c>
      <c r="AS225">
        <f t="shared" si="165"/>
        <v>75</v>
      </c>
      <c r="AT225" s="183">
        <f t="shared" si="166"/>
        <v>52444</v>
      </c>
      <c r="AU225" s="2">
        <f t="shared" si="167"/>
        <v>5.5865921787709499E-3</v>
      </c>
      <c r="AV225" s="169">
        <f t="shared" si="168"/>
        <v>211</v>
      </c>
      <c r="AW225" s="165">
        <f t="shared" si="169"/>
        <v>2177.8996113712328</v>
      </c>
      <c r="AX225" s="170">
        <f t="shared" si="175"/>
        <v>1456.2310261753398</v>
      </c>
      <c r="AY225" s="164" t="str">
        <f t="shared" si="178"/>
        <v>🛵</v>
      </c>
      <c r="AZ225" s="171" t="str">
        <f t="shared" si="149"/>
        <v>🚴‍♂️</v>
      </c>
      <c r="BA225" s="172">
        <f t="shared" si="150"/>
        <v>1013.099924910184</v>
      </c>
      <c r="BB225" s="173">
        <f t="shared" si="151"/>
        <v>0.27130810977085112</v>
      </c>
      <c r="BC225" s="174">
        <f t="shared" si="152"/>
        <v>3734.1306375465729</v>
      </c>
      <c r="BD225" s="175">
        <f t="shared" si="170"/>
        <v>259652.25376047561</v>
      </c>
      <c r="BE225" s="187"/>
      <c r="BF225" s="177" t="str">
        <f t="shared" si="137"/>
        <v/>
      </c>
      <c r="BG225" s="178" t="str">
        <f t="shared" si="171"/>
        <v/>
      </c>
      <c r="BH225" s="179" t="str">
        <f t="shared" si="153"/>
        <v/>
      </c>
      <c r="BI225" s="180">
        <f t="shared" si="172"/>
        <v>179</v>
      </c>
      <c r="BJ225" s="181">
        <f t="shared" si="176"/>
        <v>443.13110126515585</v>
      </c>
      <c r="BK225" s="182">
        <f t="shared" si="173"/>
        <v>1.6999999999999999E-3</v>
      </c>
    </row>
    <row r="226" spans="1:63" x14ac:dyDescent="0.25">
      <c r="A226" s="7">
        <f t="shared" si="154"/>
        <v>25</v>
      </c>
      <c r="B226" s="7">
        <f t="shared" si="155"/>
        <v>75</v>
      </c>
      <c r="C226" s="115">
        <f t="shared" si="156"/>
        <v>52475</v>
      </c>
      <c r="D226" s="2">
        <f t="shared" si="139"/>
        <v>5.6179775280898875E-3</v>
      </c>
      <c r="E226" s="169">
        <f t="shared" si="157"/>
        <v>212</v>
      </c>
      <c r="F226" s="165">
        <f t="shared" si="158"/>
        <v>2169.4350037755289</v>
      </c>
      <c r="G226" s="170">
        <f t="shared" si="174"/>
        <v>1458.720526744245</v>
      </c>
      <c r="H226" s="164" t="str">
        <f t="shared" si="177"/>
        <v>🛵</v>
      </c>
      <c r="I226" s="171" t="str">
        <f t="shared" si="140"/>
        <v>🚴‍♂️</v>
      </c>
      <c r="J226" s="172">
        <f t="shared" si="141"/>
        <v>1017.3116953514366</v>
      </c>
      <c r="K226" s="173">
        <f t="shared" si="142"/>
        <v>0.27287265432555718</v>
      </c>
      <c r="L226" s="174">
        <f t="shared" si="143"/>
        <v>3728.1555305197739</v>
      </c>
      <c r="M226" s="175">
        <f t="shared" si="159"/>
        <v>258634.9420651242</v>
      </c>
      <c r="N226" s="65"/>
      <c r="O226" s="37" t="str">
        <f t="shared" si="136"/>
        <v/>
      </c>
      <c r="P226" s="62" t="str">
        <f t="shared" si="160"/>
        <v/>
      </c>
      <c r="Q226" s="16" t="str">
        <f t="shared" si="144"/>
        <v/>
      </c>
      <c r="R226" s="60">
        <f t="shared" si="161"/>
        <v>178</v>
      </c>
      <c r="S226" s="98">
        <f t="shared" si="162"/>
        <v>441.40883139280851</v>
      </c>
      <c r="T226" s="21">
        <f t="shared" si="163"/>
        <v>1.6999999999999999E-3</v>
      </c>
      <c r="AA226" s="14">
        <f t="shared" si="145"/>
        <v>-3728.1555305197739</v>
      </c>
      <c r="AH226" s="6">
        <f t="shared" si="146"/>
        <v>2</v>
      </c>
      <c r="AI226" s="6">
        <f t="shared" si="147"/>
        <v>6</v>
      </c>
      <c r="AJ226" s="12">
        <f t="shared" si="148"/>
        <v>18</v>
      </c>
      <c r="AK226" s="72">
        <f t="shared" si="138"/>
        <v>30</v>
      </c>
      <c r="AR226">
        <f t="shared" si="164"/>
        <v>25</v>
      </c>
      <c r="AS226">
        <f t="shared" si="165"/>
        <v>75</v>
      </c>
      <c r="AT226" s="183">
        <f t="shared" si="166"/>
        <v>52475</v>
      </c>
      <c r="AU226" s="2">
        <f t="shared" si="167"/>
        <v>5.6179775280898875E-3</v>
      </c>
      <c r="AV226" s="169">
        <f t="shared" si="168"/>
        <v>212</v>
      </c>
      <c r="AW226" s="165">
        <f t="shared" si="169"/>
        <v>2169.4350037755289</v>
      </c>
      <c r="AX226" s="170">
        <f t="shared" si="175"/>
        <v>1458.720526744245</v>
      </c>
      <c r="AY226" s="164" t="str">
        <f t="shared" si="178"/>
        <v>🛵</v>
      </c>
      <c r="AZ226" s="171" t="str">
        <f t="shared" si="149"/>
        <v>🚴‍♂️</v>
      </c>
      <c r="BA226" s="172">
        <f t="shared" si="150"/>
        <v>1017.3116953514366</v>
      </c>
      <c r="BB226" s="173">
        <f t="shared" si="151"/>
        <v>0.27287265432555718</v>
      </c>
      <c r="BC226" s="174">
        <f t="shared" si="152"/>
        <v>3728.1555305197739</v>
      </c>
      <c r="BD226" s="175">
        <f t="shared" si="170"/>
        <v>258634.9420651242</v>
      </c>
      <c r="BE226" s="187"/>
      <c r="BF226" s="177" t="str">
        <f t="shared" si="137"/>
        <v/>
      </c>
      <c r="BG226" s="178" t="str">
        <f t="shared" si="171"/>
        <v/>
      </c>
      <c r="BH226" s="179" t="str">
        <f t="shared" si="153"/>
        <v/>
      </c>
      <c r="BI226" s="180">
        <f t="shared" si="172"/>
        <v>178</v>
      </c>
      <c r="BJ226" s="181">
        <f t="shared" si="176"/>
        <v>441.40883139280851</v>
      </c>
      <c r="BK226" s="182">
        <f t="shared" si="173"/>
        <v>1.6999999999999999E-3</v>
      </c>
    </row>
    <row r="227" spans="1:63" x14ac:dyDescent="0.25">
      <c r="A227" s="7">
        <f t="shared" si="154"/>
        <v>25</v>
      </c>
      <c r="B227" s="7">
        <f t="shared" si="155"/>
        <v>75</v>
      </c>
      <c r="C227" s="115">
        <f t="shared" si="156"/>
        <v>52505</v>
      </c>
      <c r="D227" s="2">
        <f t="shared" si="139"/>
        <v>5.6497175141242938E-3</v>
      </c>
      <c r="E227" s="169">
        <f t="shared" si="157"/>
        <v>213</v>
      </c>
      <c r="F227" s="165">
        <f t="shared" si="158"/>
        <v>2160.935206182085</v>
      </c>
      <c r="G227" s="170">
        <f t="shared" si="174"/>
        <v>1461.2143619498543</v>
      </c>
      <c r="H227" s="164" t="str">
        <f t="shared" si="177"/>
        <v>🛵</v>
      </c>
      <c r="I227" s="171" t="str">
        <f t="shared" si="140"/>
        <v>🚴‍♂️</v>
      </c>
      <c r="J227" s="172">
        <f t="shared" si="141"/>
        <v>1021.5349604391431</v>
      </c>
      <c r="K227" s="173">
        <f t="shared" si="142"/>
        <v>0.27444758512265477</v>
      </c>
      <c r="L227" s="174">
        <f t="shared" si="143"/>
        <v>3722.1495681319393</v>
      </c>
      <c r="M227" s="175">
        <f t="shared" si="159"/>
        <v>257613.40710468506</v>
      </c>
      <c r="N227" s="65"/>
      <c r="O227" s="37" t="str">
        <f t="shared" si="136"/>
        <v/>
      </c>
      <c r="P227" s="62" t="str">
        <f t="shared" si="160"/>
        <v/>
      </c>
      <c r="Q227" s="16" t="str">
        <f t="shared" si="144"/>
        <v/>
      </c>
      <c r="R227" s="60">
        <f t="shared" si="161"/>
        <v>177</v>
      </c>
      <c r="S227" s="98">
        <f t="shared" si="162"/>
        <v>439.6794015107111</v>
      </c>
      <c r="T227" s="21">
        <f t="shared" si="163"/>
        <v>1.6999999999999999E-3</v>
      </c>
      <c r="AA227" s="14">
        <f t="shared" si="145"/>
        <v>-3722.1495681319393</v>
      </c>
      <c r="AH227" s="6">
        <f t="shared" si="146"/>
        <v>2</v>
      </c>
      <c r="AI227" s="6">
        <f t="shared" si="147"/>
        <v>6</v>
      </c>
      <c r="AJ227" s="12">
        <f t="shared" si="148"/>
        <v>18</v>
      </c>
      <c r="AK227" s="72">
        <f t="shared" si="138"/>
        <v>31</v>
      </c>
      <c r="AR227">
        <f t="shared" si="164"/>
        <v>25</v>
      </c>
      <c r="AS227">
        <f t="shared" si="165"/>
        <v>75</v>
      </c>
      <c r="AT227" s="183">
        <f t="shared" si="166"/>
        <v>52505</v>
      </c>
      <c r="AU227" s="2">
        <f t="shared" si="167"/>
        <v>5.6497175141242938E-3</v>
      </c>
      <c r="AV227" s="169">
        <f t="shared" si="168"/>
        <v>213</v>
      </c>
      <c r="AW227" s="165">
        <f t="shared" si="169"/>
        <v>2160.935206182085</v>
      </c>
      <c r="AX227" s="170">
        <f t="shared" si="175"/>
        <v>1461.2143619498543</v>
      </c>
      <c r="AY227" s="164" t="str">
        <f t="shared" si="178"/>
        <v>🛵</v>
      </c>
      <c r="AZ227" s="171" t="str">
        <f t="shared" si="149"/>
        <v>🚴‍♂️</v>
      </c>
      <c r="BA227" s="172">
        <f t="shared" si="150"/>
        <v>1021.5349604391431</v>
      </c>
      <c r="BB227" s="173">
        <f t="shared" si="151"/>
        <v>0.27444758512265477</v>
      </c>
      <c r="BC227" s="174">
        <f t="shared" si="152"/>
        <v>3722.1495681319393</v>
      </c>
      <c r="BD227" s="175">
        <f t="shared" si="170"/>
        <v>257613.40710468506</v>
      </c>
      <c r="BE227" s="187"/>
      <c r="BF227" s="177" t="str">
        <f t="shared" si="137"/>
        <v/>
      </c>
      <c r="BG227" s="178" t="str">
        <f t="shared" si="171"/>
        <v/>
      </c>
      <c r="BH227" s="179" t="str">
        <f t="shared" si="153"/>
        <v/>
      </c>
      <c r="BI227" s="180">
        <f t="shared" si="172"/>
        <v>177</v>
      </c>
      <c r="BJ227" s="181">
        <f t="shared" si="176"/>
        <v>439.6794015107111</v>
      </c>
      <c r="BK227" s="182">
        <f t="shared" si="173"/>
        <v>1.6999999999999999E-3</v>
      </c>
    </row>
    <row r="228" spans="1:63" x14ac:dyDescent="0.25">
      <c r="A228" s="7">
        <f t="shared" si="154"/>
        <v>25</v>
      </c>
      <c r="B228" s="7">
        <f t="shared" si="155"/>
        <v>75</v>
      </c>
      <c r="C228" s="115">
        <f t="shared" si="156"/>
        <v>52536</v>
      </c>
      <c r="D228" s="2">
        <f t="shared" si="139"/>
        <v>5.681818181818182E-3</v>
      </c>
      <c r="E228" s="169">
        <f t="shared" si="157"/>
        <v>214</v>
      </c>
      <c r="F228" s="165">
        <f t="shared" si="158"/>
        <v>2152.4001225513398</v>
      </c>
      <c r="G228" s="170">
        <f t="shared" si="174"/>
        <v>1463.7125403675288</v>
      </c>
      <c r="H228" s="164" t="str">
        <f t="shared" si="177"/>
        <v>🛵</v>
      </c>
      <c r="I228" s="171" t="str">
        <f t="shared" si="140"/>
        <v>🚴‍♂️</v>
      </c>
      <c r="J228" s="172">
        <f t="shared" si="141"/>
        <v>1025.7697482895642</v>
      </c>
      <c r="K228" s="173">
        <f t="shared" si="142"/>
        <v>0.27603300581416179</v>
      </c>
      <c r="L228" s="174">
        <f t="shared" si="143"/>
        <v>3716.1126629188684</v>
      </c>
      <c r="M228" s="175">
        <f t="shared" si="159"/>
        <v>256587.63735639548</v>
      </c>
      <c r="N228" s="65"/>
      <c r="O228" s="37" t="str">
        <f t="shared" si="136"/>
        <v/>
      </c>
      <c r="P228" s="62" t="str">
        <f t="shared" si="160"/>
        <v/>
      </c>
      <c r="Q228" s="16" t="str">
        <f t="shared" si="144"/>
        <v/>
      </c>
      <c r="R228" s="60">
        <f t="shared" si="161"/>
        <v>176</v>
      </c>
      <c r="S228" s="98">
        <f t="shared" si="162"/>
        <v>437.94279207796455</v>
      </c>
      <c r="T228" s="21">
        <f t="shared" si="163"/>
        <v>1.6999999999999999E-3</v>
      </c>
      <c r="AA228" s="14">
        <f t="shared" si="145"/>
        <v>-3716.1126629188684</v>
      </c>
      <c r="AH228" s="6">
        <f t="shared" si="146"/>
        <v>2</v>
      </c>
      <c r="AI228" s="6">
        <f t="shared" si="147"/>
        <v>6</v>
      </c>
      <c r="AJ228" s="12">
        <f t="shared" si="148"/>
        <v>18</v>
      </c>
      <c r="AK228" s="72">
        <f t="shared" si="138"/>
        <v>30</v>
      </c>
      <c r="AR228">
        <f t="shared" si="164"/>
        <v>25</v>
      </c>
      <c r="AS228">
        <f t="shared" si="165"/>
        <v>75</v>
      </c>
      <c r="AT228" s="183">
        <f t="shared" si="166"/>
        <v>52536</v>
      </c>
      <c r="AU228" s="2">
        <f t="shared" si="167"/>
        <v>5.681818181818182E-3</v>
      </c>
      <c r="AV228" s="169">
        <f t="shared" si="168"/>
        <v>214</v>
      </c>
      <c r="AW228" s="165">
        <f t="shared" si="169"/>
        <v>2152.4001225513398</v>
      </c>
      <c r="AX228" s="170">
        <f t="shared" si="175"/>
        <v>1463.7125403675288</v>
      </c>
      <c r="AY228" s="164" t="str">
        <f t="shared" si="178"/>
        <v>🛵</v>
      </c>
      <c r="AZ228" s="171" t="str">
        <f t="shared" si="149"/>
        <v>🚴‍♂️</v>
      </c>
      <c r="BA228" s="172">
        <f t="shared" si="150"/>
        <v>1025.7697482895642</v>
      </c>
      <c r="BB228" s="173">
        <f t="shared" si="151"/>
        <v>0.27603300581416179</v>
      </c>
      <c r="BC228" s="174">
        <f t="shared" si="152"/>
        <v>3716.1126629188684</v>
      </c>
      <c r="BD228" s="175">
        <f t="shared" si="170"/>
        <v>256587.63735639548</v>
      </c>
      <c r="BE228" s="187"/>
      <c r="BF228" s="177" t="str">
        <f t="shared" si="137"/>
        <v/>
      </c>
      <c r="BG228" s="178" t="str">
        <f t="shared" si="171"/>
        <v/>
      </c>
      <c r="BH228" s="179" t="str">
        <f t="shared" si="153"/>
        <v/>
      </c>
      <c r="BI228" s="180">
        <f t="shared" si="172"/>
        <v>176</v>
      </c>
      <c r="BJ228" s="181">
        <f t="shared" si="176"/>
        <v>437.94279207796455</v>
      </c>
      <c r="BK228" s="182">
        <f t="shared" si="173"/>
        <v>1.6999999999999999E-3</v>
      </c>
    </row>
    <row r="229" spans="1:63" x14ac:dyDescent="0.25">
      <c r="A229" s="7">
        <f t="shared" si="154"/>
        <v>25</v>
      </c>
      <c r="B229" s="7">
        <f t="shared" si="155"/>
        <v>75</v>
      </c>
      <c r="C229" s="115">
        <f t="shared" si="156"/>
        <v>52566</v>
      </c>
      <c r="D229" s="2">
        <f t="shared" si="139"/>
        <v>5.7142857142857143E-3</v>
      </c>
      <c r="E229" s="169">
        <f t="shared" si="157"/>
        <v>215</v>
      </c>
      <c r="F229" s="165">
        <f t="shared" si="158"/>
        <v>2143.829656608817</v>
      </c>
      <c r="G229" s="170">
        <f t="shared" si="174"/>
        <v>1466.2150706079742</v>
      </c>
      <c r="H229" s="164" t="str">
        <f t="shared" si="177"/>
        <v>🛵</v>
      </c>
      <c r="I229" s="171" t="str">
        <f t="shared" si="140"/>
        <v>🚴‍♂️</v>
      </c>
      <c r="J229" s="172">
        <f t="shared" si="141"/>
        <v>1030.0160871021019</v>
      </c>
      <c r="K229" s="173">
        <f t="shared" si="142"/>
        <v>0.27762902143629986</v>
      </c>
      <c r="L229" s="174">
        <f t="shared" si="143"/>
        <v>3710.0447272167912</v>
      </c>
      <c r="M229" s="175">
        <f t="shared" si="159"/>
        <v>255557.62126929336</v>
      </c>
      <c r="N229" s="65"/>
      <c r="O229" s="37" t="str">
        <f t="shared" si="136"/>
        <v/>
      </c>
      <c r="P229" s="62" t="str">
        <f t="shared" si="160"/>
        <v/>
      </c>
      <c r="Q229" s="16" t="str">
        <f t="shared" si="144"/>
        <v/>
      </c>
      <c r="R229" s="60">
        <f t="shared" si="161"/>
        <v>175</v>
      </c>
      <c r="S229" s="98">
        <f t="shared" si="162"/>
        <v>436.19898350587232</v>
      </c>
      <c r="T229" s="21">
        <f t="shared" si="163"/>
        <v>1.6999999999999999E-3</v>
      </c>
      <c r="AA229" s="14">
        <f t="shared" si="145"/>
        <v>-3710.0447272167912</v>
      </c>
      <c r="AH229" s="6">
        <f t="shared" si="146"/>
        <v>2</v>
      </c>
      <c r="AI229" s="6">
        <f t="shared" si="147"/>
        <v>6</v>
      </c>
      <c r="AJ229" s="12">
        <f t="shared" si="148"/>
        <v>18</v>
      </c>
      <c r="AK229" s="72">
        <f t="shared" si="138"/>
        <v>31</v>
      </c>
      <c r="AR229">
        <f t="shared" si="164"/>
        <v>25</v>
      </c>
      <c r="AS229">
        <f t="shared" si="165"/>
        <v>75</v>
      </c>
      <c r="AT229" s="183">
        <f t="shared" si="166"/>
        <v>52566</v>
      </c>
      <c r="AU229" s="2">
        <f t="shared" si="167"/>
        <v>5.7142857142857143E-3</v>
      </c>
      <c r="AV229" s="169">
        <f t="shared" si="168"/>
        <v>215</v>
      </c>
      <c r="AW229" s="165">
        <f t="shared" si="169"/>
        <v>2143.829656608817</v>
      </c>
      <c r="AX229" s="170">
        <f t="shared" si="175"/>
        <v>1466.2150706079742</v>
      </c>
      <c r="AY229" s="164" t="str">
        <f t="shared" si="178"/>
        <v>🛵</v>
      </c>
      <c r="AZ229" s="171" t="str">
        <f t="shared" si="149"/>
        <v>🚴‍♂️</v>
      </c>
      <c r="BA229" s="172">
        <f t="shared" si="150"/>
        <v>1030.0160871021019</v>
      </c>
      <c r="BB229" s="173">
        <f t="shared" si="151"/>
        <v>0.27762902143629986</v>
      </c>
      <c r="BC229" s="174">
        <f t="shared" si="152"/>
        <v>3710.0447272167912</v>
      </c>
      <c r="BD229" s="175">
        <f t="shared" si="170"/>
        <v>255557.62126929336</v>
      </c>
      <c r="BE229" s="187"/>
      <c r="BF229" s="177" t="str">
        <f t="shared" si="137"/>
        <v/>
      </c>
      <c r="BG229" s="178" t="str">
        <f t="shared" si="171"/>
        <v/>
      </c>
      <c r="BH229" s="179" t="str">
        <f t="shared" si="153"/>
        <v/>
      </c>
      <c r="BI229" s="180">
        <f t="shared" si="172"/>
        <v>175</v>
      </c>
      <c r="BJ229" s="181">
        <f t="shared" si="176"/>
        <v>436.19898350587232</v>
      </c>
      <c r="BK229" s="182">
        <f t="shared" si="173"/>
        <v>1.6999999999999999E-3</v>
      </c>
    </row>
    <row r="230" spans="1:63" x14ac:dyDescent="0.25">
      <c r="A230" s="7">
        <f t="shared" si="154"/>
        <v>25</v>
      </c>
      <c r="B230" s="7">
        <f t="shared" si="155"/>
        <v>75</v>
      </c>
      <c r="C230" s="115">
        <f t="shared" si="156"/>
        <v>52597</v>
      </c>
      <c r="D230" s="2">
        <f t="shared" si="139"/>
        <v>5.7471264367816091E-3</v>
      </c>
      <c r="E230" s="169">
        <f t="shared" si="157"/>
        <v>216</v>
      </c>
      <c r="F230" s="165">
        <f t="shared" si="158"/>
        <v>2135.22371184443</v>
      </c>
      <c r="G230" s="170">
        <f t="shared" si="174"/>
        <v>1468.7219613177779</v>
      </c>
      <c r="H230" s="164" t="str">
        <f t="shared" si="177"/>
        <v>🛵</v>
      </c>
      <c r="I230" s="171" t="str">
        <f t="shared" si="140"/>
        <v>🚴‍♂️</v>
      </c>
      <c r="J230" s="172">
        <f t="shared" si="141"/>
        <v>1034.2740051599792</v>
      </c>
      <c r="K230" s="173">
        <f t="shared" si="142"/>
        <v>0.27923573843268001</v>
      </c>
      <c r="L230" s="174">
        <f t="shared" si="143"/>
        <v>3703.9456731622076</v>
      </c>
      <c r="M230" s="175">
        <f t="shared" si="159"/>
        <v>254523.34726413336</v>
      </c>
      <c r="N230" s="65"/>
      <c r="O230" s="37" t="str">
        <f t="shared" si="136"/>
        <v/>
      </c>
      <c r="P230" s="62" t="str">
        <f t="shared" si="160"/>
        <v/>
      </c>
      <c r="Q230" s="16" t="str">
        <f t="shared" si="144"/>
        <v/>
      </c>
      <c r="R230" s="60">
        <f t="shared" si="161"/>
        <v>174</v>
      </c>
      <c r="S230" s="98">
        <f t="shared" si="162"/>
        <v>434.44795615779867</v>
      </c>
      <c r="T230" s="21">
        <f t="shared" si="163"/>
        <v>1.6999999999999999E-3</v>
      </c>
      <c r="AA230" s="14">
        <f t="shared" si="145"/>
        <v>-3703.9456731622076</v>
      </c>
      <c r="AH230" s="6">
        <f t="shared" si="146"/>
        <v>2</v>
      </c>
      <c r="AI230" s="6">
        <f t="shared" si="147"/>
        <v>6</v>
      </c>
      <c r="AJ230" s="12">
        <f t="shared" si="148"/>
        <v>18</v>
      </c>
      <c r="AK230" s="72">
        <f t="shared" si="138"/>
        <v>31</v>
      </c>
      <c r="AR230">
        <f t="shared" si="164"/>
        <v>25</v>
      </c>
      <c r="AS230">
        <f t="shared" si="165"/>
        <v>75</v>
      </c>
      <c r="AT230" s="183">
        <f t="shared" si="166"/>
        <v>52597</v>
      </c>
      <c r="AU230" s="2">
        <f t="shared" si="167"/>
        <v>5.7471264367816091E-3</v>
      </c>
      <c r="AV230" s="169">
        <f t="shared" si="168"/>
        <v>216</v>
      </c>
      <c r="AW230" s="165">
        <f t="shared" si="169"/>
        <v>2135.22371184443</v>
      </c>
      <c r="AX230" s="170">
        <f t="shared" si="175"/>
        <v>1468.7219613177779</v>
      </c>
      <c r="AY230" s="164" t="str">
        <f t="shared" si="178"/>
        <v>🛵</v>
      </c>
      <c r="AZ230" s="171" t="str">
        <f t="shared" si="149"/>
        <v>🚴‍♂️</v>
      </c>
      <c r="BA230" s="172">
        <f t="shared" si="150"/>
        <v>1034.2740051599792</v>
      </c>
      <c r="BB230" s="173">
        <f t="shared" si="151"/>
        <v>0.27923573843268001</v>
      </c>
      <c r="BC230" s="174">
        <f t="shared" si="152"/>
        <v>3703.9456731622076</v>
      </c>
      <c r="BD230" s="175">
        <f t="shared" si="170"/>
        <v>254523.34726413336</v>
      </c>
      <c r="BE230" s="187"/>
      <c r="BF230" s="177" t="str">
        <f t="shared" si="137"/>
        <v/>
      </c>
      <c r="BG230" s="178" t="str">
        <f t="shared" si="171"/>
        <v/>
      </c>
      <c r="BH230" s="179" t="str">
        <f t="shared" si="153"/>
        <v/>
      </c>
      <c r="BI230" s="180">
        <f t="shared" si="172"/>
        <v>174</v>
      </c>
      <c r="BJ230" s="181">
        <f t="shared" si="176"/>
        <v>434.44795615779867</v>
      </c>
      <c r="BK230" s="182">
        <f t="shared" si="173"/>
        <v>1.6999999999999999E-3</v>
      </c>
    </row>
    <row r="231" spans="1:63" x14ac:dyDescent="0.25">
      <c r="A231" s="7">
        <f t="shared" si="154"/>
        <v>25</v>
      </c>
      <c r="B231" s="7">
        <f t="shared" si="155"/>
        <v>75</v>
      </c>
      <c r="C231" s="115">
        <f t="shared" si="156"/>
        <v>52628</v>
      </c>
      <c r="D231" s="2">
        <f t="shared" si="139"/>
        <v>5.7803468208092483E-3</v>
      </c>
      <c r="E231" s="169">
        <f t="shared" si="157"/>
        <v>217</v>
      </c>
      <c r="F231" s="165">
        <f t="shared" si="158"/>
        <v>2126.5821915117813</v>
      </c>
      <c r="G231" s="170">
        <f t="shared" si="174"/>
        <v>1471.2332211799617</v>
      </c>
      <c r="H231" s="164" t="str">
        <f t="shared" si="177"/>
        <v>🛵</v>
      </c>
      <c r="I231" s="171" t="str">
        <f t="shared" si="140"/>
        <v>🚴‍♂️</v>
      </c>
      <c r="J231" s="172">
        <f t="shared" si="141"/>
        <v>1038.543530830935</v>
      </c>
      <c r="K231" s="173">
        <f t="shared" si="142"/>
        <v>0.28085326467795485</v>
      </c>
      <c r="L231" s="174">
        <f t="shared" si="143"/>
        <v>3697.8154126917429</v>
      </c>
      <c r="M231" s="175">
        <f t="shared" si="159"/>
        <v>253484.80373330243</v>
      </c>
      <c r="N231" s="65"/>
      <c r="O231" s="37" t="str">
        <f t="shared" si="136"/>
        <v/>
      </c>
      <c r="P231" s="62" t="str">
        <f t="shared" si="160"/>
        <v/>
      </c>
      <c r="Q231" s="16" t="str">
        <f t="shared" si="144"/>
        <v/>
      </c>
      <c r="R231" s="60">
        <f t="shared" si="161"/>
        <v>173</v>
      </c>
      <c r="S231" s="98">
        <f t="shared" si="162"/>
        <v>432.68969034902671</v>
      </c>
      <c r="T231" s="21">
        <f t="shared" si="163"/>
        <v>1.6999999999999999E-3</v>
      </c>
      <c r="AA231" s="14">
        <f t="shared" si="145"/>
        <v>-3697.8154126917429</v>
      </c>
      <c r="AH231" s="6">
        <f t="shared" si="146"/>
        <v>2</v>
      </c>
      <c r="AI231" s="6">
        <f t="shared" si="147"/>
        <v>7</v>
      </c>
      <c r="AJ231" s="12">
        <f t="shared" si="148"/>
        <v>19</v>
      </c>
      <c r="AK231" s="72">
        <f t="shared" si="138"/>
        <v>29</v>
      </c>
      <c r="AR231">
        <f t="shared" si="164"/>
        <v>25</v>
      </c>
      <c r="AS231">
        <f t="shared" si="165"/>
        <v>75</v>
      </c>
      <c r="AT231" s="183">
        <f t="shared" si="166"/>
        <v>52628</v>
      </c>
      <c r="AU231" s="2">
        <f t="shared" si="167"/>
        <v>5.7803468208092483E-3</v>
      </c>
      <c r="AV231" s="169">
        <f t="shared" si="168"/>
        <v>217</v>
      </c>
      <c r="AW231" s="165">
        <f t="shared" si="169"/>
        <v>2126.5821915117813</v>
      </c>
      <c r="AX231" s="170">
        <f t="shared" si="175"/>
        <v>1471.2332211799617</v>
      </c>
      <c r="AY231" s="164" t="str">
        <f t="shared" si="178"/>
        <v>🛵</v>
      </c>
      <c r="AZ231" s="171" t="str">
        <f t="shared" si="149"/>
        <v>🚴‍♂️</v>
      </c>
      <c r="BA231" s="172">
        <f t="shared" si="150"/>
        <v>1038.543530830935</v>
      </c>
      <c r="BB231" s="173">
        <f t="shared" si="151"/>
        <v>0.28085326467795485</v>
      </c>
      <c r="BC231" s="174">
        <f t="shared" si="152"/>
        <v>3697.8154126917429</v>
      </c>
      <c r="BD231" s="175">
        <f t="shared" si="170"/>
        <v>253484.80373330243</v>
      </c>
      <c r="BE231" s="187"/>
      <c r="BF231" s="177" t="str">
        <f t="shared" si="137"/>
        <v/>
      </c>
      <c r="BG231" s="178" t="str">
        <f t="shared" si="171"/>
        <v/>
      </c>
      <c r="BH231" s="179" t="str">
        <f t="shared" si="153"/>
        <v/>
      </c>
      <c r="BI231" s="180">
        <f t="shared" si="172"/>
        <v>173</v>
      </c>
      <c r="BJ231" s="181">
        <f t="shared" si="176"/>
        <v>432.68969034902671</v>
      </c>
      <c r="BK231" s="182">
        <f t="shared" si="173"/>
        <v>1.6999999999999999E-3</v>
      </c>
    </row>
    <row r="232" spans="1:63" x14ac:dyDescent="0.25">
      <c r="A232" s="7">
        <f t="shared" si="154"/>
        <v>25</v>
      </c>
      <c r="B232" s="7">
        <f t="shared" si="155"/>
        <v>75</v>
      </c>
      <c r="C232" s="115">
        <f t="shared" si="156"/>
        <v>52657</v>
      </c>
      <c r="D232" s="2">
        <f t="shared" si="139"/>
        <v>5.8139534883720929E-3</v>
      </c>
      <c r="E232" s="169">
        <f t="shared" si="157"/>
        <v>218</v>
      </c>
      <c r="F232" s="165">
        <f t="shared" si="158"/>
        <v>2117.9049986274567</v>
      </c>
      <c r="G232" s="170">
        <f t="shared" si="174"/>
        <v>1473.7488589145489</v>
      </c>
      <c r="H232" s="164" t="str">
        <f t="shared" si="177"/>
        <v>🛵</v>
      </c>
      <c r="I232" s="171" t="str">
        <f t="shared" si="140"/>
        <v>🚴‍♂️</v>
      </c>
      <c r="J232" s="172">
        <f t="shared" si="141"/>
        <v>1042.8246925679348</v>
      </c>
      <c r="K232" s="173">
        <f t="shared" si="142"/>
        <v>0.28248170950195023</v>
      </c>
      <c r="L232" s="174">
        <f t="shared" si="143"/>
        <v>3691.6538575420054</v>
      </c>
      <c r="M232" s="175">
        <f t="shared" si="159"/>
        <v>252441.9790407345</v>
      </c>
      <c r="N232" s="65"/>
      <c r="O232" s="37" t="str">
        <f t="shared" si="136"/>
        <v/>
      </c>
      <c r="P232" s="62" t="str">
        <f t="shared" si="160"/>
        <v/>
      </c>
      <c r="Q232" s="16" t="str">
        <f t="shared" si="144"/>
        <v/>
      </c>
      <c r="R232" s="60">
        <f t="shared" si="161"/>
        <v>172</v>
      </c>
      <c r="S232" s="98">
        <f t="shared" si="162"/>
        <v>430.92416634661407</v>
      </c>
      <c r="T232" s="21">
        <f t="shared" si="163"/>
        <v>1.6999999999999999E-3</v>
      </c>
      <c r="AA232" s="14">
        <f t="shared" si="145"/>
        <v>-3691.6538575420054</v>
      </c>
      <c r="AH232" s="6">
        <f t="shared" si="146"/>
        <v>2</v>
      </c>
      <c r="AI232" s="6">
        <f t="shared" si="147"/>
        <v>7</v>
      </c>
      <c r="AJ232" s="12">
        <f t="shared" si="148"/>
        <v>19</v>
      </c>
      <c r="AK232" s="72">
        <f t="shared" si="138"/>
        <v>31</v>
      </c>
      <c r="AR232">
        <f t="shared" si="164"/>
        <v>25</v>
      </c>
      <c r="AS232">
        <f t="shared" si="165"/>
        <v>75</v>
      </c>
      <c r="AT232" s="183">
        <f t="shared" si="166"/>
        <v>52657</v>
      </c>
      <c r="AU232" s="2">
        <f t="shared" si="167"/>
        <v>5.8139534883720929E-3</v>
      </c>
      <c r="AV232" s="169">
        <f t="shared" si="168"/>
        <v>218</v>
      </c>
      <c r="AW232" s="165">
        <f t="shared" si="169"/>
        <v>2117.9049986274567</v>
      </c>
      <c r="AX232" s="170">
        <f t="shared" si="175"/>
        <v>1473.7488589145489</v>
      </c>
      <c r="AY232" s="164" t="str">
        <f t="shared" si="178"/>
        <v>🛵</v>
      </c>
      <c r="AZ232" s="171" t="str">
        <f t="shared" si="149"/>
        <v>🚴‍♂️</v>
      </c>
      <c r="BA232" s="172">
        <f t="shared" si="150"/>
        <v>1042.8246925679348</v>
      </c>
      <c r="BB232" s="173">
        <f t="shared" si="151"/>
        <v>0.28248170950195023</v>
      </c>
      <c r="BC232" s="174">
        <f t="shared" si="152"/>
        <v>3691.6538575420054</v>
      </c>
      <c r="BD232" s="175">
        <f t="shared" si="170"/>
        <v>252441.9790407345</v>
      </c>
      <c r="BE232" s="187"/>
      <c r="BF232" s="177" t="str">
        <f t="shared" si="137"/>
        <v/>
      </c>
      <c r="BG232" s="178" t="str">
        <f t="shared" si="171"/>
        <v/>
      </c>
      <c r="BH232" s="179" t="str">
        <f t="shared" si="153"/>
        <v/>
      </c>
      <c r="BI232" s="180">
        <f t="shared" si="172"/>
        <v>172</v>
      </c>
      <c r="BJ232" s="181">
        <f t="shared" si="176"/>
        <v>430.92416634661407</v>
      </c>
      <c r="BK232" s="182">
        <f t="shared" si="173"/>
        <v>1.6999999999999999E-3</v>
      </c>
    </row>
    <row r="233" spans="1:63" x14ac:dyDescent="0.25">
      <c r="A233" s="7">
        <f t="shared" si="154"/>
        <v>25</v>
      </c>
      <c r="B233" s="7">
        <f t="shared" si="155"/>
        <v>75</v>
      </c>
      <c r="C233" s="115">
        <f t="shared" si="156"/>
        <v>52688</v>
      </c>
      <c r="D233" s="2">
        <f t="shared" si="139"/>
        <v>5.8479532163742687E-3</v>
      </c>
      <c r="E233" s="169">
        <f t="shared" si="157"/>
        <v>219</v>
      </c>
      <c r="F233" s="165">
        <f t="shared" si="158"/>
        <v>2109.1920359703126</v>
      </c>
      <c r="G233" s="170">
        <f t="shared" si="174"/>
        <v>1476.2688832791491</v>
      </c>
      <c r="H233" s="164" t="str">
        <f t="shared" si="177"/>
        <v>🛵</v>
      </c>
      <c r="I233" s="171" t="str">
        <f t="shared" si="140"/>
        <v>🚴‍♂️</v>
      </c>
      <c r="J233" s="172">
        <f t="shared" si="141"/>
        <v>1047.1175189099006</v>
      </c>
      <c r="K233" s="173">
        <f t="shared" si="142"/>
        <v>0.2841211837142868</v>
      </c>
      <c r="L233" s="174">
        <f t="shared" si="143"/>
        <v>3685.4609192494618</v>
      </c>
      <c r="M233" s="175">
        <f t="shared" si="159"/>
        <v>251394.86152182461</v>
      </c>
      <c r="N233" s="65"/>
      <c r="O233" s="37" t="str">
        <f t="shared" si="136"/>
        <v/>
      </c>
      <c r="P233" s="62" t="str">
        <f t="shared" si="160"/>
        <v/>
      </c>
      <c r="Q233" s="16" t="str">
        <f t="shared" si="144"/>
        <v/>
      </c>
      <c r="R233" s="60">
        <f t="shared" si="161"/>
        <v>171</v>
      </c>
      <c r="S233" s="98">
        <f t="shared" si="162"/>
        <v>429.1513643692486</v>
      </c>
      <c r="T233" s="21">
        <f t="shared" si="163"/>
        <v>1.6999999999999999E-3</v>
      </c>
      <c r="AA233" s="14">
        <f t="shared" si="145"/>
        <v>-3685.4609192494618</v>
      </c>
      <c r="AH233" s="6">
        <f t="shared" si="146"/>
        <v>2</v>
      </c>
      <c r="AI233" s="6">
        <f t="shared" si="147"/>
        <v>7</v>
      </c>
      <c r="AJ233" s="12">
        <f t="shared" si="148"/>
        <v>19</v>
      </c>
      <c r="AK233" s="72">
        <f t="shared" si="138"/>
        <v>30</v>
      </c>
      <c r="AR233">
        <f t="shared" si="164"/>
        <v>25</v>
      </c>
      <c r="AS233">
        <f t="shared" si="165"/>
        <v>75</v>
      </c>
      <c r="AT233" s="183">
        <f t="shared" si="166"/>
        <v>52688</v>
      </c>
      <c r="AU233" s="2">
        <f t="shared" si="167"/>
        <v>5.8479532163742687E-3</v>
      </c>
      <c r="AV233" s="169">
        <f t="shared" si="168"/>
        <v>219</v>
      </c>
      <c r="AW233" s="165">
        <f t="shared" si="169"/>
        <v>2109.1920359703126</v>
      </c>
      <c r="AX233" s="170">
        <f t="shared" si="175"/>
        <v>1476.2688832791491</v>
      </c>
      <c r="AY233" s="164" t="str">
        <f t="shared" si="178"/>
        <v>🛵</v>
      </c>
      <c r="AZ233" s="171" t="str">
        <f t="shared" si="149"/>
        <v>🚴‍♂️</v>
      </c>
      <c r="BA233" s="172">
        <f t="shared" si="150"/>
        <v>1047.1175189099006</v>
      </c>
      <c r="BB233" s="173">
        <f t="shared" si="151"/>
        <v>0.2841211837142868</v>
      </c>
      <c r="BC233" s="174">
        <f t="shared" si="152"/>
        <v>3685.4609192494618</v>
      </c>
      <c r="BD233" s="175">
        <f t="shared" si="170"/>
        <v>251394.86152182461</v>
      </c>
      <c r="BE233" s="187"/>
      <c r="BF233" s="177" t="str">
        <f t="shared" si="137"/>
        <v/>
      </c>
      <c r="BG233" s="178" t="str">
        <f t="shared" si="171"/>
        <v/>
      </c>
      <c r="BH233" s="179" t="str">
        <f t="shared" si="153"/>
        <v/>
      </c>
      <c r="BI233" s="180">
        <f t="shared" si="172"/>
        <v>171</v>
      </c>
      <c r="BJ233" s="181">
        <f t="shared" si="176"/>
        <v>429.1513643692486</v>
      </c>
      <c r="BK233" s="182">
        <f t="shared" si="173"/>
        <v>1.6999999999999999E-3</v>
      </c>
    </row>
    <row r="234" spans="1:63" x14ac:dyDescent="0.25">
      <c r="A234" s="7">
        <f t="shared" si="154"/>
        <v>25</v>
      </c>
      <c r="B234" s="7">
        <f t="shared" si="155"/>
        <v>75</v>
      </c>
      <c r="C234" s="115">
        <f t="shared" si="156"/>
        <v>52718</v>
      </c>
      <c r="D234" s="2">
        <f t="shared" si="139"/>
        <v>5.8823529411764705E-3</v>
      </c>
      <c r="E234" s="169">
        <f t="shared" si="157"/>
        <v>220</v>
      </c>
      <c r="F234" s="165">
        <f t="shared" si="158"/>
        <v>2100.4432060807585</v>
      </c>
      <c r="G234" s="170">
        <f t="shared" si="174"/>
        <v>1478.7933030695565</v>
      </c>
      <c r="H234" s="164" t="str">
        <f t="shared" si="177"/>
        <v>🛵</v>
      </c>
      <c r="I234" s="171" t="str">
        <f t="shared" si="140"/>
        <v>🚴‍♂️</v>
      </c>
      <c r="J234" s="172">
        <f t="shared" si="141"/>
        <v>1051.4220384824548</v>
      </c>
      <c r="K234" s="173">
        <f t="shared" si="142"/>
        <v>0.28577179962950267</v>
      </c>
      <c r="L234" s="174">
        <f t="shared" si="143"/>
        <v>3679.2365091503152</v>
      </c>
      <c r="M234" s="175">
        <f t="shared" si="159"/>
        <v>250343.43948334217</v>
      </c>
      <c r="N234" s="65"/>
      <c r="O234" s="37" t="str">
        <f t="shared" si="136"/>
        <v/>
      </c>
      <c r="P234" s="62" t="str">
        <f t="shared" si="160"/>
        <v/>
      </c>
      <c r="Q234" s="16" t="str">
        <f t="shared" si="144"/>
        <v/>
      </c>
      <c r="R234" s="60">
        <f t="shared" si="161"/>
        <v>170</v>
      </c>
      <c r="S234" s="98">
        <f t="shared" si="162"/>
        <v>427.37126458710179</v>
      </c>
      <c r="T234" s="21">
        <f t="shared" si="163"/>
        <v>1.6999999999999999E-3</v>
      </c>
      <c r="AA234" s="14">
        <f t="shared" si="145"/>
        <v>-3679.2365091503152</v>
      </c>
      <c r="AH234" s="6">
        <f t="shared" si="146"/>
        <v>2</v>
      </c>
      <c r="AI234" s="6">
        <f t="shared" si="147"/>
        <v>7</v>
      </c>
      <c r="AJ234" s="12">
        <f t="shared" si="148"/>
        <v>19</v>
      </c>
      <c r="AK234" s="72">
        <f t="shared" si="138"/>
        <v>31</v>
      </c>
      <c r="AR234">
        <f t="shared" si="164"/>
        <v>25</v>
      </c>
      <c r="AS234">
        <f t="shared" si="165"/>
        <v>75</v>
      </c>
      <c r="AT234" s="183">
        <f t="shared" si="166"/>
        <v>52718</v>
      </c>
      <c r="AU234" s="2">
        <f t="shared" si="167"/>
        <v>5.8823529411764705E-3</v>
      </c>
      <c r="AV234" s="169">
        <f t="shared" si="168"/>
        <v>220</v>
      </c>
      <c r="AW234" s="165">
        <f t="shared" si="169"/>
        <v>2100.4432060807585</v>
      </c>
      <c r="AX234" s="170">
        <f t="shared" si="175"/>
        <v>1478.7933030695565</v>
      </c>
      <c r="AY234" s="164" t="str">
        <f t="shared" si="178"/>
        <v>🛵</v>
      </c>
      <c r="AZ234" s="171" t="str">
        <f t="shared" si="149"/>
        <v>🚴‍♂️</v>
      </c>
      <c r="BA234" s="172">
        <f t="shared" si="150"/>
        <v>1051.4220384824548</v>
      </c>
      <c r="BB234" s="173">
        <f t="shared" si="151"/>
        <v>0.28577179962950267</v>
      </c>
      <c r="BC234" s="174">
        <f t="shared" si="152"/>
        <v>3679.2365091503152</v>
      </c>
      <c r="BD234" s="175">
        <f t="shared" si="170"/>
        <v>250343.43948334217</v>
      </c>
      <c r="BE234" s="187"/>
      <c r="BF234" s="177" t="str">
        <f t="shared" si="137"/>
        <v/>
      </c>
      <c r="BG234" s="178" t="str">
        <f t="shared" si="171"/>
        <v/>
      </c>
      <c r="BH234" s="179" t="str">
        <f t="shared" si="153"/>
        <v/>
      </c>
      <c r="BI234" s="180">
        <f t="shared" si="172"/>
        <v>170</v>
      </c>
      <c r="BJ234" s="181">
        <f t="shared" si="176"/>
        <v>427.37126458710179</v>
      </c>
      <c r="BK234" s="182">
        <f t="shared" si="173"/>
        <v>1.6999999999999999E-3</v>
      </c>
    </row>
    <row r="235" spans="1:63" x14ac:dyDescent="0.25">
      <c r="A235" s="7">
        <f t="shared" si="154"/>
        <v>25</v>
      </c>
      <c r="B235" s="7">
        <f t="shared" si="155"/>
        <v>75</v>
      </c>
      <c r="C235" s="115">
        <f t="shared" si="156"/>
        <v>52749</v>
      </c>
      <c r="D235" s="2">
        <f t="shared" si="139"/>
        <v>5.9171597633136093E-3</v>
      </c>
      <c r="E235" s="169">
        <f t="shared" si="157"/>
        <v>221</v>
      </c>
      <c r="F235" s="165">
        <f t="shared" si="158"/>
        <v>2091.6584112600326</v>
      </c>
      <c r="G235" s="170">
        <f t="shared" si="174"/>
        <v>1481.3221271203679</v>
      </c>
      <c r="H235" s="164" t="str">
        <f t="shared" si="177"/>
        <v>🛵</v>
      </c>
      <c r="I235" s="171" t="str">
        <f t="shared" si="140"/>
        <v>🚴‍♂️</v>
      </c>
      <c r="J235" s="172">
        <f t="shared" si="141"/>
        <v>1055.7382799986863</v>
      </c>
      <c r="K235" s="173">
        <f t="shared" si="142"/>
        <v>0.28743367109269075</v>
      </c>
      <c r="L235" s="174">
        <f t="shared" si="143"/>
        <v>3672.9805383804005</v>
      </c>
      <c r="M235" s="175">
        <f t="shared" si="159"/>
        <v>249287.70120334349</v>
      </c>
      <c r="N235" s="65"/>
      <c r="O235" s="37" t="str">
        <f t="shared" si="136"/>
        <v/>
      </c>
      <c r="P235" s="62" t="str">
        <f t="shared" si="160"/>
        <v/>
      </c>
      <c r="Q235" s="16" t="str">
        <f t="shared" si="144"/>
        <v/>
      </c>
      <c r="R235" s="60">
        <f t="shared" si="161"/>
        <v>169</v>
      </c>
      <c r="S235" s="98">
        <f t="shared" si="162"/>
        <v>425.58384712168169</v>
      </c>
      <c r="T235" s="21">
        <f t="shared" si="163"/>
        <v>1.6999999999999999E-3</v>
      </c>
      <c r="AA235" s="14">
        <f t="shared" si="145"/>
        <v>-3672.9805383804005</v>
      </c>
      <c r="AH235" s="6">
        <f t="shared" si="146"/>
        <v>2</v>
      </c>
      <c r="AI235" s="6">
        <f t="shared" si="147"/>
        <v>7</v>
      </c>
      <c r="AJ235" s="12">
        <f t="shared" si="148"/>
        <v>19</v>
      </c>
      <c r="AK235" s="72">
        <f t="shared" si="138"/>
        <v>30</v>
      </c>
      <c r="AR235">
        <f t="shared" si="164"/>
        <v>25</v>
      </c>
      <c r="AS235">
        <f t="shared" si="165"/>
        <v>75</v>
      </c>
      <c r="AT235" s="183">
        <f t="shared" si="166"/>
        <v>52749</v>
      </c>
      <c r="AU235" s="2">
        <f t="shared" si="167"/>
        <v>5.9171597633136093E-3</v>
      </c>
      <c r="AV235" s="169">
        <f t="shared" si="168"/>
        <v>221</v>
      </c>
      <c r="AW235" s="165">
        <f t="shared" si="169"/>
        <v>2091.6584112600326</v>
      </c>
      <c r="AX235" s="170">
        <f t="shared" si="175"/>
        <v>1481.3221271203679</v>
      </c>
      <c r="AY235" s="164" t="str">
        <f t="shared" si="178"/>
        <v>🛵</v>
      </c>
      <c r="AZ235" s="171" t="str">
        <f t="shared" si="149"/>
        <v>🚴‍♂️</v>
      </c>
      <c r="BA235" s="172">
        <f t="shared" si="150"/>
        <v>1055.7382799986863</v>
      </c>
      <c r="BB235" s="173">
        <f t="shared" si="151"/>
        <v>0.28743367109269075</v>
      </c>
      <c r="BC235" s="174">
        <f t="shared" si="152"/>
        <v>3672.9805383804005</v>
      </c>
      <c r="BD235" s="175">
        <f t="shared" si="170"/>
        <v>249287.70120334349</v>
      </c>
      <c r="BE235" s="187"/>
      <c r="BF235" s="177" t="str">
        <f t="shared" si="137"/>
        <v/>
      </c>
      <c r="BG235" s="178" t="str">
        <f t="shared" si="171"/>
        <v/>
      </c>
      <c r="BH235" s="179" t="str">
        <f t="shared" si="153"/>
        <v/>
      </c>
      <c r="BI235" s="180">
        <f t="shared" si="172"/>
        <v>169</v>
      </c>
      <c r="BJ235" s="181">
        <f t="shared" si="176"/>
        <v>425.58384712168169</v>
      </c>
      <c r="BK235" s="182">
        <f t="shared" si="173"/>
        <v>1.6999999999999999E-3</v>
      </c>
    </row>
    <row r="236" spans="1:63" x14ac:dyDescent="0.25">
      <c r="A236" s="7">
        <f t="shared" si="154"/>
        <v>25</v>
      </c>
      <c r="B236" s="7">
        <f t="shared" si="155"/>
        <v>75</v>
      </c>
      <c r="C236" s="115">
        <f t="shared" si="156"/>
        <v>52779</v>
      </c>
      <c r="D236" s="2">
        <f t="shared" si="139"/>
        <v>5.9523809523809521E-3</v>
      </c>
      <c r="E236" s="169">
        <f t="shared" si="157"/>
        <v>222</v>
      </c>
      <c r="F236" s="165">
        <f t="shared" si="158"/>
        <v>2082.8375535694704</v>
      </c>
      <c r="G236" s="170">
        <f t="shared" si="174"/>
        <v>1483.8553643056159</v>
      </c>
      <c r="H236" s="164" t="str">
        <f t="shared" si="177"/>
        <v>🛵</v>
      </c>
      <c r="I236" s="171" t="str">
        <f t="shared" si="140"/>
        <v>🚴‍♂️</v>
      </c>
      <c r="J236" s="172">
        <f t="shared" si="141"/>
        <v>1060.066272259932</v>
      </c>
      <c r="K236" s="173">
        <f t="shared" si="142"/>
        <v>0.28910691350566092</v>
      </c>
      <c r="L236" s="174">
        <f t="shared" si="143"/>
        <v>3666.6929178750861</v>
      </c>
      <c r="M236" s="175">
        <f t="shared" si="159"/>
        <v>248227.63493108356</v>
      </c>
      <c r="N236" s="65"/>
      <c r="O236" s="37" t="str">
        <f t="shared" si="136"/>
        <v/>
      </c>
      <c r="P236" s="62" t="str">
        <f t="shared" si="160"/>
        <v/>
      </c>
      <c r="Q236" s="16" t="str">
        <f t="shared" si="144"/>
        <v/>
      </c>
      <c r="R236" s="60">
        <f t="shared" si="161"/>
        <v>168</v>
      </c>
      <c r="S236" s="98">
        <f t="shared" si="162"/>
        <v>423.7890920456839</v>
      </c>
      <c r="T236" s="21">
        <f t="shared" si="163"/>
        <v>1.6999999999999999E-3</v>
      </c>
      <c r="AA236" s="14">
        <f t="shared" si="145"/>
        <v>-3666.6929178750861</v>
      </c>
      <c r="AH236" s="6">
        <f t="shared" si="146"/>
        <v>2</v>
      </c>
      <c r="AI236" s="6">
        <f t="shared" si="147"/>
        <v>7</v>
      </c>
      <c r="AJ236" s="12">
        <f t="shared" si="148"/>
        <v>19</v>
      </c>
      <c r="AK236" s="72">
        <f t="shared" si="138"/>
        <v>31</v>
      </c>
      <c r="AR236">
        <f t="shared" si="164"/>
        <v>25</v>
      </c>
      <c r="AS236">
        <f t="shared" si="165"/>
        <v>75</v>
      </c>
      <c r="AT236" s="183">
        <f t="shared" si="166"/>
        <v>52779</v>
      </c>
      <c r="AU236" s="2">
        <f t="shared" si="167"/>
        <v>5.9523809523809521E-3</v>
      </c>
      <c r="AV236" s="169">
        <f t="shared" si="168"/>
        <v>222</v>
      </c>
      <c r="AW236" s="165">
        <f t="shared" si="169"/>
        <v>2082.8375535694704</v>
      </c>
      <c r="AX236" s="170">
        <f t="shared" si="175"/>
        <v>1483.8553643056159</v>
      </c>
      <c r="AY236" s="164" t="str">
        <f t="shared" si="178"/>
        <v>🛵</v>
      </c>
      <c r="AZ236" s="171" t="str">
        <f t="shared" si="149"/>
        <v>🚴‍♂️</v>
      </c>
      <c r="BA236" s="172">
        <f t="shared" si="150"/>
        <v>1060.066272259932</v>
      </c>
      <c r="BB236" s="173">
        <f t="shared" si="151"/>
        <v>0.28910691350566092</v>
      </c>
      <c r="BC236" s="174">
        <f t="shared" si="152"/>
        <v>3666.6929178750861</v>
      </c>
      <c r="BD236" s="175">
        <f t="shared" si="170"/>
        <v>248227.63493108356</v>
      </c>
      <c r="BE236" s="187"/>
      <c r="BF236" s="177" t="str">
        <f t="shared" si="137"/>
        <v/>
      </c>
      <c r="BG236" s="178" t="str">
        <f t="shared" si="171"/>
        <v/>
      </c>
      <c r="BH236" s="179" t="str">
        <f t="shared" si="153"/>
        <v/>
      </c>
      <c r="BI236" s="180">
        <f t="shared" si="172"/>
        <v>168</v>
      </c>
      <c r="BJ236" s="181">
        <f t="shared" si="176"/>
        <v>423.7890920456839</v>
      </c>
      <c r="BK236" s="182">
        <f t="shared" si="173"/>
        <v>1.6999999999999999E-3</v>
      </c>
    </row>
    <row r="237" spans="1:63" x14ac:dyDescent="0.25">
      <c r="A237" s="7">
        <f t="shared" si="154"/>
        <v>25</v>
      </c>
      <c r="B237" s="7">
        <f t="shared" si="155"/>
        <v>75</v>
      </c>
      <c r="C237" s="115">
        <f t="shared" si="156"/>
        <v>52810</v>
      </c>
      <c r="D237" s="2">
        <f t="shared" si="139"/>
        <v>5.9880239520958087E-3</v>
      </c>
      <c r="E237" s="169">
        <f t="shared" si="157"/>
        <v>223</v>
      </c>
      <c r="F237" s="165">
        <f t="shared" si="158"/>
        <v>2073.9805348297682</v>
      </c>
      <c r="G237" s="170">
        <f t="shared" si="174"/>
        <v>1486.3930235394225</v>
      </c>
      <c r="H237" s="164" t="str">
        <f t="shared" si="177"/>
        <v>🛵</v>
      </c>
      <c r="I237" s="171" t="str">
        <f t="shared" si="140"/>
        <v>🚴‍♂️</v>
      </c>
      <c r="J237" s="172">
        <f t="shared" si="141"/>
        <v>1064.4060441565805</v>
      </c>
      <c r="K237" s="173">
        <f t="shared" si="142"/>
        <v>0.29079164385364159</v>
      </c>
      <c r="L237" s="174">
        <f t="shared" si="143"/>
        <v>3660.3735583691905</v>
      </c>
      <c r="M237" s="175">
        <f t="shared" si="159"/>
        <v>247163.22888692698</v>
      </c>
      <c r="N237" s="65"/>
      <c r="O237" s="37" t="str">
        <f t="shared" si="136"/>
        <v/>
      </c>
      <c r="P237" s="62" t="str">
        <f t="shared" si="160"/>
        <v/>
      </c>
      <c r="Q237" s="16" t="str">
        <f t="shared" si="144"/>
        <v/>
      </c>
      <c r="R237" s="60">
        <f t="shared" si="161"/>
        <v>167</v>
      </c>
      <c r="S237" s="98">
        <f t="shared" si="162"/>
        <v>421.98697938284204</v>
      </c>
      <c r="T237" s="21">
        <f t="shared" si="163"/>
        <v>1.6999999999999999E-3</v>
      </c>
      <c r="AA237" s="14">
        <f t="shared" si="145"/>
        <v>-3660.3735583691905</v>
      </c>
      <c r="AH237" s="6">
        <f t="shared" si="146"/>
        <v>2</v>
      </c>
      <c r="AI237" s="6">
        <f t="shared" si="147"/>
        <v>7</v>
      </c>
      <c r="AJ237" s="12">
        <f t="shared" si="148"/>
        <v>19</v>
      </c>
      <c r="AK237" s="72">
        <f t="shared" si="138"/>
        <v>31</v>
      </c>
      <c r="AR237">
        <f t="shared" si="164"/>
        <v>25</v>
      </c>
      <c r="AS237">
        <f t="shared" si="165"/>
        <v>75</v>
      </c>
      <c r="AT237" s="183">
        <f t="shared" si="166"/>
        <v>52810</v>
      </c>
      <c r="AU237" s="2">
        <f t="shared" si="167"/>
        <v>5.9880239520958087E-3</v>
      </c>
      <c r="AV237" s="169">
        <f t="shared" si="168"/>
        <v>223</v>
      </c>
      <c r="AW237" s="165">
        <f t="shared" si="169"/>
        <v>2073.9805348297682</v>
      </c>
      <c r="AX237" s="170">
        <f t="shared" si="175"/>
        <v>1486.3930235394225</v>
      </c>
      <c r="AY237" s="164" t="str">
        <f t="shared" si="178"/>
        <v>🛵</v>
      </c>
      <c r="AZ237" s="171" t="str">
        <f t="shared" si="149"/>
        <v>🚴‍♂️</v>
      </c>
      <c r="BA237" s="172">
        <f t="shared" si="150"/>
        <v>1064.4060441565805</v>
      </c>
      <c r="BB237" s="173">
        <f t="shared" si="151"/>
        <v>0.29079164385364159</v>
      </c>
      <c r="BC237" s="174">
        <f t="shared" si="152"/>
        <v>3660.3735583691905</v>
      </c>
      <c r="BD237" s="175">
        <f t="shared" si="170"/>
        <v>247163.22888692698</v>
      </c>
      <c r="BE237" s="187"/>
      <c r="BF237" s="177" t="str">
        <f t="shared" si="137"/>
        <v/>
      </c>
      <c r="BG237" s="178" t="str">
        <f t="shared" si="171"/>
        <v/>
      </c>
      <c r="BH237" s="179" t="str">
        <f t="shared" si="153"/>
        <v/>
      </c>
      <c r="BI237" s="180">
        <f t="shared" si="172"/>
        <v>167</v>
      </c>
      <c r="BJ237" s="181">
        <f t="shared" si="176"/>
        <v>421.98697938284204</v>
      </c>
      <c r="BK237" s="182">
        <f t="shared" si="173"/>
        <v>1.6999999999999999E-3</v>
      </c>
    </row>
    <row r="238" spans="1:63" x14ac:dyDescent="0.25">
      <c r="A238" s="7">
        <f t="shared" si="154"/>
        <v>25</v>
      </c>
      <c r="B238" s="7">
        <f t="shared" si="155"/>
        <v>75</v>
      </c>
      <c r="C238" s="115">
        <f t="shared" si="156"/>
        <v>52841</v>
      </c>
      <c r="D238" s="2">
        <f t="shared" si="139"/>
        <v>6.024096385542169E-3</v>
      </c>
      <c r="E238" s="169">
        <f t="shared" si="157"/>
        <v>224</v>
      </c>
      <c r="F238" s="165">
        <f t="shared" si="158"/>
        <v>2065.0872566202374</v>
      </c>
      <c r="G238" s="170">
        <f t="shared" si="174"/>
        <v>1488.9351137766687</v>
      </c>
      <c r="H238" s="164" t="str">
        <f t="shared" si="177"/>
        <v>🛵</v>
      </c>
      <c r="I238" s="171" t="str">
        <f t="shared" si="140"/>
        <v>🚴‍♂️</v>
      </c>
      <c r="J238" s="172">
        <f t="shared" si="141"/>
        <v>1068.7576246688927</v>
      </c>
      <c r="K238" s="173">
        <f t="shared" si="142"/>
        <v>0.29248798073253246</v>
      </c>
      <c r="L238" s="174">
        <f t="shared" si="143"/>
        <v>3654.0223703969059</v>
      </c>
      <c r="M238" s="175">
        <f t="shared" si="159"/>
        <v>246094.47126225807</v>
      </c>
      <c r="N238" s="65"/>
      <c r="O238" s="37" t="str">
        <f t="shared" si="136"/>
        <v/>
      </c>
      <c r="P238" s="62" t="str">
        <f t="shared" si="160"/>
        <v/>
      </c>
      <c r="Q238" s="16" t="str">
        <f t="shared" si="144"/>
        <v/>
      </c>
      <c r="R238" s="60">
        <f t="shared" si="161"/>
        <v>166</v>
      </c>
      <c r="S238" s="98">
        <f t="shared" si="162"/>
        <v>420.17748910777584</v>
      </c>
      <c r="T238" s="21">
        <f t="shared" si="163"/>
        <v>1.6999999999999999E-3</v>
      </c>
      <c r="AA238" s="14">
        <f t="shared" si="145"/>
        <v>-3654.0223703969059</v>
      </c>
      <c r="AH238" s="6">
        <f t="shared" si="146"/>
        <v>2</v>
      </c>
      <c r="AI238" s="6">
        <f t="shared" si="147"/>
        <v>7</v>
      </c>
      <c r="AJ238" s="12">
        <f t="shared" si="148"/>
        <v>19</v>
      </c>
      <c r="AK238" s="72">
        <f t="shared" si="138"/>
        <v>30</v>
      </c>
      <c r="AR238">
        <f t="shared" si="164"/>
        <v>25</v>
      </c>
      <c r="AS238">
        <f t="shared" si="165"/>
        <v>75</v>
      </c>
      <c r="AT238" s="183">
        <f t="shared" si="166"/>
        <v>52841</v>
      </c>
      <c r="AU238" s="2">
        <f t="shared" si="167"/>
        <v>6.024096385542169E-3</v>
      </c>
      <c r="AV238" s="169">
        <f t="shared" si="168"/>
        <v>224</v>
      </c>
      <c r="AW238" s="165">
        <f t="shared" si="169"/>
        <v>2065.0872566202374</v>
      </c>
      <c r="AX238" s="170">
        <f t="shared" si="175"/>
        <v>1488.9351137766687</v>
      </c>
      <c r="AY238" s="164" t="str">
        <f t="shared" si="178"/>
        <v>🛵</v>
      </c>
      <c r="AZ238" s="171" t="str">
        <f t="shared" si="149"/>
        <v>🚴‍♂️</v>
      </c>
      <c r="BA238" s="172">
        <f t="shared" si="150"/>
        <v>1068.7576246688927</v>
      </c>
      <c r="BB238" s="173">
        <f t="shared" si="151"/>
        <v>0.29248798073253246</v>
      </c>
      <c r="BC238" s="174">
        <f t="shared" si="152"/>
        <v>3654.0223703969059</v>
      </c>
      <c r="BD238" s="175">
        <f t="shared" si="170"/>
        <v>246094.47126225807</v>
      </c>
      <c r="BE238" s="187"/>
      <c r="BF238" s="177" t="str">
        <f t="shared" si="137"/>
        <v/>
      </c>
      <c r="BG238" s="178" t="str">
        <f t="shared" si="171"/>
        <v/>
      </c>
      <c r="BH238" s="179" t="str">
        <f t="shared" si="153"/>
        <v/>
      </c>
      <c r="BI238" s="180">
        <f t="shared" si="172"/>
        <v>166</v>
      </c>
      <c r="BJ238" s="181">
        <f t="shared" si="176"/>
        <v>420.17748910777584</v>
      </c>
      <c r="BK238" s="182">
        <f t="shared" si="173"/>
        <v>1.6999999999999999E-3</v>
      </c>
    </row>
    <row r="239" spans="1:63" x14ac:dyDescent="0.25">
      <c r="A239" s="7">
        <f t="shared" si="154"/>
        <v>25</v>
      </c>
      <c r="B239" s="7">
        <f t="shared" si="155"/>
        <v>75</v>
      </c>
      <c r="C239" s="115">
        <f t="shared" si="156"/>
        <v>52871</v>
      </c>
      <c r="D239" s="2">
        <f t="shared" si="139"/>
        <v>6.0606060606060606E-3</v>
      </c>
      <c r="E239" s="169">
        <f t="shared" si="157"/>
        <v>225</v>
      </c>
      <c r="F239" s="165">
        <f t="shared" si="158"/>
        <v>2056.1576202780566</v>
      </c>
      <c r="G239" s="170">
        <f t="shared" si="174"/>
        <v>1491.4816440136854</v>
      </c>
      <c r="H239" s="164" t="str">
        <f t="shared" si="177"/>
        <v>🛵</v>
      </c>
      <c r="I239" s="171" t="str">
        <f t="shared" si="140"/>
        <v>🚴‍♂️</v>
      </c>
      <c r="J239" s="172">
        <f t="shared" si="141"/>
        <v>1073.1210428678467</v>
      </c>
      <c r="K239" s="173">
        <f t="shared" si="142"/>
        <v>0.29419604437672198</v>
      </c>
      <c r="L239" s="174">
        <f t="shared" si="143"/>
        <v>3647.6392642917417</v>
      </c>
      <c r="M239" s="175">
        <f t="shared" si="159"/>
        <v>245021.35021939021</v>
      </c>
      <c r="N239" s="65"/>
      <c r="O239" s="37" t="str">
        <f t="shared" si="136"/>
        <v/>
      </c>
      <c r="P239" s="62" t="str">
        <f t="shared" si="160"/>
        <v/>
      </c>
      <c r="Q239" s="16" t="str">
        <f t="shared" si="144"/>
        <v/>
      </c>
      <c r="R239" s="60">
        <f t="shared" si="161"/>
        <v>165</v>
      </c>
      <c r="S239" s="98">
        <f t="shared" si="162"/>
        <v>418.3606011458387</v>
      </c>
      <c r="T239" s="21">
        <f t="shared" si="163"/>
        <v>1.6999999999999999E-3</v>
      </c>
      <c r="AA239" s="14">
        <f t="shared" si="145"/>
        <v>-3647.6392642917417</v>
      </c>
      <c r="AH239" s="6">
        <f t="shared" si="146"/>
        <v>2</v>
      </c>
      <c r="AI239" s="6">
        <f t="shared" si="147"/>
        <v>7</v>
      </c>
      <c r="AJ239" s="12">
        <f t="shared" si="148"/>
        <v>19</v>
      </c>
      <c r="AK239" s="72">
        <f t="shared" si="138"/>
        <v>31</v>
      </c>
      <c r="AR239">
        <f t="shared" si="164"/>
        <v>25</v>
      </c>
      <c r="AS239">
        <f t="shared" si="165"/>
        <v>75</v>
      </c>
      <c r="AT239" s="183">
        <f t="shared" si="166"/>
        <v>52871</v>
      </c>
      <c r="AU239" s="2">
        <f t="shared" si="167"/>
        <v>6.0606060606060606E-3</v>
      </c>
      <c r="AV239" s="169">
        <f t="shared" si="168"/>
        <v>225</v>
      </c>
      <c r="AW239" s="165">
        <f t="shared" si="169"/>
        <v>2056.1576202780566</v>
      </c>
      <c r="AX239" s="170">
        <f t="shared" si="175"/>
        <v>1491.4816440136854</v>
      </c>
      <c r="AY239" s="164" t="str">
        <f t="shared" si="178"/>
        <v>🛵</v>
      </c>
      <c r="AZ239" s="171" t="str">
        <f t="shared" si="149"/>
        <v>🚴‍♂️</v>
      </c>
      <c r="BA239" s="172">
        <f t="shared" si="150"/>
        <v>1073.1210428678467</v>
      </c>
      <c r="BB239" s="173">
        <f t="shared" si="151"/>
        <v>0.29419604437672198</v>
      </c>
      <c r="BC239" s="174">
        <f t="shared" si="152"/>
        <v>3647.6392642917417</v>
      </c>
      <c r="BD239" s="175">
        <f t="shared" si="170"/>
        <v>245021.35021939021</v>
      </c>
      <c r="BE239" s="187"/>
      <c r="BF239" s="177" t="str">
        <f t="shared" si="137"/>
        <v/>
      </c>
      <c r="BG239" s="178" t="str">
        <f t="shared" si="171"/>
        <v/>
      </c>
      <c r="BH239" s="179" t="str">
        <f t="shared" si="153"/>
        <v/>
      </c>
      <c r="BI239" s="180">
        <f t="shared" si="172"/>
        <v>165</v>
      </c>
      <c r="BJ239" s="181">
        <f t="shared" si="176"/>
        <v>418.3606011458387</v>
      </c>
      <c r="BK239" s="182">
        <f t="shared" si="173"/>
        <v>1.6999999999999999E-3</v>
      </c>
    </row>
    <row r="240" spans="1:63" x14ac:dyDescent="0.25">
      <c r="A240" s="7">
        <f t="shared" si="154"/>
        <v>25</v>
      </c>
      <c r="B240" s="7">
        <f t="shared" si="155"/>
        <v>75</v>
      </c>
      <c r="C240" s="115">
        <f t="shared" si="156"/>
        <v>52902</v>
      </c>
      <c r="D240" s="2">
        <f t="shared" si="139"/>
        <v>6.0975609756097563E-3</v>
      </c>
      <c r="E240" s="169">
        <f t="shared" si="157"/>
        <v>226</v>
      </c>
      <c r="F240" s="165">
        <f t="shared" si="158"/>
        <v>2047.1915268975106</v>
      </c>
      <c r="G240" s="170">
        <f t="shared" si="174"/>
        <v>1494.0326232889647</v>
      </c>
      <c r="H240" s="164" t="str">
        <f t="shared" si="177"/>
        <v>🛵</v>
      </c>
      <c r="I240" s="171" t="str">
        <f t="shared" si="140"/>
        <v>🚴‍♂️</v>
      </c>
      <c r="J240" s="172">
        <f t="shared" si="141"/>
        <v>1077.4963279160015</v>
      </c>
      <c r="K240" s="173">
        <f t="shared" si="142"/>
        <v>0.29591595668748394</v>
      </c>
      <c r="L240" s="174">
        <f t="shared" si="143"/>
        <v>3641.2241501864755</v>
      </c>
      <c r="M240" s="175">
        <f t="shared" si="159"/>
        <v>243943.85389147419</v>
      </c>
      <c r="N240" s="65"/>
      <c r="O240" s="37" t="str">
        <f t="shared" si="136"/>
        <v/>
      </c>
      <c r="P240" s="62" t="str">
        <f t="shared" si="160"/>
        <v/>
      </c>
      <c r="Q240" s="16" t="str">
        <f t="shared" si="144"/>
        <v/>
      </c>
      <c r="R240" s="60">
        <f t="shared" si="161"/>
        <v>164</v>
      </c>
      <c r="S240" s="98">
        <f t="shared" si="162"/>
        <v>416.53629537296331</v>
      </c>
      <c r="T240" s="21">
        <f t="shared" si="163"/>
        <v>1.6999999999999999E-3</v>
      </c>
      <c r="AA240" s="14">
        <f t="shared" si="145"/>
        <v>-3641.2241501864755</v>
      </c>
      <c r="AH240" s="6">
        <f t="shared" si="146"/>
        <v>2</v>
      </c>
      <c r="AI240" s="6">
        <f t="shared" si="147"/>
        <v>7</v>
      </c>
      <c r="AJ240" s="12">
        <f t="shared" si="148"/>
        <v>19</v>
      </c>
      <c r="AK240" s="72">
        <f t="shared" si="138"/>
        <v>30</v>
      </c>
      <c r="AR240">
        <f t="shared" si="164"/>
        <v>25</v>
      </c>
      <c r="AS240">
        <f t="shared" si="165"/>
        <v>75</v>
      </c>
      <c r="AT240" s="183">
        <f t="shared" si="166"/>
        <v>52902</v>
      </c>
      <c r="AU240" s="2">
        <f t="shared" si="167"/>
        <v>6.0975609756097563E-3</v>
      </c>
      <c r="AV240" s="169">
        <f t="shared" si="168"/>
        <v>226</v>
      </c>
      <c r="AW240" s="165">
        <f t="shared" si="169"/>
        <v>2047.1915268975106</v>
      </c>
      <c r="AX240" s="170">
        <f t="shared" si="175"/>
        <v>1494.0326232889647</v>
      </c>
      <c r="AY240" s="164" t="str">
        <f t="shared" si="178"/>
        <v>🛵</v>
      </c>
      <c r="AZ240" s="171" t="str">
        <f t="shared" si="149"/>
        <v>🚴‍♂️</v>
      </c>
      <c r="BA240" s="172">
        <f t="shared" si="150"/>
        <v>1077.4963279160015</v>
      </c>
      <c r="BB240" s="173">
        <f t="shared" si="151"/>
        <v>0.29591595668748394</v>
      </c>
      <c r="BC240" s="174">
        <f t="shared" si="152"/>
        <v>3641.2241501864755</v>
      </c>
      <c r="BD240" s="175">
        <f t="shared" si="170"/>
        <v>243943.85389147419</v>
      </c>
      <c r="BE240" s="187"/>
      <c r="BF240" s="177" t="str">
        <f t="shared" si="137"/>
        <v/>
      </c>
      <c r="BG240" s="178" t="str">
        <f t="shared" si="171"/>
        <v/>
      </c>
      <c r="BH240" s="179" t="str">
        <f t="shared" si="153"/>
        <v/>
      </c>
      <c r="BI240" s="180">
        <f t="shared" si="172"/>
        <v>164</v>
      </c>
      <c r="BJ240" s="181">
        <f t="shared" si="176"/>
        <v>416.53629537296331</v>
      </c>
      <c r="BK240" s="182">
        <f t="shared" si="173"/>
        <v>1.6999999999999999E-3</v>
      </c>
    </row>
    <row r="241" spans="1:63" x14ac:dyDescent="0.25">
      <c r="A241" s="7">
        <f t="shared" si="154"/>
        <v>25</v>
      </c>
      <c r="B241" s="7">
        <f t="shared" si="155"/>
        <v>75</v>
      </c>
      <c r="C241" s="115">
        <f t="shared" si="156"/>
        <v>52932</v>
      </c>
      <c r="D241" s="2">
        <f t="shared" si="139"/>
        <v>6.1349693251533744E-3</v>
      </c>
      <c r="E241" s="169">
        <f t="shared" si="157"/>
        <v>227</v>
      </c>
      <c r="F241" s="165">
        <f t="shared" si="158"/>
        <v>2038.1888773292271</v>
      </c>
      <c r="G241" s="170">
        <f t="shared" si="174"/>
        <v>1496.5880606838907</v>
      </c>
      <c r="H241" s="164" t="str">
        <f t="shared" si="177"/>
        <v>🛵</v>
      </c>
      <c r="I241" s="171" t="str">
        <f t="shared" si="140"/>
        <v>🚴‍♂️</v>
      </c>
      <c r="J241" s="172">
        <f t="shared" si="141"/>
        <v>1081.8835090683847</v>
      </c>
      <c r="K241" s="173">
        <f t="shared" si="142"/>
        <v>0.29764784126196642</v>
      </c>
      <c r="L241" s="174">
        <f t="shared" si="143"/>
        <v>3634.7769380131176</v>
      </c>
      <c r="M241" s="175">
        <f t="shared" si="159"/>
        <v>242861.97038240582</v>
      </c>
      <c r="N241" s="65"/>
      <c r="O241" s="37" t="str">
        <f t="shared" si="136"/>
        <v/>
      </c>
      <c r="P241" s="62" t="str">
        <f t="shared" si="160"/>
        <v/>
      </c>
      <c r="Q241" s="16" t="str">
        <f t="shared" si="144"/>
        <v/>
      </c>
      <c r="R241" s="60">
        <f t="shared" si="161"/>
        <v>163</v>
      </c>
      <c r="S241" s="98">
        <f t="shared" si="162"/>
        <v>414.70455161550609</v>
      </c>
      <c r="T241" s="21">
        <f t="shared" si="163"/>
        <v>1.6999999999999999E-3</v>
      </c>
      <c r="AA241" s="14">
        <f t="shared" si="145"/>
        <v>-3634.7769380131176</v>
      </c>
      <c r="AH241" s="6">
        <f t="shared" si="146"/>
        <v>2</v>
      </c>
      <c r="AI241" s="6">
        <f t="shared" si="147"/>
        <v>7</v>
      </c>
      <c r="AJ241" s="12">
        <f t="shared" si="148"/>
        <v>19</v>
      </c>
      <c r="AK241" s="72">
        <f t="shared" si="138"/>
        <v>31</v>
      </c>
      <c r="AR241">
        <f t="shared" si="164"/>
        <v>25</v>
      </c>
      <c r="AS241">
        <f t="shared" si="165"/>
        <v>75</v>
      </c>
      <c r="AT241" s="183">
        <f t="shared" si="166"/>
        <v>52932</v>
      </c>
      <c r="AU241" s="2">
        <f t="shared" si="167"/>
        <v>6.1349693251533744E-3</v>
      </c>
      <c r="AV241" s="169">
        <f t="shared" si="168"/>
        <v>227</v>
      </c>
      <c r="AW241" s="165">
        <f t="shared" si="169"/>
        <v>2038.1888773292271</v>
      </c>
      <c r="AX241" s="170">
        <f t="shared" si="175"/>
        <v>1496.5880606838907</v>
      </c>
      <c r="AY241" s="164" t="str">
        <f t="shared" si="178"/>
        <v>🛵</v>
      </c>
      <c r="AZ241" s="171" t="str">
        <f t="shared" si="149"/>
        <v>🚴‍♂️</v>
      </c>
      <c r="BA241" s="172">
        <f t="shared" si="150"/>
        <v>1081.8835090683847</v>
      </c>
      <c r="BB241" s="173">
        <f t="shared" si="151"/>
        <v>0.29764784126196642</v>
      </c>
      <c r="BC241" s="174">
        <f t="shared" si="152"/>
        <v>3634.7769380131176</v>
      </c>
      <c r="BD241" s="175">
        <f t="shared" si="170"/>
        <v>242861.97038240582</v>
      </c>
      <c r="BE241" s="187"/>
      <c r="BF241" s="177" t="str">
        <f t="shared" si="137"/>
        <v/>
      </c>
      <c r="BG241" s="178" t="str">
        <f t="shared" si="171"/>
        <v/>
      </c>
      <c r="BH241" s="179" t="str">
        <f t="shared" si="153"/>
        <v/>
      </c>
      <c r="BI241" s="180">
        <f t="shared" si="172"/>
        <v>163</v>
      </c>
      <c r="BJ241" s="181">
        <f t="shared" si="176"/>
        <v>414.70455161550609</v>
      </c>
      <c r="BK241" s="182">
        <f t="shared" si="173"/>
        <v>1.6999999999999999E-3</v>
      </c>
    </row>
    <row r="242" spans="1:63" x14ac:dyDescent="0.25">
      <c r="A242" s="7">
        <f t="shared" si="154"/>
        <v>25</v>
      </c>
      <c r="B242" s="7">
        <f t="shared" si="155"/>
        <v>75</v>
      </c>
      <c r="C242" s="115">
        <f t="shared" si="156"/>
        <v>52963</v>
      </c>
      <c r="D242" s="2">
        <f t="shared" si="139"/>
        <v>6.17283950617284E-3</v>
      </c>
      <c r="E242" s="169">
        <f t="shared" si="157"/>
        <v>228</v>
      </c>
      <c r="F242" s="165">
        <f t="shared" si="158"/>
        <v>2029.1495721794033</v>
      </c>
      <c r="G242" s="170">
        <f t="shared" si="174"/>
        <v>1499.1479653234928</v>
      </c>
      <c r="H242" s="164" t="str">
        <f t="shared" si="177"/>
        <v>🛵</v>
      </c>
      <c r="I242" s="171" t="str">
        <f t="shared" si="140"/>
        <v>🚴‍♂️</v>
      </c>
      <c r="J242" s="172">
        <f t="shared" si="141"/>
        <v>1086.2826156734029</v>
      </c>
      <c r="K242" s="173">
        <f t="shared" si="142"/>
        <v>0.29939182342278781</v>
      </c>
      <c r="L242" s="174">
        <f t="shared" si="143"/>
        <v>3628.2975375028964</v>
      </c>
      <c r="M242" s="175">
        <f t="shared" si="159"/>
        <v>241775.68776673242</v>
      </c>
      <c r="N242" s="65"/>
      <c r="O242" s="37" t="str">
        <f t="shared" si="136"/>
        <v/>
      </c>
      <c r="P242" s="62" t="str">
        <f t="shared" si="160"/>
        <v/>
      </c>
      <c r="Q242" s="16" t="str">
        <f t="shared" si="144"/>
        <v/>
      </c>
      <c r="R242" s="60">
        <f t="shared" si="161"/>
        <v>162</v>
      </c>
      <c r="S242" s="98">
        <f t="shared" si="162"/>
        <v>412.86534965008985</v>
      </c>
      <c r="T242" s="21">
        <f t="shared" si="163"/>
        <v>1.6999999999999999E-3</v>
      </c>
      <c r="AA242" s="14">
        <f t="shared" si="145"/>
        <v>-3628.2975375028964</v>
      </c>
      <c r="AH242" s="6">
        <f t="shared" si="146"/>
        <v>2</v>
      </c>
      <c r="AI242" s="6">
        <f t="shared" si="147"/>
        <v>7</v>
      </c>
      <c r="AJ242" s="12">
        <f t="shared" si="148"/>
        <v>19</v>
      </c>
      <c r="AK242" s="72">
        <f t="shared" si="138"/>
        <v>31</v>
      </c>
      <c r="AR242">
        <f t="shared" si="164"/>
        <v>25</v>
      </c>
      <c r="AS242">
        <f t="shared" si="165"/>
        <v>75</v>
      </c>
      <c r="AT242" s="183">
        <f t="shared" si="166"/>
        <v>52963</v>
      </c>
      <c r="AU242" s="2">
        <f t="shared" si="167"/>
        <v>6.17283950617284E-3</v>
      </c>
      <c r="AV242" s="169">
        <f t="shared" si="168"/>
        <v>228</v>
      </c>
      <c r="AW242" s="165">
        <f t="shared" si="169"/>
        <v>2029.1495721794033</v>
      </c>
      <c r="AX242" s="170">
        <f t="shared" si="175"/>
        <v>1499.1479653234928</v>
      </c>
      <c r="AY242" s="164" t="str">
        <f t="shared" si="178"/>
        <v>🛵</v>
      </c>
      <c r="AZ242" s="171" t="str">
        <f t="shared" si="149"/>
        <v>🚴‍♂️</v>
      </c>
      <c r="BA242" s="172">
        <f t="shared" si="150"/>
        <v>1086.2826156734029</v>
      </c>
      <c r="BB242" s="173">
        <f t="shared" si="151"/>
        <v>0.29939182342278781</v>
      </c>
      <c r="BC242" s="174">
        <f t="shared" si="152"/>
        <v>3628.2975375028964</v>
      </c>
      <c r="BD242" s="175">
        <f t="shared" si="170"/>
        <v>241775.68776673242</v>
      </c>
      <c r="BE242" s="187"/>
      <c r="BF242" s="177" t="str">
        <f t="shared" si="137"/>
        <v/>
      </c>
      <c r="BG242" s="178" t="str">
        <f t="shared" si="171"/>
        <v/>
      </c>
      <c r="BH242" s="179" t="str">
        <f t="shared" si="153"/>
        <v/>
      </c>
      <c r="BI242" s="180">
        <f t="shared" si="172"/>
        <v>162</v>
      </c>
      <c r="BJ242" s="181">
        <f t="shared" si="176"/>
        <v>412.86534965008985</v>
      </c>
      <c r="BK242" s="182">
        <f t="shared" si="173"/>
        <v>1.6999999999999999E-3</v>
      </c>
    </row>
    <row r="243" spans="1:63" x14ac:dyDescent="0.25">
      <c r="A243" s="7">
        <f t="shared" si="154"/>
        <v>25</v>
      </c>
      <c r="B243" s="7">
        <f t="shared" si="155"/>
        <v>75</v>
      </c>
      <c r="C243" s="115">
        <f t="shared" si="156"/>
        <v>52994</v>
      </c>
      <c r="D243" s="2">
        <f t="shared" si="139"/>
        <v>6.2111801242236029E-3</v>
      </c>
      <c r="E243" s="169">
        <f t="shared" si="157"/>
        <v>229</v>
      </c>
      <c r="F243" s="165">
        <f t="shared" si="158"/>
        <v>2020.0735118090256</v>
      </c>
      <c r="G243" s="170">
        <f t="shared" si="174"/>
        <v>1501.71234637722</v>
      </c>
      <c r="H243" s="164" t="str">
        <f t="shared" si="177"/>
        <v>🛵</v>
      </c>
      <c r="I243" s="171" t="str">
        <f t="shared" si="140"/>
        <v>🚴‍♂️</v>
      </c>
      <c r="J243" s="172">
        <f t="shared" si="141"/>
        <v>1090.6936771737749</v>
      </c>
      <c r="K243" s="173">
        <f t="shared" si="142"/>
        <v>0.30114803024825532</v>
      </c>
      <c r="L243" s="174">
        <f t="shared" si="143"/>
        <v>3621.7858581862456</v>
      </c>
      <c r="M243" s="175">
        <f t="shared" si="159"/>
        <v>240684.99408955863</v>
      </c>
      <c r="N243" s="65"/>
      <c r="O243" s="37" t="str">
        <f t="shared" si="136"/>
        <v/>
      </c>
      <c r="P243" s="62" t="str">
        <f t="shared" si="160"/>
        <v/>
      </c>
      <c r="Q243" s="16" t="str">
        <f t="shared" si="144"/>
        <v/>
      </c>
      <c r="R243" s="60">
        <f t="shared" si="161"/>
        <v>161</v>
      </c>
      <c r="S243" s="98">
        <f t="shared" si="162"/>
        <v>411.01866920344509</v>
      </c>
      <c r="T243" s="21">
        <f t="shared" si="163"/>
        <v>1.6999999999999999E-3</v>
      </c>
      <c r="AA243" s="14">
        <f t="shared" si="145"/>
        <v>-3621.7858581862456</v>
      </c>
      <c r="AH243" s="6">
        <f t="shared" si="146"/>
        <v>2</v>
      </c>
      <c r="AI243" s="6">
        <f t="shared" si="147"/>
        <v>7</v>
      </c>
      <c r="AJ243" s="12">
        <f t="shared" si="148"/>
        <v>20</v>
      </c>
      <c r="AK243" s="72">
        <f t="shared" si="138"/>
        <v>28</v>
      </c>
      <c r="AR243">
        <f t="shared" si="164"/>
        <v>25</v>
      </c>
      <c r="AS243">
        <f t="shared" si="165"/>
        <v>75</v>
      </c>
      <c r="AT243" s="183">
        <f t="shared" si="166"/>
        <v>52994</v>
      </c>
      <c r="AU243" s="2">
        <f t="shared" si="167"/>
        <v>6.2111801242236029E-3</v>
      </c>
      <c r="AV243" s="169">
        <f t="shared" si="168"/>
        <v>229</v>
      </c>
      <c r="AW243" s="165">
        <f t="shared" si="169"/>
        <v>2020.0735118090256</v>
      </c>
      <c r="AX243" s="170">
        <f t="shared" si="175"/>
        <v>1501.71234637722</v>
      </c>
      <c r="AY243" s="164" t="str">
        <f t="shared" si="178"/>
        <v>🛵</v>
      </c>
      <c r="AZ243" s="171" t="str">
        <f t="shared" si="149"/>
        <v>🚴‍♂️</v>
      </c>
      <c r="BA243" s="172">
        <f t="shared" si="150"/>
        <v>1090.6936771737749</v>
      </c>
      <c r="BB243" s="173">
        <f t="shared" si="151"/>
        <v>0.30114803024825532</v>
      </c>
      <c r="BC243" s="174">
        <f t="shared" si="152"/>
        <v>3621.7858581862456</v>
      </c>
      <c r="BD243" s="175">
        <f t="shared" si="170"/>
        <v>240684.99408955863</v>
      </c>
      <c r="BE243" s="187"/>
      <c r="BF243" s="177" t="str">
        <f t="shared" si="137"/>
        <v/>
      </c>
      <c r="BG243" s="178" t="str">
        <f t="shared" si="171"/>
        <v/>
      </c>
      <c r="BH243" s="179" t="str">
        <f t="shared" si="153"/>
        <v/>
      </c>
      <c r="BI243" s="180">
        <f t="shared" si="172"/>
        <v>161</v>
      </c>
      <c r="BJ243" s="181">
        <f t="shared" si="176"/>
        <v>411.01866920344509</v>
      </c>
      <c r="BK243" s="182">
        <f t="shared" si="173"/>
        <v>1.6999999999999999E-3</v>
      </c>
    </row>
    <row r="244" spans="1:63" x14ac:dyDescent="0.25">
      <c r="A244" s="7">
        <f t="shared" si="154"/>
        <v>25</v>
      </c>
      <c r="B244" s="7">
        <f t="shared" si="155"/>
        <v>75</v>
      </c>
      <c r="C244" s="115">
        <f t="shared" si="156"/>
        <v>53022</v>
      </c>
      <c r="D244" s="2">
        <f t="shared" si="139"/>
        <v>6.2500000000000003E-3</v>
      </c>
      <c r="E244" s="169">
        <f t="shared" si="157"/>
        <v>230</v>
      </c>
      <c r="F244" s="165">
        <f t="shared" si="158"/>
        <v>2010.9605963330821</v>
      </c>
      <c r="G244" s="170">
        <f t="shared" si="174"/>
        <v>1504.2812130597415</v>
      </c>
      <c r="H244" s="164" t="str">
        <f t="shared" si="177"/>
        <v>🛵</v>
      </c>
      <c r="I244" s="171" t="str">
        <f t="shared" si="140"/>
        <v>🚴‍♂️</v>
      </c>
      <c r="J244" s="172">
        <f t="shared" si="141"/>
        <v>1095.1167231074919</v>
      </c>
      <c r="K244" s="173">
        <f t="shared" si="142"/>
        <v>0.30291659060322046</v>
      </c>
      <c r="L244" s="174">
        <f t="shared" si="143"/>
        <v>3615.2418093928236</v>
      </c>
      <c r="M244" s="175">
        <f t="shared" si="159"/>
        <v>239589.87736645114</v>
      </c>
      <c r="N244" s="65"/>
      <c r="O244" s="37" t="str">
        <f t="shared" si="136"/>
        <v/>
      </c>
      <c r="P244" s="62" t="str">
        <f t="shared" si="160"/>
        <v/>
      </c>
      <c r="Q244" s="16" t="str">
        <f t="shared" si="144"/>
        <v/>
      </c>
      <c r="R244" s="60">
        <f t="shared" si="161"/>
        <v>160</v>
      </c>
      <c r="S244" s="98">
        <f t="shared" si="162"/>
        <v>409.16448995224965</v>
      </c>
      <c r="T244" s="21">
        <f t="shared" si="163"/>
        <v>1.6999999999999999E-3</v>
      </c>
      <c r="AA244" s="14">
        <f t="shared" si="145"/>
        <v>-3615.2418093928236</v>
      </c>
      <c r="AH244" s="6">
        <f t="shared" si="146"/>
        <v>2</v>
      </c>
      <c r="AI244" s="6">
        <f t="shared" si="147"/>
        <v>7</v>
      </c>
      <c r="AJ244" s="12">
        <f t="shared" si="148"/>
        <v>20</v>
      </c>
      <c r="AK244" s="72">
        <f t="shared" si="138"/>
        <v>31</v>
      </c>
      <c r="AR244">
        <f t="shared" si="164"/>
        <v>25</v>
      </c>
      <c r="AS244">
        <f t="shared" si="165"/>
        <v>75</v>
      </c>
      <c r="AT244" s="183">
        <f t="shared" si="166"/>
        <v>53022</v>
      </c>
      <c r="AU244" s="2">
        <f t="shared" si="167"/>
        <v>6.2500000000000003E-3</v>
      </c>
      <c r="AV244" s="169">
        <f t="shared" si="168"/>
        <v>230</v>
      </c>
      <c r="AW244" s="165">
        <f t="shared" si="169"/>
        <v>2010.9605963330821</v>
      </c>
      <c r="AX244" s="170">
        <f t="shared" si="175"/>
        <v>1504.2812130597415</v>
      </c>
      <c r="AY244" s="164" t="str">
        <f t="shared" si="178"/>
        <v>🛵</v>
      </c>
      <c r="AZ244" s="171" t="str">
        <f t="shared" si="149"/>
        <v>🚴‍♂️</v>
      </c>
      <c r="BA244" s="172">
        <f t="shared" si="150"/>
        <v>1095.1167231074919</v>
      </c>
      <c r="BB244" s="173">
        <f t="shared" si="151"/>
        <v>0.30291659060322046</v>
      </c>
      <c r="BC244" s="174">
        <f t="shared" si="152"/>
        <v>3615.2418093928236</v>
      </c>
      <c r="BD244" s="175">
        <f t="shared" si="170"/>
        <v>239589.87736645114</v>
      </c>
      <c r="BE244" s="187"/>
      <c r="BF244" s="177" t="str">
        <f t="shared" si="137"/>
        <v/>
      </c>
      <c r="BG244" s="178" t="str">
        <f t="shared" si="171"/>
        <v/>
      </c>
      <c r="BH244" s="179" t="str">
        <f t="shared" si="153"/>
        <v/>
      </c>
      <c r="BI244" s="180">
        <f t="shared" si="172"/>
        <v>160</v>
      </c>
      <c r="BJ244" s="181">
        <f t="shared" si="176"/>
        <v>409.16448995224965</v>
      </c>
      <c r="BK244" s="182">
        <f t="shared" si="173"/>
        <v>1.6999999999999999E-3</v>
      </c>
    </row>
    <row r="245" spans="1:63" x14ac:dyDescent="0.25">
      <c r="A245" s="7">
        <f t="shared" si="154"/>
        <v>25</v>
      </c>
      <c r="B245" s="7">
        <f t="shared" si="155"/>
        <v>75</v>
      </c>
      <c r="C245" s="115">
        <f t="shared" si="156"/>
        <v>53053</v>
      </c>
      <c r="D245" s="2">
        <f t="shared" si="139"/>
        <v>6.2893081761006293E-3</v>
      </c>
      <c r="E245" s="169">
        <f t="shared" si="157"/>
        <v>231</v>
      </c>
      <c r="F245" s="165">
        <f t="shared" si="158"/>
        <v>2001.8107256197666</v>
      </c>
      <c r="G245" s="170">
        <f t="shared" si="174"/>
        <v>1506.8545746317682</v>
      </c>
      <c r="H245" s="164" t="str">
        <f t="shared" si="177"/>
        <v>🛵</v>
      </c>
      <c r="I245" s="171" t="str">
        <f t="shared" si="140"/>
        <v>🚴‍♂️</v>
      </c>
      <c r="J245" s="172">
        <f t="shared" si="141"/>
        <v>1099.5517831088014</v>
      </c>
      <c r="K245" s="173">
        <f t="shared" si="142"/>
        <v>0.30469763517058768</v>
      </c>
      <c r="L245" s="174">
        <f t="shared" si="143"/>
        <v>3608.665300251535</v>
      </c>
      <c r="M245" s="175">
        <f t="shared" si="159"/>
        <v>238490.32558334235</v>
      </c>
      <c r="N245" s="65"/>
      <c r="O245" s="37" t="str">
        <f t="shared" si="136"/>
        <v/>
      </c>
      <c r="P245" s="62" t="str">
        <f t="shared" si="160"/>
        <v/>
      </c>
      <c r="Q245" s="16" t="str">
        <f t="shared" si="144"/>
        <v/>
      </c>
      <c r="R245" s="60">
        <f t="shared" si="161"/>
        <v>159</v>
      </c>
      <c r="S245" s="98">
        <f t="shared" si="162"/>
        <v>407.30279152296691</v>
      </c>
      <c r="T245" s="21">
        <f t="shared" si="163"/>
        <v>1.6999999999999999E-3</v>
      </c>
      <c r="AA245" s="14">
        <f t="shared" si="145"/>
        <v>-3608.665300251535</v>
      </c>
      <c r="AH245" s="6">
        <f t="shared" si="146"/>
        <v>2</v>
      </c>
      <c r="AI245" s="6">
        <f t="shared" si="147"/>
        <v>7</v>
      </c>
      <c r="AJ245" s="12">
        <f t="shared" si="148"/>
        <v>20</v>
      </c>
      <c r="AK245" s="72">
        <f t="shared" si="138"/>
        <v>30</v>
      </c>
      <c r="AR245">
        <f t="shared" si="164"/>
        <v>25</v>
      </c>
      <c r="AS245">
        <f t="shared" si="165"/>
        <v>75</v>
      </c>
      <c r="AT245" s="183">
        <f t="shared" si="166"/>
        <v>53053</v>
      </c>
      <c r="AU245" s="2">
        <f t="shared" si="167"/>
        <v>6.2893081761006293E-3</v>
      </c>
      <c r="AV245" s="169">
        <f t="shared" si="168"/>
        <v>231</v>
      </c>
      <c r="AW245" s="165">
        <f t="shared" si="169"/>
        <v>2001.8107256197666</v>
      </c>
      <c r="AX245" s="170">
        <f t="shared" si="175"/>
        <v>1506.8545746317682</v>
      </c>
      <c r="AY245" s="164" t="str">
        <f t="shared" si="178"/>
        <v>🛵</v>
      </c>
      <c r="AZ245" s="171" t="str">
        <f t="shared" si="149"/>
        <v>🚴‍♂️</v>
      </c>
      <c r="BA245" s="172">
        <f t="shared" si="150"/>
        <v>1099.5517831088014</v>
      </c>
      <c r="BB245" s="173">
        <f t="shared" si="151"/>
        <v>0.30469763517058768</v>
      </c>
      <c r="BC245" s="174">
        <f t="shared" si="152"/>
        <v>3608.665300251535</v>
      </c>
      <c r="BD245" s="175">
        <f t="shared" si="170"/>
        <v>238490.32558334235</v>
      </c>
      <c r="BE245" s="187"/>
      <c r="BF245" s="177" t="str">
        <f t="shared" si="137"/>
        <v/>
      </c>
      <c r="BG245" s="178" t="str">
        <f t="shared" si="171"/>
        <v/>
      </c>
      <c r="BH245" s="179" t="str">
        <f t="shared" si="153"/>
        <v/>
      </c>
      <c r="BI245" s="180">
        <f t="shared" si="172"/>
        <v>159</v>
      </c>
      <c r="BJ245" s="181">
        <f t="shared" si="176"/>
        <v>407.30279152296691</v>
      </c>
      <c r="BK245" s="182">
        <f t="shared" si="173"/>
        <v>1.6999999999999999E-3</v>
      </c>
    </row>
    <row r="246" spans="1:63" x14ac:dyDescent="0.25">
      <c r="A246" s="7">
        <f t="shared" si="154"/>
        <v>25</v>
      </c>
      <c r="B246" s="7">
        <f t="shared" si="155"/>
        <v>75</v>
      </c>
      <c r="C246" s="115">
        <f t="shared" si="156"/>
        <v>53083</v>
      </c>
      <c r="D246" s="2">
        <f t="shared" si="139"/>
        <v>6.3291139240506328E-3</v>
      </c>
      <c r="E246" s="169">
        <f t="shared" si="157"/>
        <v>232</v>
      </c>
      <c r="F246" s="165">
        <f t="shared" si="158"/>
        <v>1992.6237992896738</v>
      </c>
      <c r="G246" s="170">
        <f t="shared" si="174"/>
        <v>1509.432440400901</v>
      </c>
      <c r="H246" s="164" t="str">
        <f t="shared" si="177"/>
        <v>🛵</v>
      </c>
      <c r="I246" s="171" t="str">
        <f t="shared" si="140"/>
        <v>🚴‍♂️</v>
      </c>
      <c r="J246" s="172">
        <f t="shared" si="141"/>
        <v>1103.998886909219</v>
      </c>
      <c r="K246" s="173">
        <f t="shared" si="142"/>
        <v>0.30649129648349277</v>
      </c>
      <c r="L246" s="174">
        <f t="shared" si="143"/>
        <v>3602.0562396905748</v>
      </c>
      <c r="M246" s="175">
        <f t="shared" si="159"/>
        <v>237386.32669643313</v>
      </c>
      <c r="N246" s="65"/>
      <c r="O246" s="37" t="str">
        <f t="shared" si="136"/>
        <v/>
      </c>
      <c r="P246" s="62" t="str">
        <f t="shared" si="160"/>
        <v/>
      </c>
      <c r="Q246" s="16" t="str">
        <f t="shared" si="144"/>
        <v/>
      </c>
      <c r="R246" s="60">
        <f t="shared" si="161"/>
        <v>158</v>
      </c>
      <c r="S246" s="98">
        <f t="shared" si="162"/>
        <v>405.43355349168195</v>
      </c>
      <c r="T246" s="21">
        <f t="shared" si="163"/>
        <v>1.6999999999999999E-3</v>
      </c>
      <c r="AA246" s="14">
        <f t="shared" si="145"/>
        <v>-3602.0562396905748</v>
      </c>
      <c r="AH246" s="6">
        <f t="shared" si="146"/>
        <v>2</v>
      </c>
      <c r="AI246" s="6">
        <f t="shared" si="147"/>
        <v>7</v>
      </c>
      <c r="AJ246" s="12">
        <f t="shared" si="148"/>
        <v>20</v>
      </c>
      <c r="AK246" s="72">
        <f t="shared" si="138"/>
        <v>31</v>
      </c>
      <c r="AR246">
        <f t="shared" si="164"/>
        <v>25</v>
      </c>
      <c r="AS246">
        <f t="shared" si="165"/>
        <v>75</v>
      </c>
      <c r="AT246" s="183">
        <f t="shared" si="166"/>
        <v>53083</v>
      </c>
      <c r="AU246" s="2">
        <f t="shared" si="167"/>
        <v>6.3291139240506328E-3</v>
      </c>
      <c r="AV246" s="169">
        <f t="shared" si="168"/>
        <v>232</v>
      </c>
      <c r="AW246" s="165">
        <f t="shared" si="169"/>
        <v>1992.6237992896738</v>
      </c>
      <c r="AX246" s="170">
        <f t="shared" si="175"/>
        <v>1509.432440400901</v>
      </c>
      <c r="AY246" s="164" t="str">
        <f t="shared" si="178"/>
        <v>🛵</v>
      </c>
      <c r="AZ246" s="171" t="str">
        <f t="shared" si="149"/>
        <v>🚴‍♂️</v>
      </c>
      <c r="BA246" s="172">
        <f t="shared" si="150"/>
        <v>1103.998886909219</v>
      </c>
      <c r="BB246" s="173">
        <f t="shared" si="151"/>
        <v>0.30649129648349277</v>
      </c>
      <c r="BC246" s="174">
        <f t="shared" si="152"/>
        <v>3602.0562396905748</v>
      </c>
      <c r="BD246" s="175">
        <f t="shared" si="170"/>
        <v>237386.32669643313</v>
      </c>
      <c r="BE246" s="187"/>
      <c r="BF246" s="177" t="str">
        <f t="shared" si="137"/>
        <v/>
      </c>
      <c r="BG246" s="178" t="str">
        <f t="shared" si="171"/>
        <v/>
      </c>
      <c r="BH246" s="179" t="str">
        <f t="shared" si="153"/>
        <v/>
      </c>
      <c r="BI246" s="180">
        <f t="shared" si="172"/>
        <v>158</v>
      </c>
      <c r="BJ246" s="181">
        <f t="shared" si="176"/>
        <v>405.43355349168195</v>
      </c>
      <c r="BK246" s="182">
        <f t="shared" si="173"/>
        <v>1.6999999999999999E-3</v>
      </c>
    </row>
    <row r="247" spans="1:63" x14ac:dyDescent="0.25">
      <c r="A247" s="7">
        <f t="shared" si="154"/>
        <v>25</v>
      </c>
      <c r="B247" s="7">
        <f t="shared" si="155"/>
        <v>75</v>
      </c>
      <c r="C247" s="115">
        <f t="shared" si="156"/>
        <v>53114</v>
      </c>
      <c r="D247" s="2">
        <f t="shared" si="139"/>
        <v>6.3694267515923561E-3</v>
      </c>
      <c r="E247" s="169">
        <f t="shared" si="157"/>
        <v>233</v>
      </c>
      <c r="F247" s="165">
        <f t="shared" si="158"/>
        <v>1983.3997167149873</v>
      </c>
      <c r="G247" s="170">
        <f t="shared" si="174"/>
        <v>1512.0148197225039</v>
      </c>
      <c r="H247" s="164" t="str">
        <f t="shared" si="177"/>
        <v>🛵</v>
      </c>
      <c r="I247" s="171" t="str">
        <f t="shared" si="140"/>
        <v>🚴‍♂️</v>
      </c>
      <c r="J247" s="172">
        <f t="shared" si="141"/>
        <v>1108.4580643385675</v>
      </c>
      <c r="K247" s="173">
        <f t="shared" si="142"/>
        <v>0.30829770895816672</v>
      </c>
      <c r="L247" s="174">
        <f t="shared" si="143"/>
        <v>3595.4145364374913</v>
      </c>
      <c r="M247" s="175">
        <f t="shared" si="159"/>
        <v>236277.86863209456</v>
      </c>
      <c r="N247" s="65"/>
      <c r="O247" s="37" t="str">
        <f t="shared" si="136"/>
        <v/>
      </c>
      <c r="P247" s="62" t="str">
        <f t="shared" si="160"/>
        <v/>
      </c>
      <c r="Q247" s="16" t="str">
        <f t="shared" si="144"/>
        <v/>
      </c>
      <c r="R247" s="60">
        <f t="shared" si="161"/>
        <v>157</v>
      </c>
      <c r="S247" s="98">
        <f t="shared" si="162"/>
        <v>403.55675538393632</v>
      </c>
      <c r="T247" s="21">
        <f t="shared" si="163"/>
        <v>1.6999999999999999E-3</v>
      </c>
      <c r="AA247" s="14">
        <f t="shared" si="145"/>
        <v>-3595.4145364374913</v>
      </c>
      <c r="AH247" s="6">
        <f t="shared" si="146"/>
        <v>2</v>
      </c>
      <c r="AI247" s="6">
        <f t="shared" si="147"/>
        <v>7</v>
      </c>
      <c r="AJ247" s="12">
        <f t="shared" si="148"/>
        <v>20</v>
      </c>
      <c r="AK247" s="72">
        <f t="shared" si="138"/>
        <v>30</v>
      </c>
      <c r="AR247">
        <f t="shared" si="164"/>
        <v>25</v>
      </c>
      <c r="AS247">
        <f t="shared" si="165"/>
        <v>75</v>
      </c>
      <c r="AT247" s="183">
        <f t="shared" si="166"/>
        <v>53114</v>
      </c>
      <c r="AU247" s="2">
        <f t="shared" si="167"/>
        <v>6.3694267515923561E-3</v>
      </c>
      <c r="AV247" s="169">
        <f t="shared" si="168"/>
        <v>233</v>
      </c>
      <c r="AW247" s="165">
        <f t="shared" si="169"/>
        <v>1983.3997167149873</v>
      </c>
      <c r="AX247" s="170">
        <f t="shared" si="175"/>
        <v>1512.0148197225039</v>
      </c>
      <c r="AY247" s="164" t="str">
        <f t="shared" si="178"/>
        <v>🛵</v>
      </c>
      <c r="AZ247" s="171" t="str">
        <f t="shared" si="149"/>
        <v>🚴‍♂️</v>
      </c>
      <c r="BA247" s="172">
        <f t="shared" si="150"/>
        <v>1108.4580643385675</v>
      </c>
      <c r="BB247" s="173">
        <f t="shared" si="151"/>
        <v>0.30829770895816672</v>
      </c>
      <c r="BC247" s="174">
        <f t="shared" si="152"/>
        <v>3595.4145364374913</v>
      </c>
      <c r="BD247" s="175">
        <f t="shared" si="170"/>
        <v>236277.86863209456</v>
      </c>
      <c r="BE247" s="187"/>
      <c r="BF247" s="177" t="str">
        <f t="shared" si="137"/>
        <v/>
      </c>
      <c r="BG247" s="178" t="str">
        <f t="shared" si="171"/>
        <v/>
      </c>
      <c r="BH247" s="179" t="str">
        <f t="shared" si="153"/>
        <v/>
      </c>
      <c r="BI247" s="180">
        <f t="shared" si="172"/>
        <v>157</v>
      </c>
      <c r="BJ247" s="181">
        <f t="shared" si="176"/>
        <v>403.55675538393632</v>
      </c>
      <c r="BK247" s="182">
        <f t="shared" si="173"/>
        <v>1.6999999999999999E-3</v>
      </c>
    </row>
    <row r="248" spans="1:63" x14ac:dyDescent="0.25">
      <c r="A248" s="7">
        <f t="shared" si="154"/>
        <v>25</v>
      </c>
      <c r="B248" s="7">
        <f t="shared" si="155"/>
        <v>75</v>
      </c>
      <c r="C248" s="115">
        <f t="shared" si="156"/>
        <v>53144</v>
      </c>
      <c r="D248" s="2">
        <f t="shared" si="139"/>
        <v>6.41025641025641E-3</v>
      </c>
      <c r="E248" s="169">
        <f t="shared" si="157"/>
        <v>234</v>
      </c>
      <c r="F248" s="165">
        <f t="shared" si="158"/>
        <v>1974.1383770186576</v>
      </c>
      <c r="G248" s="170">
        <f t="shared" si="174"/>
        <v>1514.6017220006061</v>
      </c>
      <c r="H248" s="164" t="str">
        <f t="shared" si="177"/>
        <v>🛵</v>
      </c>
      <c r="I248" s="171" t="str">
        <f t="shared" si="140"/>
        <v>🚴‍♂️</v>
      </c>
      <c r="J248" s="172">
        <f t="shared" si="141"/>
        <v>1112.9293453260452</v>
      </c>
      <c r="K248" s="173">
        <f t="shared" si="142"/>
        <v>0.31011700892750305</v>
      </c>
      <c r="L248" s="174">
        <f t="shared" si="143"/>
        <v>3588.7400990192637</v>
      </c>
      <c r="M248" s="175">
        <f t="shared" si="159"/>
        <v>235164.93928676852</v>
      </c>
      <c r="N248" s="65"/>
      <c r="O248" s="37" t="str">
        <f t="shared" si="136"/>
        <v/>
      </c>
      <c r="P248" s="62" t="str">
        <f t="shared" si="160"/>
        <v/>
      </c>
      <c r="Q248" s="16" t="str">
        <f t="shared" si="144"/>
        <v/>
      </c>
      <c r="R248" s="60">
        <f t="shared" si="161"/>
        <v>156</v>
      </c>
      <c r="S248" s="98">
        <f t="shared" si="162"/>
        <v>401.67237667456072</v>
      </c>
      <c r="T248" s="21">
        <f t="shared" si="163"/>
        <v>1.6999999999999999E-3</v>
      </c>
      <c r="AA248" s="14">
        <f t="shared" si="145"/>
        <v>-3588.7400990192637</v>
      </c>
      <c r="AH248" s="6">
        <f t="shared" si="146"/>
        <v>2</v>
      </c>
      <c r="AI248" s="6">
        <f t="shared" si="147"/>
        <v>7</v>
      </c>
      <c r="AJ248" s="12">
        <f t="shared" si="148"/>
        <v>20</v>
      </c>
      <c r="AK248" s="72">
        <f t="shared" si="138"/>
        <v>31</v>
      </c>
      <c r="AR248">
        <f t="shared" si="164"/>
        <v>25</v>
      </c>
      <c r="AS248">
        <f t="shared" si="165"/>
        <v>75</v>
      </c>
      <c r="AT248" s="183">
        <f t="shared" si="166"/>
        <v>53144</v>
      </c>
      <c r="AU248" s="2">
        <f t="shared" si="167"/>
        <v>6.41025641025641E-3</v>
      </c>
      <c r="AV248" s="169">
        <f t="shared" si="168"/>
        <v>234</v>
      </c>
      <c r="AW248" s="165">
        <f t="shared" si="169"/>
        <v>1974.1383770186576</v>
      </c>
      <c r="AX248" s="170">
        <f t="shared" si="175"/>
        <v>1514.6017220006061</v>
      </c>
      <c r="AY248" s="164" t="str">
        <f t="shared" si="178"/>
        <v>🛵</v>
      </c>
      <c r="AZ248" s="171" t="str">
        <f t="shared" si="149"/>
        <v>🚴‍♂️</v>
      </c>
      <c r="BA248" s="172">
        <f t="shared" si="150"/>
        <v>1112.9293453260452</v>
      </c>
      <c r="BB248" s="173">
        <f t="shared" si="151"/>
        <v>0.31011700892750305</v>
      </c>
      <c r="BC248" s="174">
        <f t="shared" si="152"/>
        <v>3588.7400990192637</v>
      </c>
      <c r="BD248" s="175">
        <f t="shared" si="170"/>
        <v>235164.93928676852</v>
      </c>
      <c r="BE248" s="187"/>
      <c r="BF248" s="177" t="str">
        <f t="shared" si="137"/>
        <v/>
      </c>
      <c r="BG248" s="178" t="str">
        <f t="shared" si="171"/>
        <v/>
      </c>
      <c r="BH248" s="179" t="str">
        <f t="shared" si="153"/>
        <v/>
      </c>
      <c r="BI248" s="180">
        <f t="shared" si="172"/>
        <v>156</v>
      </c>
      <c r="BJ248" s="181">
        <f t="shared" si="176"/>
        <v>401.67237667456072</v>
      </c>
      <c r="BK248" s="182">
        <f t="shared" si="173"/>
        <v>1.6999999999999999E-3</v>
      </c>
    </row>
    <row r="249" spans="1:63" x14ac:dyDescent="0.25">
      <c r="A249" s="7">
        <f t="shared" si="154"/>
        <v>25</v>
      </c>
      <c r="B249" s="7">
        <f t="shared" si="155"/>
        <v>75</v>
      </c>
      <c r="C249" s="115">
        <f t="shared" si="156"/>
        <v>53175</v>
      </c>
      <c r="D249" s="2">
        <f t="shared" si="139"/>
        <v>6.4516129032258064E-3</v>
      </c>
      <c r="E249" s="169">
        <f t="shared" si="157"/>
        <v>235</v>
      </c>
      <c r="F249" s="165">
        <f t="shared" si="158"/>
        <v>1964.8396790735724</v>
      </c>
      <c r="G249" s="170">
        <f t="shared" si="174"/>
        <v>1517.1931566888293</v>
      </c>
      <c r="H249" s="164" t="str">
        <f t="shared" si="177"/>
        <v>🛵</v>
      </c>
      <c r="I249" s="171" t="str">
        <f t="shared" si="140"/>
        <v>🚴‍♂️</v>
      </c>
      <c r="J249" s="172">
        <f t="shared" si="141"/>
        <v>1117.4127599013227</v>
      </c>
      <c r="K249" s="173">
        <f t="shared" si="142"/>
        <v>0.31194933467534558</v>
      </c>
      <c r="L249" s="174">
        <f t="shared" si="143"/>
        <v>3582.0328357624016</v>
      </c>
      <c r="M249" s="175">
        <f t="shared" si="159"/>
        <v>234047.52652686721</v>
      </c>
      <c r="N249" s="65"/>
      <c r="O249" s="37" t="str">
        <f t="shared" si="136"/>
        <v/>
      </c>
      <c r="P249" s="62" t="str">
        <f t="shared" si="160"/>
        <v/>
      </c>
      <c r="Q249" s="16" t="str">
        <f t="shared" si="144"/>
        <v/>
      </c>
      <c r="R249" s="60">
        <f t="shared" si="161"/>
        <v>155</v>
      </c>
      <c r="S249" s="98">
        <f t="shared" si="162"/>
        <v>399.78039678750645</v>
      </c>
      <c r="T249" s="21">
        <f t="shared" si="163"/>
        <v>1.6999999999999999E-3</v>
      </c>
      <c r="AA249" s="14">
        <f t="shared" si="145"/>
        <v>-3582.0328357624016</v>
      </c>
      <c r="AH249" s="6">
        <f t="shared" si="146"/>
        <v>2</v>
      </c>
      <c r="AI249" s="6">
        <f t="shared" si="147"/>
        <v>7</v>
      </c>
      <c r="AJ249" s="12">
        <f t="shared" si="148"/>
        <v>20</v>
      </c>
      <c r="AK249" s="72">
        <f t="shared" si="138"/>
        <v>31</v>
      </c>
      <c r="AR249">
        <f t="shared" si="164"/>
        <v>25</v>
      </c>
      <c r="AS249">
        <f t="shared" si="165"/>
        <v>75</v>
      </c>
      <c r="AT249" s="183">
        <f t="shared" si="166"/>
        <v>53175</v>
      </c>
      <c r="AU249" s="2">
        <f t="shared" si="167"/>
        <v>6.4516129032258064E-3</v>
      </c>
      <c r="AV249" s="169">
        <f t="shared" si="168"/>
        <v>235</v>
      </c>
      <c r="AW249" s="165">
        <f t="shared" si="169"/>
        <v>1964.8396790735724</v>
      </c>
      <c r="AX249" s="170">
        <f t="shared" si="175"/>
        <v>1517.1931566888293</v>
      </c>
      <c r="AY249" s="164" t="str">
        <f t="shared" si="178"/>
        <v>🛵</v>
      </c>
      <c r="AZ249" s="171" t="str">
        <f t="shared" si="149"/>
        <v>🚴‍♂️</v>
      </c>
      <c r="BA249" s="172">
        <f t="shared" si="150"/>
        <v>1117.4127599013227</v>
      </c>
      <c r="BB249" s="173">
        <f t="shared" si="151"/>
        <v>0.31194933467534558</v>
      </c>
      <c r="BC249" s="174">
        <f t="shared" si="152"/>
        <v>3582.0328357624016</v>
      </c>
      <c r="BD249" s="175">
        <f t="shared" si="170"/>
        <v>234047.52652686721</v>
      </c>
      <c r="BE249" s="187"/>
      <c r="BF249" s="177" t="str">
        <f t="shared" si="137"/>
        <v/>
      </c>
      <c r="BG249" s="178" t="str">
        <f t="shared" si="171"/>
        <v/>
      </c>
      <c r="BH249" s="179" t="str">
        <f t="shared" si="153"/>
        <v/>
      </c>
      <c r="BI249" s="180">
        <f t="shared" si="172"/>
        <v>155</v>
      </c>
      <c r="BJ249" s="181">
        <f t="shared" si="176"/>
        <v>399.78039678750645</v>
      </c>
      <c r="BK249" s="182">
        <f t="shared" si="173"/>
        <v>1.6999999999999999E-3</v>
      </c>
    </row>
    <row r="250" spans="1:63" x14ac:dyDescent="0.25">
      <c r="A250" s="7">
        <f t="shared" si="154"/>
        <v>25</v>
      </c>
      <c r="B250" s="7">
        <f t="shared" si="155"/>
        <v>75</v>
      </c>
      <c r="C250" s="115">
        <f t="shared" si="156"/>
        <v>53206</v>
      </c>
      <c r="D250" s="2">
        <f t="shared" si="139"/>
        <v>6.4935064935064931E-3</v>
      </c>
      <c r="E250" s="169">
        <f t="shared" si="157"/>
        <v>236</v>
      </c>
      <c r="F250" s="165">
        <f t="shared" si="158"/>
        <v>1955.5035215017165</v>
      </c>
      <c r="G250" s="170">
        <f t="shared" si="174"/>
        <v>1519.7891332913455</v>
      </c>
      <c r="H250" s="164" t="str">
        <f t="shared" si="177"/>
        <v>🛵</v>
      </c>
      <c r="I250" s="171" t="str">
        <f t="shared" si="140"/>
        <v>🚴‍♂️</v>
      </c>
      <c r="J250" s="172">
        <f t="shared" si="141"/>
        <v>1121.9083381956711</v>
      </c>
      <c r="K250" s="173">
        <f t="shared" si="142"/>
        <v>0.31379482647151502</v>
      </c>
      <c r="L250" s="174">
        <f t="shared" si="143"/>
        <v>3575.292654793062</v>
      </c>
      <c r="M250" s="175">
        <f t="shared" si="159"/>
        <v>232925.61818867153</v>
      </c>
      <c r="N250" s="65"/>
      <c r="O250" s="37" t="str">
        <f t="shared" si="136"/>
        <v/>
      </c>
      <c r="P250" s="62" t="str">
        <f t="shared" si="160"/>
        <v/>
      </c>
      <c r="Q250" s="16" t="str">
        <f t="shared" si="144"/>
        <v/>
      </c>
      <c r="R250" s="60">
        <f t="shared" si="161"/>
        <v>154</v>
      </c>
      <c r="S250" s="98">
        <f t="shared" si="162"/>
        <v>397.88079509567422</v>
      </c>
      <c r="T250" s="21">
        <f t="shared" si="163"/>
        <v>1.6999999999999999E-3</v>
      </c>
      <c r="AA250" s="14">
        <f t="shared" si="145"/>
        <v>-3575.292654793062</v>
      </c>
      <c r="AH250" s="6">
        <f t="shared" si="146"/>
        <v>2</v>
      </c>
      <c r="AI250" s="6">
        <f t="shared" si="147"/>
        <v>7</v>
      </c>
      <c r="AJ250" s="12">
        <f t="shared" si="148"/>
        <v>20</v>
      </c>
      <c r="AK250" s="72">
        <f t="shared" si="138"/>
        <v>30</v>
      </c>
      <c r="AR250">
        <f t="shared" si="164"/>
        <v>25</v>
      </c>
      <c r="AS250">
        <f t="shared" si="165"/>
        <v>75</v>
      </c>
      <c r="AT250" s="183">
        <f t="shared" si="166"/>
        <v>53206</v>
      </c>
      <c r="AU250" s="2">
        <f t="shared" si="167"/>
        <v>6.4935064935064931E-3</v>
      </c>
      <c r="AV250" s="169">
        <f t="shared" si="168"/>
        <v>236</v>
      </c>
      <c r="AW250" s="165">
        <f t="shared" si="169"/>
        <v>1955.5035215017165</v>
      </c>
      <c r="AX250" s="170">
        <f t="shared" si="175"/>
        <v>1519.7891332913455</v>
      </c>
      <c r="AY250" s="164" t="str">
        <f t="shared" si="178"/>
        <v>🛵</v>
      </c>
      <c r="AZ250" s="171" t="str">
        <f t="shared" si="149"/>
        <v>🚴‍♂️</v>
      </c>
      <c r="BA250" s="172">
        <f t="shared" si="150"/>
        <v>1121.9083381956711</v>
      </c>
      <c r="BB250" s="173">
        <f t="shared" si="151"/>
        <v>0.31379482647151502</v>
      </c>
      <c r="BC250" s="174">
        <f t="shared" si="152"/>
        <v>3575.292654793062</v>
      </c>
      <c r="BD250" s="175">
        <f t="shared" si="170"/>
        <v>232925.61818867153</v>
      </c>
      <c r="BE250" s="187"/>
      <c r="BF250" s="177" t="str">
        <f t="shared" si="137"/>
        <v/>
      </c>
      <c r="BG250" s="178" t="str">
        <f t="shared" si="171"/>
        <v/>
      </c>
      <c r="BH250" s="179" t="str">
        <f t="shared" si="153"/>
        <v/>
      </c>
      <c r="BI250" s="180">
        <f t="shared" si="172"/>
        <v>154</v>
      </c>
      <c r="BJ250" s="181">
        <f t="shared" si="176"/>
        <v>397.88079509567422</v>
      </c>
      <c r="BK250" s="182">
        <f t="shared" si="173"/>
        <v>1.6999999999999999E-3</v>
      </c>
    </row>
    <row r="251" spans="1:63" x14ac:dyDescent="0.25">
      <c r="A251" s="7">
        <f t="shared" si="154"/>
        <v>25</v>
      </c>
      <c r="B251" s="7">
        <f t="shared" si="155"/>
        <v>75</v>
      </c>
      <c r="C251" s="115">
        <f t="shared" si="156"/>
        <v>53236</v>
      </c>
      <c r="D251" s="2">
        <f t="shared" si="139"/>
        <v>6.5359477124183009E-3</v>
      </c>
      <c r="E251" s="169">
        <f t="shared" si="157"/>
        <v>237</v>
      </c>
      <c r="F251" s="165">
        <f t="shared" si="158"/>
        <v>1946.1298026733232</v>
      </c>
      <c r="G251" s="170">
        <f t="shared" si="174"/>
        <v>1522.3896613638663</v>
      </c>
      <c r="H251" s="164" t="str">
        <f t="shared" si="177"/>
        <v>🛵</v>
      </c>
      <c r="I251" s="171" t="str">
        <f t="shared" si="140"/>
        <v>🚴‍♂️</v>
      </c>
      <c r="J251" s="172">
        <f t="shared" si="141"/>
        <v>1126.4161104431246</v>
      </c>
      <c r="K251" s="173">
        <f t="shared" si="142"/>
        <v>0.3156536266075935</v>
      </c>
      <c r="L251" s="174">
        <f t="shared" si="143"/>
        <v>3568.5194640371892</v>
      </c>
      <c r="M251" s="175">
        <f t="shared" si="159"/>
        <v>231799.20207822841</v>
      </c>
      <c r="N251" s="65"/>
      <c r="O251" s="37" t="str">
        <f t="shared" si="136"/>
        <v/>
      </c>
      <c r="P251" s="62" t="str">
        <f t="shared" si="160"/>
        <v/>
      </c>
      <c r="Q251" s="16" t="str">
        <f t="shared" si="144"/>
        <v/>
      </c>
      <c r="R251" s="60">
        <f t="shared" si="161"/>
        <v>153</v>
      </c>
      <c r="S251" s="98">
        <f t="shared" si="162"/>
        <v>395.97355092074156</v>
      </c>
      <c r="T251" s="21">
        <f t="shared" si="163"/>
        <v>1.6999999999999999E-3</v>
      </c>
      <c r="AA251" s="14">
        <f t="shared" si="145"/>
        <v>-3568.5194640371892</v>
      </c>
      <c r="AH251" s="6">
        <f t="shared" si="146"/>
        <v>2</v>
      </c>
      <c r="AI251" s="6">
        <f t="shared" si="147"/>
        <v>7</v>
      </c>
      <c r="AJ251" s="12">
        <f t="shared" si="148"/>
        <v>20</v>
      </c>
      <c r="AK251" s="72">
        <f t="shared" si="138"/>
        <v>31</v>
      </c>
      <c r="AR251">
        <f t="shared" si="164"/>
        <v>25</v>
      </c>
      <c r="AS251">
        <f t="shared" si="165"/>
        <v>75</v>
      </c>
      <c r="AT251" s="183">
        <f t="shared" si="166"/>
        <v>53236</v>
      </c>
      <c r="AU251" s="2">
        <f t="shared" si="167"/>
        <v>6.5359477124183009E-3</v>
      </c>
      <c r="AV251" s="169">
        <f t="shared" si="168"/>
        <v>237</v>
      </c>
      <c r="AW251" s="165">
        <f t="shared" si="169"/>
        <v>1946.1298026733232</v>
      </c>
      <c r="AX251" s="170">
        <f t="shared" si="175"/>
        <v>1522.3896613638663</v>
      </c>
      <c r="AY251" s="164" t="str">
        <f t="shared" si="178"/>
        <v>🛵</v>
      </c>
      <c r="AZ251" s="171" t="str">
        <f t="shared" si="149"/>
        <v>🚴‍♂️</v>
      </c>
      <c r="BA251" s="172">
        <f t="shared" si="150"/>
        <v>1126.4161104431246</v>
      </c>
      <c r="BB251" s="173">
        <f t="shared" si="151"/>
        <v>0.3156536266075935</v>
      </c>
      <c r="BC251" s="174">
        <f t="shared" si="152"/>
        <v>3568.5194640371892</v>
      </c>
      <c r="BD251" s="175">
        <f t="shared" si="170"/>
        <v>231799.20207822841</v>
      </c>
      <c r="BE251" s="187"/>
      <c r="BF251" s="177" t="str">
        <f t="shared" si="137"/>
        <v/>
      </c>
      <c r="BG251" s="178" t="str">
        <f t="shared" si="171"/>
        <v/>
      </c>
      <c r="BH251" s="179" t="str">
        <f t="shared" si="153"/>
        <v/>
      </c>
      <c r="BI251" s="180">
        <f t="shared" si="172"/>
        <v>153</v>
      </c>
      <c r="BJ251" s="181">
        <f t="shared" si="176"/>
        <v>395.97355092074156</v>
      </c>
      <c r="BK251" s="182">
        <f t="shared" si="173"/>
        <v>1.6999999999999999E-3</v>
      </c>
    </row>
    <row r="252" spans="1:63" x14ac:dyDescent="0.25">
      <c r="A252" s="7">
        <f t="shared" si="154"/>
        <v>25</v>
      </c>
      <c r="B252" s="7">
        <f t="shared" si="155"/>
        <v>75</v>
      </c>
      <c r="C252" s="115">
        <f t="shared" si="156"/>
        <v>53267</v>
      </c>
      <c r="D252" s="2">
        <f t="shared" si="139"/>
        <v>6.5789473684210531E-3</v>
      </c>
      <c r="E252" s="169">
        <f t="shared" si="157"/>
        <v>238</v>
      </c>
      <c r="F252" s="165">
        <f t="shared" si="158"/>
        <v>1936.7184207060159</v>
      </c>
      <c r="G252" s="170">
        <f t="shared" si="174"/>
        <v>1524.9947505146606</v>
      </c>
      <c r="H252" s="164" t="str">
        <f t="shared" si="177"/>
        <v>🛵</v>
      </c>
      <c r="I252" s="171" t="str">
        <f t="shared" si="140"/>
        <v>🚴‍♂️</v>
      </c>
      <c r="J252" s="172">
        <f t="shared" si="141"/>
        <v>1130.9361069816723</v>
      </c>
      <c r="K252" s="173">
        <f t="shared" si="142"/>
        <v>0.31752587943348509</v>
      </c>
      <c r="L252" s="174">
        <f t="shared" si="143"/>
        <v>3561.7131712206765</v>
      </c>
      <c r="M252" s="175">
        <f t="shared" si="159"/>
        <v>230668.26597124673</v>
      </c>
      <c r="N252" s="65"/>
      <c r="O252" s="37" t="str">
        <f t="shared" si="136"/>
        <v/>
      </c>
      <c r="P252" s="62" t="str">
        <f t="shared" si="160"/>
        <v/>
      </c>
      <c r="Q252" s="16" t="str">
        <f t="shared" si="144"/>
        <v/>
      </c>
      <c r="R252" s="60">
        <f t="shared" si="161"/>
        <v>152</v>
      </c>
      <c r="S252" s="98">
        <f t="shared" si="162"/>
        <v>394.0586435329883</v>
      </c>
      <c r="T252" s="21">
        <f t="shared" si="163"/>
        <v>1.6999999999999999E-3</v>
      </c>
      <c r="AA252" s="14">
        <f t="shared" si="145"/>
        <v>-3561.7131712206765</v>
      </c>
      <c r="AH252" s="6">
        <f t="shared" si="146"/>
        <v>2</v>
      </c>
      <c r="AI252" s="6">
        <f t="shared" si="147"/>
        <v>7</v>
      </c>
      <c r="AJ252" s="12">
        <f t="shared" si="148"/>
        <v>20</v>
      </c>
      <c r="AK252" s="72">
        <f t="shared" si="138"/>
        <v>30</v>
      </c>
      <c r="AR252">
        <f t="shared" si="164"/>
        <v>25</v>
      </c>
      <c r="AS252">
        <f t="shared" si="165"/>
        <v>75</v>
      </c>
      <c r="AT252" s="183">
        <f t="shared" si="166"/>
        <v>53267</v>
      </c>
      <c r="AU252" s="2">
        <f t="shared" si="167"/>
        <v>6.5789473684210531E-3</v>
      </c>
      <c r="AV252" s="169">
        <f t="shared" si="168"/>
        <v>238</v>
      </c>
      <c r="AW252" s="165">
        <f t="shared" si="169"/>
        <v>1936.7184207060159</v>
      </c>
      <c r="AX252" s="170">
        <f t="shared" si="175"/>
        <v>1524.9947505146606</v>
      </c>
      <c r="AY252" s="164" t="str">
        <f t="shared" si="178"/>
        <v>🛵</v>
      </c>
      <c r="AZ252" s="171" t="str">
        <f t="shared" si="149"/>
        <v>🚴‍♂️</v>
      </c>
      <c r="BA252" s="172">
        <f t="shared" si="150"/>
        <v>1130.9361069816723</v>
      </c>
      <c r="BB252" s="173">
        <f t="shared" si="151"/>
        <v>0.31752587943348509</v>
      </c>
      <c r="BC252" s="174">
        <f t="shared" si="152"/>
        <v>3561.7131712206765</v>
      </c>
      <c r="BD252" s="175">
        <f t="shared" si="170"/>
        <v>230668.26597124673</v>
      </c>
      <c r="BE252" s="187"/>
      <c r="BF252" s="177" t="str">
        <f t="shared" si="137"/>
        <v/>
      </c>
      <c r="BG252" s="178" t="str">
        <f t="shared" si="171"/>
        <v/>
      </c>
      <c r="BH252" s="179" t="str">
        <f t="shared" si="153"/>
        <v/>
      </c>
      <c r="BI252" s="180">
        <f t="shared" si="172"/>
        <v>152</v>
      </c>
      <c r="BJ252" s="181">
        <f t="shared" si="176"/>
        <v>394.0586435329883</v>
      </c>
      <c r="BK252" s="182">
        <f t="shared" si="173"/>
        <v>1.6999999999999999E-3</v>
      </c>
    </row>
    <row r="253" spans="1:63" x14ac:dyDescent="0.25">
      <c r="A253" s="7">
        <f t="shared" si="154"/>
        <v>25</v>
      </c>
      <c r="B253" s="7">
        <f t="shared" si="155"/>
        <v>75</v>
      </c>
      <c r="C253" s="115">
        <f t="shared" si="156"/>
        <v>53297</v>
      </c>
      <c r="D253" s="2">
        <f t="shared" si="139"/>
        <v>6.6225165562913907E-3</v>
      </c>
      <c r="E253" s="169">
        <f t="shared" si="157"/>
        <v>239</v>
      </c>
      <c r="F253" s="165">
        <f t="shared" si="158"/>
        <v>1927.2692734639397</v>
      </c>
      <c r="G253" s="170">
        <f t="shared" si="174"/>
        <v>1527.6044104056075</v>
      </c>
      <c r="H253" s="164" t="str">
        <f t="shared" si="177"/>
        <v>🛵</v>
      </c>
      <c r="I253" s="171" t="str">
        <f t="shared" si="140"/>
        <v>🚴‍♂️</v>
      </c>
      <c r="J253" s="172">
        <f t="shared" si="141"/>
        <v>1135.4683582544881</v>
      </c>
      <c r="K253" s="173">
        <f t="shared" si="142"/>
        <v>0.3194117313947733</v>
      </c>
      <c r="L253" s="174">
        <f t="shared" si="143"/>
        <v>3554.8736838695472</v>
      </c>
      <c r="M253" s="175">
        <f t="shared" si="159"/>
        <v>229532.79761299223</v>
      </c>
      <c r="N253" s="65"/>
      <c r="O253" s="37" t="str">
        <f t="shared" si="136"/>
        <v/>
      </c>
      <c r="P253" s="62" t="str">
        <f t="shared" si="160"/>
        <v/>
      </c>
      <c r="Q253" s="16" t="str">
        <f t="shared" si="144"/>
        <v/>
      </c>
      <c r="R253" s="60">
        <f t="shared" si="161"/>
        <v>151</v>
      </c>
      <c r="S253" s="98">
        <f t="shared" si="162"/>
        <v>392.13605215111943</v>
      </c>
      <c r="T253" s="21">
        <f t="shared" si="163"/>
        <v>1.6999999999999999E-3</v>
      </c>
      <c r="AA253" s="14">
        <f t="shared" si="145"/>
        <v>-3554.8736838695472</v>
      </c>
      <c r="AH253" s="6">
        <f t="shared" si="146"/>
        <v>2</v>
      </c>
      <c r="AI253" s="6">
        <f t="shared" si="147"/>
        <v>7</v>
      </c>
      <c r="AJ253" s="12">
        <f t="shared" si="148"/>
        <v>20</v>
      </c>
      <c r="AK253" s="72">
        <f t="shared" si="138"/>
        <v>31</v>
      </c>
      <c r="AR253">
        <f t="shared" si="164"/>
        <v>25</v>
      </c>
      <c r="AS253">
        <f t="shared" si="165"/>
        <v>75</v>
      </c>
      <c r="AT253" s="183">
        <f t="shared" si="166"/>
        <v>53297</v>
      </c>
      <c r="AU253" s="2">
        <f t="shared" si="167"/>
        <v>6.6225165562913907E-3</v>
      </c>
      <c r="AV253" s="169">
        <f t="shared" si="168"/>
        <v>239</v>
      </c>
      <c r="AW253" s="165">
        <f t="shared" si="169"/>
        <v>1927.2692734639397</v>
      </c>
      <c r="AX253" s="170">
        <f t="shared" si="175"/>
        <v>1527.6044104056075</v>
      </c>
      <c r="AY253" s="164" t="str">
        <f t="shared" si="178"/>
        <v>🛵</v>
      </c>
      <c r="AZ253" s="171" t="str">
        <f t="shared" si="149"/>
        <v>🚴‍♂️</v>
      </c>
      <c r="BA253" s="172">
        <f t="shared" si="150"/>
        <v>1135.4683582544881</v>
      </c>
      <c r="BB253" s="173">
        <f t="shared" si="151"/>
        <v>0.3194117313947733</v>
      </c>
      <c r="BC253" s="174">
        <f t="shared" si="152"/>
        <v>3554.8736838695472</v>
      </c>
      <c r="BD253" s="175">
        <f t="shared" si="170"/>
        <v>229532.79761299223</v>
      </c>
      <c r="BE253" s="187"/>
      <c r="BF253" s="177" t="str">
        <f t="shared" si="137"/>
        <v/>
      </c>
      <c r="BG253" s="178" t="str">
        <f t="shared" si="171"/>
        <v/>
      </c>
      <c r="BH253" s="179" t="str">
        <f t="shared" si="153"/>
        <v/>
      </c>
      <c r="BI253" s="180">
        <f t="shared" si="172"/>
        <v>151</v>
      </c>
      <c r="BJ253" s="181">
        <f t="shared" si="176"/>
        <v>392.13605215111943</v>
      </c>
      <c r="BK253" s="182">
        <f t="shared" si="173"/>
        <v>1.6999999999999999E-3</v>
      </c>
    </row>
    <row r="254" spans="1:63" x14ac:dyDescent="0.25">
      <c r="A254" s="7">
        <f t="shared" si="154"/>
        <v>25</v>
      </c>
      <c r="B254" s="7">
        <f t="shared" si="155"/>
        <v>75</v>
      </c>
      <c r="C254" s="115">
        <f t="shared" si="156"/>
        <v>53328</v>
      </c>
      <c r="D254" s="2">
        <f t="shared" si="139"/>
        <v>6.6666666666666662E-3</v>
      </c>
      <c r="E254" s="169">
        <f t="shared" si="157"/>
        <v>240</v>
      </c>
      <c r="F254" s="165">
        <f t="shared" si="158"/>
        <v>1917.7822585568817</v>
      </c>
      <c r="G254" s="170">
        <f t="shared" si="174"/>
        <v>1530.2186507532815</v>
      </c>
      <c r="H254" s="164" t="str">
        <f t="shared" si="177"/>
        <v>🛵</v>
      </c>
      <c r="I254" s="171" t="str">
        <f t="shared" si="140"/>
        <v>🚴‍♂️</v>
      </c>
      <c r="J254" s="172">
        <f t="shared" si="141"/>
        <v>1140.0128948111947</v>
      </c>
      <c r="K254" s="173">
        <f t="shared" si="142"/>
        <v>0.32131133107089505</v>
      </c>
      <c r="L254" s="174">
        <f t="shared" si="143"/>
        <v>3548.0009093101635</v>
      </c>
      <c r="M254" s="175">
        <f t="shared" si="159"/>
        <v>228392.78471818104</v>
      </c>
      <c r="N254" s="65"/>
      <c r="O254" s="37" t="str">
        <f t="shared" si="136"/>
        <v/>
      </c>
      <c r="P254" s="62" t="str">
        <f t="shared" si="160"/>
        <v/>
      </c>
      <c r="Q254" s="16" t="str">
        <f t="shared" si="144"/>
        <v/>
      </c>
      <c r="R254" s="60">
        <f t="shared" si="161"/>
        <v>150</v>
      </c>
      <c r="S254" s="98">
        <f t="shared" si="162"/>
        <v>390.2057559420868</v>
      </c>
      <c r="T254" s="21">
        <f t="shared" si="163"/>
        <v>1.6999999999999999E-3</v>
      </c>
      <c r="AA254" s="14">
        <f t="shared" si="145"/>
        <v>-3548.0009093101635</v>
      </c>
      <c r="AH254" s="6">
        <f t="shared" si="146"/>
        <v>2</v>
      </c>
      <c r="AI254" s="6">
        <f t="shared" si="147"/>
        <v>7</v>
      </c>
      <c r="AJ254" s="12">
        <f t="shared" si="148"/>
        <v>20</v>
      </c>
      <c r="AK254" s="72">
        <f t="shared" si="138"/>
        <v>31</v>
      </c>
      <c r="AR254">
        <f t="shared" si="164"/>
        <v>25</v>
      </c>
      <c r="AS254">
        <f t="shared" si="165"/>
        <v>75</v>
      </c>
      <c r="AT254" s="183">
        <f t="shared" si="166"/>
        <v>53328</v>
      </c>
      <c r="AU254" s="2">
        <f t="shared" si="167"/>
        <v>6.6666666666666662E-3</v>
      </c>
      <c r="AV254" s="169">
        <f t="shared" si="168"/>
        <v>240</v>
      </c>
      <c r="AW254" s="165">
        <f t="shared" si="169"/>
        <v>1917.7822585568817</v>
      </c>
      <c r="AX254" s="170">
        <f t="shared" si="175"/>
        <v>1530.2186507532815</v>
      </c>
      <c r="AY254" s="164" t="str">
        <f t="shared" si="178"/>
        <v>🛵</v>
      </c>
      <c r="AZ254" s="171" t="str">
        <f t="shared" si="149"/>
        <v>🚴‍♂️</v>
      </c>
      <c r="BA254" s="172">
        <f t="shared" si="150"/>
        <v>1140.0128948111947</v>
      </c>
      <c r="BB254" s="173">
        <f t="shared" si="151"/>
        <v>0.32131133107089505</v>
      </c>
      <c r="BC254" s="174">
        <f t="shared" si="152"/>
        <v>3548.0009093101635</v>
      </c>
      <c r="BD254" s="175">
        <f t="shared" si="170"/>
        <v>228392.78471818104</v>
      </c>
      <c r="BE254" s="187"/>
      <c r="BF254" s="177" t="str">
        <f t="shared" si="137"/>
        <v/>
      </c>
      <c r="BG254" s="178" t="str">
        <f t="shared" si="171"/>
        <v/>
      </c>
      <c r="BH254" s="179" t="str">
        <f t="shared" si="153"/>
        <v/>
      </c>
      <c r="BI254" s="180">
        <f t="shared" si="172"/>
        <v>150</v>
      </c>
      <c r="BJ254" s="181">
        <f t="shared" si="176"/>
        <v>390.2057559420868</v>
      </c>
      <c r="BK254" s="182">
        <f t="shared" si="173"/>
        <v>1.6999999999999999E-3</v>
      </c>
    </row>
    <row r="255" spans="1:63" x14ac:dyDescent="0.25">
      <c r="A255" s="7">
        <f t="shared" si="154"/>
        <v>25</v>
      </c>
      <c r="B255" s="7">
        <f t="shared" si="155"/>
        <v>75</v>
      </c>
      <c r="C255" s="115">
        <f t="shared" si="156"/>
        <v>53359</v>
      </c>
      <c r="D255" s="2">
        <f t="shared" si="139"/>
        <v>6.7114093959731542E-3</v>
      </c>
      <c r="E255" s="169">
        <f t="shared" si="157"/>
        <v>241</v>
      </c>
      <c r="F255" s="165">
        <f t="shared" si="158"/>
        <v>1908.2572733393824</v>
      </c>
      <c r="G255" s="170">
        <f t="shared" si="174"/>
        <v>1532.8374813300741</v>
      </c>
      <c r="H255" s="164" t="str">
        <f t="shared" si="177"/>
        <v>🛵</v>
      </c>
      <c r="I255" s="171" t="str">
        <f t="shared" si="140"/>
        <v>🚴‍♂️</v>
      </c>
      <c r="J255" s="172">
        <f t="shared" si="141"/>
        <v>1144.5697473091664</v>
      </c>
      <c r="K255" s="173">
        <f t="shared" si="142"/>
        <v>0.32322482921415252</v>
      </c>
      <c r="L255" s="174">
        <f t="shared" si="143"/>
        <v>3541.0947546694565</v>
      </c>
      <c r="M255" s="175">
        <f t="shared" si="159"/>
        <v>227248.21497087189</v>
      </c>
      <c r="N255" s="65"/>
      <c r="O255" s="37" t="str">
        <f t="shared" si="136"/>
        <v/>
      </c>
      <c r="P255" s="62" t="str">
        <f t="shared" si="160"/>
        <v/>
      </c>
      <c r="Q255" s="16" t="str">
        <f t="shared" si="144"/>
        <v/>
      </c>
      <c r="R255" s="60">
        <f t="shared" si="161"/>
        <v>149</v>
      </c>
      <c r="S255" s="98">
        <f t="shared" si="162"/>
        <v>388.26773402090777</v>
      </c>
      <c r="T255" s="21">
        <f t="shared" si="163"/>
        <v>1.6999999999999999E-3</v>
      </c>
      <c r="AA255" s="14">
        <f t="shared" si="145"/>
        <v>-3541.0947546694565</v>
      </c>
      <c r="AH255" s="6">
        <f t="shared" si="146"/>
        <v>3</v>
      </c>
      <c r="AI255" s="6">
        <f t="shared" si="147"/>
        <v>7</v>
      </c>
      <c r="AJ255" s="12">
        <f t="shared" si="148"/>
        <v>21</v>
      </c>
      <c r="AK255" s="72">
        <f t="shared" si="138"/>
        <v>28</v>
      </c>
      <c r="AR255">
        <f t="shared" si="164"/>
        <v>25</v>
      </c>
      <c r="AS255">
        <f t="shared" si="165"/>
        <v>75</v>
      </c>
      <c r="AT255" s="183">
        <f t="shared" si="166"/>
        <v>53359</v>
      </c>
      <c r="AU255" s="2">
        <f t="shared" si="167"/>
        <v>6.7114093959731542E-3</v>
      </c>
      <c r="AV255" s="169">
        <f t="shared" si="168"/>
        <v>241</v>
      </c>
      <c r="AW255" s="165">
        <f t="shared" si="169"/>
        <v>1908.2572733393824</v>
      </c>
      <c r="AX255" s="170">
        <f t="shared" si="175"/>
        <v>1532.8374813300741</v>
      </c>
      <c r="AY255" s="164" t="str">
        <f t="shared" si="178"/>
        <v>🛵</v>
      </c>
      <c r="AZ255" s="171" t="str">
        <f t="shared" si="149"/>
        <v>🚴‍♂️</v>
      </c>
      <c r="BA255" s="172">
        <f t="shared" si="150"/>
        <v>1144.5697473091664</v>
      </c>
      <c r="BB255" s="173">
        <f t="shared" si="151"/>
        <v>0.32322482921415252</v>
      </c>
      <c r="BC255" s="174">
        <f t="shared" si="152"/>
        <v>3541.0947546694565</v>
      </c>
      <c r="BD255" s="175">
        <f t="shared" si="170"/>
        <v>227248.21497087189</v>
      </c>
      <c r="BE255" s="187"/>
      <c r="BF255" s="177" t="str">
        <f t="shared" si="137"/>
        <v/>
      </c>
      <c r="BG255" s="178" t="str">
        <f t="shared" si="171"/>
        <v/>
      </c>
      <c r="BH255" s="179" t="str">
        <f t="shared" si="153"/>
        <v/>
      </c>
      <c r="BI255" s="180">
        <f t="shared" si="172"/>
        <v>149</v>
      </c>
      <c r="BJ255" s="181">
        <f t="shared" si="176"/>
        <v>388.26773402090777</v>
      </c>
      <c r="BK255" s="182">
        <f t="shared" si="173"/>
        <v>1.6999999999999999E-3</v>
      </c>
    </row>
    <row r="256" spans="1:63" x14ac:dyDescent="0.25">
      <c r="A256" s="7">
        <f t="shared" si="154"/>
        <v>25</v>
      </c>
      <c r="B256" s="7">
        <f t="shared" si="155"/>
        <v>75</v>
      </c>
      <c r="C256" s="115">
        <f t="shared" si="156"/>
        <v>53387</v>
      </c>
      <c r="D256" s="2">
        <f t="shared" si="139"/>
        <v>6.7567567567567563E-3</v>
      </c>
      <c r="E256" s="169">
        <f t="shared" si="157"/>
        <v>242</v>
      </c>
      <c r="F256" s="165">
        <f t="shared" si="158"/>
        <v>1898.6942149098356</v>
      </c>
      <c r="G256" s="170">
        <f t="shared" si="174"/>
        <v>1535.4609119653505</v>
      </c>
      <c r="H256" s="164" t="str">
        <f t="shared" si="177"/>
        <v>🛵</v>
      </c>
      <c r="I256" s="171" t="str">
        <f t="shared" si="140"/>
        <v>🚴‍♂️</v>
      </c>
      <c r="J256" s="172">
        <f t="shared" si="141"/>
        <v>1149.1389465148684</v>
      </c>
      <c r="K256" s="173">
        <f t="shared" si="142"/>
        <v>0.32515237878958331</v>
      </c>
      <c r="L256" s="174">
        <f t="shared" si="143"/>
        <v>3534.1551268751864</v>
      </c>
      <c r="M256" s="175">
        <f t="shared" si="159"/>
        <v>226099.07602435703</v>
      </c>
      <c r="N256" s="65"/>
      <c r="O256" s="37" t="str">
        <f t="shared" si="136"/>
        <v/>
      </c>
      <c r="P256" s="62" t="str">
        <f t="shared" si="160"/>
        <v/>
      </c>
      <c r="Q256" s="16" t="str">
        <f t="shared" si="144"/>
        <v/>
      </c>
      <c r="R256" s="60">
        <f t="shared" si="161"/>
        <v>148</v>
      </c>
      <c r="S256" s="98">
        <f t="shared" si="162"/>
        <v>386.3219654504822</v>
      </c>
      <c r="T256" s="21">
        <f t="shared" si="163"/>
        <v>1.6999999999999999E-3</v>
      </c>
      <c r="AA256" s="14">
        <f t="shared" si="145"/>
        <v>-3534.1551268751864</v>
      </c>
      <c r="AH256" s="6">
        <f t="shared" si="146"/>
        <v>3</v>
      </c>
      <c r="AI256" s="6">
        <f t="shared" si="147"/>
        <v>7</v>
      </c>
      <c r="AJ256" s="12">
        <f t="shared" si="148"/>
        <v>21</v>
      </c>
      <c r="AK256" s="72">
        <f t="shared" si="138"/>
        <v>31</v>
      </c>
      <c r="AR256">
        <f t="shared" si="164"/>
        <v>25</v>
      </c>
      <c r="AS256">
        <f t="shared" si="165"/>
        <v>75</v>
      </c>
      <c r="AT256" s="183">
        <f t="shared" si="166"/>
        <v>53387</v>
      </c>
      <c r="AU256" s="2">
        <f t="shared" si="167"/>
        <v>6.7567567567567563E-3</v>
      </c>
      <c r="AV256" s="169">
        <f t="shared" si="168"/>
        <v>242</v>
      </c>
      <c r="AW256" s="165">
        <f t="shared" si="169"/>
        <v>1898.6942149098356</v>
      </c>
      <c r="AX256" s="170">
        <f t="shared" si="175"/>
        <v>1535.4609119653505</v>
      </c>
      <c r="AY256" s="164" t="str">
        <f t="shared" si="178"/>
        <v>🛵</v>
      </c>
      <c r="AZ256" s="171" t="str">
        <f t="shared" si="149"/>
        <v>🚴‍♂️</v>
      </c>
      <c r="BA256" s="172">
        <f t="shared" si="150"/>
        <v>1149.1389465148684</v>
      </c>
      <c r="BB256" s="173">
        <f t="shared" si="151"/>
        <v>0.32515237878958331</v>
      </c>
      <c r="BC256" s="174">
        <f t="shared" si="152"/>
        <v>3534.1551268751864</v>
      </c>
      <c r="BD256" s="175">
        <f t="shared" si="170"/>
        <v>226099.07602435703</v>
      </c>
      <c r="BE256" s="187"/>
      <c r="BF256" s="177" t="str">
        <f t="shared" si="137"/>
        <v/>
      </c>
      <c r="BG256" s="178" t="str">
        <f t="shared" si="171"/>
        <v/>
      </c>
      <c r="BH256" s="179" t="str">
        <f t="shared" si="153"/>
        <v/>
      </c>
      <c r="BI256" s="180">
        <f t="shared" si="172"/>
        <v>148</v>
      </c>
      <c r="BJ256" s="181">
        <f t="shared" si="176"/>
        <v>386.3219654504822</v>
      </c>
      <c r="BK256" s="182">
        <f t="shared" si="173"/>
        <v>1.6999999999999999E-3</v>
      </c>
    </row>
    <row r="257" spans="1:63" x14ac:dyDescent="0.25">
      <c r="A257" s="7">
        <f t="shared" si="154"/>
        <v>25</v>
      </c>
      <c r="B257" s="7">
        <f t="shared" si="155"/>
        <v>75</v>
      </c>
      <c r="C257" s="115">
        <f t="shared" si="156"/>
        <v>53418</v>
      </c>
      <c r="D257" s="2">
        <f t="shared" si="139"/>
        <v>6.8027210884353739E-3</v>
      </c>
      <c r="E257" s="169">
        <f t="shared" si="157"/>
        <v>243</v>
      </c>
      <c r="F257" s="165">
        <f t="shared" si="158"/>
        <v>1889.0929801095754</v>
      </c>
      <c r="G257" s="170">
        <f t="shared" si="174"/>
        <v>1538.0889525466464</v>
      </c>
      <c r="H257" s="164" t="str">
        <f t="shared" si="177"/>
        <v>🛵</v>
      </c>
      <c r="I257" s="171" t="str">
        <f t="shared" si="140"/>
        <v>🚴‍♂️</v>
      </c>
      <c r="J257" s="172">
        <f t="shared" si="141"/>
        <v>1153.7205233052396</v>
      </c>
      <c r="K257" s="173">
        <f t="shared" si="142"/>
        <v>0.32709413501571355</v>
      </c>
      <c r="L257" s="174">
        <f t="shared" si="143"/>
        <v>3527.1819326562218</v>
      </c>
      <c r="M257" s="175">
        <f t="shared" si="159"/>
        <v>224945.35550105179</v>
      </c>
      <c r="N257" s="65"/>
      <c r="O257" s="37" t="str">
        <f t="shared" si="136"/>
        <v/>
      </c>
      <c r="P257" s="62" t="str">
        <f t="shared" si="160"/>
        <v/>
      </c>
      <c r="Q257" s="16" t="str">
        <f t="shared" si="144"/>
        <v/>
      </c>
      <c r="R257" s="60">
        <f t="shared" si="161"/>
        <v>147</v>
      </c>
      <c r="S257" s="98">
        <f t="shared" si="162"/>
        <v>384.36842924140694</v>
      </c>
      <c r="T257" s="21">
        <f t="shared" si="163"/>
        <v>1.6999999999999999E-3</v>
      </c>
      <c r="AA257" s="14">
        <f t="shared" si="145"/>
        <v>-3527.1819326562218</v>
      </c>
      <c r="AH257" s="6">
        <f t="shared" si="146"/>
        <v>3</v>
      </c>
      <c r="AI257" s="6">
        <f t="shared" si="147"/>
        <v>7</v>
      </c>
      <c r="AJ257" s="12">
        <f t="shared" si="148"/>
        <v>21</v>
      </c>
      <c r="AK257" s="72">
        <f t="shared" si="138"/>
        <v>30</v>
      </c>
      <c r="AR257">
        <f t="shared" si="164"/>
        <v>25</v>
      </c>
      <c r="AS257">
        <f t="shared" si="165"/>
        <v>75</v>
      </c>
      <c r="AT257" s="183">
        <f t="shared" si="166"/>
        <v>53418</v>
      </c>
      <c r="AU257" s="2">
        <f t="shared" si="167"/>
        <v>6.8027210884353739E-3</v>
      </c>
      <c r="AV257" s="169">
        <f t="shared" si="168"/>
        <v>243</v>
      </c>
      <c r="AW257" s="165">
        <f t="shared" si="169"/>
        <v>1889.0929801095754</v>
      </c>
      <c r="AX257" s="170">
        <f t="shared" si="175"/>
        <v>1538.0889525466464</v>
      </c>
      <c r="AY257" s="164" t="str">
        <f t="shared" si="178"/>
        <v>🛵</v>
      </c>
      <c r="AZ257" s="171" t="str">
        <f t="shared" si="149"/>
        <v>🚴‍♂️</v>
      </c>
      <c r="BA257" s="172">
        <f t="shared" si="150"/>
        <v>1153.7205233052396</v>
      </c>
      <c r="BB257" s="173">
        <f t="shared" si="151"/>
        <v>0.32709413501571355</v>
      </c>
      <c r="BC257" s="174">
        <f t="shared" si="152"/>
        <v>3527.1819326562218</v>
      </c>
      <c r="BD257" s="175">
        <f t="shared" si="170"/>
        <v>224945.35550105179</v>
      </c>
      <c r="BE257" s="187"/>
      <c r="BF257" s="177" t="str">
        <f t="shared" si="137"/>
        <v/>
      </c>
      <c r="BG257" s="178" t="str">
        <f t="shared" si="171"/>
        <v/>
      </c>
      <c r="BH257" s="179" t="str">
        <f t="shared" si="153"/>
        <v/>
      </c>
      <c r="BI257" s="180">
        <f t="shared" si="172"/>
        <v>147</v>
      </c>
      <c r="BJ257" s="181">
        <f t="shared" si="176"/>
        <v>384.36842924140694</v>
      </c>
      <c r="BK257" s="182">
        <f t="shared" si="173"/>
        <v>1.6999999999999999E-3</v>
      </c>
    </row>
    <row r="258" spans="1:63" x14ac:dyDescent="0.25">
      <c r="A258" s="7">
        <f t="shared" si="154"/>
        <v>25</v>
      </c>
      <c r="B258" s="7">
        <f t="shared" si="155"/>
        <v>75</v>
      </c>
      <c r="C258" s="115">
        <f t="shared" si="156"/>
        <v>53448</v>
      </c>
      <c r="D258" s="2">
        <f t="shared" si="139"/>
        <v>6.8493150684931503E-3</v>
      </c>
      <c r="E258" s="169">
        <f t="shared" si="157"/>
        <v>244</v>
      </c>
      <c r="F258" s="165">
        <f t="shared" si="158"/>
        <v>1879.453465521955</v>
      </c>
      <c r="G258" s="170">
        <f t="shared" si="174"/>
        <v>1540.7216130209026</v>
      </c>
      <c r="H258" s="164" t="str">
        <f t="shared" si="177"/>
        <v>🛵</v>
      </c>
      <c r="I258" s="171" t="str">
        <f t="shared" si="140"/>
        <v>🚴‍♂️</v>
      </c>
      <c r="J258" s="172">
        <f t="shared" si="141"/>
        <v>1158.3145086691147</v>
      </c>
      <c r="K258" s="173">
        <f t="shared" si="142"/>
        <v>0.32905025540621341</v>
      </c>
      <c r="L258" s="174">
        <f t="shared" si="143"/>
        <v>3520.1750785428576</v>
      </c>
      <c r="M258" s="175">
        <f t="shared" si="159"/>
        <v>223787.04099238268</v>
      </c>
      <c r="N258" s="65"/>
      <c r="O258" s="37" t="str">
        <f t="shared" si="136"/>
        <v/>
      </c>
      <c r="P258" s="62" t="str">
        <f t="shared" si="160"/>
        <v/>
      </c>
      <c r="Q258" s="16" t="str">
        <f t="shared" si="144"/>
        <v/>
      </c>
      <c r="R258" s="60">
        <f t="shared" si="161"/>
        <v>146</v>
      </c>
      <c r="S258" s="98">
        <f t="shared" si="162"/>
        <v>382.40710435178801</v>
      </c>
      <c r="T258" s="21">
        <f t="shared" si="163"/>
        <v>1.6999999999999999E-3</v>
      </c>
      <c r="AA258" s="14">
        <f t="shared" si="145"/>
        <v>-3520.1750785428576</v>
      </c>
      <c r="AH258" s="6">
        <f t="shared" si="146"/>
        <v>3</v>
      </c>
      <c r="AI258" s="6">
        <f t="shared" si="147"/>
        <v>7</v>
      </c>
      <c r="AJ258" s="12">
        <f t="shared" si="148"/>
        <v>21</v>
      </c>
      <c r="AK258" s="72">
        <f t="shared" si="138"/>
        <v>31</v>
      </c>
      <c r="AR258">
        <f t="shared" si="164"/>
        <v>25</v>
      </c>
      <c r="AS258">
        <f t="shared" si="165"/>
        <v>75</v>
      </c>
      <c r="AT258" s="183">
        <f t="shared" si="166"/>
        <v>53448</v>
      </c>
      <c r="AU258" s="2">
        <f t="shared" si="167"/>
        <v>6.8493150684931503E-3</v>
      </c>
      <c r="AV258" s="169">
        <f t="shared" si="168"/>
        <v>244</v>
      </c>
      <c r="AW258" s="165">
        <f t="shared" si="169"/>
        <v>1879.453465521955</v>
      </c>
      <c r="AX258" s="170">
        <f t="shared" si="175"/>
        <v>1540.7216130209026</v>
      </c>
      <c r="AY258" s="164" t="str">
        <f t="shared" si="178"/>
        <v>🛵</v>
      </c>
      <c r="AZ258" s="171" t="str">
        <f t="shared" si="149"/>
        <v>🚴‍♂️</v>
      </c>
      <c r="BA258" s="172">
        <f t="shared" si="150"/>
        <v>1158.3145086691147</v>
      </c>
      <c r="BB258" s="173">
        <f t="shared" si="151"/>
        <v>0.32905025540621341</v>
      </c>
      <c r="BC258" s="174">
        <f t="shared" si="152"/>
        <v>3520.1750785428576</v>
      </c>
      <c r="BD258" s="175">
        <f t="shared" si="170"/>
        <v>223787.04099238268</v>
      </c>
      <c r="BE258" s="187"/>
      <c r="BF258" s="177" t="str">
        <f t="shared" si="137"/>
        <v/>
      </c>
      <c r="BG258" s="178" t="str">
        <f t="shared" si="171"/>
        <v/>
      </c>
      <c r="BH258" s="179" t="str">
        <f t="shared" si="153"/>
        <v/>
      </c>
      <c r="BI258" s="180">
        <f t="shared" si="172"/>
        <v>146</v>
      </c>
      <c r="BJ258" s="181">
        <f t="shared" si="176"/>
        <v>382.40710435178801</v>
      </c>
      <c r="BK258" s="182">
        <f t="shared" si="173"/>
        <v>1.6999999999999999E-3</v>
      </c>
    </row>
    <row r="259" spans="1:63" x14ac:dyDescent="0.25">
      <c r="A259" s="7">
        <f t="shared" si="154"/>
        <v>25</v>
      </c>
      <c r="B259" s="7">
        <f t="shared" si="155"/>
        <v>75</v>
      </c>
      <c r="C259" s="115">
        <f t="shared" si="156"/>
        <v>53479</v>
      </c>
      <c r="D259" s="2">
        <f t="shared" si="139"/>
        <v>6.8965517241379309E-3</v>
      </c>
      <c r="E259" s="169">
        <f t="shared" si="157"/>
        <v>245</v>
      </c>
      <c r="F259" s="165">
        <f t="shared" si="158"/>
        <v>1869.7755674714113</v>
      </c>
      <c r="G259" s="170">
        <f t="shared" si="174"/>
        <v>1543.3589033957426</v>
      </c>
      <c r="H259" s="164" t="str">
        <f t="shared" si="177"/>
        <v>🛵</v>
      </c>
      <c r="I259" s="171" t="str">
        <f t="shared" si="140"/>
        <v>🚴‍♂️</v>
      </c>
      <c r="J259" s="172">
        <f t="shared" si="141"/>
        <v>1162.920933708692</v>
      </c>
      <c r="K259" s="173">
        <f t="shared" si="142"/>
        <v>0.33102089981248167</v>
      </c>
      <c r="L259" s="174">
        <f t="shared" si="143"/>
        <v>3513.1344708671541</v>
      </c>
      <c r="M259" s="175">
        <f t="shared" si="159"/>
        <v>222624.12005867399</v>
      </c>
      <c r="N259" s="65"/>
      <c r="O259" s="37" t="str">
        <f t="shared" si="136"/>
        <v/>
      </c>
      <c r="P259" s="62" t="str">
        <f t="shared" si="160"/>
        <v/>
      </c>
      <c r="Q259" s="16" t="str">
        <f t="shared" si="144"/>
        <v/>
      </c>
      <c r="R259" s="60">
        <f t="shared" si="161"/>
        <v>145</v>
      </c>
      <c r="S259" s="98">
        <f t="shared" si="162"/>
        <v>380.43796968705055</v>
      </c>
      <c r="T259" s="21">
        <f t="shared" si="163"/>
        <v>1.6999999999999999E-3</v>
      </c>
      <c r="AA259" s="14">
        <f t="shared" si="145"/>
        <v>-3513.1344708671541</v>
      </c>
      <c r="AH259" s="6">
        <f t="shared" si="146"/>
        <v>3</v>
      </c>
      <c r="AI259" s="6">
        <f t="shared" si="147"/>
        <v>7</v>
      </c>
      <c r="AJ259" s="12">
        <f t="shared" si="148"/>
        <v>21</v>
      </c>
      <c r="AK259" s="72">
        <f t="shared" si="138"/>
        <v>30</v>
      </c>
      <c r="AR259">
        <f t="shared" si="164"/>
        <v>25</v>
      </c>
      <c r="AS259">
        <f t="shared" si="165"/>
        <v>75</v>
      </c>
      <c r="AT259" s="183">
        <f t="shared" si="166"/>
        <v>53479</v>
      </c>
      <c r="AU259" s="2">
        <f t="shared" si="167"/>
        <v>6.8965517241379309E-3</v>
      </c>
      <c r="AV259" s="169">
        <f t="shared" si="168"/>
        <v>245</v>
      </c>
      <c r="AW259" s="165">
        <f t="shared" si="169"/>
        <v>1869.7755674714113</v>
      </c>
      <c r="AX259" s="170">
        <f t="shared" si="175"/>
        <v>1543.3589033957426</v>
      </c>
      <c r="AY259" s="164" t="str">
        <f t="shared" si="178"/>
        <v>🛵</v>
      </c>
      <c r="AZ259" s="171" t="str">
        <f t="shared" si="149"/>
        <v>🚴‍♂️</v>
      </c>
      <c r="BA259" s="172">
        <f t="shared" si="150"/>
        <v>1162.920933708692</v>
      </c>
      <c r="BB259" s="173">
        <f t="shared" si="151"/>
        <v>0.33102089981248167</v>
      </c>
      <c r="BC259" s="174">
        <f t="shared" si="152"/>
        <v>3513.1344708671541</v>
      </c>
      <c r="BD259" s="175">
        <f t="shared" si="170"/>
        <v>222624.12005867399</v>
      </c>
      <c r="BE259" s="187"/>
      <c r="BF259" s="177" t="str">
        <f t="shared" si="137"/>
        <v/>
      </c>
      <c r="BG259" s="178" t="str">
        <f t="shared" si="171"/>
        <v/>
      </c>
      <c r="BH259" s="179" t="str">
        <f t="shared" si="153"/>
        <v/>
      </c>
      <c r="BI259" s="180">
        <f t="shared" si="172"/>
        <v>145</v>
      </c>
      <c r="BJ259" s="181">
        <f t="shared" si="176"/>
        <v>380.43796968705055</v>
      </c>
      <c r="BK259" s="182">
        <f t="shared" si="173"/>
        <v>1.6999999999999999E-3</v>
      </c>
    </row>
    <row r="260" spans="1:63" x14ac:dyDescent="0.25">
      <c r="A260" s="7">
        <f t="shared" si="154"/>
        <v>25</v>
      </c>
      <c r="B260" s="7">
        <f t="shared" si="155"/>
        <v>75</v>
      </c>
      <c r="C260" s="115">
        <f t="shared" si="156"/>
        <v>53509</v>
      </c>
      <c r="D260" s="2">
        <f t="shared" si="139"/>
        <v>6.9444444444444449E-3</v>
      </c>
      <c r="E260" s="169">
        <f t="shared" si="157"/>
        <v>246</v>
      </c>
      <c r="F260" s="165">
        <f t="shared" si="158"/>
        <v>1860.0591820225166</v>
      </c>
      <c r="G260" s="170">
        <f t="shared" si="174"/>
        <v>1546.0008337407917</v>
      </c>
      <c r="H260" s="164" t="str">
        <f t="shared" si="177"/>
        <v>🛵</v>
      </c>
      <c r="I260" s="171" t="str">
        <f t="shared" si="140"/>
        <v>🚴‍♂️</v>
      </c>
      <c r="J260" s="172">
        <f t="shared" si="141"/>
        <v>1167.5398296410458</v>
      </c>
      <c r="K260" s="173">
        <f t="shared" si="142"/>
        <v>0.33300623046718142</v>
      </c>
      <c r="L260" s="174">
        <f t="shared" si="143"/>
        <v>3506.060015763308</v>
      </c>
      <c r="M260" s="175">
        <f t="shared" si="159"/>
        <v>221456.58022903296</v>
      </c>
      <c r="N260" s="65"/>
      <c r="O260" s="37" t="str">
        <f t="shared" si="136"/>
        <v/>
      </c>
      <c r="P260" s="62" t="str">
        <f t="shared" si="160"/>
        <v/>
      </c>
      <c r="Q260" s="16" t="str">
        <f t="shared" si="144"/>
        <v/>
      </c>
      <c r="R260" s="60">
        <f t="shared" si="161"/>
        <v>144</v>
      </c>
      <c r="S260" s="98">
        <f t="shared" si="162"/>
        <v>378.46100409974576</v>
      </c>
      <c r="T260" s="21">
        <f t="shared" si="163"/>
        <v>1.6999999999999999E-3</v>
      </c>
      <c r="AA260" s="14">
        <f t="shared" si="145"/>
        <v>-3506.060015763308</v>
      </c>
      <c r="AH260" s="6">
        <f t="shared" si="146"/>
        <v>3</v>
      </c>
      <c r="AI260" s="6">
        <f t="shared" si="147"/>
        <v>7</v>
      </c>
      <c r="AJ260" s="12">
        <f t="shared" si="148"/>
        <v>21</v>
      </c>
      <c r="AK260" s="72">
        <f t="shared" si="138"/>
        <v>31</v>
      </c>
      <c r="AR260">
        <f t="shared" si="164"/>
        <v>25</v>
      </c>
      <c r="AS260">
        <f t="shared" si="165"/>
        <v>75</v>
      </c>
      <c r="AT260" s="183">
        <f t="shared" si="166"/>
        <v>53509</v>
      </c>
      <c r="AU260" s="2">
        <f t="shared" si="167"/>
        <v>6.9444444444444449E-3</v>
      </c>
      <c r="AV260" s="169">
        <f t="shared" si="168"/>
        <v>246</v>
      </c>
      <c r="AW260" s="165">
        <f t="shared" si="169"/>
        <v>1860.0591820225166</v>
      </c>
      <c r="AX260" s="170">
        <f t="shared" si="175"/>
        <v>1546.0008337407917</v>
      </c>
      <c r="AY260" s="164" t="str">
        <f t="shared" si="178"/>
        <v>🛵</v>
      </c>
      <c r="AZ260" s="171" t="str">
        <f t="shared" si="149"/>
        <v>🚴‍♂️</v>
      </c>
      <c r="BA260" s="172">
        <f t="shared" si="150"/>
        <v>1167.5398296410458</v>
      </c>
      <c r="BB260" s="173">
        <f t="shared" si="151"/>
        <v>0.33300623046718142</v>
      </c>
      <c r="BC260" s="174">
        <f t="shared" si="152"/>
        <v>3506.060015763308</v>
      </c>
      <c r="BD260" s="175">
        <f t="shared" si="170"/>
        <v>221456.58022903296</v>
      </c>
      <c r="BE260" s="187"/>
      <c r="BF260" s="177" t="str">
        <f t="shared" si="137"/>
        <v/>
      </c>
      <c r="BG260" s="178" t="str">
        <f t="shared" si="171"/>
        <v/>
      </c>
      <c r="BH260" s="179" t="str">
        <f t="shared" si="153"/>
        <v/>
      </c>
      <c r="BI260" s="180">
        <f t="shared" si="172"/>
        <v>144</v>
      </c>
      <c r="BJ260" s="181">
        <f t="shared" si="176"/>
        <v>378.46100409974576</v>
      </c>
      <c r="BK260" s="182">
        <f t="shared" si="173"/>
        <v>1.6999999999999999E-3</v>
      </c>
    </row>
    <row r="261" spans="1:63" x14ac:dyDescent="0.25">
      <c r="A261" s="7">
        <f t="shared" si="154"/>
        <v>25</v>
      </c>
      <c r="B261" s="7">
        <f t="shared" si="155"/>
        <v>75</v>
      </c>
      <c r="C261" s="115">
        <f t="shared" si="156"/>
        <v>53540</v>
      </c>
      <c r="D261" s="2">
        <f t="shared" si="139"/>
        <v>6.993006993006993E-3</v>
      </c>
      <c r="E261" s="169">
        <f t="shared" si="157"/>
        <v>247</v>
      </c>
      <c r="F261" s="165">
        <f t="shared" si="158"/>
        <v>1850.3042049790211</v>
      </c>
      <c r="G261" s="170">
        <f t="shared" si="174"/>
        <v>1548.6474141890417</v>
      </c>
      <c r="H261" s="164" t="str">
        <f t="shared" si="177"/>
        <v>🛵</v>
      </c>
      <c r="I261" s="171" t="str">
        <f t="shared" si="140"/>
        <v>🚴‍♂️</v>
      </c>
      <c r="J261" s="172">
        <f t="shared" si="141"/>
        <v>1172.1712277996858</v>
      </c>
      <c r="K261" s="173">
        <f t="shared" si="142"/>
        <v>0.3350064120287522</v>
      </c>
      <c r="L261" s="174">
        <f t="shared" si="143"/>
        <v>3498.9516191680627</v>
      </c>
      <c r="M261" s="175">
        <f t="shared" si="159"/>
        <v>220284.40900123329</v>
      </c>
      <c r="N261" s="65"/>
      <c r="O261" s="37" t="str">
        <f t="shared" si="136"/>
        <v/>
      </c>
      <c r="P261" s="62" t="str">
        <f t="shared" si="160"/>
        <v/>
      </c>
      <c r="Q261" s="16" t="str">
        <f t="shared" si="144"/>
        <v/>
      </c>
      <c r="R261" s="60">
        <f t="shared" si="161"/>
        <v>143</v>
      </c>
      <c r="S261" s="98">
        <f t="shared" si="162"/>
        <v>376.47618638935603</v>
      </c>
      <c r="T261" s="21">
        <f t="shared" si="163"/>
        <v>1.6999999999999999E-3</v>
      </c>
      <c r="AA261" s="14">
        <f t="shared" si="145"/>
        <v>-3498.9516191680627</v>
      </c>
      <c r="AH261" s="6">
        <f t="shared" si="146"/>
        <v>3</v>
      </c>
      <c r="AI261" s="6">
        <f t="shared" si="147"/>
        <v>7</v>
      </c>
      <c r="AJ261" s="12">
        <f t="shared" si="148"/>
        <v>21</v>
      </c>
      <c r="AK261" s="72">
        <f t="shared" si="138"/>
        <v>31</v>
      </c>
      <c r="AR261">
        <f t="shared" si="164"/>
        <v>25</v>
      </c>
      <c r="AS261">
        <f t="shared" si="165"/>
        <v>75</v>
      </c>
      <c r="AT261" s="183">
        <f t="shared" si="166"/>
        <v>53540</v>
      </c>
      <c r="AU261" s="2">
        <f t="shared" si="167"/>
        <v>6.993006993006993E-3</v>
      </c>
      <c r="AV261" s="169">
        <f t="shared" si="168"/>
        <v>247</v>
      </c>
      <c r="AW261" s="165">
        <f t="shared" si="169"/>
        <v>1850.3042049790211</v>
      </c>
      <c r="AX261" s="170">
        <f t="shared" si="175"/>
        <v>1548.6474141890417</v>
      </c>
      <c r="AY261" s="164" t="str">
        <f t="shared" si="178"/>
        <v>🛵</v>
      </c>
      <c r="AZ261" s="171" t="str">
        <f t="shared" si="149"/>
        <v>🚴‍♂️</v>
      </c>
      <c r="BA261" s="172">
        <f t="shared" si="150"/>
        <v>1172.1712277996858</v>
      </c>
      <c r="BB261" s="173">
        <f t="shared" si="151"/>
        <v>0.3350064120287522</v>
      </c>
      <c r="BC261" s="174">
        <f t="shared" si="152"/>
        <v>3498.9516191680627</v>
      </c>
      <c r="BD261" s="175">
        <f t="shared" si="170"/>
        <v>220284.40900123329</v>
      </c>
      <c r="BE261" s="187"/>
      <c r="BF261" s="177" t="str">
        <f t="shared" si="137"/>
        <v/>
      </c>
      <c r="BG261" s="178" t="str">
        <f t="shared" si="171"/>
        <v/>
      </c>
      <c r="BH261" s="179" t="str">
        <f t="shared" si="153"/>
        <v/>
      </c>
      <c r="BI261" s="180">
        <f t="shared" si="172"/>
        <v>143</v>
      </c>
      <c r="BJ261" s="181">
        <f t="shared" si="176"/>
        <v>376.47618638935603</v>
      </c>
      <c r="BK261" s="182">
        <f t="shared" si="173"/>
        <v>1.6999999999999999E-3</v>
      </c>
    </row>
    <row r="262" spans="1:63" x14ac:dyDescent="0.25">
      <c r="A262" s="7">
        <f t="shared" si="154"/>
        <v>25</v>
      </c>
      <c r="B262" s="7">
        <f t="shared" si="155"/>
        <v>75</v>
      </c>
      <c r="C262" s="115">
        <f t="shared" si="156"/>
        <v>53571</v>
      </c>
      <c r="D262" s="2">
        <f t="shared" si="139"/>
        <v>7.0422535211267607E-3</v>
      </c>
      <c r="E262" s="169">
        <f t="shared" si="157"/>
        <v>248</v>
      </c>
      <c r="F262" s="165">
        <f t="shared" si="158"/>
        <v>1840.5105318828769</v>
      </c>
      <c r="G262" s="170">
        <f t="shared" si="174"/>
        <v>1551.2986549382626</v>
      </c>
      <c r="H262" s="164" t="str">
        <f t="shared" si="177"/>
        <v>🛵</v>
      </c>
      <c r="I262" s="171" t="str">
        <f t="shared" si="140"/>
        <v>🚴‍♂️</v>
      </c>
      <c r="J262" s="172">
        <f t="shared" si="141"/>
        <v>1176.8151596361661</v>
      </c>
      <c r="K262" s="173">
        <f t="shared" si="142"/>
        <v>0.3370216116269259</v>
      </c>
      <c r="L262" s="174">
        <f t="shared" si="143"/>
        <v>3491.8091868211395</v>
      </c>
      <c r="M262" s="175">
        <f t="shared" si="159"/>
        <v>219107.59384159712</v>
      </c>
      <c r="N262" s="65"/>
      <c r="O262" s="37" t="str">
        <f t="shared" si="136"/>
        <v/>
      </c>
      <c r="P262" s="62" t="str">
        <f t="shared" si="160"/>
        <v/>
      </c>
      <c r="Q262" s="16" t="str">
        <f t="shared" si="144"/>
        <v/>
      </c>
      <c r="R262" s="60">
        <f t="shared" si="161"/>
        <v>142</v>
      </c>
      <c r="S262" s="98">
        <f t="shared" si="162"/>
        <v>374.48349530209657</v>
      </c>
      <c r="T262" s="21">
        <f t="shared" si="163"/>
        <v>1.6999999999999999E-3</v>
      </c>
      <c r="AA262" s="14">
        <f t="shared" si="145"/>
        <v>-3491.8091868211395</v>
      </c>
      <c r="AH262" s="6">
        <f t="shared" si="146"/>
        <v>3</v>
      </c>
      <c r="AI262" s="6">
        <f t="shared" si="147"/>
        <v>7</v>
      </c>
      <c r="AJ262" s="12">
        <f t="shared" si="148"/>
        <v>21</v>
      </c>
      <c r="AK262" s="72">
        <f t="shared" si="138"/>
        <v>30</v>
      </c>
      <c r="AR262">
        <f t="shared" si="164"/>
        <v>25</v>
      </c>
      <c r="AS262">
        <f t="shared" si="165"/>
        <v>75</v>
      </c>
      <c r="AT262" s="183">
        <f t="shared" si="166"/>
        <v>53571</v>
      </c>
      <c r="AU262" s="2">
        <f t="shared" si="167"/>
        <v>7.0422535211267607E-3</v>
      </c>
      <c r="AV262" s="169">
        <f t="shared" si="168"/>
        <v>248</v>
      </c>
      <c r="AW262" s="165">
        <f t="shared" si="169"/>
        <v>1840.5105318828769</v>
      </c>
      <c r="AX262" s="170">
        <f t="shared" si="175"/>
        <v>1551.2986549382626</v>
      </c>
      <c r="AY262" s="164" t="str">
        <f t="shared" si="178"/>
        <v>🛵</v>
      </c>
      <c r="AZ262" s="171" t="str">
        <f t="shared" si="149"/>
        <v>🚴‍♂️</v>
      </c>
      <c r="BA262" s="172">
        <f t="shared" si="150"/>
        <v>1176.8151596361661</v>
      </c>
      <c r="BB262" s="173">
        <f t="shared" si="151"/>
        <v>0.3370216116269259</v>
      </c>
      <c r="BC262" s="174">
        <f t="shared" si="152"/>
        <v>3491.8091868211395</v>
      </c>
      <c r="BD262" s="175">
        <f t="shared" si="170"/>
        <v>219107.59384159712</v>
      </c>
      <c r="BE262" s="187"/>
      <c r="BF262" s="177" t="str">
        <f t="shared" si="137"/>
        <v/>
      </c>
      <c r="BG262" s="178" t="str">
        <f t="shared" si="171"/>
        <v/>
      </c>
      <c r="BH262" s="179" t="str">
        <f t="shared" si="153"/>
        <v/>
      </c>
      <c r="BI262" s="180">
        <f t="shared" si="172"/>
        <v>142</v>
      </c>
      <c r="BJ262" s="181">
        <f t="shared" si="176"/>
        <v>374.48349530209657</v>
      </c>
      <c r="BK262" s="182">
        <f t="shared" si="173"/>
        <v>1.6999999999999999E-3</v>
      </c>
    </row>
    <row r="263" spans="1:63" x14ac:dyDescent="0.25">
      <c r="A263" s="7">
        <f t="shared" si="154"/>
        <v>25</v>
      </c>
      <c r="B263" s="7">
        <f t="shared" si="155"/>
        <v>75</v>
      </c>
      <c r="C263" s="115">
        <f t="shared" si="156"/>
        <v>53601</v>
      </c>
      <c r="D263" s="2">
        <f t="shared" si="139"/>
        <v>7.0921985815602835E-3</v>
      </c>
      <c r="E263" s="169">
        <f t="shared" si="157"/>
        <v>249</v>
      </c>
      <c r="F263" s="165">
        <f t="shared" si="158"/>
        <v>1830.6780580132547</v>
      </c>
      <c r="G263" s="170">
        <f t="shared" si="174"/>
        <v>1553.9545662524617</v>
      </c>
      <c r="H263" s="164" t="str">
        <f t="shared" si="177"/>
        <v>🛵</v>
      </c>
      <c r="I263" s="171" t="str">
        <f t="shared" si="140"/>
        <v>🚴‍♂️</v>
      </c>
      <c r="J263" s="172">
        <f t="shared" si="141"/>
        <v>1181.4716567217467</v>
      </c>
      <c r="K263" s="173">
        <f t="shared" si="142"/>
        <v>0.33905199890927012</v>
      </c>
      <c r="L263" s="174">
        <f t="shared" si="143"/>
        <v>3484.6326242657165</v>
      </c>
      <c r="M263" s="175">
        <f t="shared" si="159"/>
        <v>217926.12218487536</v>
      </c>
      <c r="N263" s="65"/>
      <c r="O263" s="37" t="str">
        <f t="shared" si="136"/>
        <v/>
      </c>
      <c r="P263" s="62" t="str">
        <f t="shared" si="160"/>
        <v/>
      </c>
      <c r="Q263" s="16" t="str">
        <f t="shared" si="144"/>
        <v/>
      </c>
      <c r="R263" s="60">
        <f t="shared" si="161"/>
        <v>141</v>
      </c>
      <c r="S263" s="98">
        <f t="shared" si="162"/>
        <v>372.48290953071506</v>
      </c>
      <c r="T263" s="21">
        <f t="shared" si="163"/>
        <v>1.6999999999999999E-3</v>
      </c>
      <c r="AA263" s="14">
        <f t="shared" si="145"/>
        <v>-3484.6326242657165</v>
      </c>
      <c r="AH263" s="6">
        <f t="shared" si="146"/>
        <v>3</v>
      </c>
      <c r="AI263" s="6">
        <f t="shared" si="147"/>
        <v>7</v>
      </c>
      <c r="AJ263" s="12">
        <f t="shared" si="148"/>
        <v>21</v>
      </c>
      <c r="AK263" s="72">
        <f t="shared" si="138"/>
        <v>31</v>
      </c>
      <c r="AR263">
        <f t="shared" si="164"/>
        <v>25</v>
      </c>
      <c r="AS263">
        <f t="shared" si="165"/>
        <v>75</v>
      </c>
      <c r="AT263" s="183">
        <f t="shared" si="166"/>
        <v>53601</v>
      </c>
      <c r="AU263" s="2">
        <f t="shared" si="167"/>
        <v>7.0921985815602835E-3</v>
      </c>
      <c r="AV263" s="169">
        <f t="shared" si="168"/>
        <v>249</v>
      </c>
      <c r="AW263" s="165">
        <f t="shared" si="169"/>
        <v>1830.6780580132547</v>
      </c>
      <c r="AX263" s="170">
        <f t="shared" si="175"/>
        <v>1553.9545662524617</v>
      </c>
      <c r="AY263" s="164" t="str">
        <f t="shared" si="178"/>
        <v>🛵</v>
      </c>
      <c r="AZ263" s="171" t="str">
        <f t="shared" si="149"/>
        <v>🚴‍♂️</v>
      </c>
      <c r="BA263" s="172">
        <f t="shared" si="150"/>
        <v>1181.4716567217467</v>
      </c>
      <c r="BB263" s="173">
        <f t="shared" si="151"/>
        <v>0.33905199890927012</v>
      </c>
      <c r="BC263" s="174">
        <f t="shared" si="152"/>
        <v>3484.6326242657165</v>
      </c>
      <c r="BD263" s="175">
        <f t="shared" si="170"/>
        <v>217926.12218487536</v>
      </c>
      <c r="BE263" s="187"/>
      <c r="BF263" s="177" t="str">
        <f t="shared" si="137"/>
        <v/>
      </c>
      <c r="BG263" s="178" t="str">
        <f t="shared" si="171"/>
        <v/>
      </c>
      <c r="BH263" s="179" t="str">
        <f t="shared" si="153"/>
        <v/>
      </c>
      <c r="BI263" s="180">
        <f t="shared" si="172"/>
        <v>141</v>
      </c>
      <c r="BJ263" s="181">
        <f t="shared" si="176"/>
        <v>372.48290953071506</v>
      </c>
      <c r="BK263" s="182">
        <f t="shared" si="173"/>
        <v>1.6999999999999999E-3</v>
      </c>
    </row>
    <row r="264" spans="1:63" x14ac:dyDescent="0.25">
      <c r="A264" s="7">
        <f t="shared" si="154"/>
        <v>25</v>
      </c>
      <c r="B264" s="7">
        <f t="shared" si="155"/>
        <v>75</v>
      </c>
      <c r="C264" s="115">
        <f t="shared" si="156"/>
        <v>53632</v>
      </c>
      <c r="D264" s="2">
        <f t="shared" si="139"/>
        <v>7.1428571428571426E-3</v>
      </c>
      <c r="E264" s="169">
        <f t="shared" si="157"/>
        <v>250</v>
      </c>
      <c r="F264" s="165">
        <f t="shared" si="158"/>
        <v>1820.806678385542</v>
      </c>
      <c r="G264" s="170">
        <f t="shared" si="174"/>
        <v>1556.6151584633953</v>
      </c>
      <c r="H264" s="164" t="str">
        <f t="shared" si="177"/>
        <v>🛵</v>
      </c>
      <c r="I264" s="171" t="str">
        <f t="shared" si="140"/>
        <v>🚴‍♂️</v>
      </c>
      <c r="J264" s="172">
        <f t="shared" si="141"/>
        <v>1186.1407507491072</v>
      </c>
      <c r="K264" s="173">
        <f t="shared" si="142"/>
        <v>0.34109774608878846</v>
      </c>
      <c r="L264" s="174">
        <f t="shared" si="143"/>
        <v>3477.4218368489373</v>
      </c>
      <c r="M264" s="175">
        <f t="shared" si="159"/>
        <v>216739.98143412627</v>
      </c>
      <c r="N264" s="65"/>
      <c r="O264" s="37" t="str">
        <f t="shared" si="136"/>
        <v/>
      </c>
      <c r="P264" s="62" t="str">
        <f t="shared" si="160"/>
        <v/>
      </c>
      <c r="Q264" s="16" t="str">
        <f t="shared" si="144"/>
        <v/>
      </c>
      <c r="R264" s="60">
        <f t="shared" si="161"/>
        <v>140</v>
      </c>
      <c r="S264" s="98">
        <f t="shared" si="162"/>
        <v>370.47440771428808</v>
      </c>
      <c r="T264" s="21">
        <f t="shared" si="163"/>
        <v>1.6999999999999999E-3</v>
      </c>
      <c r="AA264" s="14">
        <f t="shared" si="145"/>
        <v>-3477.4218368489373</v>
      </c>
      <c r="AH264" s="6">
        <f t="shared" si="146"/>
        <v>3</v>
      </c>
      <c r="AI264" s="6">
        <f t="shared" si="147"/>
        <v>7</v>
      </c>
      <c r="AJ264" s="12">
        <f t="shared" si="148"/>
        <v>21</v>
      </c>
      <c r="AK264" s="72">
        <f t="shared" si="138"/>
        <v>30</v>
      </c>
      <c r="AR264">
        <f t="shared" si="164"/>
        <v>25</v>
      </c>
      <c r="AS264">
        <f t="shared" si="165"/>
        <v>75</v>
      </c>
      <c r="AT264" s="183">
        <f t="shared" si="166"/>
        <v>53632</v>
      </c>
      <c r="AU264" s="2">
        <f t="shared" si="167"/>
        <v>7.1428571428571426E-3</v>
      </c>
      <c r="AV264" s="169">
        <f t="shared" si="168"/>
        <v>250</v>
      </c>
      <c r="AW264" s="165">
        <f t="shared" si="169"/>
        <v>1820.806678385542</v>
      </c>
      <c r="AX264" s="170">
        <f t="shared" si="175"/>
        <v>1556.6151584633953</v>
      </c>
      <c r="AY264" s="164" t="str">
        <f t="shared" si="178"/>
        <v>🛵</v>
      </c>
      <c r="AZ264" s="171" t="str">
        <f t="shared" si="149"/>
        <v>🚴‍♂️</v>
      </c>
      <c r="BA264" s="172">
        <f t="shared" si="150"/>
        <v>1186.1407507491072</v>
      </c>
      <c r="BB264" s="173">
        <f t="shared" si="151"/>
        <v>0.34109774608878846</v>
      </c>
      <c r="BC264" s="174">
        <f t="shared" si="152"/>
        <v>3477.4218368489373</v>
      </c>
      <c r="BD264" s="175">
        <f t="shared" si="170"/>
        <v>216739.98143412627</v>
      </c>
      <c r="BE264" s="187"/>
      <c r="BF264" s="177" t="str">
        <f t="shared" si="137"/>
        <v/>
      </c>
      <c r="BG264" s="178" t="str">
        <f t="shared" si="171"/>
        <v/>
      </c>
      <c r="BH264" s="179" t="str">
        <f t="shared" si="153"/>
        <v/>
      </c>
      <c r="BI264" s="180">
        <f t="shared" si="172"/>
        <v>140</v>
      </c>
      <c r="BJ264" s="181">
        <f t="shared" si="176"/>
        <v>370.47440771428808</v>
      </c>
      <c r="BK264" s="182">
        <f t="shared" si="173"/>
        <v>1.6999999999999999E-3</v>
      </c>
    </row>
    <row r="265" spans="1:63" x14ac:dyDescent="0.25">
      <c r="A265" s="7">
        <f t="shared" si="154"/>
        <v>25</v>
      </c>
      <c r="B265" s="7">
        <f t="shared" si="155"/>
        <v>75</v>
      </c>
      <c r="C265" s="115">
        <f t="shared" si="156"/>
        <v>53662</v>
      </c>
      <c r="D265" s="2">
        <f t="shared" si="139"/>
        <v>7.1942446043165471E-3</v>
      </c>
      <c r="E265" s="169">
        <f t="shared" si="157"/>
        <v>251</v>
      </c>
      <c r="F265" s="165">
        <f t="shared" si="158"/>
        <v>1810.8962877503293</v>
      </c>
      <c r="G265" s="170">
        <f t="shared" si="174"/>
        <v>1559.2804419721315</v>
      </c>
      <c r="H265" s="164" t="str">
        <f t="shared" si="177"/>
        <v>🛵</v>
      </c>
      <c r="I265" s="171" t="str">
        <f t="shared" si="140"/>
        <v>🚴‍♂️</v>
      </c>
      <c r="J265" s="172">
        <f t="shared" si="141"/>
        <v>1190.8224735341169</v>
      </c>
      <c r="K265" s="173">
        <f t="shared" si="142"/>
        <v>0.34315902799260517</v>
      </c>
      <c r="L265" s="174">
        <f t="shared" si="143"/>
        <v>3470.1767297224605</v>
      </c>
      <c r="M265" s="175">
        <f t="shared" si="159"/>
        <v>215549.15896059215</v>
      </c>
      <c r="N265" s="65"/>
      <c r="O265" s="37" t="str">
        <f t="shared" si="136"/>
        <v/>
      </c>
      <c r="P265" s="62" t="str">
        <f t="shared" si="160"/>
        <v/>
      </c>
      <c r="Q265" s="16" t="str">
        <f t="shared" si="144"/>
        <v/>
      </c>
      <c r="R265" s="60">
        <f t="shared" si="161"/>
        <v>139</v>
      </c>
      <c r="S265" s="98">
        <f t="shared" si="162"/>
        <v>368.45796843801463</v>
      </c>
      <c r="T265" s="21">
        <f t="shared" si="163"/>
        <v>1.6999999999999999E-3</v>
      </c>
      <c r="AA265" s="14">
        <f t="shared" si="145"/>
        <v>-3470.1767297224605</v>
      </c>
      <c r="AH265" s="6">
        <f t="shared" si="146"/>
        <v>3</v>
      </c>
      <c r="AI265" s="6">
        <f t="shared" si="147"/>
        <v>7</v>
      </c>
      <c r="AJ265" s="12">
        <f t="shared" si="148"/>
        <v>21</v>
      </c>
      <c r="AK265" s="72">
        <f t="shared" si="138"/>
        <v>31</v>
      </c>
      <c r="AR265">
        <f t="shared" si="164"/>
        <v>25</v>
      </c>
      <c r="AS265">
        <f t="shared" si="165"/>
        <v>75</v>
      </c>
      <c r="AT265" s="183">
        <f t="shared" si="166"/>
        <v>53662</v>
      </c>
      <c r="AU265" s="2">
        <f t="shared" si="167"/>
        <v>7.1942446043165471E-3</v>
      </c>
      <c r="AV265" s="169">
        <f t="shared" si="168"/>
        <v>251</v>
      </c>
      <c r="AW265" s="165">
        <f t="shared" si="169"/>
        <v>1810.8962877503293</v>
      </c>
      <c r="AX265" s="170">
        <f t="shared" si="175"/>
        <v>1559.2804419721315</v>
      </c>
      <c r="AY265" s="164" t="str">
        <f t="shared" si="178"/>
        <v>🛵</v>
      </c>
      <c r="AZ265" s="171" t="str">
        <f t="shared" si="149"/>
        <v>🚴‍♂️</v>
      </c>
      <c r="BA265" s="172">
        <f t="shared" si="150"/>
        <v>1190.8224735341169</v>
      </c>
      <c r="BB265" s="173">
        <f t="shared" si="151"/>
        <v>0.34315902799260517</v>
      </c>
      <c r="BC265" s="174">
        <f t="shared" si="152"/>
        <v>3470.1767297224605</v>
      </c>
      <c r="BD265" s="175">
        <f t="shared" si="170"/>
        <v>215549.15896059215</v>
      </c>
      <c r="BE265" s="187"/>
      <c r="BF265" s="177" t="str">
        <f t="shared" si="137"/>
        <v/>
      </c>
      <c r="BG265" s="178" t="str">
        <f t="shared" si="171"/>
        <v/>
      </c>
      <c r="BH265" s="179" t="str">
        <f t="shared" si="153"/>
        <v/>
      </c>
      <c r="BI265" s="180">
        <f t="shared" si="172"/>
        <v>139</v>
      </c>
      <c r="BJ265" s="181">
        <f t="shared" si="176"/>
        <v>368.45796843801463</v>
      </c>
      <c r="BK265" s="182">
        <f t="shared" si="173"/>
        <v>1.6999999999999999E-3</v>
      </c>
    </row>
    <row r="266" spans="1:63" x14ac:dyDescent="0.25">
      <c r="A266" s="7">
        <f t="shared" si="154"/>
        <v>25</v>
      </c>
      <c r="B266" s="7">
        <f t="shared" si="155"/>
        <v>75</v>
      </c>
      <c r="C266" s="115">
        <f t="shared" si="156"/>
        <v>53693</v>
      </c>
      <c r="D266" s="2">
        <f t="shared" si="139"/>
        <v>7.2463768115942021E-3</v>
      </c>
      <c r="E266" s="169">
        <f t="shared" si="157"/>
        <v>252</v>
      </c>
      <c r="F266" s="165">
        <f t="shared" si="158"/>
        <v>1800.9467805923803</v>
      </c>
      <c r="G266" s="170">
        <f t="shared" si="174"/>
        <v>1561.9504272506676</v>
      </c>
      <c r="H266" s="164" t="str">
        <f t="shared" si="177"/>
        <v>🛵</v>
      </c>
      <c r="I266" s="171" t="str">
        <f t="shared" si="140"/>
        <v>🚴‍♂️</v>
      </c>
      <c r="J266" s="172">
        <f t="shared" si="141"/>
        <v>1195.5168570176611</v>
      </c>
      <c r="K266" s="173">
        <f t="shared" si="142"/>
        <v>0.34523602211176191</v>
      </c>
      <c r="L266" s="174">
        <f t="shared" si="143"/>
        <v>3462.8972078430479</v>
      </c>
      <c r="M266" s="175">
        <f t="shared" si="159"/>
        <v>214353.64210357447</v>
      </c>
      <c r="N266" s="65"/>
      <c r="O266" s="37" t="str">
        <f t="shared" si="136"/>
        <v/>
      </c>
      <c r="P266" s="62" t="str">
        <f t="shared" si="160"/>
        <v/>
      </c>
      <c r="Q266" s="16" t="str">
        <f t="shared" si="144"/>
        <v/>
      </c>
      <c r="R266" s="60">
        <f t="shared" si="161"/>
        <v>138</v>
      </c>
      <c r="S266" s="98">
        <f t="shared" si="162"/>
        <v>366.43357023300661</v>
      </c>
      <c r="T266" s="21">
        <f t="shared" si="163"/>
        <v>1.6999999999999999E-3</v>
      </c>
      <c r="AA266" s="14">
        <f t="shared" si="145"/>
        <v>-3462.8972078430479</v>
      </c>
      <c r="AH266" s="6">
        <f t="shared" si="146"/>
        <v>3</v>
      </c>
      <c r="AI266" s="6">
        <f t="shared" si="147"/>
        <v>7</v>
      </c>
      <c r="AJ266" s="12">
        <f t="shared" si="148"/>
        <v>21</v>
      </c>
      <c r="AK266" s="72">
        <f t="shared" si="138"/>
        <v>31</v>
      </c>
      <c r="AR266">
        <f t="shared" si="164"/>
        <v>25</v>
      </c>
      <c r="AS266">
        <f t="shared" si="165"/>
        <v>75</v>
      </c>
      <c r="AT266" s="183">
        <f t="shared" si="166"/>
        <v>53693</v>
      </c>
      <c r="AU266" s="2">
        <f t="shared" si="167"/>
        <v>7.2463768115942021E-3</v>
      </c>
      <c r="AV266" s="169">
        <f t="shared" si="168"/>
        <v>252</v>
      </c>
      <c r="AW266" s="165">
        <f t="shared" si="169"/>
        <v>1800.9467805923803</v>
      </c>
      <c r="AX266" s="170">
        <f t="shared" si="175"/>
        <v>1561.9504272506676</v>
      </c>
      <c r="AY266" s="164" t="str">
        <f t="shared" si="178"/>
        <v>🛵</v>
      </c>
      <c r="AZ266" s="171" t="str">
        <f t="shared" si="149"/>
        <v>🚴‍♂️</v>
      </c>
      <c r="BA266" s="172">
        <f t="shared" si="150"/>
        <v>1195.5168570176611</v>
      </c>
      <c r="BB266" s="173">
        <f t="shared" si="151"/>
        <v>0.34523602211176191</v>
      </c>
      <c r="BC266" s="174">
        <f t="shared" si="152"/>
        <v>3462.8972078430479</v>
      </c>
      <c r="BD266" s="175">
        <f t="shared" si="170"/>
        <v>214353.64210357447</v>
      </c>
      <c r="BE266" s="187"/>
      <c r="BF266" s="177" t="str">
        <f t="shared" si="137"/>
        <v/>
      </c>
      <c r="BG266" s="178" t="str">
        <f t="shared" si="171"/>
        <v/>
      </c>
      <c r="BH266" s="179" t="str">
        <f t="shared" si="153"/>
        <v/>
      </c>
      <c r="BI266" s="180">
        <f t="shared" si="172"/>
        <v>138</v>
      </c>
      <c r="BJ266" s="181">
        <f t="shared" si="176"/>
        <v>366.43357023300661</v>
      </c>
      <c r="BK266" s="182">
        <f t="shared" si="173"/>
        <v>1.6999999999999999E-3</v>
      </c>
    </row>
    <row r="267" spans="1:63" x14ac:dyDescent="0.25">
      <c r="A267" s="7">
        <f t="shared" si="154"/>
        <v>25</v>
      </c>
      <c r="B267" s="7">
        <f t="shared" si="155"/>
        <v>75</v>
      </c>
      <c r="C267" s="115">
        <f t="shared" si="156"/>
        <v>53724</v>
      </c>
      <c r="D267" s="2">
        <f t="shared" si="139"/>
        <v>7.2992700729927005E-3</v>
      </c>
      <c r="E267" s="169">
        <f t="shared" si="157"/>
        <v>253</v>
      </c>
      <c r="F267" s="165">
        <f t="shared" si="158"/>
        <v>1790.9580511295871</v>
      </c>
      <c r="G267" s="170">
        <f t="shared" si="174"/>
        <v>1564.6251248436092</v>
      </c>
      <c r="H267" s="164" t="str">
        <f t="shared" si="177"/>
        <v>🛵</v>
      </c>
      <c r="I267" s="171" t="str">
        <f t="shared" si="140"/>
        <v>🚴‍♂️</v>
      </c>
      <c r="J267" s="172">
        <f t="shared" si="141"/>
        <v>1200.2239332675326</v>
      </c>
      <c r="K267" s="173">
        <f t="shared" si="142"/>
        <v>0.34732890865215926</v>
      </c>
      <c r="L267" s="174">
        <f t="shared" si="143"/>
        <v>3455.5831759731964</v>
      </c>
      <c r="M267" s="175">
        <f t="shared" si="159"/>
        <v>213153.41817030692</v>
      </c>
      <c r="N267" s="65"/>
      <c r="O267" s="37" t="str">
        <f t="shared" ref="O267:O330" si="179">IF(AND(N267&lt;&gt;"",N267&lt;R267),"V","")</f>
        <v/>
      </c>
      <c r="P267" s="62" t="str">
        <f t="shared" si="160"/>
        <v/>
      </c>
      <c r="Q267" s="16" t="str">
        <f t="shared" si="144"/>
        <v/>
      </c>
      <c r="R267" s="60">
        <f t="shared" si="161"/>
        <v>137</v>
      </c>
      <c r="S267" s="98">
        <f t="shared" si="162"/>
        <v>364.4011915760766</v>
      </c>
      <c r="T267" s="21">
        <f t="shared" si="163"/>
        <v>1.6999999999999999E-3</v>
      </c>
      <c r="AA267" s="14">
        <f t="shared" si="145"/>
        <v>-3455.5831759731964</v>
      </c>
      <c r="AH267" s="6">
        <f t="shared" si="146"/>
        <v>3</v>
      </c>
      <c r="AI267" s="6">
        <f t="shared" si="147"/>
        <v>8</v>
      </c>
      <c r="AJ267" s="12">
        <f t="shared" si="148"/>
        <v>22</v>
      </c>
      <c r="AK267" s="72">
        <f t="shared" si="138"/>
        <v>28</v>
      </c>
      <c r="AR267">
        <f t="shared" si="164"/>
        <v>25</v>
      </c>
      <c r="AS267">
        <f t="shared" si="165"/>
        <v>75</v>
      </c>
      <c r="AT267" s="183">
        <f t="shared" si="166"/>
        <v>53724</v>
      </c>
      <c r="AU267" s="2">
        <f t="shared" si="167"/>
        <v>7.2992700729927005E-3</v>
      </c>
      <c r="AV267" s="169">
        <f t="shared" si="168"/>
        <v>253</v>
      </c>
      <c r="AW267" s="165">
        <f t="shared" si="169"/>
        <v>1790.9580511295871</v>
      </c>
      <c r="AX267" s="170">
        <f t="shared" si="175"/>
        <v>1564.6251248436092</v>
      </c>
      <c r="AY267" s="164" t="str">
        <f t="shared" si="178"/>
        <v>🛵</v>
      </c>
      <c r="AZ267" s="171" t="str">
        <f t="shared" si="149"/>
        <v>🚴‍♂️</v>
      </c>
      <c r="BA267" s="172">
        <f t="shared" si="150"/>
        <v>1200.2239332675326</v>
      </c>
      <c r="BB267" s="173">
        <f t="shared" si="151"/>
        <v>0.34732890865215926</v>
      </c>
      <c r="BC267" s="174">
        <f t="shared" si="152"/>
        <v>3455.5831759731964</v>
      </c>
      <c r="BD267" s="175">
        <f t="shared" si="170"/>
        <v>213153.41817030692</v>
      </c>
      <c r="BE267" s="187"/>
      <c r="BF267" s="177" t="str">
        <f t="shared" ref="BF267:BF330" si="180">IF(AND(BE267&lt;&gt;"",BE267&lt;BI267),"V","")</f>
        <v/>
      </c>
      <c r="BG267" s="178" t="str">
        <f t="shared" si="171"/>
        <v/>
      </c>
      <c r="BH267" s="179" t="str">
        <f t="shared" si="153"/>
        <v/>
      </c>
      <c r="BI267" s="180">
        <f t="shared" si="172"/>
        <v>137</v>
      </c>
      <c r="BJ267" s="181">
        <f t="shared" si="176"/>
        <v>364.4011915760766</v>
      </c>
      <c r="BK267" s="182">
        <f t="shared" si="173"/>
        <v>1.6999999999999999E-3</v>
      </c>
    </row>
    <row r="268" spans="1:63" x14ac:dyDescent="0.25">
      <c r="A268" s="7">
        <f t="shared" si="154"/>
        <v>25</v>
      </c>
      <c r="B268" s="7">
        <f t="shared" si="155"/>
        <v>75</v>
      </c>
      <c r="C268" s="115">
        <f t="shared" si="156"/>
        <v>53752</v>
      </c>
      <c r="D268" s="2">
        <f t="shared" si="139"/>
        <v>7.3529411764705881E-3</v>
      </c>
      <c r="E268" s="169">
        <f t="shared" si="157"/>
        <v>254</v>
      </c>
      <c r="F268" s="165">
        <f t="shared" si="158"/>
        <v>1780.9299933119119</v>
      </c>
      <c r="G268" s="170">
        <f t="shared" si="174"/>
        <v>1567.3045453699037</v>
      </c>
      <c r="H268" s="164" t="str">
        <f t="shared" si="177"/>
        <v>🛵</v>
      </c>
      <c r="I268" s="171" t="str">
        <f t="shared" si="140"/>
        <v>🚴‍♂️</v>
      </c>
      <c r="J268" s="172">
        <f t="shared" si="141"/>
        <v>1204.9437344803819</v>
      </c>
      <c r="K268" s="173">
        <f t="shared" si="142"/>
        <v>0.34943787058666997</v>
      </c>
      <c r="L268" s="174">
        <f t="shared" si="143"/>
        <v>3448.2345386818156</v>
      </c>
      <c r="M268" s="175">
        <f t="shared" si="159"/>
        <v>211948.47443582653</v>
      </c>
      <c r="N268" s="65"/>
      <c r="O268" s="37" t="str">
        <f t="shared" si="179"/>
        <v/>
      </c>
      <c r="P268" s="62" t="str">
        <f t="shared" si="160"/>
        <v/>
      </c>
      <c r="Q268" s="16" t="str">
        <f t="shared" si="144"/>
        <v/>
      </c>
      <c r="R268" s="60">
        <f t="shared" si="161"/>
        <v>136</v>
      </c>
      <c r="S268" s="98">
        <f t="shared" si="162"/>
        <v>362.36081088952176</v>
      </c>
      <c r="T268" s="21">
        <f t="shared" si="163"/>
        <v>1.6999999999999999E-3</v>
      </c>
      <c r="AA268" s="14">
        <f t="shared" si="145"/>
        <v>-3448.2345386818156</v>
      </c>
      <c r="AH268" s="6">
        <f t="shared" si="146"/>
        <v>3</v>
      </c>
      <c r="AI268" s="6">
        <f t="shared" si="147"/>
        <v>8</v>
      </c>
      <c r="AJ268" s="12">
        <f t="shared" si="148"/>
        <v>22</v>
      </c>
      <c r="AK268" s="72">
        <f t="shared" si="138"/>
        <v>31</v>
      </c>
      <c r="AR268">
        <f t="shared" si="164"/>
        <v>25</v>
      </c>
      <c r="AS268">
        <f t="shared" si="165"/>
        <v>75</v>
      </c>
      <c r="AT268" s="183">
        <f t="shared" si="166"/>
        <v>53752</v>
      </c>
      <c r="AU268" s="2">
        <f t="shared" si="167"/>
        <v>7.3529411764705881E-3</v>
      </c>
      <c r="AV268" s="169">
        <f t="shared" si="168"/>
        <v>254</v>
      </c>
      <c r="AW268" s="165">
        <f t="shared" si="169"/>
        <v>1780.9299933119119</v>
      </c>
      <c r="AX268" s="170">
        <f t="shared" si="175"/>
        <v>1567.3045453699037</v>
      </c>
      <c r="AY268" s="164" t="str">
        <f t="shared" si="178"/>
        <v>🛵</v>
      </c>
      <c r="AZ268" s="171" t="str">
        <f t="shared" si="149"/>
        <v>🚴‍♂️</v>
      </c>
      <c r="BA268" s="172">
        <f t="shared" si="150"/>
        <v>1204.9437344803819</v>
      </c>
      <c r="BB268" s="173">
        <f t="shared" si="151"/>
        <v>0.34943787058666997</v>
      </c>
      <c r="BC268" s="174">
        <f t="shared" si="152"/>
        <v>3448.2345386818156</v>
      </c>
      <c r="BD268" s="175">
        <f t="shared" si="170"/>
        <v>211948.47443582653</v>
      </c>
      <c r="BE268" s="187"/>
      <c r="BF268" s="177" t="str">
        <f t="shared" si="180"/>
        <v/>
      </c>
      <c r="BG268" s="178" t="str">
        <f t="shared" si="171"/>
        <v/>
      </c>
      <c r="BH268" s="179" t="str">
        <f t="shared" si="153"/>
        <v/>
      </c>
      <c r="BI268" s="180">
        <f t="shared" si="172"/>
        <v>136</v>
      </c>
      <c r="BJ268" s="181">
        <f t="shared" si="176"/>
        <v>362.36081088952176</v>
      </c>
      <c r="BK268" s="182">
        <f t="shared" si="173"/>
        <v>1.6999999999999999E-3</v>
      </c>
    </row>
    <row r="269" spans="1:63" x14ac:dyDescent="0.25">
      <c r="A269" s="7">
        <f t="shared" si="154"/>
        <v>25</v>
      </c>
      <c r="B269" s="7">
        <f t="shared" si="155"/>
        <v>75</v>
      </c>
      <c r="C269" s="115">
        <f t="shared" si="156"/>
        <v>53783</v>
      </c>
      <c r="D269" s="2">
        <f t="shared" si="139"/>
        <v>7.4074074074074068E-3</v>
      </c>
      <c r="E269" s="169">
        <f t="shared" si="157"/>
        <v>255</v>
      </c>
      <c r="F269" s="165">
        <f t="shared" si="158"/>
        <v>1770.8625008203073</v>
      </c>
      <c r="G269" s="170">
        <f t="shared" si="174"/>
        <v>1569.9886995246409</v>
      </c>
      <c r="H269" s="164" t="str">
        <f t="shared" si="177"/>
        <v>🛵</v>
      </c>
      <c r="I269" s="171" t="str">
        <f t="shared" si="140"/>
        <v>🚴‍♂️</v>
      </c>
      <c r="J269" s="172">
        <f t="shared" si="141"/>
        <v>1209.6762929837357</v>
      </c>
      <c r="K269" s="173">
        <f t="shared" si="142"/>
        <v>0.35156309370845928</v>
      </c>
      <c r="L269" s="174">
        <f t="shared" si="143"/>
        <v>3440.8512003449482</v>
      </c>
      <c r="M269" s="175">
        <f t="shared" si="159"/>
        <v>210738.7981428428</v>
      </c>
      <c r="N269" s="65"/>
      <c r="O269" s="37" t="str">
        <f t="shared" si="179"/>
        <v/>
      </c>
      <c r="P269" s="62" t="str">
        <f t="shared" si="160"/>
        <v/>
      </c>
      <c r="Q269" s="16" t="str">
        <f t="shared" si="144"/>
        <v/>
      </c>
      <c r="R269" s="60">
        <f t="shared" si="161"/>
        <v>135</v>
      </c>
      <c r="S269" s="98">
        <f t="shared" si="162"/>
        <v>360.3124065409051</v>
      </c>
      <c r="T269" s="21">
        <f t="shared" si="163"/>
        <v>1.6999999999999999E-3</v>
      </c>
      <c r="AA269" s="14">
        <f t="shared" si="145"/>
        <v>-3440.8512003449482</v>
      </c>
      <c r="AH269" s="6">
        <f t="shared" si="146"/>
        <v>3</v>
      </c>
      <c r="AI269" s="6">
        <f t="shared" si="147"/>
        <v>8</v>
      </c>
      <c r="AJ269" s="12">
        <f t="shared" si="148"/>
        <v>22</v>
      </c>
      <c r="AK269" s="72">
        <f t="shared" si="138"/>
        <v>30</v>
      </c>
      <c r="AR269">
        <f t="shared" si="164"/>
        <v>25</v>
      </c>
      <c r="AS269">
        <f t="shared" si="165"/>
        <v>75</v>
      </c>
      <c r="AT269" s="183">
        <f t="shared" si="166"/>
        <v>53783</v>
      </c>
      <c r="AU269" s="2">
        <f t="shared" si="167"/>
        <v>7.4074074074074068E-3</v>
      </c>
      <c r="AV269" s="169">
        <f t="shared" si="168"/>
        <v>255</v>
      </c>
      <c r="AW269" s="165">
        <f t="shared" si="169"/>
        <v>1770.8625008203073</v>
      </c>
      <c r="AX269" s="170">
        <f t="shared" si="175"/>
        <v>1569.9886995246409</v>
      </c>
      <c r="AY269" s="164" t="str">
        <f t="shared" si="178"/>
        <v>🛵</v>
      </c>
      <c r="AZ269" s="171" t="str">
        <f t="shared" si="149"/>
        <v>🚴‍♂️</v>
      </c>
      <c r="BA269" s="172">
        <f t="shared" si="150"/>
        <v>1209.6762929837357</v>
      </c>
      <c r="BB269" s="173">
        <f t="shared" si="151"/>
        <v>0.35156309370845928</v>
      </c>
      <c r="BC269" s="174">
        <f t="shared" si="152"/>
        <v>3440.8512003449482</v>
      </c>
      <c r="BD269" s="175">
        <f t="shared" si="170"/>
        <v>210738.7981428428</v>
      </c>
      <c r="BE269" s="187"/>
      <c r="BF269" s="177" t="str">
        <f t="shared" si="180"/>
        <v/>
      </c>
      <c r="BG269" s="178" t="str">
        <f t="shared" si="171"/>
        <v/>
      </c>
      <c r="BH269" s="179" t="str">
        <f t="shared" si="153"/>
        <v/>
      </c>
      <c r="BI269" s="180">
        <f t="shared" si="172"/>
        <v>135</v>
      </c>
      <c r="BJ269" s="181">
        <f t="shared" si="176"/>
        <v>360.3124065409051</v>
      </c>
      <c r="BK269" s="182">
        <f t="shared" si="173"/>
        <v>1.6999999999999999E-3</v>
      </c>
    </row>
    <row r="270" spans="1:63" x14ac:dyDescent="0.25">
      <c r="A270" s="7">
        <f t="shared" si="154"/>
        <v>25</v>
      </c>
      <c r="B270" s="7">
        <f t="shared" si="155"/>
        <v>75</v>
      </c>
      <c r="C270" s="115">
        <f t="shared" si="156"/>
        <v>53813</v>
      </c>
      <c r="D270" s="2">
        <f t="shared" si="139"/>
        <v>7.462686567164179E-3</v>
      </c>
      <c r="E270" s="169">
        <f t="shared" si="157"/>
        <v>256</v>
      </c>
      <c r="F270" s="165">
        <f t="shared" si="158"/>
        <v>1760.7554670656257</v>
      </c>
      <c r="G270" s="170">
        <f t="shared" si="174"/>
        <v>1572.6775980809164</v>
      </c>
      <c r="H270" s="164" t="str">
        <f t="shared" si="177"/>
        <v>🛵</v>
      </c>
      <c r="I270" s="171" t="str">
        <f t="shared" si="140"/>
        <v>🚴‍♂️</v>
      </c>
      <c r="J270" s="172">
        <f t="shared" si="141"/>
        <v>1214.4216412380836</v>
      </c>
      <c r="K270" s="173">
        <f t="shared" si="142"/>
        <v>0.35370476668554218</v>
      </c>
      <c r="L270" s="174">
        <f t="shared" si="143"/>
        <v>3433.433065146542</v>
      </c>
      <c r="M270" s="175">
        <f t="shared" si="159"/>
        <v>209524.37650160471</v>
      </c>
      <c r="N270" s="15"/>
      <c r="O270" s="37" t="str">
        <f t="shared" si="179"/>
        <v/>
      </c>
      <c r="P270" s="62" t="str">
        <f t="shared" si="160"/>
        <v/>
      </c>
      <c r="Q270" s="16" t="str">
        <f t="shared" si="144"/>
        <v/>
      </c>
      <c r="R270" s="60">
        <f t="shared" si="161"/>
        <v>134</v>
      </c>
      <c r="S270" s="98">
        <f t="shared" si="162"/>
        <v>358.25595684283275</v>
      </c>
      <c r="T270" s="21">
        <f t="shared" si="163"/>
        <v>1.6999999999999999E-3</v>
      </c>
      <c r="AA270" s="14">
        <f t="shared" si="145"/>
        <v>-3433.433065146542</v>
      </c>
      <c r="AH270" s="6">
        <f t="shared" si="146"/>
        <v>3</v>
      </c>
      <c r="AI270" s="6">
        <f t="shared" si="147"/>
        <v>8</v>
      </c>
      <c r="AJ270" s="12">
        <f t="shared" si="148"/>
        <v>22</v>
      </c>
      <c r="AK270" s="72">
        <f t="shared" ref="AK270:AK333" si="181">DAY(DATE(YEAR(C270),MONTH(C270)+1,1)-1)</f>
        <v>31</v>
      </c>
      <c r="AR270">
        <f t="shared" si="164"/>
        <v>25</v>
      </c>
      <c r="AS270">
        <f t="shared" si="165"/>
        <v>75</v>
      </c>
      <c r="AT270" s="183">
        <f t="shared" si="166"/>
        <v>53813</v>
      </c>
      <c r="AU270" s="2">
        <f t="shared" si="167"/>
        <v>7.462686567164179E-3</v>
      </c>
      <c r="AV270" s="169">
        <f t="shared" si="168"/>
        <v>256</v>
      </c>
      <c r="AW270" s="165">
        <f t="shared" si="169"/>
        <v>1760.7554670656257</v>
      </c>
      <c r="AX270" s="170">
        <f t="shared" si="175"/>
        <v>1572.6775980809164</v>
      </c>
      <c r="AY270" s="164" t="str">
        <f t="shared" si="178"/>
        <v>🛵</v>
      </c>
      <c r="AZ270" s="171" t="str">
        <f t="shared" si="149"/>
        <v>🚴‍♂️</v>
      </c>
      <c r="BA270" s="172">
        <f t="shared" si="150"/>
        <v>1214.4216412380836</v>
      </c>
      <c r="BB270" s="173">
        <f t="shared" si="151"/>
        <v>0.35370476668554218</v>
      </c>
      <c r="BC270" s="174">
        <f t="shared" si="152"/>
        <v>3433.433065146542</v>
      </c>
      <c r="BD270" s="175">
        <f t="shared" si="170"/>
        <v>209524.37650160471</v>
      </c>
      <c r="BE270" s="188"/>
      <c r="BF270" s="177" t="str">
        <f t="shared" si="180"/>
        <v/>
      </c>
      <c r="BG270" s="178" t="str">
        <f t="shared" si="171"/>
        <v/>
      </c>
      <c r="BH270" s="179" t="str">
        <f t="shared" si="153"/>
        <v/>
      </c>
      <c r="BI270" s="180">
        <f t="shared" si="172"/>
        <v>134</v>
      </c>
      <c r="BJ270" s="181">
        <f t="shared" si="176"/>
        <v>358.25595684283275</v>
      </c>
      <c r="BK270" s="182">
        <f t="shared" si="173"/>
        <v>1.6999999999999999E-3</v>
      </c>
    </row>
    <row r="271" spans="1:63" x14ac:dyDescent="0.25">
      <c r="A271" s="7">
        <f t="shared" si="154"/>
        <v>25</v>
      </c>
      <c r="B271" s="7">
        <f t="shared" si="155"/>
        <v>75</v>
      </c>
      <c r="C271" s="115">
        <f t="shared" si="156"/>
        <v>53844</v>
      </c>
      <c r="D271" s="2">
        <f t="shared" ref="D271:D334" si="182">IFERROR(G271/M270,0)</f>
        <v>7.5187969924812035E-3</v>
      </c>
      <c r="E271" s="169">
        <f t="shared" si="157"/>
        <v>257</v>
      </c>
      <c r="F271" s="165">
        <f t="shared" si="158"/>
        <v>1750.6087851875056</v>
      </c>
      <c r="G271" s="170">
        <f t="shared" si="174"/>
        <v>1575.3712518917648</v>
      </c>
      <c r="H271" s="164" t="str">
        <f t="shared" si="177"/>
        <v>🛵</v>
      </c>
      <c r="I271" s="171" t="str">
        <f t="shared" ref="I271:I334" si="183">IFERROR(IF((G271+N271-S271)/L271&lt;0,"🔙",IF((G271+N271-S271)/L271&lt;10%,"🥾",IF((G271+N271-S271)/L271&lt;20%,"🛴",IF((G271+N271-S271)/L271&lt;50%,"🚴‍♂️",IF((G271+N271-S271)/L271&lt;75%,"🚖","🚁"))))),"")</f>
        <v>🚴‍♂️</v>
      </c>
      <c r="J271" s="172">
        <f t="shared" ref="J271:J334" si="184">G271+N271-S271</f>
        <v>1219.1798118390368</v>
      </c>
      <c r="K271" s="173">
        <f t="shared" ref="K271:K334" si="185">IFERROR(J271/(L271+N271),0)</f>
        <v>0.35586308111661286</v>
      </c>
      <c r="L271" s="174">
        <f t="shared" ref="L271:L334" si="186">G271+F271+A271+B271</f>
        <v>3425.9800370792705</v>
      </c>
      <c r="M271" s="175">
        <f t="shared" si="159"/>
        <v>208305.19668976567</v>
      </c>
      <c r="N271" s="15"/>
      <c r="O271" s="37" t="str">
        <f t="shared" si="179"/>
        <v/>
      </c>
      <c r="P271" s="62" t="str">
        <f t="shared" si="160"/>
        <v/>
      </c>
      <c r="Q271" s="16" t="str">
        <f t="shared" ref="Q271:Q334" si="187">IF(N271=0,"",IF(N271&gt;M271,"🚫",IF(INT(N271/G271&lt;1),"👍",INT(N271/G271)&amp;"x")))</f>
        <v/>
      </c>
      <c r="R271" s="60">
        <f t="shared" si="161"/>
        <v>133</v>
      </c>
      <c r="S271" s="98">
        <f t="shared" si="162"/>
        <v>356.19144005272801</v>
      </c>
      <c r="T271" s="21">
        <f t="shared" si="163"/>
        <v>1.6999999999999999E-3</v>
      </c>
      <c r="AA271" s="14">
        <f t="shared" ref="AA271:AA334" si="188">-(L271+N271)</f>
        <v>-3425.9800370792705</v>
      </c>
      <c r="AH271" s="6">
        <f t="shared" ref="AH271:AH334" si="189">ROUNDUP(E271/120,0)</f>
        <v>3</v>
      </c>
      <c r="AI271" s="6">
        <f t="shared" ref="AI271:AI334" si="190">ROUNDUP(E271/36,0)</f>
        <v>8</v>
      </c>
      <c r="AJ271" s="12">
        <f t="shared" ref="AJ271:AJ334" si="191">ROUNDUP(E271/12,0)</f>
        <v>22</v>
      </c>
      <c r="AK271" s="72">
        <f t="shared" si="181"/>
        <v>30</v>
      </c>
      <c r="AR271">
        <f t="shared" si="164"/>
        <v>25</v>
      </c>
      <c r="AS271">
        <f t="shared" si="165"/>
        <v>75</v>
      </c>
      <c r="AT271" s="183">
        <f t="shared" si="166"/>
        <v>53844</v>
      </c>
      <c r="AU271" s="2">
        <f t="shared" si="167"/>
        <v>7.5187969924812035E-3</v>
      </c>
      <c r="AV271" s="169">
        <f t="shared" si="168"/>
        <v>257</v>
      </c>
      <c r="AW271" s="165">
        <f t="shared" si="169"/>
        <v>1750.6087851875056</v>
      </c>
      <c r="AX271" s="170">
        <f t="shared" si="175"/>
        <v>1575.3712518917648</v>
      </c>
      <c r="AY271" s="164" t="str">
        <f t="shared" si="178"/>
        <v>🛵</v>
      </c>
      <c r="AZ271" s="171" t="str">
        <f t="shared" ref="AZ271:AZ334" si="192">IFERROR(IF((AX271+BE271-BJ271)/BC271&lt;0,"🔙",IF((AX271+BE271-BJ271)/BC271&lt;10%,"🥾",IF((AX271+BE271-BJ271)/BC271&lt;20%,"🛴",IF((AX271+BE271-BJ271)/BC271&lt;50%,"🚴‍♂️",IF((AX271+BE271-BJ271)/BC271&lt;75%,"🚖","🚁"))))),"")</f>
        <v>🚴‍♂️</v>
      </c>
      <c r="BA271" s="172">
        <f t="shared" ref="BA271:BA334" si="193">AX271+BE271-BJ271</f>
        <v>1219.1798118390368</v>
      </c>
      <c r="BB271" s="173">
        <f t="shared" ref="BB271:BB334" si="194">IFERROR(BA271/(BC271+BE271),0)</f>
        <v>0.35586308111661286</v>
      </c>
      <c r="BC271" s="174">
        <f t="shared" ref="BC271:BC334" si="195">AX271+AW271+AR271+AS271</f>
        <v>3425.9800370792705</v>
      </c>
      <c r="BD271" s="175">
        <f t="shared" si="170"/>
        <v>208305.19668976567</v>
      </c>
      <c r="BE271" s="188"/>
      <c r="BF271" s="177" t="str">
        <f t="shared" si="180"/>
        <v/>
      </c>
      <c r="BG271" s="178" t="str">
        <f t="shared" si="171"/>
        <v/>
      </c>
      <c r="BH271" s="179" t="str">
        <f t="shared" ref="BH271:BH334" si="196">IF(BE271=0,"",IF(BE271&gt;BD271,"🚫",IF(INT(BE271/AX271&lt;1),"👍",INT(BE271/AX271)&amp;"x")))</f>
        <v/>
      </c>
      <c r="BI271" s="180">
        <f t="shared" si="172"/>
        <v>133</v>
      </c>
      <c r="BJ271" s="181">
        <f t="shared" si="176"/>
        <v>356.19144005272801</v>
      </c>
      <c r="BK271" s="182">
        <f t="shared" si="173"/>
        <v>1.6999999999999999E-3</v>
      </c>
    </row>
    <row r="272" spans="1:63" x14ac:dyDescent="0.25">
      <c r="A272" s="7">
        <f t="shared" ref="A272:A335" si="197">IF(INT(F272)&gt;0,A271,0)</f>
        <v>25</v>
      </c>
      <c r="B272" s="7">
        <f t="shared" ref="B272:B335" si="198">IF(F272&gt;0.1,B271,0)</f>
        <v>75</v>
      </c>
      <c r="C272" s="115">
        <f t="shared" ref="C272:C335" si="199">DATE(YEAR(C271),MONTH(C271)+1,1)</f>
        <v>53874</v>
      </c>
      <c r="D272" s="2">
        <f t="shared" si="182"/>
        <v>7.575757575757576E-3</v>
      </c>
      <c r="E272" s="169">
        <f t="shared" ref="E272:E335" si="200">E271+1</f>
        <v>258</v>
      </c>
      <c r="F272" s="165">
        <f t="shared" ref="F272:F335" si="201">IF(OR(M271&lt;1,N271&gt;M271),0,(M271-N271)*IF(D$11&lt;&gt;"BB",$E$7,(1+$D$7)^(AK271/365)-1))</f>
        <v>1740.4223480532453</v>
      </c>
      <c r="G272" s="170">
        <f t="shared" si="174"/>
        <v>1578.0696718921643</v>
      </c>
      <c r="H272" s="164" t="str">
        <f t="shared" si="177"/>
        <v>🛵</v>
      </c>
      <c r="I272" s="171" t="str">
        <f t="shared" si="183"/>
        <v>🚴‍♂️</v>
      </c>
      <c r="J272" s="172">
        <f t="shared" si="184"/>
        <v>1223.9508375195626</v>
      </c>
      <c r="K272" s="173">
        <f t="shared" si="185"/>
        <v>0.35803823158818082</v>
      </c>
      <c r="L272" s="174">
        <f t="shared" si="186"/>
        <v>3418.4920199454095</v>
      </c>
      <c r="M272" s="175">
        <f t="shared" ref="M272:M335" si="202">IF(R272=0,0,MAX(0,M271-G272+S272-N271))</f>
        <v>207081.24585224612</v>
      </c>
      <c r="N272" s="15"/>
      <c r="O272" s="37" t="str">
        <f t="shared" si="179"/>
        <v/>
      </c>
      <c r="P272" s="62" t="str">
        <f t="shared" ref="P272:P335" si="203">IF(N271=0,"",(L271-L272)/N271)</f>
        <v/>
      </c>
      <c r="Q272" s="16" t="str">
        <f t="shared" si="187"/>
        <v/>
      </c>
      <c r="R272" s="60">
        <f t="shared" ref="R272:R335" si="204">IF(M271=0,0,IF(OR(N271=0,O271="V"),R271-1,IF(OR(D$11="BRADESCO",D$11="BB"),R271-ROUNDDOWN(N271/(M271/R271),0)-1,ROUNDUP((M271-N271+S271-(M271/R271))/(L271-F272-A272-B272),0)+1)))</f>
        <v>132</v>
      </c>
      <c r="S272" s="98">
        <f t="shared" ref="S272:S335" si="205">M271*$T272</f>
        <v>354.11883437260161</v>
      </c>
      <c r="T272" s="21">
        <f t="shared" ref="T272:T335" si="206">IF(M271&gt;0,T271,0)</f>
        <v>1.6999999999999999E-3</v>
      </c>
      <c r="AA272" s="14">
        <f t="shared" si="188"/>
        <v>-3418.4920199454095</v>
      </c>
      <c r="AH272" s="6">
        <f t="shared" si="189"/>
        <v>3</v>
      </c>
      <c r="AI272" s="6">
        <f t="shared" si="190"/>
        <v>8</v>
      </c>
      <c r="AJ272" s="12">
        <f t="shared" si="191"/>
        <v>22</v>
      </c>
      <c r="AK272" s="72">
        <f t="shared" si="181"/>
        <v>31</v>
      </c>
      <c r="AR272">
        <f t="shared" ref="AR272:AR335" si="207">IF(INT(AW272)&gt;0,AR271,0)</f>
        <v>25</v>
      </c>
      <c r="AS272">
        <f t="shared" ref="AS272:AS335" si="208">IF(AW272&gt;0.1,AS271,0)</f>
        <v>75</v>
      </c>
      <c r="AT272" s="183">
        <f t="shared" ref="AT272:AT335" si="209">DATE(YEAR(AT271),MONTH(AT271)+1,1)</f>
        <v>53874</v>
      </c>
      <c r="AU272" s="2">
        <f t="shared" ref="AU272:AU335" si="210">IFERROR(AX272/BD271,0)</f>
        <v>7.575757575757576E-3</v>
      </c>
      <c r="AV272" s="169">
        <f t="shared" ref="AV272:AV335" si="211">AV271+1</f>
        <v>258</v>
      </c>
      <c r="AW272" s="165">
        <f t="shared" ref="AW272:AW335" si="212">IF(OR(BD271&lt;1,BE271&gt;BD271),0,(BD271-BE271)*IF(AU$11&lt;&gt;"BB",$E$7,(1+$D$7)^(BY271/365)-1))</f>
        <v>1740.4223480532453</v>
      </c>
      <c r="AX272" s="170">
        <f t="shared" si="175"/>
        <v>1578.0696718921643</v>
      </c>
      <c r="AY272" s="164" t="str">
        <f t="shared" si="178"/>
        <v>🛵</v>
      </c>
      <c r="AZ272" s="171" t="str">
        <f t="shared" si="192"/>
        <v>🚴‍♂️</v>
      </c>
      <c r="BA272" s="172">
        <f t="shared" si="193"/>
        <v>1223.9508375195626</v>
      </c>
      <c r="BB272" s="173">
        <f t="shared" si="194"/>
        <v>0.35803823158818082</v>
      </c>
      <c r="BC272" s="174">
        <f t="shared" si="195"/>
        <v>3418.4920199454095</v>
      </c>
      <c r="BD272" s="175">
        <f t="shared" ref="BD272:BD335" si="213">IF(BI272=0,0,MAX(0,BD271-AX272+BJ272-BE271))</f>
        <v>207081.24585224612</v>
      </c>
      <c r="BE272" s="188"/>
      <c r="BF272" s="177" t="str">
        <f t="shared" si="180"/>
        <v/>
      </c>
      <c r="BG272" s="178" t="str">
        <f t="shared" ref="BG272:BG335" si="214">IF(BE271=0,"",(BC271-BC272)/BE271)</f>
        <v/>
      </c>
      <c r="BH272" s="179" t="str">
        <f t="shared" si="196"/>
        <v/>
      </c>
      <c r="BI272" s="180">
        <f t="shared" ref="BI272:BI335" si="215">IF(BD271=0,0,IF(OR(BE271=0,BF271="V"),BI271-1,IF(OR(AU$11="BRADESCO",AU$11="BB"),BI271-ROUNDDOWN(BE271/(BD271/BI271),0)-1,ROUNDUP((BD271-BE271+BJ271-(BD271/BI271))/(BC271-AW272-AR272-AS272),0)+1)))</f>
        <v>132</v>
      </c>
      <c r="BJ272" s="181">
        <f t="shared" si="176"/>
        <v>354.11883437260161</v>
      </c>
      <c r="BK272" s="182">
        <f t="shared" ref="BK272:BK335" si="216">IF(BD271&gt;0,BK271,0)</f>
        <v>1.6999999999999999E-3</v>
      </c>
    </row>
    <row r="273" spans="1:63" x14ac:dyDescent="0.25">
      <c r="A273" s="7">
        <f t="shared" si="197"/>
        <v>25</v>
      </c>
      <c r="B273" s="7">
        <f t="shared" si="198"/>
        <v>75</v>
      </c>
      <c r="C273" s="115">
        <f t="shared" si="199"/>
        <v>53905</v>
      </c>
      <c r="D273" s="2">
        <f t="shared" si="182"/>
        <v>7.6335877862595417E-3</v>
      </c>
      <c r="E273" s="169">
        <f t="shared" si="200"/>
        <v>259</v>
      </c>
      <c r="F273" s="165">
        <f t="shared" si="201"/>
        <v>1730.1960482566537</v>
      </c>
      <c r="G273" s="170">
        <f t="shared" ref="G273:G336" si="217">IF(R273=0,0,IF(M272&lt;1,0,IF(AND(AND(((M272-N272)/R273)&lt;G272,O272&lt;&gt;"V"),D$11&lt;&gt;"BRADESCO"),G272,  (M272-N272)/R273)))</f>
        <v>1580.7728691011155</v>
      </c>
      <c r="H273" s="164" t="str">
        <f t="shared" si="177"/>
        <v>🛵</v>
      </c>
      <c r="I273" s="171" t="str">
        <f t="shared" si="183"/>
        <v>🚴‍♂️</v>
      </c>
      <c r="J273" s="172">
        <f t="shared" si="184"/>
        <v>1228.7347511522971</v>
      </c>
      <c r="K273" s="173">
        <f t="shared" si="185"/>
        <v>0.36023041573304898</v>
      </c>
      <c r="L273" s="174">
        <f t="shared" si="186"/>
        <v>3410.968917357769</v>
      </c>
      <c r="M273" s="175">
        <f t="shared" si="202"/>
        <v>205852.51110109384</v>
      </c>
      <c r="N273" s="15"/>
      <c r="O273" s="37" t="str">
        <f t="shared" si="179"/>
        <v/>
      </c>
      <c r="P273" s="62" t="str">
        <f t="shared" si="203"/>
        <v/>
      </c>
      <c r="Q273" s="16" t="str">
        <f t="shared" si="187"/>
        <v/>
      </c>
      <c r="R273" s="60">
        <f t="shared" si="204"/>
        <v>131</v>
      </c>
      <c r="S273" s="98">
        <f t="shared" si="205"/>
        <v>352.03811794881841</v>
      </c>
      <c r="T273" s="21">
        <f t="shared" si="206"/>
        <v>1.6999999999999999E-3</v>
      </c>
      <c r="AA273" s="14">
        <f t="shared" si="188"/>
        <v>-3410.968917357769</v>
      </c>
      <c r="AH273" s="6">
        <f t="shared" si="189"/>
        <v>3</v>
      </c>
      <c r="AI273" s="6">
        <f t="shared" si="190"/>
        <v>8</v>
      </c>
      <c r="AJ273" s="12">
        <f t="shared" si="191"/>
        <v>22</v>
      </c>
      <c r="AK273" s="72">
        <f t="shared" si="181"/>
        <v>31</v>
      </c>
      <c r="AR273">
        <f t="shared" si="207"/>
        <v>25</v>
      </c>
      <c r="AS273">
        <f t="shared" si="208"/>
        <v>75</v>
      </c>
      <c r="AT273" s="183">
        <f t="shared" si="209"/>
        <v>53905</v>
      </c>
      <c r="AU273" s="2">
        <f t="shared" si="210"/>
        <v>7.6335877862595417E-3</v>
      </c>
      <c r="AV273" s="169">
        <f t="shared" si="211"/>
        <v>259</v>
      </c>
      <c r="AW273" s="165">
        <f t="shared" si="212"/>
        <v>1730.1960482566537</v>
      </c>
      <c r="AX273" s="170">
        <f t="shared" ref="AX273:AX336" si="218">IF(BI273=0,0,IF(BD272&lt;1,0,IF(AND(AND(((BD272-BE272)/BI273)&lt;AX272,BF272&lt;&gt;"V"),AU$11&lt;&gt;"BRADESCO"),AX272,  (BD272-BE272)/BI273)))</f>
        <v>1580.7728691011155</v>
      </c>
      <c r="AY273" s="164" t="str">
        <f t="shared" si="178"/>
        <v>🛵</v>
      </c>
      <c r="AZ273" s="171" t="str">
        <f t="shared" si="192"/>
        <v>🚴‍♂️</v>
      </c>
      <c r="BA273" s="172">
        <f t="shared" si="193"/>
        <v>1228.7347511522971</v>
      </c>
      <c r="BB273" s="173">
        <f t="shared" si="194"/>
        <v>0.36023041573304898</v>
      </c>
      <c r="BC273" s="174">
        <f t="shared" si="195"/>
        <v>3410.968917357769</v>
      </c>
      <c r="BD273" s="175">
        <f t="shared" si="213"/>
        <v>205852.51110109384</v>
      </c>
      <c r="BE273" s="188"/>
      <c r="BF273" s="177" t="str">
        <f t="shared" si="180"/>
        <v/>
      </c>
      <c r="BG273" s="178" t="str">
        <f t="shared" si="214"/>
        <v/>
      </c>
      <c r="BH273" s="179" t="str">
        <f t="shared" si="196"/>
        <v/>
      </c>
      <c r="BI273" s="180">
        <f t="shared" si="215"/>
        <v>131</v>
      </c>
      <c r="BJ273" s="181">
        <f t="shared" ref="BJ273:BJ336" si="219">BD272*$BK272</f>
        <v>352.03811794881841</v>
      </c>
      <c r="BK273" s="182">
        <f t="shared" si="216"/>
        <v>1.6999999999999999E-3</v>
      </c>
    </row>
    <row r="274" spans="1:63" x14ac:dyDescent="0.25">
      <c r="A274" s="7">
        <f t="shared" si="197"/>
        <v>25</v>
      </c>
      <c r="B274" s="7">
        <f t="shared" si="198"/>
        <v>75</v>
      </c>
      <c r="C274" s="115">
        <f t="shared" si="199"/>
        <v>53936</v>
      </c>
      <c r="D274" s="2">
        <f t="shared" si="182"/>
        <v>7.6923076923076919E-3</v>
      </c>
      <c r="E274" s="169">
        <f t="shared" si="200"/>
        <v>260</v>
      </c>
      <c r="F274" s="165">
        <f t="shared" si="201"/>
        <v>1719.9297781168837</v>
      </c>
      <c r="G274" s="170">
        <f t="shared" si="217"/>
        <v>1583.4808546237987</v>
      </c>
      <c r="H274" s="164" t="str">
        <f t="shared" si="177"/>
        <v>🛵</v>
      </c>
      <c r="I274" s="171" t="str">
        <f t="shared" si="183"/>
        <v>🚴‍♂️</v>
      </c>
      <c r="J274" s="172">
        <f t="shared" si="184"/>
        <v>1233.5315857519392</v>
      </c>
      <c r="K274" s="173">
        <f t="shared" si="185"/>
        <v>0.36243983429017107</v>
      </c>
      <c r="L274" s="174">
        <f t="shared" si="186"/>
        <v>3403.4106327406826</v>
      </c>
      <c r="M274" s="175">
        <f t="shared" si="202"/>
        <v>204618.9795153419</v>
      </c>
      <c r="N274" s="15"/>
      <c r="O274" s="37" t="str">
        <f t="shared" si="179"/>
        <v/>
      </c>
      <c r="P274" s="62" t="str">
        <f t="shared" si="203"/>
        <v/>
      </c>
      <c r="Q274" s="16" t="str">
        <f t="shared" si="187"/>
        <v/>
      </c>
      <c r="R274" s="60">
        <f t="shared" si="204"/>
        <v>130</v>
      </c>
      <c r="S274" s="98">
        <f t="shared" si="205"/>
        <v>349.94926887185949</v>
      </c>
      <c r="T274" s="21">
        <f t="shared" si="206"/>
        <v>1.6999999999999999E-3</v>
      </c>
      <c r="AA274" s="14">
        <f t="shared" si="188"/>
        <v>-3403.4106327406826</v>
      </c>
      <c r="AH274" s="6">
        <f t="shared" si="189"/>
        <v>3</v>
      </c>
      <c r="AI274" s="6">
        <f t="shared" si="190"/>
        <v>8</v>
      </c>
      <c r="AJ274" s="12">
        <f t="shared" si="191"/>
        <v>22</v>
      </c>
      <c r="AK274" s="72">
        <f t="shared" si="181"/>
        <v>30</v>
      </c>
      <c r="AR274">
        <f t="shared" si="207"/>
        <v>25</v>
      </c>
      <c r="AS274">
        <f t="shared" si="208"/>
        <v>75</v>
      </c>
      <c r="AT274" s="183">
        <f t="shared" si="209"/>
        <v>53936</v>
      </c>
      <c r="AU274" s="2">
        <f t="shared" si="210"/>
        <v>7.6923076923076919E-3</v>
      </c>
      <c r="AV274" s="169">
        <f t="shared" si="211"/>
        <v>260</v>
      </c>
      <c r="AW274" s="165">
        <f t="shared" si="212"/>
        <v>1719.9297781168837</v>
      </c>
      <c r="AX274" s="170">
        <f t="shared" si="218"/>
        <v>1583.4808546237987</v>
      </c>
      <c r="AY274" s="164" t="str">
        <f t="shared" si="178"/>
        <v>🛵</v>
      </c>
      <c r="AZ274" s="171" t="str">
        <f t="shared" si="192"/>
        <v>🚴‍♂️</v>
      </c>
      <c r="BA274" s="172">
        <f t="shared" si="193"/>
        <v>1233.5315857519392</v>
      </c>
      <c r="BB274" s="173">
        <f t="shared" si="194"/>
        <v>0.36243983429017107</v>
      </c>
      <c r="BC274" s="174">
        <f t="shared" si="195"/>
        <v>3403.4106327406826</v>
      </c>
      <c r="BD274" s="175">
        <f t="shared" si="213"/>
        <v>204618.9795153419</v>
      </c>
      <c r="BE274" s="188"/>
      <c r="BF274" s="177" t="str">
        <f t="shared" si="180"/>
        <v/>
      </c>
      <c r="BG274" s="178" t="str">
        <f t="shared" si="214"/>
        <v/>
      </c>
      <c r="BH274" s="179" t="str">
        <f t="shared" si="196"/>
        <v/>
      </c>
      <c r="BI274" s="180">
        <f t="shared" si="215"/>
        <v>130</v>
      </c>
      <c r="BJ274" s="181">
        <f t="shared" si="219"/>
        <v>349.94926887185949</v>
      </c>
      <c r="BK274" s="182">
        <f t="shared" si="216"/>
        <v>1.6999999999999999E-3</v>
      </c>
    </row>
    <row r="275" spans="1:63" x14ac:dyDescent="0.25">
      <c r="A275" s="7">
        <f t="shared" si="197"/>
        <v>25</v>
      </c>
      <c r="B275" s="7">
        <f t="shared" si="198"/>
        <v>75</v>
      </c>
      <c r="C275" s="115">
        <f t="shared" si="199"/>
        <v>53966</v>
      </c>
      <c r="D275" s="2">
        <f t="shared" si="182"/>
        <v>7.7519379844961239E-3</v>
      </c>
      <c r="E275" s="169">
        <f t="shared" si="200"/>
        <v>261</v>
      </c>
      <c r="F275" s="165">
        <f t="shared" si="201"/>
        <v>1709.6234296772448</v>
      </c>
      <c r="G275" s="170">
        <f t="shared" si="217"/>
        <v>1586.1936396538131</v>
      </c>
      <c r="H275" s="164" t="str">
        <f t="shared" si="177"/>
        <v>🛵</v>
      </c>
      <c r="I275" s="171" t="str">
        <f t="shared" si="183"/>
        <v>🚴‍♂️</v>
      </c>
      <c r="J275" s="172">
        <f t="shared" si="184"/>
        <v>1238.3413744777317</v>
      </c>
      <c r="K275" s="173">
        <f t="shared" si="185"/>
        <v>0.36466669116592687</v>
      </c>
      <c r="L275" s="174">
        <f t="shared" si="186"/>
        <v>3395.8170693310576</v>
      </c>
      <c r="M275" s="175">
        <f t="shared" si="202"/>
        <v>203380.63814086415</v>
      </c>
      <c r="N275" s="15"/>
      <c r="O275" s="37" t="str">
        <f t="shared" si="179"/>
        <v/>
      </c>
      <c r="P275" s="62" t="str">
        <f t="shared" si="203"/>
        <v/>
      </c>
      <c r="Q275" s="16" t="str">
        <f t="shared" si="187"/>
        <v/>
      </c>
      <c r="R275" s="60">
        <f t="shared" si="204"/>
        <v>129</v>
      </c>
      <c r="S275" s="98">
        <f t="shared" si="205"/>
        <v>347.85226517608123</v>
      </c>
      <c r="T275" s="21">
        <f t="shared" si="206"/>
        <v>1.6999999999999999E-3</v>
      </c>
      <c r="AA275" s="14">
        <f t="shared" si="188"/>
        <v>-3395.8170693310576</v>
      </c>
      <c r="AH275" s="6">
        <f t="shared" si="189"/>
        <v>3</v>
      </c>
      <c r="AI275" s="6">
        <f t="shared" si="190"/>
        <v>8</v>
      </c>
      <c r="AJ275" s="12">
        <f t="shared" si="191"/>
        <v>22</v>
      </c>
      <c r="AK275" s="72">
        <f t="shared" si="181"/>
        <v>31</v>
      </c>
      <c r="AR275">
        <f t="shared" si="207"/>
        <v>25</v>
      </c>
      <c r="AS275">
        <f t="shared" si="208"/>
        <v>75</v>
      </c>
      <c r="AT275" s="183">
        <f t="shared" si="209"/>
        <v>53966</v>
      </c>
      <c r="AU275" s="2">
        <f t="shared" si="210"/>
        <v>7.7519379844961239E-3</v>
      </c>
      <c r="AV275" s="169">
        <f t="shared" si="211"/>
        <v>261</v>
      </c>
      <c r="AW275" s="165">
        <f t="shared" si="212"/>
        <v>1709.6234296772448</v>
      </c>
      <c r="AX275" s="170">
        <f t="shared" si="218"/>
        <v>1586.1936396538131</v>
      </c>
      <c r="AY275" s="164" t="str">
        <f t="shared" si="178"/>
        <v>🛵</v>
      </c>
      <c r="AZ275" s="171" t="str">
        <f t="shared" si="192"/>
        <v>🚴‍♂️</v>
      </c>
      <c r="BA275" s="172">
        <f t="shared" si="193"/>
        <v>1238.3413744777317</v>
      </c>
      <c r="BB275" s="173">
        <f t="shared" si="194"/>
        <v>0.36466669116592687</v>
      </c>
      <c r="BC275" s="174">
        <f t="shared" si="195"/>
        <v>3395.8170693310576</v>
      </c>
      <c r="BD275" s="175">
        <f t="shared" si="213"/>
        <v>203380.63814086415</v>
      </c>
      <c r="BE275" s="188"/>
      <c r="BF275" s="177" t="str">
        <f t="shared" si="180"/>
        <v/>
      </c>
      <c r="BG275" s="178" t="str">
        <f t="shared" si="214"/>
        <v/>
      </c>
      <c r="BH275" s="179" t="str">
        <f t="shared" si="196"/>
        <v/>
      </c>
      <c r="BI275" s="180">
        <f t="shared" si="215"/>
        <v>129</v>
      </c>
      <c r="BJ275" s="181">
        <f t="shared" si="219"/>
        <v>347.85226517608123</v>
      </c>
      <c r="BK275" s="182">
        <f t="shared" si="216"/>
        <v>1.6999999999999999E-3</v>
      </c>
    </row>
    <row r="276" spans="1:63" x14ac:dyDescent="0.25">
      <c r="A276" s="7">
        <f t="shared" si="197"/>
        <v>25</v>
      </c>
      <c r="B276" s="7">
        <f t="shared" si="198"/>
        <v>75</v>
      </c>
      <c r="C276" s="115">
        <f t="shared" si="199"/>
        <v>53997</v>
      </c>
      <c r="D276" s="2">
        <f t="shared" si="182"/>
        <v>7.8125E-3</v>
      </c>
      <c r="E276" s="169">
        <f t="shared" si="200"/>
        <v>262</v>
      </c>
      <c r="F276" s="165">
        <f t="shared" si="201"/>
        <v>1699.2768947039965</v>
      </c>
      <c r="G276" s="170">
        <f t="shared" si="217"/>
        <v>1588.9112354755011</v>
      </c>
      <c r="H276" s="164" t="str">
        <f t="shared" si="177"/>
        <v>🛵</v>
      </c>
      <c r="I276" s="171" t="str">
        <f t="shared" si="183"/>
        <v>🚴‍♂️</v>
      </c>
      <c r="J276" s="172">
        <f t="shared" si="184"/>
        <v>1243.164150636032</v>
      </c>
      <c r="K276" s="173">
        <f t="shared" si="185"/>
        <v>0.36691119349685353</v>
      </c>
      <c r="L276" s="174">
        <f t="shared" si="186"/>
        <v>3388.1881301794974</v>
      </c>
      <c r="M276" s="175">
        <f t="shared" si="202"/>
        <v>202137.47399022811</v>
      </c>
      <c r="N276" s="15"/>
      <c r="O276" s="37" t="str">
        <f t="shared" si="179"/>
        <v/>
      </c>
      <c r="P276" s="62" t="str">
        <f t="shared" si="203"/>
        <v/>
      </c>
      <c r="Q276" s="16" t="str">
        <f t="shared" si="187"/>
        <v/>
      </c>
      <c r="R276" s="60">
        <f t="shared" si="204"/>
        <v>128</v>
      </c>
      <c r="S276" s="98">
        <f t="shared" si="205"/>
        <v>345.74708483946904</v>
      </c>
      <c r="T276" s="21">
        <f t="shared" si="206"/>
        <v>1.6999999999999999E-3</v>
      </c>
      <c r="AA276" s="14">
        <f t="shared" si="188"/>
        <v>-3388.1881301794974</v>
      </c>
      <c r="AH276" s="6">
        <f t="shared" si="189"/>
        <v>3</v>
      </c>
      <c r="AI276" s="6">
        <f t="shared" si="190"/>
        <v>8</v>
      </c>
      <c r="AJ276" s="12">
        <f t="shared" si="191"/>
        <v>22</v>
      </c>
      <c r="AK276" s="72">
        <f t="shared" si="181"/>
        <v>30</v>
      </c>
      <c r="AR276">
        <f t="shared" si="207"/>
        <v>25</v>
      </c>
      <c r="AS276">
        <f t="shared" si="208"/>
        <v>75</v>
      </c>
      <c r="AT276" s="183">
        <f t="shared" si="209"/>
        <v>53997</v>
      </c>
      <c r="AU276" s="2">
        <f t="shared" si="210"/>
        <v>7.8125E-3</v>
      </c>
      <c r="AV276" s="169">
        <f t="shared" si="211"/>
        <v>262</v>
      </c>
      <c r="AW276" s="165">
        <f t="shared" si="212"/>
        <v>1699.2768947039965</v>
      </c>
      <c r="AX276" s="170">
        <f t="shared" si="218"/>
        <v>1588.9112354755011</v>
      </c>
      <c r="AY276" s="164" t="str">
        <f t="shared" si="178"/>
        <v>🛵</v>
      </c>
      <c r="AZ276" s="171" t="str">
        <f t="shared" si="192"/>
        <v>🚴‍♂️</v>
      </c>
      <c r="BA276" s="172">
        <f t="shared" si="193"/>
        <v>1243.164150636032</v>
      </c>
      <c r="BB276" s="173">
        <f t="shared" si="194"/>
        <v>0.36691119349685353</v>
      </c>
      <c r="BC276" s="174">
        <f t="shared" si="195"/>
        <v>3388.1881301794974</v>
      </c>
      <c r="BD276" s="175">
        <f t="shared" si="213"/>
        <v>202137.47399022811</v>
      </c>
      <c r="BE276" s="188"/>
      <c r="BF276" s="177" t="str">
        <f t="shared" si="180"/>
        <v/>
      </c>
      <c r="BG276" s="178" t="str">
        <f t="shared" si="214"/>
        <v/>
      </c>
      <c r="BH276" s="179" t="str">
        <f t="shared" si="196"/>
        <v/>
      </c>
      <c r="BI276" s="180">
        <f t="shared" si="215"/>
        <v>128</v>
      </c>
      <c r="BJ276" s="181">
        <f t="shared" si="219"/>
        <v>345.74708483946904</v>
      </c>
      <c r="BK276" s="182">
        <f t="shared" si="216"/>
        <v>1.6999999999999999E-3</v>
      </c>
    </row>
    <row r="277" spans="1:63" x14ac:dyDescent="0.25">
      <c r="A277" s="7">
        <f t="shared" si="197"/>
        <v>25</v>
      </c>
      <c r="B277" s="7">
        <f t="shared" si="198"/>
        <v>75</v>
      </c>
      <c r="C277" s="115">
        <f t="shared" si="199"/>
        <v>54027</v>
      </c>
      <c r="D277" s="2">
        <f t="shared" si="182"/>
        <v>7.874015748031496E-3</v>
      </c>
      <c r="E277" s="169">
        <f t="shared" si="200"/>
        <v>263</v>
      </c>
      <c r="F277" s="165">
        <f t="shared" si="201"/>
        <v>1688.8900646851182</v>
      </c>
      <c r="G277" s="170">
        <f t="shared" si="217"/>
        <v>1591.6336534663631</v>
      </c>
      <c r="H277" s="164" t="str">
        <f t="shared" si="177"/>
        <v>🛵</v>
      </c>
      <c r="I277" s="171" t="str">
        <f t="shared" si="183"/>
        <v>🚴‍♂️</v>
      </c>
      <c r="J277" s="172">
        <f t="shared" si="184"/>
        <v>1247.9999476829753</v>
      </c>
      <c r="K277" s="173">
        <f t="shared" si="185"/>
        <v>0.36917355171387456</v>
      </c>
      <c r="L277" s="174">
        <f t="shared" si="186"/>
        <v>3380.5237181514813</v>
      </c>
      <c r="M277" s="175">
        <f t="shared" si="202"/>
        <v>200889.47404254513</v>
      </c>
      <c r="N277" s="15"/>
      <c r="O277" s="37" t="str">
        <f t="shared" si="179"/>
        <v/>
      </c>
      <c r="P277" s="62" t="str">
        <f t="shared" si="203"/>
        <v/>
      </c>
      <c r="Q277" s="16" t="str">
        <f t="shared" si="187"/>
        <v/>
      </c>
      <c r="R277" s="60">
        <f t="shared" si="204"/>
        <v>127</v>
      </c>
      <c r="S277" s="98">
        <f t="shared" si="205"/>
        <v>343.63370578338777</v>
      </c>
      <c r="T277" s="21">
        <f t="shared" si="206"/>
        <v>1.6999999999999999E-3</v>
      </c>
      <c r="AA277" s="14">
        <f t="shared" si="188"/>
        <v>-3380.5237181514813</v>
      </c>
      <c r="AH277" s="6">
        <f t="shared" si="189"/>
        <v>3</v>
      </c>
      <c r="AI277" s="6">
        <f t="shared" si="190"/>
        <v>8</v>
      </c>
      <c r="AJ277" s="12">
        <f t="shared" si="191"/>
        <v>22</v>
      </c>
      <c r="AK277" s="72">
        <f t="shared" si="181"/>
        <v>31</v>
      </c>
      <c r="AR277">
        <f t="shared" si="207"/>
        <v>25</v>
      </c>
      <c r="AS277">
        <f t="shared" si="208"/>
        <v>75</v>
      </c>
      <c r="AT277" s="183">
        <f t="shared" si="209"/>
        <v>54027</v>
      </c>
      <c r="AU277" s="2">
        <f t="shared" si="210"/>
        <v>7.874015748031496E-3</v>
      </c>
      <c r="AV277" s="169">
        <f t="shared" si="211"/>
        <v>263</v>
      </c>
      <c r="AW277" s="165">
        <f t="shared" si="212"/>
        <v>1688.8900646851182</v>
      </c>
      <c r="AX277" s="170">
        <f t="shared" si="218"/>
        <v>1591.6336534663631</v>
      </c>
      <c r="AY277" s="164" t="str">
        <f t="shared" si="178"/>
        <v>🛵</v>
      </c>
      <c r="AZ277" s="171" t="str">
        <f t="shared" si="192"/>
        <v>🚴‍♂️</v>
      </c>
      <c r="BA277" s="172">
        <f t="shared" si="193"/>
        <v>1247.9999476829753</v>
      </c>
      <c r="BB277" s="173">
        <f t="shared" si="194"/>
        <v>0.36917355171387456</v>
      </c>
      <c r="BC277" s="174">
        <f t="shared" si="195"/>
        <v>3380.5237181514813</v>
      </c>
      <c r="BD277" s="175">
        <f t="shared" si="213"/>
        <v>200889.47404254513</v>
      </c>
      <c r="BE277" s="188"/>
      <c r="BF277" s="177" t="str">
        <f t="shared" si="180"/>
        <v/>
      </c>
      <c r="BG277" s="178" t="str">
        <f t="shared" si="214"/>
        <v/>
      </c>
      <c r="BH277" s="179" t="str">
        <f t="shared" si="196"/>
        <v/>
      </c>
      <c r="BI277" s="180">
        <f t="shared" si="215"/>
        <v>127</v>
      </c>
      <c r="BJ277" s="181">
        <f t="shared" si="219"/>
        <v>343.63370578338777</v>
      </c>
      <c r="BK277" s="182">
        <f t="shared" si="216"/>
        <v>1.6999999999999999E-3</v>
      </c>
    </row>
    <row r="278" spans="1:63" x14ac:dyDescent="0.25">
      <c r="A278" s="7">
        <f t="shared" si="197"/>
        <v>25</v>
      </c>
      <c r="B278" s="7">
        <f t="shared" si="198"/>
        <v>75</v>
      </c>
      <c r="C278" s="115">
        <f t="shared" si="199"/>
        <v>54058</v>
      </c>
      <c r="D278" s="2">
        <f t="shared" si="182"/>
        <v>7.9365079365079361E-3</v>
      </c>
      <c r="E278" s="169">
        <f t="shared" si="200"/>
        <v>264</v>
      </c>
      <c r="F278" s="165">
        <f t="shared" si="201"/>
        <v>1678.4628308290582</v>
      </c>
      <c r="G278" s="170">
        <f t="shared" si="217"/>
        <v>1594.3609050995644</v>
      </c>
      <c r="H278" s="164" t="str">
        <f t="shared" si="177"/>
        <v>🛵</v>
      </c>
      <c r="I278" s="171" t="str">
        <f t="shared" si="183"/>
        <v>🚴‍♂️</v>
      </c>
      <c r="J278" s="172">
        <f t="shared" si="184"/>
        <v>1252.8487992272378</v>
      </c>
      <c r="K278" s="173">
        <f t="shared" si="185"/>
        <v>0.37145397960806786</v>
      </c>
      <c r="L278" s="174">
        <f t="shared" si="186"/>
        <v>3372.8237359286227</v>
      </c>
      <c r="M278" s="175">
        <f t="shared" si="202"/>
        <v>199636.62524331789</v>
      </c>
      <c r="N278" s="15"/>
      <c r="O278" s="37" t="str">
        <f t="shared" si="179"/>
        <v/>
      </c>
      <c r="P278" s="62" t="str">
        <f t="shared" si="203"/>
        <v/>
      </c>
      <c r="Q278" s="16" t="str">
        <f t="shared" si="187"/>
        <v/>
      </c>
      <c r="R278" s="60">
        <f t="shared" si="204"/>
        <v>126</v>
      </c>
      <c r="S278" s="98">
        <f t="shared" si="205"/>
        <v>341.51210587232669</v>
      </c>
      <c r="T278" s="21">
        <f t="shared" si="206"/>
        <v>1.6999999999999999E-3</v>
      </c>
      <c r="AA278" s="14">
        <f t="shared" si="188"/>
        <v>-3372.8237359286227</v>
      </c>
      <c r="AH278" s="6">
        <f t="shared" si="189"/>
        <v>3</v>
      </c>
      <c r="AI278" s="6">
        <f t="shared" si="190"/>
        <v>8</v>
      </c>
      <c r="AJ278" s="12">
        <f t="shared" si="191"/>
        <v>22</v>
      </c>
      <c r="AK278" s="72">
        <f t="shared" si="181"/>
        <v>31</v>
      </c>
      <c r="AR278">
        <f t="shared" si="207"/>
        <v>25</v>
      </c>
      <c r="AS278">
        <f t="shared" si="208"/>
        <v>75</v>
      </c>
      <c r="AT278" s="183">
        <f t="shared" si="209"/>
        <v>54058</v>
      </c>
      <c r="AU278" s="2">
        <f t="shared" si="210"/>
        <v>7.9365079365079361E-3</v>
      </c>
      <c r="AV278" s="169">
        <f t="shared" si="211"/>
        <v>264</v>
      </c>
      <c r="AW278" s="165">
        <f t="shared" si="212"/>
        <v>1678.4628308290582</v>
      </c>
      <c r="AX278" s="170">
        <f t="shared" si="218"/>
        <v>1594.3609050995644</v>
      </c>
      <c r="AY278" s="164" t="str">
        <f t="shared" si="178"/>
        <v>🛵</v>
      </c>
      <c r="AZ278" s="171" t="str">
        <f t="shared" si="192"/>
        <v>🚴‍♂️</v>
      </c>
      <c r="BA278" s="172">
        <f t="shared" si="193"/>
        <v>1252.8487992272378</v>
      </c>
      <c r="BB278" s="173">
        <f t="shared" si="194"/>
        <v>0.37145397960806786</v>
      </c>
      <c r="BC278" s="174">
        <f t="shared" si="195"/>
        <v>3372.8237359286227</v>
      </c>
      <c r="BD278" s="175">
        <f t="shared" si="213"/>
        <v>199636.62524331789</v>
      </c>
      <c r="BE278" s="188"/>
      <c r="BF278" s="177" t="str">
        <f t="shared" si="180"/>
        <v/>
      </c>
      <c r="BG278" s="178" t="str">
        <f t="shared" si="214"/>
        <v/>
      </c>
      <c r="BH278" s="179" t="str">
        <f t="shared" si="196"/>
        <v/>
      </c>
      <c r="BI278" s="180">
        <f t="shared" si="215"/>
        <v>126</v>
      </c>
      <c r="BJ278" s="181">
        <f t="shared" si="219"/>
        <v>341.51210587232669</v>
      </c>
      <c r="BK278" s="182">
        <f t="shared" si="216"/>
        <v>1.6999999999999999E-3</v>
      </c>
    </row>
    <row r="279" spans="1:63" x14ac:dyDescent="0.25">
      <c r="A279" s="7">
        <f t="shared" si="197"/>
        <v>25</v>
      </c>
      <c r="B279" s="7">
        <f t="shared" si="198"/>
        <v>75</v>
      </c>
      <c r="C279" s="115">
        <f t="shared" si="199"/>
        <v>54089</v>
      </c>
      <c r="D279" s="2">
        <f t="shared" si="182"/>
        <v>8.0000000000000002E-3</v>
      </c>
      <c r="E279" s="169">
        <f t="shared" si="200"/>
        <v>265</v>
      </c>
      <c r="F279" s="165">
        <f t="shared" si="201"/>
        <v>1667.9950840634592</v>
      </c>
      <c r="G279" s="170">
        <f t="shared" si="217"/>
        <v>1597.0930019465432</v>
      </c>
      <c r="H279" s="164" t="str">
        <f t="shared" si="177"/>
        <v>🛵</v>
      </c>
      <c r="I279" s="171" t="str">
        <f t="shared" si="183"/>
        <v>🚴‍♂️</v>
      </c>
      <c r="J279" s="172">
        <f t="shared" si="184"/>
        <v>1257.7107390329029</v>
      </c>
      <c r="K279" s="173">
        <f t="shared" si="185"/>
        <v>0.37375269439801656</v>
      </c>
      <c r="L279" s="174">
        <f t="shared" si="186"/>
        <v>3365.0880860100024</v>
      </c>
      <c r="M279" s="175">
        <f t="shared" si="202"/>
        <v>198378.91450428497</v>
      </c>
      <c r="N279" s="15"/>
      <c r="O279" s="37" t="str">
        <f t="shared" si="179"/>
        <v/>
      </c>
      <c r="P279" s="62" t="str">
        <f t="shared" si="203"/>
        <v/>
      </c>
      <c r="Q279" s="16" t="str">
        <f t="shared" si="187"/>
        <v/>
      </c>
      <c r="R279" s="60">
        <f t="shared" si="204"/>
        <v>125</v>
      </c>
      <c r="S279" s="98">
        <f t="shared" si="205"/>
        <v>339.38226291364037</v>
      </c>
      <c r="T279" s="21">
        <f t="shared" si="206"/>
        <v>1.6999999999999999E-3</v>
      </c>
      <c r="AA279" s="14">
        <f t="shared" si="188"/>
        <v>-3365.0880860100024</v>
      </c>
      <c r="AH279" s="6">
        <f t="shared" si="189"/>
        <v>3</v>
      </c>
      <c r="AI279" s="6">
        <f t="shared" si="190"/>
        <v>8</v>
      </c>
      <c r="AJ279" s="12">
        <f t="shared" si="191"/>
        <v>23</v>
      </c>
      <c r="AK279" s="72">
        <f t="shared" si="181"/>
        <v>29</v>
      </c>
      <c r="AR279">
        <f t="shared" si="207"/>
        <v>25</v>
      </c>
      <c r="AS279">
        <f t="shared" si="208"/>
        <v>75</v>
      </c>
      <c r="AT279" s="183">
        <f t="shared" si="209"/>
        <v>54089</v>
      </c>
      <c r="AU279" s="2">
        <f t="shared" si="210"/>
        <v>8.0000000000000002E-3</v>
      </c>
      <c r="AV279" s="169">
        <f t="shared" si="211"/>
        <v>265</v>
      </c>
      <c r="AW279" s="165">
        <f t="shared" si="212"/>
        <v>1667.9950840634592</v>
      </c>
      <c r="AX279" s="170">
        <f t="shared" si="218"/>
        <v>1597.0930019465432</v>
      </c>
      <c r="AY279" s="164" t="str">
        <f t="shared" si="178"/>
        <v>🛵</v>
      </c>
      <c r="AZ279" s="171" t="str">
        <f t="shared" si="192"/>
        <v>🚴‍♂️</v>
      </c>
      <c r="BA279" s="172">
        <f t="shared" si="193"/>
        <v>1257.7107390329029</v>
      </c>
      <c r="BB279" s="173">
        <f t="shared" si="194"/>
        <v>0.37375269439801656</v>
      </c>
      <c r="BC279" s="174">
        <f t="shared" si="195"/>
        <v>3365.0880860100024</v>
      </c>
      <c r="BD279" s="175">
        <f t="shared" si="213"/>
        <v>198378.91450428497</v>
      </c>
      <c r="BE279" s="188"/>
      <c r="BF279" s="177" t="str">
        <f t="shared" si="180"/>
        <v/>
      </c>
      <c r="BG279" s="178" t="str">
        <f t="shared" si="214"/>
        <v/>
      </c>
      <c r="BH279" s="179" t="str">
        <f t="shared" si="196"/>
        <v/>
      </c>
      <c r="BI279" s="180">
        <f t="shared" si="215"/>
        <v>125</v>
      </c>
      <c r="BJ279" s="181">
        <f t="shared" si="219"/>
        <v>339.38226291364037</v>
      </c>
      <c r="BK279" s="182">
        <f t="shared" si="216"/>
        <v>1.6999999999999999E-3</v>
      </c>
    </row>
    <row r="280" spans="1:63" x14ac:dyDescent="0.25">
      <c r="A280" s="7">
        <f t="shared" si="197"/>
        <v>25</v>
      </c>
      <c r="B280" s="7">
        <f t="shared" si="198"/>
        <v>75</v>
      </c>
      <c r="C280" s="115">
        <f t="shared" si="199"/>
        <v>54118</v>
      </c>
      <c r="D280" s="2">
        <f t="shared" si="182"/>
        <v>8.0645161290322578E-3</v>
      </c>
      <c r="E280" s="169">
        <f t="shared" si="200"/>
        <v>266</v>
      </c>
      <c r="F280" s="165">
        <f t="shared" si="201"/>
        <v>1657.4867150338594</v>
      </c>
      <c r="G280" s="170">
        <f t="shared" si="217"/>
        <v>1599.8299556797176</v>
      </c>
      <c r="H280" s="164" t="str">
        <f t="shared" si="177"/>
        <v>🛵</v>
      </c>
      <c r="I280" s="171" t="str">
        <f t="shared" si="183"/>
        <v>🚴‍♂️</v>
      </c>
      <c r="J280" s="172">
        <f t="shared" si="184"/>
        <v>1262.5858010224333</v>
      </c>
      <c r="K280" s="173">
        <f t="shared" si="185"/>
        <v>0.37606991679878637</v>
      </c>
      <c r="L280" s="174">
        <f t="shared" si="186"/>
        <v>3357.316670713577</v>
      </c>
      <c r="M280" s="175">
        <f t="shared" si="202"/>
        <v>197116.32870326255</v>
      </c>
      <c r="N280" s="15"/>
      <c r="O280" s="37" t="str">
        <f t="shared" si="179"/>
        <v/>
      </c>
      <c r="P280" s="62" t="str">
        <f t="shared" si="203"/>
        <v/>
      </c>
      <c r="Q280" s="16" t="str">
        <f t="shared" si="187"/>
        <v/>
      </c>
      <c r="R280" s="60">
        <f t="shared" si="204"/>
        <v>124</v>
      </c>
      <c r="S280" s="98">
        <f t="shared" si="205"/>
        <v>337.24415465728441</v>
      </c>
      <c r="T280" s="21">
        <f t="shared" si="206"/>
        <v>1.6999999999999999E-3</v>
      </c>
      <c r="AA280" s="14">
        <f t="shared" si="188"/>
        <v>-3357.316670713577</v>
      </c>
      <c r="AH280" s="6">
        <f t="shared" si="189"/>
        <v>3</v>
      </c>
      <c r="AI280" s="6">
        <f t="shared" si="190"/>
        <v>8</v>
      </c>
      <c r="AJ280" s="12">
        <f t="shared" si="191"/>
        <v>23</v>
      </c>
      <c r="AK280" s="72">
        <f t="shared" si="181"/>
        <v>31</v>
      </c>
      <c r="AR280">
        <f t="shared" si="207"/>
        <v>25</v>
      </c>
      <c r="AS280">
        <f t="shared" si="208"/>
        <v>75</v>
      </c>
      <c r="AT280" s="183">
        <f t="shared" si="209"/>
        <v>54118</v>
      </c>
      <c r="AU280" s="2">
        <f t="shared" si="210"/>
        <v>8.0645161290322578E-3</v>
      </c>
      <c r="AV280" s="169">
        <f t="shared" si="211"/>
        <v>266</v>
      </c>
      <c r="AW280" s="165">
        <f t="shared" si="212"/>
        <v>1657.4867150338594</v>
      </c>
      <c r="AX280" s="170">
        <f t="shared" si="218"/>
        <v>1599.8299556797176</v>
      </c>
      <c r="AY280" s="164" t="str">
        <f t="shared" si="178"/>
        <v>🛵</v>
      </c>
      <c r="AZ280" s="171" t="str">
        <f t="shared" si="192"/>
        <v>🚴‍♂️</v>
      </c>
      <c r="BA280" s="172">
        <f t="shared" si="193"/>
        <v>1262.5858010224333</v>
      </c>
      <c r="BB280" s="173">
        <f t="shared" si="194"/>
        <v>0.37606991679878637</v>
      </c>
      <c r="BC280" s="174">
        <f t="shared" si="195"/>
        <v>3357.316670713577</v>
      </c>
      <c r="BD280" s="175">
        <f t="shared" si="213"/>
        <v>197116.32870326255</v>
      </c>
      <c r="BE280" s="188"/>
      <c r="BF280" s="177" t="str">
        <f t="shared" si="180"/>
        <v/>
      </c>
      <c r="BG280" s="178" t="str">
        <f t="shared" si="214"/>
        <v/>
      </c>
      <c r="BH280" s="179" t="str">
        <f t="shared" si="196"/>
        <v/>
      </c>
      <c r="BI280" s="180">
        <f t="shared" si="215"/>
        <v>124</v>
      </c>
      <c r="BJ280" s="181">
        <f t="shared" si="219"/>
        <v>337.24415465728441</v>
      </c>
      <c r="BK280" s="182">
        <f t="shared" si="216"/>
        <v>1.6999999999999999E-3</v>
      </c>
    </row>
    <row r="281" spans="1:63" x14ac:dyDescent="0.25">
      <c r="A281" s="7">
        <f t="shared" si="197"/>
        <v>25</v>
      </c>
      <c r="B281" s="7">
        <f t="shared" si="198"/>
        <v>75</v>
      </c>
      <c r="C281" s="115">
        <f t="shared" si="199"/>
        <v>54149</v>
      </c>
      <c r="D281" s="2">
        <f t="shared" si="182"/>
        <v>8.1300813008130073E-3</v>
      </c>
      <c r="E281" s="169">
        <f t="shared" si="200"/>
        <v>267</v>
      </c>
      <c r="F281" s="165">
        <f t="shared" si="201"/>
        <v>1646.9376141023697</v>
      </c>
      <c r="G281" s="170">
        <f t="shared" si="217"/>
        <v>1602.5717780753052</v>
      </c>
      <c r="H281" s="164" t="str">
        <f t="shared" si="177"/>
        <v>🛵</v>
      </c>
      <c r="I281" s="171" t="str">
        <f t="shared" si="183"/>
        <v>🚴‍♂️</v>
      </c>
      <c r="J281" s="172">
        <f t="shared" si="184"/>
        <v>1267.474019279759</v>
      </c>
      <c r="K281" s="173">
        <f t="shared" si="185"/>
        <v>0.37840587109257628</v>
      </c>
      <c r="L281" s="174">
        <f t="shared" si="186"/>
        <v>3349.5093921776752</v>
      </c>
      <c r="M281" s="175">
        <f t="shared" si="202"/>
        <v>195848.85468398279</v>
      </c>
      <c r="N281" s="15"/>
      <c r="O281" s="37" t="str">
        <f t="shared" si="179"/>
        <v/>
      </c>
      <c r="P281" s="62" t="str">
        <f t="shared" si="203"/>
        <v/>
      </c>
      <c r="Q281" s="16" t="str">
        <f t="shared" si="187"/>
        <v/>
      </c>
      <c r="R281" s="60">
        <f t="shared" si="204"/>
        <v>123</v>
      </c>
      <c r="S281" s="98">
        <f t="shared" si="205"/>
        <v>335.09775879554633</v>
      </c>
      <c r="T281" s="21">
        <f t="shared" si="206"/>
        <v>1.6999999999999999E-3</v>
      </c>
      <c r="AA281" s="14">
        <f t="shared" si="188"/>
        <v>-3349.5093921776752</v>
      </c>
      <c r="AH281" s="6">
        <f t="shared" si="189"/>
        <v>3</v>
      </c>
      <c r="AI281" s="6">
        <f t="shared" si="190"/>
        <v>8</v>
      </c>
      <c r="AJ281" s="12">
        <f t="shared" si="191"/>
        <v>23</v>
      </c>
      <c r="AK281" s="72">
        <f t="shared" si="181"/>
        <v>30</v>
      </c>
      <c r="AR281">
        <f t="shared" si="207"/>
        <v>25</v>
      </c>
      <c r="AS281">
        <f t="shared" si="208"/>
        <v>75</v>
      </c>
      <c r="AT281" s="183">
        <f t="shared" si="209"/>
        <v>54149</v>
      </c>
      <c r="AU281" s="2">
        <f t="shared" si="210"/>
        <v>8.1300813008130073E-3</v>
      </c>
      <c r="AV281" s="169">
        <f t="shared" si="211"/>
        <v>267</v>
      </c>
      <c r="AW281" s="165">
        <f t="shared" si="212"/>
        <v>1646.9376141023697</v>
      </c>
      <c r="AX281" s="170">
        <f t="shared" si="218"/>
        <v>1602.5717780753052</v>
      </c>
      <c r="AY281" s="164" t="str">
        <f t="shared" si="178"/>
        <v>🛵</v>
      </c>
      <c r="AZ281" s="171" t="str">
        <f t="shared" si="192"/>
        <v>🚴‍♂️</v>
      </c>
      <c r="BA281" s="172">
        <f t="shared" si="193"/>
        <v>1267.474019279759</v>
      </c>
      <c r="BB281" s="173">
        <f t="shared" si="194"/>
        <v>0.37840587109257628</v>
      </c>
      <c r="BC281" s="174">
        <f t="shared" si="195"/>
        <v>3349.5093921776752</v>
      </c>
      <c r="BD281" s="175">
        <f t="shared" si="213"/>
        <v>195848.85468398279</v>
      </c>
      <c r="BE281" s="188"/>
      <c r="BF281" s="177" t="str">
        <f t="shared" si="180"/>
        <v/>
      </c>
      <c r="BG281" s="178" t="str">
        <f t="shared" si="214"/>
        <v/>
      </c>
      <c r="BH281" s="179" t="str">
        <f t="shared" si="196"/>
        <v/>
      </c>
      <c r="BI281" s="180">
        <f t="shared" si="215"/>
        <v>123</v>
      </c>
      <c r="BJ281" s="181">
        <f t="shared" si="219"/>
        <v>335.09775879554633</v>
      </c>
      <c r="BK281" s="182">
        <f t="shared" si="216"/>
        <v>1.6999999999999999E-3</v>
      </c>
    </row>
    <row r="282" spans="1:63" x14ac:dyDescent="0.25">
      <c r="A282" s="7">
        <f t="shared" si="197"/>
        <v>25</v>
      </c>
      <c r="B282" s="7">
        <f t="shared" si="198"/>
        <v>75</v>
      </c>
      <c r="C282" s="115">
        <f t="shared" si="199"/>
        <v>54179</v>
      </c>
      <c r="D282" s="2">
        <f t="shared" si="182"/>
        <v>8.1967213114754103E-3</v>
      </c>
      <c r="E282" s="169">
        <f t="shared" si="200"/>
        <v>268</v>
      </c>
      <c r="F282" s="165">
        <f t="shared" si="201"/>
        <v>1636.3476713463244</v>
      </c>
      <c r="G282" s="170">
        <f t="shared" si="217"/>
        <v>1605.3184810162525</v>
      </c>
      <c r="H282" s="164" t="str">
        <f t="shared" ref="H282:H345" si="220">IF(OR(G282=0,L282&lt;1),"",IF(G282/L282&gt;90%,"🛩",IF(G282/L282&gt;70%,"🏎",IF(G282/L282&gt;50%,"🚙",IF(G282/L282&gt;30%,"🛵",IF(G282/L282&gt;15%,"🐢","⚓️"))))))</f>
        <v>🛵</v>
      </c>
      <c r="I282" s="171" t="str">
        <f t="shared" si="183"/>
        <v>🚴‍♂️</v>
      </c>
      <c r="J282" s="172">
        <f t="shared" si="184"/>
        <v>1272.3754280534818</v>
      </c>
      <c r="K282" s="173">
        <f t="shared" si="185"/>
        <v>0.38076078520109047</v>
      </c>
      <c r="L282" s="174">
        <f t="shared" si="186"/>
        <v>3341.6661523625771</v>
      </c>
      <c r="M282" s="175">
        <f t="shared" si="202"/>
        <v>194576.4792559293</v>
      </c>
      <c r="N282" s="15"/>
      <c r="O282" s="37" t="str">
        <f t="shared" si="179"/>
        <v/>
      </c>
      <c r="P282" s="62" t="str">
        <f t="shared" si="203"/>
        <v/>
      </c>
      <c r="Q282" s="16" t="str">
        <f t="shared" si="187"/>
        <v/>
      </c>
      <c r="R282" s="60">
        <f t="shared" si="204"/>
        <v>122</v>
      </c>
      <c r="S282" s="98">
        <f t="shared" si="205"/>
        <v>332.94305296277071</v>
      </c>
      <c r="T282" s="21">
        <f t="shared" si="206"/>
        <v>1.6999999999999999E-3</v>
      </c>
      <c r="AA282" s="14">
        <f t="shared" si="188"/>
        <v>-3341.6661523625771</v>
      </c>
      <c r="AH282" s="6">
        <f t="shared" si="189"/>
        <v>3</v>
      </c>
      <c r="AI282" s="6">
        <f t="shared" si="190"/>
        <v>8</v>
      </c>
      <c r="AJ282" s="12">
        <f t="shared" si="191"/>
        <v>23</v>
      </c>
      <c r="AK282" s="72">
        <f t="shared" si="181"/>
        <v>31</v>
      </c>
      <c r="AR282">
        <f t="shared" si="207"/>
        <v>25</v>
      </c>
      <c r="AS282">
        <f t="shared" si="208"/>
        <v>75</v>
      </c>
      <c r="AT282" s="183">
        <f t="shared" si="209"/>
        <v>54179</v>
      </c>
      <c r="AU282" s="2">
        <f t="shared" si="210"/>
        <v>8.1967213114754103E-3</v>
      </c>
      <c r="AV282" s="169">
        <f t="shared" si="211"/>
        <v>268</v>
      </c>
      <c r="AW282" s="165">
        <f t="shared" si="212"/>
        <v>1636.3476713463244</v>
      </c>
      <c r="AX282" s="170">
        <f t="shared" si="218"/>
        <v>1605.3184810162525</v>
      </c>
      <c r="AY282" s="164" t="str">
        <f t="shared" ref="AY282:AY345" si="221">IF(OR(AX282=0,BC282&lt;1),"",IF(AX282/BC282&gt;90%,"🛩",IF(AX282/BC282&gt;70%,"🏎",IF(AX282/BC282&gt;50%,"🚙",IF(AX282/BC282&gt;30%,"🛵",IF(AX282/BC282&gt;15%,"🐢","⚓️"))))))</f>
        <v>🛵</v>
      </c>
      <c r="AZ282" s="171" t="str">
        <f t="shared" si="192"/>
        <v>🚴‍♂️</v>
      </c>
      <c r="BA282" s="172">
        <f t="shared" si="193"/>
        <v>1272.3754280534818</v>
      </c>
      <c r="BB282" s="173">
        <f t="shared" si="194"/>
        <v>0.38076078520109047</v>
      </c>
      <c r="BC282" s="174">
        <f t="shared" si="195"/>
        <v>3341.6661523625771</v>
      </c>
      <c r="BD282" s="175">
        <f t="shared" si="213"/>
        <v>194576.4792559293</v>
      </c>
      <c r="BE282" s="188"/>
      <c r="BF282" s="177" t="str">
        <f t="shared" si="180"/>
        <v/>
      </c>
      <c r="BG282" s="178" t="str">
        <f t="shared" si="214"/>
        <v/>
      </c>
      <c r="BH282" s="179" t="str">
        <f t="shared" si="196"/>
        <v/>
      </c>
      <c r="BI282" s="180">
        <f t="shared" si="215"/>
        <v>122</v>
      </c>
      <c r="BJ282" s="181">
        <f t="shared" si="219"/>
        <v>332.94305296277071</v>
      </c>
      <c r="BK282" s="182">
        <f t="shared" si="216"/>
        <v>1.6999999999999999E-3</v>
      </c>
    </row>
    <row r="283" spans="1:63" x14ac:dyDescent="0.25">
      <c r="A283" s="7">
        <f t="shared" si="197"/>
        <v>25</v>
      </c>
      <c r="B283" s="7">
        <f t="shared" si="198"/>
        <v>75</v>
      </c>
      <c r="C283" s="115">
        <f t="shared" si="199"/>
        <v>54210</v>
      </c>
      <c r="D283" s="2">
        <f t="shared" si="182"/>
        <v>8.2644628099173556E-3</v>
      </c>
      <c r="E283" s="169">
        <f t="shared" si="200"/>
        <v>269</v>
      </c>
      <c r="F283" s="165">
        <f t="shared" si="201"/>
        <v>1625.7167765569056</v>
      </c>
      <c r="G283" s="170">
        <f t="shared" si="217"/>
        <v>1608.0700764952835</v>
      </c>
      <c r="H283" s="164" t="str">
        <f t="shared" si="220"/>
        <v>🛵</v>
      </c>
      <c r="I283" s="171" t="str">
        <f t="shared" si="183"/>
        <v>🚴‍♂️</v>
      </c>
      <c r="J283" s="172">
        <f t="shared" si="184"/>
        <v>1277.2900617602038</v>
      </c>
      <c r="K283" s="173">
        <f t="shared" si="185"/>
        <v>0.38313489075967877</v>
      </c>
      <c r="L283" s="174">
        <f t="shared" si="186"/>
        <v>3333.7868530521891</v>
      </c>
      <c r="M283" s="175">
        <f t="shared" si="202"/>
        <v>193299.1891941691</v>
      </c>
      <c r="N283" s="15"/>
      <c r="O283" s="37" t="str">
        <f t="shared" si="179"/>
        <v/>
      </c>
      <c r="P283" s="62" t="str">
        <f t="shared" si="203"/>
        <v/>
      </c>
      <c r="Q283" s="16" t="str">
        <f t="shared" si="187"/>
        <v/>
      </c>
      <c r="R283" s="60">
        <f t="shared" si="204"/>
        <v>121</v>
      </c>
      <c r="S283" s="98">
        <f t="shared" si="205"/>
        <v>330.78001473507976</v>
      </c>
      <c r="T283" s="21">
        <f t="shared" si="206"/>
        <v>1.6999999999999999E-3</v>
      </c>
      <c r="AA283" s="14">
        <f t="shared" si="188"/>
        <v>-3333.7868530521891</v>
      </c>
      <c r="AH283" s="6">
        <f t="shared" si="189"/>
        <v>3</v>
      </c>
      <c r="AI283" s="6">
        <f t="shared" si="190"/>
        <v>8</v>
      </c>
      <c r="AJ283" s="12">
        <f t="shared" si="191"/>
        <v>23</v>
      </c>
      <c r="AK283" s="72">
        <f t="shared" si="181"/>
        <v>30</v>
      </c>
      <c r="AR283">
        <f t="shared" si="207"/>
        <v>25</v>
      </c>
      <c r="AS283">
        <f t="shared" si="208"/>
        <v>75</v>
      </c>
      <c r="AT283" s="183">
        <f t="shared" si="209"/>
        <v>54210</v>
      </c>
      <c r="AU283" s="2">
        <f t="shared" si="210"/>
        <v>8.2644628099173556E-3</v>
      </c>
      <c r="AV283" s="169">
        <f t="shared" si="211"/>
        <v>269</v>
      </c>
      <c r="AW283" s="165">
        <f t="shared" si="212"/>
        <v>1625.7167765569056</v>
      </c>
      <c r="AX283" s="170">
        <f t="shared" si="218"/>
        <v>1608.0700764952835</v>
      </c>
      <c r="AY283" s="164" t="str">
        <f t="shared" si="221"/>
        <v>🛵</v>
      </c>
      <c r="AZ283" s="171" t="str">
        <f t="shared" si="192"/>
        <v>🚴‍♂️</v>
      </c>
      <c r="BA283" s="172">
        <f t="shared" si="193"/>
        <v>1277.2900617602038</v>
      </c>
      <c r="BB283" s="173">
        <f t="shared" si="194"/>
        <v>0.38313489075967877</v>
      </c>
      <c r="BC283" s="174">
        <f t="shared" si="195"/>
        <v>3333.7868530521891</v>
      </c>
      <c r="BD283" s="175">
        <f t="shared" si="213"/>
        <v>193299.1891941691</v>
      </c>
      <c r="BE283" s="188"/>
      <c r="BF283" s="177" t="str">
        <f t="shared" si="180"/>
        <v/>
      </c>
      <c r="BG283" s="178" t="str">
        <f t="shared" si="214"/>
        <v/>
      </c>
      <c r="BH283" s="179" t="str">
        <f t="shared" si="196"/>
        <v/>
      </c>
      <c r="BI283" s="180">
        <f t="shared" si="215"/>
        <v>121</v>
      </c>
      <c r="BJ283" s="181">
        <f t="shared" si="219"/>
        <v>330.78001473507976</v>
      </c>
      <c r="BK283" s="182">
        <f t="shared" si="216"/>
        <v>1.6999999999999999E-3</v>
      </c>
    </row>
    <row r="284" spans="1:63" x14ac:dyDescent="0.25">
      <c r="A284" s="7">
        <f t="shared" si="197"/>
        <v>25</v>
      </c>
      <c r="B284" s="7">
        <f t="shared" si="198"/>
        <v>75</v>
      </c>
      <c r="C284" s="115">
        <f t="shared" si="199"/>
        <v>54240</v>
      </c>
      <c r="D284" s="2">
        <f t="shared" si="182"/>
        <v>8.3333333333333332E-3</v>
      </c>
      <c r="E284" s="169">
        <f t="shared" si="200"/>
        <v>270</v>
      </c>
      <c r="F284" s="165">
        <f t="shared" si="201"/>
        <v>1615.0448192377391</v>
      </c>
      <c r="G284" s="170">
        <f t="shared" si="217"/>
        <v>1610.8265766180759</v>
      </c>
      <c r="H284" s="164" t="str">
        <f t="shared" si="220"/>
        <v>🛵</v>
      </c>
      <c r="I284" s="171" t="str">
        <f t="shared" si="183"/>
        <v>🚴‍♂️</v>
      </c>
      <c r="J284" s="172">
        <f t="shared" si="184"/>
        <v>1282.2179549879884</v>
      </c>
      <c r="K284" s="173">
        <f t="shared" si="185"/>
        <v>0.38552842319329889</v>
      </c>
      <c r="L284" s="174">
        <f t="shared" si="186"/>
        <v>3325.8713958558151</v>
      </c>
      <c r="M284" s="175">
        <f t="shared" si="202"/>
        <v>192016.97123918112</v>
      </c>
      <c r="N284" s="15"/>
      <c r="O284" s="37" t="str">
        <f t="shared" si="179"/>
        <v/>
      </c>
      <c r="P284" s="62" t="str">
        <f t="shared" si="203"/>
        <v/>
      </c>
      <c r="Q284" s="16" t="str">
        <f t="shared" si="187"/>
        <v/>
      </c>
      <c r="R284" s="60">
        <f t="shared" si="204"/>
        <v>120</v>
      </c>
      <c r="S284" s="98">
        <f t="shared" si="205"/>
        <v>328.60862163008744</v>
      </c>
      <c r="T284" s="21">
        <f t="shared" si="206"/>
        <v>1.6999999999999999E-3</v>
      </c>
      <c r="AA284" s="14">
        <f t="shared" si="188"/>
        <v>-3325.8713958558151</v>
      </c>
      <c r="AH284" s="6">
        <f t="shared" si="189"/>
        <v>3</v>
      </c>
      <c r="AI284" s="6">
        <f t="shared" si="190"/>
        <v>8</v>
      </c>
      <c r="AJ284" s="12">
        <f t="shared" si="191"/>
        <v>23</v>
      </c>
      <c r="AK284" s="72">
        <f t="shared" si="181"/>
        <v>31</v>
      </c>
      <c r="AR284">
        <f t="shared" si="207"/>
        <v>25</v>
      </c>
      <c r="AS284">
        <f t="shared" si="208"/>
        <v>75</v>
      </c>
      <c r="AT284" s="183">
        <f t="shared" si="209"/>
        <v>54240</v>
      </c>
      <c r="AU284" s="2">
        <f t="shared" si="210"/>
        <v>8.3333333333333332E-3</v>
      </c>
      <c r="AV284" s="169">
        <f t="shared" si="211"/>
        <v>270</v>
      </c>
      <c r="AW284" s="165">
        <f t="shared" si="212"/>
        <v>1615.0448192377391</v>
      </c>
      <c r="AX284" s="170">
        <f t="shared" si="218"/>
        <v>1610.8265766180759</v>
      </c>
      <c r="AY284" s="164" t="str">
        <f t="shared" si="221"/>
        <v>🛵</v>
      </c>
      <c r="AZ284" s="171" t="str">
        <f t="shared" si="192"/>
        <v>🚴‍♂️</v>
      </c>
      <c r="BA284" s="172">
        <f t="shared" si="193"/>
        <v>1282.2179549879884</v>
      </c>
      <c r="BB284" s="173">
        <f t="shared" si="194"/>
        <v>0.38552842319329889</v>
      </c>
      <c r="BC284" s="174">
        <f t="shared" si="195"/>
        <v>3325.8713958558151</v>
      </c>
      <c r="BD284" s="175">
        <f t="shared" si="213"/>
        <v>192016.97123918112</v>
      </c>
      <c r="BE284" s="188"/>
      <c r="BF284" s="177" t="str">
        <f t="shared" si="180"/>
        <v/>
      </c>
      <c r="BG284" s="178" t="str">
        <f t="shared" si="214"/>
        <v/>
      </c>
      <c r="BH284" s="179" t="str">
        <f t="shared" si="196"/>
        <v/>
      </c>
      <c r="BI284" s="180">
        <f t="shared" si="215"/>
        <v>120</v>
      </c>
      <c r="BJ284" s="181">
        <f t="shared" si="219"/>
        <v>328.60862163008744</v>
      </c>
      <c r="BK284" s="182">
        <f t="shared" si="216"/>
        <v>1.6999999999999999E-3</v>
      </c>
    </row>
    <row r="285" spans="1:63" x14ac:dyDescent="0.25">
      <c r="A285" s="7">
        <f t="shared" si="197"/>
        <v>25</v>
      </c>
      <c r="B285" s="7">
        <f t="shared" si="198"/>
        <v>75</v>
      </c>
      <c r="C285" s="115">
        <f t="shared" si="199"/>
        <v>54271</v>
      </c>
      <c r="D285" s="2">
        <f t="shared" si="182"/>
        <v>8.4033613445378148E-3</v>
      </c>
      <c r="E285" s="169">
        <f t="shared" si="200"/>
        <v>271</v>
      </c>
      <c r="F285" s="165">
        <f t="shared" si="201"/>
        <v>1604.3316886034622</v>
      </c>
      <c r="G285" s="170">
        <f t="shared" si="217"/>
        <v>1613.5879936065639</v>
      </c>
      <c r="H285" s="164" t="str">
        <f t="shared" si="220"/>
        <v>🛵</v>
      </c>
      <c r="I285" s="171" t="str">
        <f t="shared" si="183"/>
        <v>🚴‍♂️</v>
      </c>
      <c r="J285" s="172">
        <f t="shared" si="184"/>
        <v>1287.159142499956</v>
      </c>
      <c r="K285" s="173">
        <f t="shared" si="185"/>
        <v>0.38794162179435127</v>
      </c>
      <c r="L285" s="174">
        <f t="shared" si="186"/>
        <v>3317.9196822100262</v>
      </c>
      <c r="M285" s="175">
        <f t="shared" si="202"/>
        <v>190729.81209668115</v>
      </c>
      <c r="N285" s="15"/>
      <c r="O285" s="37" t="str">
        <f t="shared" si="179"/>
        <v/>
      </c>
      <c r="P285" s="62" t="str">
        <f t="shared" si="203"/>
        <v/>
      </c>
      <c r="Q285" s="16" t="str">
        <f t="shared" si="187"/>
        <v/>
      </c>
      <c r="R285" s="60">
        <f t="shared" si="204"/>
        <v>119</v>
      </c>
      <c r="S285" s="98">
        <f t="shared" si="205"/>
        <v>326.42885110660791</v>
      </c>
      <c r="T285" s="21">
        <f t="shared" si="206"/>
        <v>1.6999999999999999E-3</v>
      </c>
      <c r="AA285" s="14">
        <f t="shared" si="188"/>
        <v>-3317.9196822100262</v>
      </c>
      <c r="AH285" s="6">
        <f t="shared" si="189"/>
        <v>3</v>
      </c>
      <c r="AI285" s="6">
        <f t="shared" si="190"/>
        <v>8</v>
      </c>
      <c r="AJ285" s="12">
        <f t="shared" si="191"/>
        <v>23</v>
      </c>
      <c r="AK285" s="72">
        <f t="shared" si="181"/>
        <v>31</v>
      </c>
      <c r="AR285">
        <f t="shared" si="207"/>
        <v>25</v>
      </c>
      <c r="AS285">
        <f t="shared" si="208"/>
        <v>75</v>
      </c>
      <c r="AT285" s="183">
        <f t="shared" si="209"/>
        <v>54271</v>
      </c>
      <c r="AU285" s="2">
        <f t="shared" si="210"/>
        <v>8.4033613445378148E-3</v>
      </c>
      <c r="AV285" s="169">
        <f t="shared" si="211"/>
        <v>271</v>
      </c>
      <c r="AW285" s="165">
        <f t="shared" si="212"/>
        <v>1604.3316886034622</v>
      </c>
      <c r="AX285" s="170">
        <f t="shared" si="218"/>
        <v>1613.5879936065639</v>
      </c>
      <c r="AY285" s="164" t="str">
        <f t="shared" si="221"/>
        <v>🛵</v>
      </c>
      <c r="AZ285" s="171" t="str">
        <f t="shared" si="192"/>
        <v>🚴‍♂️</v>
      </c>
      <c r="BA285" s="172">
        <f t="shared" si="193"/>
        <v>1287.159142499956</v>
      </c>
      <c r="BB285" s="173">
        <f t="shared" si="194"/>
        <v>0.38794162179435127</v>
      </c>
      <c r="BC285" s="174">
        <f t="shared" si="195"/>
        <v>3317.9196822100262</v>
      </c>
      <c r="BD285" s="175">
        <f t="shared" si="213"/>
        <v>190729.81209668115</v>
      </c>
      <c r="BE285" s="188"/>
      <c r="BF285" s="177" t="str">
        <f t="shared" si="180"/>
        <v/>
      </c>
      <c r="BG285" s="178" t="str">
        <f t="shared" si="214"/>
        <v/>
      </c>
      <c r="BH285" s="179" t="str">
        <f t="shared" si="196"/>
        <v/>
      </c>
      <c r="BI285" s="180">
        <f t="shared" si="215"/>
        <v>119</v>
      </c>
      <c r="BJ285" s="181">
        <f t="shared" si="219"/>
        <v>326.42885110660791</v>
      </c>
      <c r="BK285" s="182">
        <f t="shared" si="216"/>
        <v>1.6999999999999999E-3</v>
      </c>
    </row>
    <row r="286" spans="1:63" x14ac:dyDescent="0.25">
      <c r="A286" s="7">
        <f t="shared" si="197"/>
        <v>25</v>
      </c>
      <c r="B286" s="7">
        <f t="shared" si="198"/>
        <v>75</v>
      </c>
      <c r="C286" s="115">
        <f t="shared" si="199"/>
        <v>54302</v>
      </c>
      <c r="D286" s="2">
        <f t="shared" si="182"/>
        <v>8.4745762711864406E-3</v>
      </c>
      <c r="E286" s="169">
        <f t="shared" si="200"/>
        <v>272</v>
      </c>
      <c r="F286" s="165">
        <f t="shared" si="201"/>
        <v>1593.5772735782607</v>
      </c>
      <c r="G286" s="170">
        <f t="shared" si="217"/>
        <v>1616.3543398023826</v>
      </c>
      <c r="H286" s="164" t="str">
        <f t="shared" si="220"/>
        <v>🛵</v>
      </c>
      <c r="I286" s="171" t="str">
        <f t="shared" si="183"/>
        <v>🚴‍♂️</v>
      </c>
      <c r="J286" s="172">
        <f t="shared" si="184"/>
        <v>1292.1136592380246</v>
      </c>
      <c r="K286" s="173">
        <f t="shared" si="185"/>
        <v>0.39037472980244053</v>
      </c>
      <c r="L286" s="174">
        <f t="shared" si="186"/>
        <v>3309.9316133806433</v>
      </c>
      <c r="M286" s="175">
        <f t="shared" si="202"/>
        <v>189437.69843744315</v>
      </c>
      <c r="N286" s="15"/>
      <c r="O286" s="37" t="str">
        <f t="shared" si="179"/>
        <v/>
      </c>
      <c r="P286" s="62" t="str">
        <f t="shared" si="203"/>
        <v/>
      </c>
      <c r="Q286" s="16" t="str">
        <f t="shared" si="187"/>
        <v/>
      </c>
      <c r="R286" s="60">
        <f t="shared" si="204"/>
        <v>118</v>
      </c>
      <c r="S286" s="98">
        <f t="shared" si="205"/>
        <v>324.24068056435794</v>
      </c>
      <c r="T286" s="21">
        <f t="shared" si="206"/>
        <v>1.6999999999999999E-3</v>
      </c>
      <c r="AA286" s="14">
        <f t="shared" si="188"/>
        <v>-3309.9316133806433</v>
      </c>
      <c r="AH286" s="6">
        <f t="shared" si="189"/>
        <v>3</v>
      </c>
      <c r="AI286" s="6">
        <f t="shared" si="190"/>
        <v>8</v>
      </c>
      <c r="AJ286" s="12">
        <f t="shared" si="191"/>
        <v>23</v>
      </c>
      <c r="AK286" s="72">
        <f t="shared" si="181"/>
        <v>30</v>
      </c>
      <c r="AR286">
        <f t="shared" si="207"/>
        <v>25</v>
      </c>
      <c r="AS286">
        <f t="shared" si="208"/>
        <v>75</v>
      </c>
      <c r="AT286" s="183">
        <f t="shared" si="209"/>
        <v>54302</v>
      </c>
      <c r="AU286" s="2">
        <f t="shared" si="210"/>
        <v>8.4745762711864406E-3</v>
      </c>
      <c r="AV286" s="169">
        <f t="shared" si="211"/>
        <v>272</v>
      </c>
      <c r="AW286" s="165">
        <f t="shared" si="212"/>
        <v>1593.5772735782607</v>
      </c>
      <c r="AX286" s="170">
        <f t="shared" si="218"/>
        <v>1616.3543398023826</v>
      </c>
      <c r="AY286" s="164" t="str">
        <f t="shared" si="221"/>
        <v>🛵</v>
      </c>
      <c r="AZ286" s="171" t="str">
        <f t="shared" si="192"/>
        <v>🚴‍♂️</v>
      </c>
      <c r="BA286" s="172">
        <f t="shared" si="193"/>
        <v>1292.1136592380246</v>
      </c>
      <c r="BB286" s="173">
        <f t="shared" si="194"/>
        <v>0.39037472980244053</v>
      </c>
      <c r="BC286" s="174">
        <f t="shared" si="195"/>
        <v>3309.9316133806433</v>
      </c>
      <c r="BD286" s="175">
        <f t="shared" si="213"/>
        <v>189437.69843744315</v>
      </c>
      <c r="BE286" s="188"/>
      <c r="BF286" s="177" t="str">
        <f t="shared" si="180"/>
        <v/>
      </c>
      <c r="BG286" s="178" t="str">
        <f t="shared" si="214"/>
        <v/>
      </c>
      <c r="BH286" s="179" t="str">
        <f t="shared" si="196"/>
        <v/>
      </c>
      <c r="BI286" s="180">
        <f t="shared" si="215"/>
        <v>118</v>
      </c>
      <c r="BJ286" s="181">
        <f t="shared" si="219"/>
        <v>324.24068056435794</v>
      </c>
      <c r="BK286" s="182">
        <f t="shared" si="216"/>
        <v>1.6999999999999999E-3</v>
      </c>
    </row>
    <row r="287" spans="1:63" x14ac:dyDescent="0.25">
      <c r="A287" s="7">
        <f t="shared" si="197"/>
        <v>25</v>
      </c>
      <c r="B287" s="7">
        <f t="shared" si="198"/>
        <v>75</v>
      </c>
      <c r="C287" s="115">
        <f t="shared" si="199"/>
        <v>54332</v>
      </c>
      <c r="D287" s="2">
        <f t="shared" si="182"/>
        <v>8.5470085470085461E-3</v>
      </c>
      <c r="E287" s="169">
        <f t="shared" si="200"/>
        <v>273</v>
      </c>
      <c r="F287" s="165">
        <f t="shared" si="201"/>
        <v>1582.7814627943756</v>
      </c>
      <c r="G287" s="170">
        <f t="shared" si="217"/>
        <v>1619.1256276704542</v>
      </c>
      <c r="H287" s="164" t="str">
        <f t="shared" si="220"/>
        <v>🛵</v>
      </c>
      <c r="I287" s="171" t="str">
        <f t="shared" si="183"/>
        <v>🚴‍♂️</v>
      </c>
      <c r="J287" s="172">
        <f t="shared" si="184"/>
        <v>1297.0815403268007</v>
      </c>
      <c r="K287" s="173">
        <f t="shared" si="185"/>
        <v>0.3928279944861206</v>
      </c>
      <c r="L287" s="174">
        <f t="shared" si="186"/>
        <v>3301.9070904648297</v>
      </c>
      <c r="M287" s="175">
        <f t="shared" si="202"/>
        <v>188140.61689711633</v>
      </c>
      <c r="N287" s="15"/>
      <c r="O287" s="37" t="str">
        <f t="shared" si="179"/>
        <v/>
      </c>
      <c r="P287" s="62" t="str">
        <f t="shared" si="203"/>
        <v/>
      </c>
      <c r="Q287" s="16" t="str">
        <f t="shared" si="187"/>
        <v/>
      </c>
      <c r="R287" s="60">
        <f t="shared" si="204"/>
        <v>117</v>
      </c>
      <c r="S287" s="98">
        <f t="shared" si="205"/>
        <v>322.04408734365336</v>
      </c>
      <c r="T287" s="21">
        <f t="shared" si="206"/>
        <v>1.6999999999999999E-3</v>
      </c>
      <c r="AA287" s="14">
        <f t="shared" si="188"/>
        <v>-3301.9070904648297</v>
      </c>
      <c r="AH287" s="6">
        <f t="shared" si="189"/>
        <v>3</v>
      </c>
      <c r="AI287" s="6">
        <f t="shared" si="190"/>
        <v>8</v>
      </c>
      <c r="AJ287" s="12">
        <f t="shared" si="191"/>
        <v>23</v>
      </c>
      <c r="AK287" s="72">
        <f t="shared" si="181"/>
        <v>31</v>
      </c>
      <c r="AR287">
        <f t="shared" si="207"/>
        <v>25</v>
      </c>
      <c r="AS287">
        <f t="shared" si="208"/>
        <v>75</v>
      </c>
      <c r="AT287" s="183">
        <f t="shared" si="209"/>
        <v>54332</v>
      </c>
      <c r="AU287" s="2">
        <f t="shared" si="210"/>
        <v>8.5470085470085461E-3</v>
      </c>
      <c r="AV287" s="169">
        <f t="shared" si="211"/>
        <v>273</v>
      </c>
      <c r="AW287" s="165">
        <f t="shared" si="212"/>
        <v>1582.7814627943756</v>
      </c>
      <c r="AX287" s="170">
        <f t="shared" si="218"/>
        <v>1619.1256276704542</v>
      </c>
      <c r="AY287" s="164" t="str">
        <f t="shared" si="221"/>
        <v>🛵</v>
      </c>
      <c r="AZ287" s="171" t="str">
        <f t="shared" si="192"/>
        <v>🚴‍♂️</v>
      </c>
      <c r="BA287" s="172">
        <f t="shared" si="193"/>
        <v>1297.0815403268007</v>
      </c>
      <c r="BB287" s="173">
        <f t="shared" si="194"/>
        <v>0.3928279944861206</v>
      </c>
      <c r="BC287" s="174">
        <f t="shared" si="195"/>
        <v>3301.9070904648297</v>
      </c>
      <c r="BD287" s="175">
        <f t="shared" si="213"/>
        <v>188140.61689711633</v>
      </c>
      <c r="BE287" s="188"/>
      <c r="BF287" s="177" t="str">
        <f t="shared" si="180"/>
        <v/>
      </c>
      <c r="BG287" s="178" t="str">
        <f t="shared" si="214"/>
        <v/>
      </c>
      <c r="BH287" s="179" t="str">
        <f t="shared" si="196"/>
        <v/>
      </c>
      <c r="BI287" s="180">
        <f t="shared" si="215"/>
        <v>117</v>
      </c>
      <c r="BJ287" s="181">
        <f t="shared" si="219"/>
        <v>322.04408734365336</v>
      </c>
      <c r="BK287" s="182">
        <f t="shared" si="216"/>
        <v>1.6999999999999999E-3</v>
      </c>
    </row>
    <row r="288" spans="1:63" x14ac:dyDescent="0.25">
      <c r="A288" s="7">
        <f t="shared" si="197"/>
        <v>25</v>
      </c>
      <c r="B288" s="7">
        <f t="shared" si="198"/>
        <v>75</v>
      </c>
      <c r="C288" s="115">
        <f t="shared" si="199"/>
        <v>54363</v>
      </c>
      <c r="D288" s="2">
        <f t="shared" si="182"/>
        <v>8.6206896551724137E-3</v>
      </c>
      <c r="E288" s="169">
        <f t="shared" si="200"/>
        <v>274</v>
      </c>
      <c r="F288" s="165">
        <f t="shared" si="201"/>
        <v>1571.9441445905757</v>
      </c>
      <c r="G288" s="170">
        <f t="shared" si="217"/>
        <v>1621.9018698027269</v>
      </c>
      <c r="H288" s="164" t="str">
        <f t="shared" si="220"/>
        <v>🛵</v>
      </c>
      <c r="I288" s="171" t="str">
        <f t="shared" si="183"/>
        <v>🚴‍♂️</v>
      </c>
      <c r="J288" s="172">
        <f t="shared" si="184"/>
        <v>1302.0628210776292</v>
      </c>
      <c r="K288" s="173">
        <f t="shared" si="185"/>
        <v>0.39530166722668053</v>
      </c>
      <c r="L288" s="174">
        <f t="shared" si="186"/>
        <v>3293.8460143933025</v>
      </c>
      <c r="M288" s="175">
        <f t="shared" si="202"/>
        <v>186838.55407603868</v>
      </c>
      <c r="N288" s="15"/>
      <c r="O288" s="37" t="str">
        <f t="shared" si="179"/>
        <v/>
      </c>
      <c r="P288" s="62" t="str">
        <f t="shared" si="203"/>
        <v/>
      </c>
      <c r="Q288" s="16" t="str">
        <f t="shared" si="187"/>
        <v/>
      </c>
      <c r="R288" s="60">
        <f t="shared" si="204"/>
        <v>116</v>
      </c>
      <c r="S288" s="98">
        <f t="shared" si="205"/>
        <v>319.83904872509771</v>
      </c>
      <c r="T288" s="21">
        <f t="shared" si="206"/>
        <v>1.6999999999999999E-3</v>
      </c>
      <c r="AA288" s="14">
        <f t="shared" si="188"/>
        <v>-3293.8460143933025</v>
      </c>
      <c r="AH288" s="6">
        <f t="shared" si="189"/>
        <v>3</v>
      </c>
      <c r="AI288" s="6">
        <f t="shared" si="190"/>
        <v>8</v>
      </c>
      <c r="AJ288" s="12">
        <f t="shared" si="191"/>
        <v>23</v>
      </c>
      <c r="AK288" s="72">
        <f t="shared" si="181"/>
        <v>30</v>
      </c>
      <c r="AR288">
        <f t="shared" si="207"/>
        <v>25</v>
      </c>
      <c r="AS288">
        <f t="shared" si="208"/>
        <v>75</v>
      </c>
      <c r="AT288" s="183">
        <f t="shared" si="209"/>
        <v>54363</v>
      </c>
      <c r="AU288" s="2">
        <f t="shared" si="210"/>
        <v>8.6206896551724137E-3</v>
      </c>
      <c r="AV288" s="169">
        <f t="shared" si="211"/>
        <v>274</v>
      </c>
      <c r="AW288" s="165">
        <f t="shared" si="212"/>
        <v>1571.9441445905757</v>
      </c>
      <c r="AX288" s="170">
        <f t="shared" si="218"/>
        <v>1621.9018698027269</v>
      </c>
      <c r="AY288" s="164" t="str">
        <f t="shared" si="221"/>
        <v>🛵</v>
      </c>
      <c r="AZ288" s="171" t="str">
        <f t="shared" si="192"/>
        <v>🚴‍♂️</v>
      </c>
      <c r="BA288" s="172">
        <f t="shared" si="193"/>
        <v>1302.0628210776292</v>
      </c>
      <c r="BB288" s="173">
        <f t="shared" si="194"/>
        <v>0.39530166722668053</v>
      </c>
      <c r="BC288" s="174">
        <f t="shared" si="195"/>
        <v>3293.8460143933025</v>
      </c>
      <c r="BD288" s="175">
        <f t="shared" si="213"/>
        <v>186838.55407603868</v>
      </c>
      <c r="BE288" s="188"/>
      <c r="BF288" s="177" t="str">
        <f t="shared" si="180"/>
        <v/>
      </c>
      <c r="BG288" s="178" t="str">
        <f t="shared" si="214"/>
        <v/>
      </c>
      <c r="BH288" s="179" t="str">
        <f t="shared" si="196"/>
        <v/>
      </c>
      <c r="BI288" s="180">
        <f t="shared" si="215"/>
        <v>116</v>
      </c>
      <c r="BJ288" s="181">
        <f t="shared" si="219"/>
        <v>319.83904872509771</v>
      </c>
      <c r="BK288" s="182">
        <f t="shared" si="216"/>
        <v>1.6999999999999999E-3</v>
      </c>
    </row>
    <row r="289" spans="1:63" x14ac:dyDescent="0.25">
      <c r="A289" s="7">
        <f t="shared" si="197"/>
        <v>25</v>
      </c>
      <c r="B289" s="7">
        <f t="shared" si="198"/>
        <v>75</v>
      </c>
      <c r="C289" s="115">
        <f t="shared" si="199"/>
        <v>54393</v>
      </c>
      <c r="D289" s="2">
        <f t="shared" si="182"/>
        <v>8.6956521739130436E-3</v>
      </c>
      <c r="E289" s="169">
        <f t="shared" si="200"/>
        <v>275</v>
      </c>
      <c r="F289" s="165">
        <f t="shared" si="201"/>
        <v>1561.0652070105984</v>
      </c>
      <c r="G289" s="170">
        <f t="shared" si="217"/>
        <v>1624.6830789220755</v>
      </c>
      <c r="H289" s="164" t="str">
        <f t="shared" si="220"/>
        <v>🛵</v>
      </c>
      <c r="I289" s="171" t="str">
        <f t="shared" si="183"/>
        <v>🚴‍♂️</v>
      </c>
      <c r="J289" s="172">
        <f t="shared" si="184"/>
        <v>1307.0575369928097</v>
      </c>
      <c r="K289" s="173">
        <f t="shared" si="185"/>
        <v>0.39779600360403011</v>
      </c>
      <c r="L289" s="174">
        <f t="shared" si="186"/>
        <v>3285.7482859326738</v>
      </c>
      <c r="M289" s="175">
        <f t="shared" si="202"/>
        <v>185531.49653904588</v>
      </c>
      <c r="N289" s="15"/>
      <c r="O289" s="37" t="str">
        <f t="shared" si="179"/>
        <v/>
      </c>
      <c r="P289" s="62" t="str">
        <f t="shared" si="203"/>
        <v/>
      </c>
      <c r="Q289" s="16" t="str">
        <f t="shared" si="187"/>
        <v/>
      </c>
      <c r="R289" s="60">
        <f t="shared" si="204"/>
        <v>115</v>
      </c>
      <c r="S289" s="98">
        <f t="shared" si="205"/>
        <v>317.62554192926575</v>
      </c>
      <c r="T289" s="21">
        <f t="shared" si="206"/>
        <v>1.6999999999999999E-3</v>
      </c>
      <c r="AA289" s="14">
        <f t="shared" si="188"/>
        <v>-3285.7482859326738</v>
      </c>
      <c r="AH289" s="6">
        <f t="shared" si="189"/>
        <v>3</v>
      </c>
      <c r="AI289" s="6">
        <f t="shared" si="190"/>
        <v>8</v>
      </c>
      <c r="AJ289" s="12">
        <f t="shared" si="191"/>
        <v>23</v>
      </c>
      <c r="AK289" s="72">
        <f t="shared" si="181"/>
        <v>31</v>
      </c>
      <c r="AR289">
        <f t="shared" si="207"/>
        <v>25</v>
      </c>
      <c r="AS289">
        <f t="shared" si="208"/>
        <v>75</v>
      </c>
      <c r="AT289" s="183">
        <f t="shared" si="209"/>
        <v>54393</v>
      </c>
      <c r="AU289" s="2">
        <f t="shared" si="210"/>
        <v>8.6956521739130436E-3</v>
      </c>
      <c r="AV289" s="169">
        <f t="shared" si="211"/>
        <v>275</v>
      </c>
      <c r="AW289" s="165">
        <f t="shared" si="212"/>
        <v>1561.0652070105984</v>
      </c>
      <c r="AX289" s="170">
        <f t="shared" si="218"/>
        <v>1624.6830789220755</v>
      </c>
      <c r="AY289" s="164" t="str">
        <f t="shared" si="221"/>
        <v>🛵</v>
      </c>
      <c r="AZ289" s="171" t="str">
        <f t="shared" si="192"/>
        <v>🚴‍♂️</v>
      </c>
      <c r="BA289" s="172">
        <f t="shared" si="193"/>
        <v>1307.0575369928097</v>
      </c>
      <c r="BB289" s="173">
        <f t="shared" si="194"/>
        <v>0.39779600360403011</v>
      </c>
      <c r="BC289" s="174">
        <f t="shared" si="195"/>
        <v>3285.7482859326738</v>
      </c>
      <c r="BD289" s="175">
        <f t="shared" si="213"/>
        <v>185531.49653904588</v>
      </c>
      <c r="BE289" s="188"/>
      <c r="BF289" s="177" t="str">
        <f t="shared" si="180"/>
        <v/>
      </c>
      <c r="BG289" s="178" t="str">
        <f t="shared" si="214"/>
        <v/>
      </c>
      <c r="BH289" s="179" t="str">
        <f t="shared" si="196"/>
        <v/>
      </c>
      <c r="BI289" s="180">
        <f t="shared" si="215"/>
        <v>115</v>
      </c>
      <c r="BJ289" s="181">
        <f t="shared" si="219"/>
        <v>317.62554192926575</v>
      </c>
      <c r="BK289" s="182">
        <f t="shared" si="216"/>
        <v>1.6999999999999999E-3</v>
      </c>
    </row>
    <row r="290" spans="1:63" x14ac:dyDescent="0.25">
      <c r="A290" s="7">
        <f t="shared" si="197"/>
        <v>25</v>
      </c>
      <c r="B290" s="7">
        <f t="shared" si="198"/>
        <v>75</v>
      </c>
      <c r="C290" s="115">
        <f t="shared" si="199"/>
        <v>54424</v>
      </c>
      <c r="D290" s="2">
        <f t="shared" si="182"/>
        <v>8.771929824561403E-3</v>
      </c>
      <c r="E290" s="169">
        <f t="shared" si="200"/>
        <v>276</v>
      </c>
      <c r="F290" s="165">
        <f t="shared" si="201"/>
        <v>1550.1445378015549</v>
      </c>
      <c r="G290" s="170">
        <f t="shared" si="217"/>
        <v>1627.4692678863673</v>
      </c>
      <c r="H290" s="164" t="str">
        <f t="shared" si="220"/>
        <v>🛵</v>
      </c>
      <c r="I290" s="171" t="str">
        <f t="shared" si="183"/>
        <v>🚴‍♂️</v>
      </c>
      <c r="J290" s="172">
        <f t="shared" si="184"/>
        <v>1312.0657237699893</v>
      </c>
      <c r="K290" s="173">
        <f t="shared" si="185"/>
        <v>0.40031126348474916</v>
      </c>
      <c r="L290" s="174">
        <f t="shared" si="186"/>
        <v>3277.6138056879222</v>
      </c>
      <c r="M290" s="175">
        <f t="shared" si="202"/>
        <v>184219.4308152759</v>
      </c>
      <c r="N290" s="15"/>
      <c r="O290" s="37" t="str">
        <f t="shared" si="179"/>
        <v/>
      </c>
      <c r="P290" s="62" t="str">
        <f t="shared" si="203"/>
        <v/>
      </c>
      <c r="Q290" s="16" t="str">
        <f t="shared" si="187"/>
        <v/>
      </c>
      <c r="R290" s="60">
        <f t="shared" si="204"/>
        <v>114</v>
      </c>
      <c r="S290" s="98">
        <f t="shared" si="205"/>
        <v>315.40354411637799</v>
      </c>
      <c r="T290" s="21">
        <f t="shared" si="206"/>
        <v>1.6999999999999999E-3</v>
      </c>
      <c r="AA290" s="14">
        <f t="shared" si="188"/>
        <v>-3277.6138056879222</v>
      </c>
      <c r="AH290" s="6">
        <f t="shared" si="189"/>
        <v>3</v>
      </c>
      <c r="AI290" s="6">
        <f t="shared" si="190"/>
        <v>8</v>
      </c>
      <c r="AJ290" s="12">
        <f t="shared" si="191"/>
        <v>23</v>
      </c>
      <c r="AK290" s="72">
        <f t="shared" si="181"/>
        <v>31</v>
      </c>
      <c r="AR290">
        <f t="shared" si="207"/>
        <v>25</v>
      </c>
      <c r="AS290">
        <f t="shared" si="208"/>
        <v>75</v>
      </c>
      <c r="AT290" s="183">
        <f t="shared" si="209"/>
        <v>54424</v>
      </c>
      <c r="AU290" s="2">
        <f t="shared" si="210"/>
        <v>8.771929824561403E-3</v>
      </c>
      <c r="AV290" s="169">
        <f t="shared" si="211"/>
        <v>276</v>
      </c>
      <c r="AW290" s="165">
        <f t="shared" si="212"/>
        <v>1550.1445378015549</v>
      </c>
      <c r="AX290" s="170">
        <f t="shared" si="218"/>
        <v>1627.4692678863673</v>
      </c>
      <c r="AY290" s="164" t="str">
        <f t="shared" si="221"/>
        <v>🛵</v>
      </c>
      <c r="AZ290" s="171" t="str">
        <f t="shared" si="192"/>
        <v>🚴‍♂️</v>
      </c>
      <c r="BA290" s="172">
        <f t="shared" si="193"/>
        <v>1312.0657237699893</v>
      </c>
      <c r="BB290" s="173">
        <f t="shared" si="194"/>
        <v>0.40031126348474916</v>
      </c>
      <c r="BC290" s="174">
        <f t="shared" si="195"/>
        <v>3277.6138056879222</v>
      </c>
      <c r="BD290" s="175">
        <f t="shared" si="213"/>
        <v>184219.4308152759</v>
      </c>
      <c r="BE290" s="188"/>
      <c r="BF290" s="177" t="str">
        <f t="shared" si="180"/>
        <v/>
      </c>
      <c r="BG290" s="178" t="str">
        <f t="shared" si="214"/>
        <v/>
      </c>
      <c r="BH290" s="179" t="str">
        <f t="shared" si="196"/>
        <v/>
      </c>
      <c r="BI290" s="180">
        <f t="shared" si="215"/>
        <v>114</v>
      </c>
      <c r="BJ290" s="181">
        <f t="shared" si="219"/>
        <v>315.40354411637799</v>
      </c>
      <c r="BK290" s="182">
        <f t="shared" si="216"/>
        <v>1.6999999999999999E-3</v>
      </c>
    </row>
    <row r="291" spans="1:63" x14ac:dyDescent="0.25">
      <c r="A291" s="7">
        <f t="shared" si="197"/>
        <v>25</v>
      </c>
      <c r="B291" s="7">
        <f t="shared" si="198"/>
        <v>75</v>
      </c>
      <c r="C291" s="115">
        <f t="shared" si="199"/>
        <v>54455</v>
      </c>
      <c r="D291" s="2">
        <f t="shared" si="182"/>
        <v>8.8495575221238937E-3</v>
      </c>
      <c r="E291" s="169">
        <f t="shared" si="200"/>
        <v>277</v>
      </c>
      <c r="F291" s="165">
        <f t="shared" si="201"/>
        <v>1539.1820244122953</v>
      </c>
      <c r="G291" s="170">
        <f t="shared" si="217"/>
        <v>1630.2604496927072</v>
      </c>
      <c r="H291" s="164" t="str">
        <f t="shared" si="220"/>
        <v>🛵</v>
      </c>
      <c r="I291" s="171" t="str">
        <f t="shared" si="183"/>
        <v>🚴‍♂️</v>
      </c>
      <c r="J291" s="172">
        <f t="shared" si="184"/>
        <v>1317.0874173067382</v>
      </c>
      <c r="K291" s="173">
        <f t="shared" si="185"/>
        <v>0.40284771111236201</v>
      </c>
      <c r="L291" s="174">
        <f t="shared" si="186"/>
        <v>3269.4424741050025</v>
      </c>
      <c r="M291" s="175">
        <f t="shared" si="202"/>
        <v>182902.34339796918</v>
      </c>
      <c r="N291" s="15"/>
      <c r="O291" s="37" t="str">
        <f t="shared" si="179"/>
        <v/>
      </c>
      <c r="P291" s="62" t="str">
        <f t="shared" si="203"/>
        <v/>
      </c>
      <c r="Q291" s="16" t="str">
        <f t="shared" si="187"/>
        <v/>
      </c>
      <c r="R291" s="60">
        <f t="shared" si="204"/>
        <v>113</v>
      </c>
      <c r="S291" s="98">
        <f t="shared" si="205"/>
        <v>313.17303238596901</v>
      </c>
      <c r="T291" s="21">
        <f t="shared" si="206"/>
        <v>1.6999999999999999E-3</v>
      </c>
      <c r="AA291" s="14">
        <f t="shared" si="188"/>
        <v>-3269.4424741050025</v>
      </c>
      <c r="AH291" s="6">
        <f t="shared" si="189"/>
        <v>3</v>
      </c>
      <c r="AI291" s="6">
        <f t="shared" si="190"/>
        <v>8</v>
      </c>
      <c r="AJ291" s="12">
        <f t="shared" si="191"/>
        <v>24</v>
      </c>
      <c r="AK291" s="72">
        <f t="shared" si="181"/>
        <v>28</v>
      </c>
      <c r="AR291">
        <f t="shared" si="207"/>
        <v>25</v>
      </c>
      <c r="AS291">
        <f t="shared" si="208"/>
        <v>75</v>
      </c>
      <c r="AT291" s="183">
        <f t="shared" si="209"/>
        <v>54455</v>
      </c>
      <c r="AU291" s="2">
        <f t="shared" si="210"/>
        <v>8.8495575221238937E-3</v>
      </c>
      <c r="AV291" s="169">
        <f t="shared" si="211"/>
        <v>277</v>
      </c>
      <c r="AW291" s="165">
        <f t="shared" si="212"/>
        <v>1539.1820244122953</v>
      </c>
      <c r="AX291" s="170">
        <f t="shared" si="218"/>
        <v>1630.2604496927072</v>
      </c>
      <c r="AY291" s="164" t="str">
        <f t="shared" si="221"/>
        <v>🛵</v>
      </c>
      <c r="AZ291" s="171" t="str">
        <f t="shared" si="192"/>
        <v>🚴‍♂️</v>
      </c>
      <c r="BA291" s="172">
        <f t="shared" si="193"/>
        <v>1317.0874173067382</v>
      </c>
      <c r="BB291" s="173">
        <f t="shared" si="194"/>
        <v>0.40284771111236201</v>
      </c>
      <c r="BC291" s="174">
        <f t="shared" si="195"/>
        <v>3269.4424741050025</v>
      </c>
      <c r="BD291" s="175">
        <f t="shared" si="213"/>
        <v>182902.34339796918</v>
      </c>
      <c r="BE291" s="188"/>
      <c r="BF291" s="177" t="str">
        <f t="shared" si="180"/>
        <v/>
      </c>
      <c r="BG291" s="178" t="str">
        <f t="shared" si="214"/>
        <v/>
      </c>
      <c r="BH291" s="179" t="str">
        <f t="shared" si="196"/>
        <v/>
      </c>
      <c r="BI291" s="180">
        <f t="shared" si="215"/>
        <v>113</v>
      </c>
      <c r="BJ291" s="181">
        <f t="shared" si="219"/>
        <v>313.17303238596901</v>
      </c>
      <c r="BK291" s="182">
        <f t="shared" si="216"/>
        <v>1.6999999999999999E-3</v>
      </c>
    </row>
    <row r="292" spans="1:63" x14ac:dyDescent="0.25">
      <c r="A292" s="7">
        <f t="shared" si="197"/>
        <v>25</v>
      </c>
      <c r="B292" s="7">
        <f t="shared" si="198"/>
        <v>75</v>
      </c>
      <c r="C292" s="115">
        <f t="shared" si="199"/>
        <v>54483</v>
      </c>
      <c r="D292" s="2">
        <f t="shared" si="182"/>
        <v>8.9285714285714281E-3</v>
      </c>
      <c r="E292" s="169">
        <f t="shared" si="200"/>
        <v>278</v>
      </c>
      <c r="F292" s="165">
        <f t="shared" si="201"/>
        <v>1528.1775539917405</v>
      </c>
      <c r="G292" s="170">
        <f t="shared" si="217"/>
        <v>1633.0566374818677</v>
      </c>
      <c r="H292" s="164" t="str">
        <f t="shared" si="220"/>
        <v>🚙</v>
      </c>
      <c r="I292" s="171" t="str">
        <f t="shared" si="183"/>
        <v>🚴‍♂️</v>
      </c>
      <c r="J292" s="172">
        <f t="shared" si="184"/>
        <v>1322.1226537053201</v>
      </c>
      <c r="K292" s="173">
        <f t="shared" si="185"/>
        <v>0.40540561519990415</v>
      </c>
      <c r="L292" s="174">
        <f t="shared" si="186"/>
        <v>3261.234191473608</v>
      </c>
      <c r="M292" s="175">
        <f t="shared" si="202"/>
        <v>181580.22074426385</v>
      </c>
      <c r="N292" s="15"/>
      <c r="O292" s="37" t="str">
        <f t="shared" si="179"/>
        <v/>
      </c>
      <c r="P292" s="62" t="str">
        <f t="shared" si="203"/>
        <v/>
      </c>
      <c r="Q292" s="16" t="str">
        <f t="shared" si="187"/>
        <v/>
      </c>
      <c r="R292" s="60">
        <f t="shared" si="204"/>
        <v>112</v>
      </c>
      <c r="S292" s="98">
        <f t="shared" si="205"/>
        <v>310.93398377654756</v>
      </c>
      <c r="T292" s="21">
        <f t="shared" si="206"/>
        <v>1.6999999999999999E-3</v>
      </c>
      <c r="AA292" s="14">
        <f t="shared" si="188"/>
        <v>-3261.234191473608</v>
      </c>
      <c r="AH292" s="6">
        <f t="shared" si="189"/>
        <v>3</v>
      </c>
      <c r="AI292" s="6">
        <f t="shared" si="190"/>
        <v>8</v>
      </c>
      <c r="AJ292" s="12">
        <f t="shared" si="191"/>
        <v>24</v>
      </c>
      <c r="AK292" s="72">
        <f t="shared" si="181"/>
        <v>31</v>
      </c>
      <c r="AR292">
        <f t="shared" si="207"/>
        <v>25</v>
      </c>
      <c r="AS292">
        <f t="shared" si="208"/>
        <v>75</v>
      </c>
      <c r="AT292" s="183">
        <f t="shared" si="209"/>
        <v>54483</v>
      </c>
      <c r="AU292" s="2">
        <f t="shared" si="210"/>
        <v>8.9285714285714281E-3</v>
      </c>
      <c r="AV292" s="169">
        <f t="shared" si="211"/>
        <v>278</v>
      </c>
      <c r="AW292" s="165">
        <f t="shared" si="212"/>
        <v>1528.1775539917405</v>
      </c>
      <c r="AX292" s="170">
        <f t="shared" si="218"/>
        <v>1633.0566374818677</v>
      </c>
      <c r="AY292" s="164" t="str">
        <f t="shared" si="221"/>
        <v>🚙</v>
      </c>
      <c r="AZ292" s="171" t="str">
        <f t="shared" si="192"/>
        <v>🚴‍♂️</v>
      </c>
      <c r="BA292" s="172">
        <f t="shared" si="193"/>
        <v>1322.1226537053201</v>
      </c>
      <c r="BB292" s="173">
        <f t="shared" si="194"/>
        <v>0.40540561519990415</v>
      </c>
      <c r="BC292" s="174">
        <f t="shared" si="195"/>
        <v>3261.234191473608</v>
      </c>
      <c r="BD292" s="175">
        <f t="shared" si="213"/>
        <v>181580.22074426385</v>
      </c>
      <c r="BE292" s="188"/>
      <c r="BF292" s="177" t="str">
        <f t="shared" si="180"/>
        <v/>
      </c>
      <c r="BG292" s="178" t="str">
        <f t="shared" si="214"/>
        <v/>
      </c>
      <c r="BH292" s="179" t="str">
        <f t="shared" si="196"/>
        <v/>
      </c>
      <c r="BI292" s="180">
        <f t="shared" si="215"/>
        <v>112</v>
      </c>
      <c r="BJ292" s="181">
        <f t="shared" si="219"/>
        <v>310.93398377654756</v>
      </c>
      <c r="BK292" s="182">
        <f t="shared" si="216"/>
        <v>1.6999999999999999E-3</v>
      </c>
    </row>
    <row r="293" spans="1:63" x14ac:dyDescent="0.25">
      <c r="A293" s="7">
        <f t="shared" si="197"/>
        <v>25</v>
      </c>
      <c r="B293" s="7">
        <f t="shared" si="198"/>
        <v>75</v>
      </c>
      <c r="C293" s="115">
        <f t="shared" si="199"/>
        <v>54514</v>
      </c>
      <c r="D293" s="2">
        <f t="shared" si="182"/>
        <v>9.0090090090090089E-3</v>
      </c>
      <c r="E293" s="169">
        <f t="shared" si="200"/>
        <v>279</v>
      </c>
      <c r="F293" s="165">
        <f t="shared" si="201"/>
        <v>1517.1310133871716</v>
      </c>
      <c r="G293" s="170">
        <f t="shared" si="217"/>
        <v>1635.8578445429175</v>
      </c>
      <c r="H293" s="164" t="str">
        <f t="shared" si="220"/>
        <v>🚙</v>
      </c>
      <c r="I293" s="171" t="str">
        <f t="shared" si="183"/>
        <v>🚴‍♂️</v>
      </c>
      <c r="J293" s="172">
        <f t="shared" si="184"/>
        <v>1327.1714692776691</v>
      </c>
      <c r="K293" s="173">
        <f t="shared" si="185"/>
        <v>0.40798524902484978</v>
      </c>
      <c r="L293" s="174">
        <f t="shared" si="186"/>
        <v>3252.9888579300891</v>
      </c>
      <c r="M293" s="175">
        <f t="shared" si="202"/>
        <v>180253.04927498617</v>
      </c>
      <c r="N293" s="15"/>
      <c r="O293" s="37" t="str">
        <f t="shared" si="179"/>
        <v/>
      </c>
      <c r="P293" s="62" t="str">
        <f t="shared" si="203"/>
        <v/>
      </c>
      <c r="Q293" s="16" t="str">
        <f t="shared" si="187"/>
        <v/>
      </c>
      <c r="R293" s="60">
        <f t="shared" si="204"/>
        <v>111</v>
      </c>
      <c r="S293" s="98">
        <f t="shared" si="205"/>
        <v>308.6863752652485</v>
      </c>
      <c r="T293" s="21">
        <f t="shared" si="206"/>
        <v>1.6999999999999999E-3</v>
      </c>
      <c r="AA293" s="14">
        <f t="shared" si="188"/>
        <v>-3252.9888579300891</v>
      </c>
      <c r="AH293" s="6">
        <f t="shared" si="189"/>
        <v>3</v>
      </c>
      <c r="AI293" s="6">
        <f t="shared" si="190"/>
        <v>8</v>
      </c>
      <c r="AJ293" s="12">
        <f t="shared" si="191"/>
        <v>24</v>
      </c>
      <c r="AK293" s="72">
        <f t="shared" si="181"/>
        <v>30</v>
      </c>
      <c r="AR293">
        <f t="shared" si="207"/>
        <v>25</v>
      </c>
      <c r="AS293">
        <f t="shared" si="208"/>
        <v>75</v>
      </c>
      <c r="AT293" s="183">
        <f t="shared" si="209"/>
        <v>54514</v>
      </c>
      <c r="AU293" s="2">
        <f t="shared" si="210"/>
        <v>9.0090090090090089E-3</v>
      </c>
      <c r="AV293" s="169">
        <f t="shared" si="211"/>
        <v>279</v>
      </c>
      <c r="AW293" s="165">
        <f t="shared" si="212"/>
        <v>1517.1310133871716</v>
      </c>
      <c r="AX293" s="170">
        <f t="shared" si="218"/>
        <v>1635.8578445429175</v>
      </c>
      <c r="AY293" s="164" t="str">
        <f t="shared" si="221"/>
        <v>🚙</v>
      </c>
      <c r="AZ293" s="171" t="str">
        <f t="shared" si="192"/>
        <v>🚴‍♂️</v>
      </c>
      <c r="BA293" s="172">
        <f t="shared" si="193"/>
        <v>1327.1714692776691</v>
      </c>
      <c r="BB293" s="173">
        <f t="shared" si="194"/>
        <v>0.40798524902484978</v>
      </c>
      <c r="BC293" s="174">
        <f t="shared" si="195"/>
        <v>3252.9888579300891</v>
      </c>
      <c r="BD293" s="175">
        <f t="shared" si="213"/>
        <v>180253.04927498617</v>
      </c>
      <c r="BE293" s="188"/>
      <c r="BF293" s="177" t="str">
        <f t="shared" si="180"/>
        <v/>
      </c>
      <c r="BG293" s="178" t="str">
        <f t="shared" si="214"/>
        <v/>
      </c>
      <c r="BH293" s="179" t="str">
        <f t="shared" si="196"/>
        <v/>
      </c>
      <c r="BI293" s="180">
        <f t="shared" si="215"/>
        <v>111</v>
      </c>
      <c r="BJ293" s="181">
        <f t="shared" si="219"/>
        <v>308.6863752652485</v>
      </c>
      <c r="BK293" s="182">
        <f t="shared" si="216"/>
        <v>1.6999999999999999E-3</v>
      </c>
    </row>
    <row r="294" spans="1:63" x14ac:dyDescent="0.25">
      <c r="A294" s="7">
        <f t="shared" si="197"/>
        <v>25</v>
      </c>
      <c r="B294" s="7">
        <f t="shared" si="198"/>
        <v>75</v>
      </c>
      <c r="C294" s="115">
        <f t="shared" si="199"/>
        <v>54544</v>
      </c>
      <c r="D294" s="2">
        <f t="shared" si="182"/>
        <v>9.0909090909090922E-3</v>
      </c>
      <c r="E294" s="169">
        <f t="shared" si="200"/>
        <v>280</v>
      </c>
      <c r="F294" s="165">
        <f t="shared" si="201"/>
        <v>1506.0422891424778</v>
      </c>
      <c r="G294" s="170">
        <f t="shared" si="217"/>
        <v>1638.6640843180562</v>
      </c>
      <c r="H294" s="164" t="str">
        <f t="shared" si="220"/>
        <v>🚙</v>
      </c>
      <c r="I294" s="171" t="str">
        <f t="shared" si="183"/>
        <v>🚴‍♂️</v>
      </c>
      <c r="J294" s="172">
        <f t="shared" si="184"/>
        <v>1332.2339005505796</v>
      </c>
      <c r="K294" s="173">
        <f t="shared" si="185"/>
        <v>0.41058689052646996</v>
      </c>
      <c r="L294" s="174">
        <f t="shared" si="186"/>
        <v>3244.706373460534</v>
      </c>
      <c r="M294" s="175">
        <f t="shared" si="202"/>
        <v>178920.8153744356</v>
      </c>
      <c r="N294" s="15"/>
      <c r="O294" s="37" t="str">
        <f t="shared" si="179"/>
        <v/>
      </c>
      <c r="P294" s="62" t="str">
        <f t="shared" si="203"/>
        <v/>
      </c>
      <c r="Q294" s="16" t="str">
        <f t="shared" si="187"/>
        <v/>
      </c>
      <c r="R294" s="60">
        <f t="shared" si="204"/>
        <v>110</v>
      </c>
      <c r="S294" s="98">
        <f t="shared" si="205"/>
        <v>306.43018376747648</v>
      </c>
      <c r="T294" s="21">
        <f t="shared" si="206"/>
        <v>1.6999999999999999E-3</v>
      </c>
      <c r="AA294" s="14">
        <f t="shared" si="188"/>
        <v>-3244.706373460534</v>
      </c>
      <c r="AH294" s="6">
        <f t="shared" si="189"/>
        <v>3</v>
      </c>
      <c r="AI294" s="6">
        <f t="shared" si="190"/>
        <v>8</v>
      </c>
      <c r="AJ294" s="12">
        <f t="shared" si="191"/>
        <v>24</v>
      </c>
      <c r="AK294" s="72">
        <f t="shared" si="181"/>
        <v>31</v>
      </c>
      <c r="AR294">
        <f t="shared" si="207"/>
        <v>25</v>
      </c>
      <c r="AS294">
        <f t="shared" si="208"/>
        <v>75</v>
      </c>
      <c r="AT294" s="183">
        <f t="shared" si="209"/>
        <v>54544</v>
      </c>
      <c r="AU294" s="2">
        <f t="shared" si="210"/>
        <v>9.0909090909090922E-3</v>
      </c>
      <c r="AV294" s="169">
        <f t="shared" si="211"/>
        <v>280</v>
      </c>
      <c r="AW294" s="165">
        <f t="shared" si="212"/>
        <v>1506.0422891424778</v>
      </c>
      <c r="AX294" s="170">
        <f t="shared" si="218"/>
        <v>1638.6640843180562</v>
      </c>
      <c r="AY294" s="164" t="str">
        <f t="shared" si="221"/>
        <v>🚙</v>
      </c>
      <c r="AZ294" s="171" t="str">
        <f t="shared" si="192"/>
        <v>🚴‍♂️</v>
      </c>
      <c r="BA294" s="172">
        <f t="shared" si="193"/>
        <v>1332.2339005505796</v>
      </c>
      <c r="BB294" s="173">
        <f t="shared" si="194"/>
        <v>0.41058689052646996</v>
      </c>
      <c r="BC294" s="174">
        <f t="shared" si="195"/>
        <v>3244.706373460534</v>
      </c>
      <c r="BD294" s="175">
        <f t="shared" si="213"/>
        <v>178920.8153744356</v>
      </c>
      <c r="BE294" s="188"/>
      <c r="BF294" s="177" t="str">
        <f t="shared" si="180"/>
        <v/>
      </c>
      <c r="BG294" s="178" t="str">
        <f t="shared" si="214"/>
        <v/>
      </c>
      <c r="BH294" s="179" t="str">
        <f t="shared" si="196"/>
        <v/>
      </c>
      <c r="BI294" s="180">
        <f t="shared" si="215"/>
        <v>110</v>
      </c>
      <c r="BJ294" s="181">
        <f t="shared" si="219"/>
        <v>306.43018376747648</v>
      </c>
      <c r="BK294" s="182">
        <f t="shared" si="216"/>
        <v>1.6999999999999999E-3</v>
      </c>
    </row>
    <row r="295" spans="1:63" x14ac:dyDescent="0.25">
      <c r="A295" s="7">
        <f t="shared" si="197"/>
        <v>25</v>
      </c>
      <c r="B295" s="7">
        <f t="shared" si="198"/>
        <v>75</v>
      </c>
      <c r="C295" s="115">
        <f t="shared" si="199"/>
        <v>54575</v>
      </c>
      <c r="D295" s="2">
        <f t="shared" si="182"/>
        <v>9.1743119266055051E-3</v>
      </c>
      <c r="E295" s="169">
        <f t="shared" si="200"/>
        <v>281</v>
      </c>
      <c r="F295" s="165">
        <f t="shared" si="201"/>
        <v>1494.911267496361</v>
      </c>
      <c r="G295" s="170">
        <f t="shared" si="217"/>
        <v>1641.4753704076661</v>
      </c>
      <c r="H295" s="164" t="str">
        <f t="shared" si="220"/>
        <v>🚙</v>
      </c>
      <c r="I295" s="171" t="str">
        <f t="shared" si="183"/>
        <v>🚴‍♂️</v>
      </c>
      <c r="J295" s="172">
        <f t="shared" si="184"/>
        <v>1337.3099842711256</v>
      </c>
      <c r="K295" s="173">
        <f t="shared" si="185"/>
        <v>0.41321082240569507</v>
      </c>
      <c r="L295" s="174">
        <f t="shared" si="186"/>
        <v>3236.3866379040273</v>
      </c>
      <c r="M295" s="175">
        <f t="shared" si="202"/>
        <v>177583.50539016447</v>
      </c>
      <c r="N295" s="15"/>
      <c r="O295" s="37" t="str">
        <f t="shared" si="179"/>
        <v/>
      </c>
      <c r="P295" s="62" t="str">
        <f t="shared" si="203"/>
        <v/>
      </c>
      <c r="Q295" s="16" t="str">
        <f t="shared" si="187"/>
        <v/>
      </c>
      <c r="R295" s="60">
        <f t="shared" si="204"/>
        <v>109</v>
      </c>
      <c r="S295" s="98">
        <f t="shared" si="205"/>
        <v>304.16538613654052</v>
      </c>
      <c r="T295" s="21">
        <f t="shared" si="206"/>
        <v>1.6999999999999999E-3</v>
      </c>
      <c r="AA295" s="14">
        <f t="shared" si="188"/>
        <v>-3236.3866379040273</v>
      </c>
      <c r="AH295" s="6">
        <f t="shared" si="189"/>
        <v>3</v>
      </c>
      <c r="AI295" s="6">
        <f t="shared" si="190"/>
        <v>8</v>
      </c>
      <c r="AJ295" s="12">
        <f t="shared" si="191"/>
        <v>24</v>
      </c>
      <c r="AK295" s="72">
        <f t="shared" si="181"/>
        <v>30</v>
      </c>
      <c r="AR295">
        <f t="shared" si="207"/>
        <v>25</v>
      </c>
      <c r="AS295">
        <f t="shared" si="208"/>
        <v>75</v>
      </c>
      <c r="AT295" s="183">
        <f t="shared" si="209"/>
        <v>54575</v>
      </c>
      <c r="AU295" s="2">
        <f t="shared" si="210"/>
        <v>9.1743119266055051E-3</v>
      </c>
      <c r="AV295" s="169">
        <f t="shared" si="211"/>
        <v>281</v>
      </c>
      <c r="AW295" s="165">
        <f t="shared" si="212"/>
        <v>1494.911267496361</v>
      </c>
      <c r="AX295" s="170">
        <f t="shared" si="218"/>
        <v>1641.4753704076661</v>
      </c>
      <c r="AY295" s="164" t="str">
        <f t="shared" si="221"/>
        <v>🚙</v>
      </c>
      <c r="AZ295" s="171" t="str">
        <f t="shared" si="192"/>
        <v>🚴‍♂️</v>
      </c>
      <c r="BA295" s="172">
        <f t="shared" si="193"/>
        <v>1337.3099842711256</v>
      </c>
      <c r="BB295" s="173">
        <f t="shared" si="194"/>
        <v>0.41321082240569507</v>
      </c>
      <c r="BC295" s="174">
        <f t="shared" si="195"/>
        <v>3236.3866379040273</v>
      </c>
      <c r="BD295" s="175">
        <f t="shared" si="213"/>
        <v>177583.50539016447</v>
      </c>
      <c r="BE295" s="188"/>
      <c r="BF295" s="177" t="str">
        <f t="shared" si="180"/>
        <v/>
      </c>
      <c r="BG295" s="178" t="str">
        <f t="shared" si="214"/>
        <v/>
      </c>
      <c r="BH295" s="179" t="str">
        <f t="shared" si="196"/>
        <v/>
      </c>
      <c r="BI295" s="180">
        <f t="shared" si="215"/>
        <v>109</v>
      </c>
      <c r="BJ295" s="181">
        <f t="shared" si="219"/>
        <v>304.16538613654052</v>
      </c>
      <c r="BK295" s="182">
        <f t="shared" si="216"/>
        <v>1.6999999999999999E-3</v>
      </c>
    </row>
    <row r="296" spans="1:63" x14ac:dyDescent="0.25">
      <c r="A296" s="7">
        <f t="shared" si="197"/>
        <v>25</v>
      </c>
      <c r="B296" s="7">
        <f t="shared" si="198"/>
        <v>75</v>
      </c>
      <c r="C296" s="115">
        <f t="shared" si="199"/>
        <v>54605</v>
      </c>
      <c r="D296" s="2">
        <f t="shared" si="182"/>
        <v>9.2592592592592587E-3</v>
      </c>
      <c r="E296" s="169">
        <f t="shared" si="200"/>
        <v>282</v>
      </c>
      <c r="F296" s="165">
        <f t="shared" si="201"/>
        <v>1483.737834380496</v>
      </c>
      <c r="G296" s="170">
        <f t="shared" si="217"/>
        <v>1644.2917165755969</v>
      </c>
      <c r="H296" s="164" t="str">
        <f t="shared" si="220"/>
        <v>🚙</v>
      </c>
      <c r="I296" s="171" t="str">
        <f t="shared" si="183"/>
        <v>🚴‍♂️</v>
      </c>
      <c r="J296" s="172">
        <f t="shared" si="184"/>
        <v>1342.3997574123173</v>
      </c>
      <c r="K296" s="173">
        <f t="shared" si="185"/>
        <v>0.41585733222755628</v>
      </c>
      <c r="L296" s="174">
        <f t="shared" si="186"/>
        <v>3228.0295509560929</v>
      </c>
      <c r="M296" s="175">
        <f t="shared" si="202"/>
        <v>176241.10563275215</v>
      </c>
      <c r="N296" s="15"/>
      <c r="O296" s="37" t="str">
        <f t="shared" si="179"/>
        <v/>
      </c>
      <c r="P296" s="62" t="str">
        <f t="shared" si="203"/>
        <v/>
      </c>
      <c r="Q296" s="16" t="str">
        <f t="shared" si="187"/>
        <v/>
      </c>
      <c r="R296" s="60">
        <f t="shared" si="204"/>
        <v>108</v>
      </c>
      <c r="S296" s="98">
        <f t="shared" si="205"/>
        <v>301.89195916327958</v>
      </c>
      <c r="T296" s="21">
        <f t="shared" si="206"/>
        <v>1.6999999999999999E-3</v>
      </c>
      <c r="AA296" s="14">
        <f t="shared" si="188"/>
        <v>-3228.0295509560929</v>
      </c>
      <c r="AH296" s="6">
        <f t="shared" si="189"/>
        <v>3</v>
      </c>
      <c r="AI296" s="6">
        <f t="shared" si="190"/>
        <v>8</v>
      </c>
      <c r="AJ296" s="12">
        <f t="shared" si="191"/>
        <v>24</v>
      </c>
      <c r="AK296" s="72">
        <f t="shared" si="181"/>
        <v>31</v>
      </c>
      <c r="AR296">
        <f t="shared" si="207"/>
        <v>25</v>
      </c>
      <c r="AS296">
        <f t="shared" si="208"/>
        <v>75</v>
      </c>
      <c r="AT296" s="183">
        <f t="shared" si="209"/>
        <v>54605</v>
      </c>
      <c r="AU296" s="2">
        <f t="shared" si="210"/>
        <v>9.2592592592592587E-3</v>
      </c>
      <c r="AV296" s="169">
        <f t="shared" si="211"/>
        <v>282</v>
      </c>
      <c r="AW296" s="165">
        <f t="shared" si="212"/>
        <v>1483.737834380496</v>
      </c>
      <c r="AX296" s="170">
        <f t="shared" si="218"/>
        <v>1644.2917165755969</v>
      </c>
      <c r="AY296" s="164" t="str">
        <f t="shared" si="221"/>
        <v>🚙</v>
      </c>
      <c r="AZ296" s="171" t="str">
        <f t="shared" si="192"/>
        <v>🚴‍♂️</v>
      </c>
      <c r="BA296" s="172">
        <f t="shared" si="193"/>
        <v>1342.3997574123173</v>
      </c>
      <c r="BB296" s="173">
        <f t="shared" si="194"/>
        <v>0.41585733222755628</v>
      </c>
      <c r="BC296" s="174">
        <f t="shared" si="195"/>
        <v>3228.0295509560929</v>
      </c>
      <c r="BD296" s="175">
        <f t="shared" si="213"/>
        <v>176241.10563275215</v>
      </c>
      <c r="BE296" s="188"/>
      <c r="BF296" s="177" t="str">
        <f t="shared" si="180"/>
        <v/>
      </c>
      <c r="BG296" s="178" t="str">
        <f t="shared" si="214"/>
        <v/>
      </c>
      <c r="BH296" s="179" t="str">
        <f t="shared" si="196"/>
        <v/>
      </c>
      <c r="BI296" s="180">
        <f t="shared" si="215"/>
        <v>108</v>
      </c>
      <c r="BJ296" s="181">
        <f t="shared" si="219"/>
        <v>301.89195916327958</v>
      </c>
      <c r="BK296" s="182">
        <f t="shared" si="216"/>
        <v>1.6999999999999999E-3</v>
      </c>
    </row>
    <row r="297" spans="1:63" x14ac:dyDescent="0.25">
      <c r="A297" s="7">
        <f t="shared" si="197"/>
        <v>25</v>
      </c>
      <c r="B297" s="7">
        <f t="shared" si="198"/>
        <v>75</v>
      </c>
      <c r="C297" s="115">
        <f t="shared" si="199"/>
        <v>54636</v>
      </c>
      <c r="D297" s="2">
        <f t="shared" si="182"/>
        <v>9.3457943925233638E-3</v>
      </c>
      <c r="E297" s="169">
        <f t="shared" si="200"/>
        <v>283</v>
      </c>
      <c r="F297" s="165">
        <f t="shared" si="201"/>
        <v>1472.5218754176419</v>
      </c>
      <c r="G297" s="170">
        <f t="shared" si="217"/>
        <v>1647.113136754693</v>
      </c>
      <c r="H297" s="164" t="str">
        <f t="shared" si="220"/>
        <v>🚙</v>
      </c>
      <c r="I297" s="171" t="str">
        <f t="shared" si="183"/>
        <v>🚴‍♂️</v>
      </c>
      <c r="J297" s="172">
        <f t="shared" si="184"/>
        <v>1347.5032571790143</v>
      </c>
      <c r="K297" s="173">
        <f t="shared" si="185"/>
        <v>0.41852671252628543</v>
      </c>
      <c r="L297" s="174">
        <f t="shared" si="186"/>
        <v>3219.6350121723349</v>
      </c>
      <c r="M297" s="175">
        <f t="shared" si="202"/>
        <v>174893.60237557313</v>
      </c>
      <c r="N297" s="15"/>
      <c r="O297" s="37" t="str">
        <f t="shared" si="179"/>
        <v/>
      </c>
      <c r="P297" s="62" t="str">
        <f t="shared" si="203"/>
        <v/>
      </c>
      <c r="Q297" s="16" t="str">
        <f t="shared" si="187"/>
        <v/>
      </c>
      <c r="R297" s="60">
        <f t="shared" si="204"/>
        <v>107</v>
      </c>
      <c r="S297" s="98">
        <f t="shared" si="205"/>
        <v>299.60987957567863</v>
      </c>
      <c r="T297" s="21">
        <f t="shared" si="206"/>
        <v>1.6999999999999999E-3</v>
      </c>
      <c r="AA297" s="14">
        <f t="shared" si="188"/>
        <v>-3219.6350121723349</v>
      </c>
      <c r="AH297" s="6">
        <f t="shared" si="189"/>
        <v>3</v>
      </c>
      <c r="AI297" s="6">
        <f t="shared" si="190"/>
        <v>8</v>
      </c>
      <c r="AJ297" s="12">
        <f t="shared" si="191"/>
        <v>24</v>
      </c>
      <c r="AK297" s="72">
        <f t="shared" si="181"/>
        <v>31</v>
      </c>
      <c r="AR297">
        <f t="shared" si="207"/>
        <v>25</v>
      </c>
      <c r="AS297">
        <f t="shared" si="208"/>
        <v>75</v>
      </c>
      <c r="AT297" s="183">
        <f t="shared" si="209"/>
        <v>54636</v>
      </c>
      <c r="AU297" s="2">
        <f t="shared" si="210"/>
        <v>9.3457943925233638E-3</v>
      </c>
      <c r="AV297" s="169">
        <f t="shared" si="211"/>
        <v>283</v>
      </c>
      <c r="AW297" s="165">
        <f t="shared" si="212"/>
        <v>1472.5218754176419</v>
      </c>
      <c r="AX297" s="170">
        <f t="shared" si="218"/>
        <v>1647.113136754693</v>
      </c>
      <c r="AY297" s="164" t="str">
        <f t="shared" si="221"/>
        <v>🚙</v>
      </c>
      <c r="AZ297" s="171" t="str">
        <f t="shared" si="192"/>
        <v>🚴‍♂️</v>
      </c>
      <c r="BA297" s="172">
        <f t="shared" si="193"/>
        <v>1347.5032571790143</v>
      </c>
      <c r="BB297" s="173">
        <f t="shared" si="194"/>
        <v>0.41852671252628543</v>
      </c>
      <c r="BC297" s="174">
        <f t="shared" si="195"/>
        <v>3219.6350121723349</v>
      </c>
      <c r="BD297" s="175">
        <f t="shared" si="213"/>
        <v>174893.60237557313</v>
      </c>
      <c r="BE297" s="188"/>
      <c r="BF297" s="177" t="str">
        <f t="shared" si="180"/>
        <v/>
      </c>
      <c r="BG297" s="178" t="str">
        <f t="shared" si="214"/>
        <v/>
      </c>
      <c r="BH297" s="179" t="str">
        <f t="shared" si="196"/>
        <v/>
      </c>
      <c r="BI297" s="180">
        <f t="shared" si="215"/>
        <v>107</v>
      </c>
      <c r="BJ297" s="181">
        <f t="shared" si="219"/>
        <v>299.60987957567863</v>
      </c>
      <c r="BK297" s="182">
        <f t="shared" si="216"/>
        <v>1.6999999999999999E-3</v>
      </c>
    </row>
    <row r="298" spans="1:63" x14ac:dyDescent="0.25">
      <c r="A298" s="7">
        <f t="shared" si="197"/>
        <v>25</v>
      </c>
      <c r="B298" s="7">
        <f t="shared" si="198"/>
        <v>75</v>
      </c>
      <c r="C298" s="115">
        <f t="shared" si="199"/>
        <v>54667</v>
      </c>
      <c r="D298" s="2">
        <f t="shared" si="182"/>
        <v>9.433962264150943E-3</v>
      </c>
      <c r="E298" s="169">
        <f t="shared" si="200"/>
        <v>284</v>
      </c>
      <c r="F298" s="165">
        <f t="shared" si="201"/>
        <v>1461.2632759197058</v>
      </c>
      <c r="G298" s="170">
        <f t="shared" si="217"/>
        <v>1649.9396450525767</v>
      </c>
      <c r="H298" s="164" t="str">
        <f t="shared" si="220"/>
        <v>🚙</v>
      </c>
      <c r="I298" s="171" t="str">
        <f t="shared" si="183"/>
        <v>🚴‍♂️</v>
      </c>
      <c r="J298" s="172">
        <f t="shared" si="184"/>
        <v>1352.6205210141025</v>
      </c>
      <c r="K298" s="173">
        <f t="shared" si="185"/>
        <v>0.42121926091315287</v>
      </c>
      <c r="L298" s="174">
        <f t="shared" si="186"/>
        <v>3211.2029209722823</v>
      </c>
      <c r="M298" s="175">
        <f t="shared" si="202"/>
        <v>173540.98185455904</v>
      </c>
      <c r="N298" s="15"/>
      <c r="O298" s="37" t="str">
        <f t="shared" si="179"/>
        <v/>
      </c>
      <c r="P298" s="62" t="str">
        <f t="shared" si="203"/>
        <v/>
      </c>
      <c r="Q298" s="16" t="str">
        <f t="shared" si="187"/>
        <v/>
      </c>
      <c r="R298" s="60">
        <f t="shared" si="204"/>
        <v>106</v>
      </c>
      <c r="S298" s="98">
        <f t="shared" si="205"/>
        <v>297.31912403847429</v>
      </c>
      <c r="T298" s="21">
        <f t="shared" si="206"/>
        <v>1.6999999999999999E-3</v>
      </c>
      <c r="AA298" s="14">
        <f t="shared" si="188"/>
        <v>-3211.2029209722823</v>
      </c>
      <c r="AH298" s="6">
        <f t="shared" si="189"/>
        <v>3</v>
      </c>
      <c r="AI298" s="6">
        <f t="shared" si="190"/>
        <v>8</v>
      </c>
      <c r="AJ298" s="12">
        <f t="shared" si="191"/>
        <v>24</v>
      </c>
      <c r="AK298" s="72">
        <f t="shared" si="181"/>
        <v>30</v>
      </c>
      <c r="AR298">
        <f t="shared" si="207"/>
        <v>25</v>
      </c>
      <c r="AS298">
        <f t="shared" si="208"/>
        <v>75</v>
      </c>
      <c r="AT298" s="183">
        <f t="shared" si="209"/>
        <v>54667</v>
      </c>
      <c r="AU298" s="2">
        <f t="shared" si="210"/>
        <v>9.433962264150943E-3</v>
      </c>
      <c r="AV298" s="169">
        <f t="shared" si="211"/>
        <v>284</v>
      </c>
      <c r="AW298" s="165">
        <f t="shared" si="212"/>
        <v>1461.2632759197058</v>
      </c>
      <c r="AX298" s="170">
        <f t="shared" si="218"/>
        <v>1649.9396450525767</v>
      </c>
      <c r="AY298" s="164" t="str">
        <f t="shared" si="221"/>
        <v>🚙</v>
      </c>
      <c r="AZ298" s="171" t="str">
        <f t="shared" si="192"/>
        <v>🚴‍♂️</v>
      </c>
      <c r="BA298" s="172">
        <f t="shared" si="193"/>
        <v>1352.6205210141025</v>
      </c>
      <c r="BB298" s="173">
        <f t="shared" si="194"/>
        <v>0.42121926091315287</v>
      </c>
      <c r="BC298" s="174">
        <f t="shared" si="195"/>
        <v>3211.2029209722823</v>
      </c>
      <c r="BD298" s="175">
        <f t="shared" si="213"/>
        <v>173540.98185455904</v>
      </c>
      <c r="BE298" s="188"/>
      <c r="BF298" s="177" t="str">
        <f t="shared" si="180"/>
        <v/>
      </c>
      <c r="BG298" s="178" t="str">
        <f t="shared" si="214"/>
        <v/>
      </c>
      <c r="BH298" s="179" t="str">
        <f t="shared" si="196"/>
        <v/>
      </c>
      <c r="BI298" s="180">
        <f t="shared" si="215"/>
        <v>106</v>
      </c>
      <c r="BJ298" s="181">
        <f t="shared" si="219"/>
        <v>297.31912403847429</v>
      </c>
      <c r="BK298" s="182">
        <f t="shared" si="216"/>
        <v>1.6999999999999999E-3</v>
      </c>
    </row>
    <row r="299" spans="1:63" x14ac:dyDescent="0.25">
      <c r="A299" s="7">
        <f t="shared" si="197"/>
        <v>25</v>
      </c>
      <c r="B299" s="7">
        <f t="shared" si="198"/>
        <v>75</v>
      </c>
      <c r="C299" s="115">
        <f t="shared" si="199"/>
        <v>54697</v>
      </c>
      <c r="D299" s="2">
        <f t="shared" si="182"/>
        <v>9.5238095238095247E-3</v>
      </c>
      <c r="E299" s="169">
        <f t="shared" si="200"/>
        <v>285</v>
      </c>
      <c r="F299" s="165">
        <f t="shared" si="201"/>
        <v>1449.9619208857532</v>
      </c>
      <c r="G299" s="170">
        <f t="shared" si="217"/>
        <v>1652.7712557577051</v>
      </c>
      <c r="H299" s="164" t="str">
        <f t="shared" si="220"/>
        <v>🚙</v>
      </c>
      <c r="I299" s="171" t="str">
        <f t="shared" si="183"/>
        <v>🚴‍♂️</v>
      </c>
      <c r="J299" s="172">
        <f t="shared" si="184"/>
        <v>1357.7515866049548</v>
      </c>
      <c r="K299" s="173">
        <f t="shared" si="185"/>
        <v>0.42393528018712795</v>
      </c>
      <c r="L299" s="174">
        <f t="shared" si="186"/>
        <v>3202.7331766434581</v>
      </c>
      <c r="M299" s="175">
        <f t="shared" si="202"/>
        <v>172183.23026795406</v>
      </c>
      <c r="N299" s="15"/>
      <c r="O299" s="37" t="str">
        <f t="shared" si="179"/>
        <v/>
      </c>
      <c r="P299" s="62" t="str">
        <f t="shared" si="203"/>
        <v/>
      </c>
      <c r="Q299" s="16" t="str">
        <f t="shared" si="187"/>
        <v/>
      </c>
      <c r="R299" s="60">
        <f t="shared" si="204"/>
        <v>105</v>
      </c>
      <c r="S299" s="98">
        <f t="shared" si="205"/>
        <v>295.01966915275034</v>
      </c>
      <c r="T299" s="21">
        <f t="shared" si="206"/>
        <v>1.6999999999999999E-3</v>
      </c>
      <c r="AA299" s="14">
        <f t="shared" si="188"/>
        <v>-3202.7331766434581</v>
      </c>
      <c r="AH299" s="6">
        <f t="shared" si="189"/>
        <v>3</v>
      </c>
      <c r="AI299" s="6">
        <f t="shared" si="190"/>
        <v>8</v>
      </c>
      <c r="AJ299" s="12">
        <f t="shared" si="191"/>
        <v>24</v>
      </c>
      <c r="AK299" s="72">
        <f t="shared" si="181"/>
        <v>31</v>
      </c>
      <c r="AR299">
        <f t="shared" si="207"/>
        <v>25</v>
      </c>
      <c r="AS299">
        <f t="shared" si="208"/>
        <v>75</v>
      </c>
      <c r="AT299" s="183">
        <f t="shared" si="209"/>
        <v>54697</v>
      </c>
      <c r="AU299" s="2">
        <f t="shared" si="210"/>
        <v>9.5238095238095247E-3</v>
      </c>
      <c r="AV299" s="169">
        <f t="shared" si="211"/>
        <v>285</v>
      </c>
      <c r="AW299" s="165">
        <f t="shared" si="212"/>
        <v>1449.9619208857532</v>
      </c>
      <c r="AX299" s="170">
        <f t="shared" si="218"/>
        <v>1652.7712557577051</v>
      </c>
      <c r="AY299" s="164" t="str">
        <f t="shared" si="221"/>
        <v>🚙</v>
      </c>
      <c r="AZ299" s="171" t="str">
        <f t="shared" si="192"/>
        <v>🚴‍♂️</v>
      </c>
      <c r="BA299" s="172">
        <f t="shared" si="193"/>
        <v>1357.7515866049548</v>
      </c>
      <c r="BB299" s="173">
        <f t="shared" si="194"/>
        <v>0.42393528018712795</v>
      </c>
      <c r="BC299" s="174">
        <f t="shared" si="195"/>
        <v>3202.7331766434581</v>
      </c>
      <c r="BD299" s="175">
        <f t="shared" si="213"/>
        <v>172183.23026795406</v>
      </c>
      <c r="BE299" s="188"/>
      <c r="BF299" s="177" t="str">
        <f t="shared" si="180"/>
        <v/>
      </c>
      <c r="BG299" s="178" t="str">
        <f t="shared" si="214"/>
        <v/>
      </c>
      <c r="BH299" s="179" t="str">
        <f t="shared" si="196"/>
        <v/>
      </c>
      <c r="BI299" s="180">
        <f t="shared" si="215"/>
        <v>105</v>
      </c>
      <c r="BJ299" s="181">
        <f t="shared" si="219"/>
        <v>295.01966915275034</v>
      </c>
      <c r="BK299" s="182">
        <f t="shared" si="216"/>
        <v>1.6999999999999999E-3</v>
      </c>
    </row>
    <row r="300" spans="1:63" x14ac:dyDescent="0.25">
      <c r="A300" s="7">
        <f t="shared" si="197"/>
        <v>25</v>
      </c>
      <c r="B300" s="7">
        <f t="shared" si="198"/>
        <v>75</v>
      </c>
      <c r="C300" s="115">
        <f t="shared" si="199"/>
        <v>54728</v>
      </c>
      <c r="D300" s="2">
        <f t="shared" si="182"/>
        <v>9.6153846153846142E-3</v>
      </c>
      <c r="E300" s="169">
        <f t="shared" si="200"/>
        <v>286</v>
      </c>
      <c r="F300" s="165">
        <f t="shared" si="201"/>
        <v>1438.617694999966</v>
      </c>
      <c r="G300" s="170">
        <f t="shared" si="217"/>
        <v>1655.607983345712</v>
      </c>
      <c r="H300" s="164" t="str">
        <f t="shared" si="220"/>
        <v>🚙</v>
      </c>
      <c r="I300" s="171" t="str">
        <f t="shared" si="183"/>
        <v>🚴‍♂️</v>
      </c>
      <c r="J300" s="172">
        <f t="shared" si="184"/>
        <v>1362.8964918901902</v>
      </c>
      <c r="K300" s="173">
        <f t="shared" si="185"/>
        <v>0.42667507844844832</v>
      </c>
      <c r="L300" s="174">
        <f t="shared" si="186"/>
        <v>3194.2256783456778</v>
      </c>
      <c r="M300" s="175">
        <f t="shared" si="202"/>
        <v>170820.33377606387</v>
      </c>
      <c r="N300" s="15"/>
      <c r="O300" s="37" t="str">
        <f t="shared" si="179"/>
        <v/>
      </c>
      <c r="P300" s="62" t="str">
        <f t="shared" si="203"/>
        <v/>
      </c>
      <c r="Q300" s="16" t="str">
        <f t="shared" si="187"/>
        <v/>
      </c>
      <c r="R300" s="60">
        <f t="shared" si="204"/>
        <v>104</v>
      </c>
      <c r="S300" s="98">
        <f t="shared" si="205"/>
        <v>292.71149145552187</v>
      </c>
      <c r="T300" s="21">
        <f t="shared" si="206"/>
        <v>1.6999999999999999E-3</v>
      </c>
      <c r="AA300" s="14">
        <f t="shared" si="188"/>
        <v>-3194.2256783456778</v>
      </c>
      <c r="AH300" s="6">
        <f t="shared" si="189"/>
        <v>3</v>
      </c>
      <c r="AI300" s="6">
        <f t="shared" si="190"/>
        <v>8</v>
      </c>
      <c r="AJ300" s="12">
        <f t="shared" si="191"/>
        <v>24</v>
      </c>
      <c r="AK300" s="72">
        <f t="shared" si="181"/>
        <v>30</v>
      </c>
      <c r="AR300">
        <f t="shared" si="207"/>
        <v>25</v>
      </c>
      <c r="AS300">
        <f t="shared" si="208"/>
        <v>75</v>
      </c>
      <c r="AT300" s="183">
        <f t="shared" si="209"/>
        <v>54728</v>
      </c>
      <c r="AU300" s="2">
        <f t="shared" si="210"/>
        <v>9.6153846153846142E-3</v>
      </c>
      <c r="AV300" s="169">
        <f t="shared" si="211"/>
        <v>286</v>
      </c>
      <c r="AW300" s="165">
        <f t="shared" si="212"/>
        <v>1438.617694999966</v>
      </c>
      <c r="AX300" s="170">
        <f t="shared" si="218"/>
        <v>1655.607983345712</v>
      </c>
      <c r="AY300" s="164" t="str">
        <f t="shared" si="221"/>
        <v>🚙</v>
      </c>
      <c r="AZ300" s="171" t="str">
        <f t="shared" si="192"/>
        <v>🚴‍♂️</v>
      </c>
      <c r="BA300" s="172">
        <f t="shared" si="193"/>
        <v>1362.8964918901902</v>
      </c>
      <c r="BB300" s="173">
        <f t="shared" si="194"/>
        <v>0.42667507844844832</v>
      </c>
      <c r="BC300" s="174">
        <f t="shared" si="195"/>
        <v>3194.2256783456778</v>
      </c>
      <c r="BD300" s="175">
        <f t="shared" si="213"/>
        <v>170820.33377606387</v>
      </c>
      <c r="BE300" s="188"/>
      <c r="BF300" s="177" t="str">
        <f t="shared" si="180"/>
        <v/>
      </c>
      <c r="BG300" s="178" t="str">
        <f t="shared" si="214"/>
        <v/>
      </c>
      <c r="BH300" s="179" t="str">
        <f t="shared" si="196"/>
        <v/>
      </c>
      <c r="BI300" s="180">
        <f t="shared" si="215"/>
        <v>104</v>
      </c>
      <c r="BJ300" s="181">
        <f t="shared" si="219"/>
        <v>292.71149145552187</v>
      </c>
      <c r="BK300" s="182">
        <f t="shared" si="216"/>
        <v>1.6999999999999999E-3</v>
      </c>
    </row>
    <row r="301" spans="1:63" x14ac:dyDescent="0.25">
      <c r="A301" s="7">
        <f t="shared" si="197"/>
        <v>25</v>
      </c>
      <c r="B301" s="7">
        <f t="shared" si="198"/>
        <v>75</v>
      </c>
      <c r="C301" s="115">
        <f t="shared" si="199"/>
        <v>54758</v>
      </c>
      <c r="D301" s="2">
        <f t="shared" si="182"/>
        <v>9.7087378640776691E-3</v>
      </c>
      <c r="E301" s="169">
        <f t="shared" si="200"/>
        <v>287</v>
      </c>
      <c r="F301" s="165">
        <f t="shared" si="201"/>
        <v>1427.2304826295431</v>
      </c>
      <c r="G301" s="170">
        <f t="shared" si="217"/>
        <v>1658.4498424860569</v>
      </c>
      <c r="H301" s="164" t="str">
        <f t="shared" si="220"/>
        <v>🚙</v>
      </c>
      <c r="I301" s="171" t="str">
        <f t="shared" si="183"/>
        <v>🚴‍♂️</v>
      </c>
      <c r="J301" s="172">
        <f t="shared" si="184"/>
        <v>1368.0552750667484</v>
      </c>
      <c r="K301" s="173">
        <f t="shared" si="185"/>
        <v>0.42943896921518809</v>
      </c>
      <c r="L301" s="174">
        <f t="shared" si="186"/>
        <v>3185.6803251155998</v>
      </c>
      <c r="M301" s="175">
        <f t="shared" si="202"/>
        <v>169452.27850099711</v>
      </c>
      <c r="N301" s="15"/>
      <c r="O301" s="37" t="str">
        <f t="shared" si="179"/>
        <v/>
      </c>
      <c r="P301" s="62" t="str">
        <f t="shared" si="203"/>
        <v/>
      </c>
      <c r="Q301" s="16" t="str">
        <f t="shared" si="187"/>
        <v/>
      </c>
      <c r="R301" s="60">
        <f t="shared" si="204"/>
        <v>103</v>
      </c>
      <c r="S301" s="98">
        <f t="shared" si="205"/>
        <v>290.39456741930854</v>
      </c>
      <c r="T301" s="21">
        <f t="shared" si="206"/>
        <v>1.6999999999999999E-3</v>
      </c>
      <c r="AA301" s="14">
        <f t="shared" si="188"/>
        <v>-3185.6803251155998</v>
      </c>
      <c r="AH301" s="6">
        <f t="shared" si="189"/>
        <v>3</v>
      </c>
      <c r="AI301" s="6">
        <f t="shared" si="190"/>
        <v>8</v>
      </c>
      <c r="AJ301" s="12">
        <f t="shared" si="191"/>
        <v>24</v>
      </c>
      <c r="AK301" s="72">
        <f t="shared" si="181"/>
        <v>31</v>
      </c>
      <c r="AR301">
        <f t="shared" si="207"/>
        <v>25</v>
      </c>
      <c r="AS301">
        <f t="shared" si="208"/>
        <v>75</v>
      </c>
      <c r="AT301" s="183">
        <f t="shared" si="209"/>
        <v>54758</v>
      </c>
      <c r="AU301" s="2">
        <f t="shared" si="210"/>
        <v>9.7087378640776691E-3</v>
      </c>
      <c r="AV301" s="169">
        <f t="shared" si="211"/>
        <v>287</v>
      </c>
      <c r="AW301" s="165">
        <f t="shared" si="212"/>
        <v>1427.2304826295431</v>
      </c>
      <c r="AX301" s="170">
        <f t="shared" si="218"/>
        <v>1658.4498424860569</v>
      </c>
      <c r="AY301" s="164" t="str">
        <f t="shared" si="221"/>
        <v>🚙</v>
      </c>
      <c r="AZ301" s="171" t="str">
        <f t="shared" si="192"/>
        <v>🚴‍♂️</v>
      </c>
      <c r="BA301" s="172">
        <f t="shared" si="193"/>
        <v>1368.0552750667484</v>
      </c>
      <c r="BB301" s="173">
        <f t="shared" si="194"/>
        <v>0.42943896921518809</v>
      </c>
      <c r="BC301" s="174">
        <f t="shared" si="195"/>
        <v>3185.6803251155998</v>
      </c>
      <c r="BD301" s="175">
        <f t="shared" si="213"/>
        <v>169452.27850099711</v>
      </c>
      <c r="BE301" s="188"/>
      <c r="BF301" s="177" t="str">
        <f t="shared" si="180"/>
        <v/>
      </c>
      <c r="BG301" s="178" t="str">
        <f t="shared" si="214"/>
        <v/>
      </c>
      <c r="BH301" s="179" t="str">
        <f t="shared" si="196"/>
        <v/>
      </c>
      <c r="BI301" s="180">
        <f t="shared" si="215"/>
        <v>103</v>
      </c>
      <c r="BJ301" s="181">
        <f t="shared" si="219"/>
        <v>290.39456741930854</v>
      </c>
      <c r="BK301" s="182">
        <f t="shared" si="216"/>
        <v>1.6999999999999999E-3</v>
      </c>
    </row>
    <row r="302" spans="1:63" x14ac:dyDescent="0.25">
      <c r="A302" s="7">
        <f t="shared" si="197"/>
        <v>25</v>
      </c>
      <c r="B302" s="7">
        <f t="shared" si="198"/>
        <v>75</v>
      </c>
      <c r="C302" s="115">
        <f t="shared" si="199"/>
        <v>54789</v>
      </c>
      <c r="D302" s="2">
        <f t="shared" si="182"/>
        <v>9.8039215686274508E-3</v>
      </c>
      <c r="E302" s="169">
        <f t="shared" si="200"/>
        <v>288</v>
      </c>
      <c r="F302" s="165">
        <f t="shared" si="201"/>
        <v>1415.8001678225421</v>
      </c>
      <c r="G302" s="170">
        <f t="shared" si="217"/>
        <v>1661.2968480489913</v>
      </c>
      <c r="H302" s="164" t="str">
        <f t="shared" si="220"/>
        <v>🚙</v>
      </c>
      <c r="I302" s="171" t="str">
        <f t="shared" si="183"/>
        <v>🚴‍♂️</v>
      </c>
      <c r="J302" s="172">
        <f t="shared" si="184"/>
        <v>1373.2279745972962</v>
      </c>
      <c r="K302" s="173">
        <f t="shared" si="185"/>
        <v>0.43222727154291685</v>
      </c>
      <c r="L302" s="174">
        <f t="shared" si="186"/>
        <v>3177.0970158715336</v>
      </c>
      <c r="M302" s="175">
        <f t="shared" si="202"/>
        <v>168079.05052639983</v>
      </c>
      <c r="N302" s="15"/>
      <c r="O302" s="37" t="str">
        <f t="shared" si="179"/>
        <v/>
      </c>
      <c r="P302" s="62" t="str">
        <f t="shared" si="203"/>
        <v/>
      </c>
      <c r="Q302" s="16" t="str">
        <f t="shared" si="187"/>
        <v/>
      </c>
      <c r="R302" s="60">
        <f t="shared" si="204"/>
        <v>102</v>
      </c>
      <c r="S302" s="98">
        <f t="shared" si="205"/>
        <v>288.06887345169508</v>
      </c>
      <c r="T302" s="21">
        <f t="shared" si="206"/>
        <v>1.6999999999999999E-3</v>
      </c>
      <c r="AA302" s="14">
        <f t="shared" si="188"/>
        <v>-3177.0970158715336</v>
      </c>
      <c r="AH302" s="6">
        <f t="shared" si="189"/>
        <v>3</v>
      </c>
      <c r="AI302" s="6">
        <f t="shared" si="190"/>
        <v>8</v>
      </c>
      <c r="AJ302" s="12">
        <f t="shared" si="191"/>
        <v>24</v>
      </c>
      <c r="AK302" s="72">
        <f t="shared" si="181"/>
        <v>31</v>
      </c>
      <c r="AR302">
        <f t="shared" si="207"/>
        <v>25</v>
      </c>
      <c r="AS302">
        <f t="shared" si="208"/>
        <v>75</v>
      </c>
      <c r="AT302" s="183">
        <f t="shared" si="209"/>
        <v>54789</v>
      </c>
      <c r="AU302" s="2">
        <f t="shared" si="210"/>
        <v>9.8039215686274508E-3</v>
      </c>
      <c r="AV302" s="169">
        <f t="shared" si="211"/>
        <v>288</v>
      </c>
      <c r="AW302" s="165">
        <f t="shared" si="212"/>
        <v>1415.8001678225421</v>
      </c>
      <c r="AX302" s="170">
        <f t="shared" si="218"/>
        <v>1661.2968480489913</v>
      </c>
      <c r="AY302" s="164" t="str">
        <f t="shared" si="221"/>
        <v>🚙</v>
      </c>
      <c r="AZ302" s="171" t="str">
        <f t="shared" si="192"/>
        <v>🚴‍♂️</v>
      </c>
      <c r="BA302" s="172">
        <f t="shared" si="193"/>
        <v>1373.2279745972962</v>
      </c>
      <c r="BB302" s="173">
        <f t="shared" si="194"/>
        <v>0.43222727154291685</v>
      </c>
      <c r="BC302" s="174">
        <f t="shared" si="195"/>
        <v>3177.0970158715336</v>
      </c>
      <c r="BD302" s="175">
        <f t="shared" si="213"/>
        <v>168079.05052639983</v>
      </c>
      <c r="BE302" s="188"/>
      <c r="BF302" s="177" t="str">
        <f t="shared" si="180"/>
        <v/>
      </c>
      <c r="BG302" s="178" t="str">
        <f t="shared" si="214"/>
        <v/>
      </c>
      <c r="BH302" s="179" t="str">
        <f t="shared" si="196"/>
        <v/>
      </c>
      <c r="BI302" s="180">
        <f t="shared" si="215"/>
        <v>102</v>
      </c>
      <c r="BJ302" s="181">
        <f t="shared" si="219"/>
        <v>288.06887345169508</v>
      </c>
      <c r="BK302" s="182">
        <f t="shared" si="216"/>
        <v>1.6999999999999999E-3</v>
      </c>
    </row>
    <row r="303" spans="1:63" x14ac:dyDescent="0.25">
      <c r="A303" s="7">
        <f t="shared" si="197"/>
        <v>25</v>
      </c>
      <c r="B303" s="7">
        <f t="shared" si="198"/>
        <v>75</v>
      </c>
      <c r="C303" s="115">
        <f t="shared" si="199"/>
        <v>54820</v>
      </c>
      <c r="D303" s="2">
        <f t="shared" si="182"/>
        <v>9.9009900990099011E-3</v>
      </c>
      <c r="E303" s="169">
        <f t="shared" si="200"/>
        <v>289</v>
      </c>
      <c r="F303" s="165">
        <f t="shared" si="201"/>
        <v>1404.3266343056587</v>
      </c>
      <c r="G303" s="170">
        <f t="shared" si="217"/>
        <v>1664.1490151128696</v>
      </c>
      <c r="H303" s="164" t="str">
        <f t="shared" si="220"/>
        <v>🚙</v>
      </c>
      <c r="I303" s="171" t="str">
        <f t="shared" si="183"/>
        <v>🚴‍♂️</v>
      </c>
      <c r="J303" s="172">
        <f t="shared" si="184"/>
        <v>1378.4146292179898</v>
      </c>
      <c r="K303" s="173">
        <f t="shared" si="185"/>
        <v>0.4350403101475479</v>
      </c>
      <c r="L303" s="174">
        <f t="shared" si="186"/>
        <v>3168.4756494185285</v>
      </c>
      <c r="M303" s="175">
        <f t="shared" si="202"/>
        <v>166700.63589718184</v>
      </c>
      <c r="N303" s="15"/>
      <c r="O303" s="37" t="str">
        <f t="shared" si="179"/>
        <v/>
      </c>
      <c r="P303" s="62" t="str">
        <f t="shared" si="203"/>
        <v/>
      </c>
      <c r="Q303" s="16" t="str">
        <f t="shared" si="187"/>
        <v/>
      </c>
      <c r="R303" s="60">
        <f t="shared" si="204"/>
        <v>101</v>
      </c>
      <c r="S303" s="98">
        <f t="shared" si="205"/>
        <v>285.73438589487972</v>
      </c>
      <c r="T303" s="21">
        <f t="shared" si="206"/>
        <v>1.6999999999999999E-3</v>
      </c>
      <c r="AA303" s="14">
        <f t="shared" si="188"/>
        <v>-3168.4756494185285</v>
      </c>
      <c r="AH303" s="6">
        <f t="shared" si="189"/>
        <v>3</v>
      </c>
      <c r="AI303" s="6">
        <f t="shared" si="190"/>
        <v>9</v>
      </c>
      <c r="AJ303" s="12">
        <f t="shared" si="191"/>
        <v>25</v>
      </c>
      <c r="AK303" s="72">
        <f t="shared" si="181"/>
        <v>28</v>
      </c>
      <c r="AR303">
        <f t="shared" si="207"/>
        <v>25</v>
      </c>
      <c r="AS303">
        <f t="shared" si="208"/>
        <v>75</v>
      </c>
      <c r="AT303" s="183">
        <f t="shared" si="209"/>
        <v>54820</v>
      </c>
      <c r="AU303" s="2">
        <f t="shared" si="210"/>
        <v>9.9009900990099011E-3</v>
      </c>
      <c r="AV303" s="169">
        <f t="shared" si="211"/>
        <v>289</v>
      </c>
      <c r="AW303" s="165">
        <f t="shared" si="212"/>
        <v>1404.3266343056587</v>
      </c>
      <c r="AX303" s="170">
        <f t="shared" si="218"/>
        <v>1664.1490151128696</v>
      </c>
      <c r="AY303" s="164" t="str">
        <f t="shared" si="221"/>
        <v>🚙</v>
      </c>
      <c r="AZ303" s="171" t="str">
        <f t="shared" si="192"/>
        <v>🚴‍♂️</v>
      </c>
      <c r="BA303" s="172">
        <f t="shared" si="193"/>
        <v>1378.4146292179898</v>
      </c>
      <c r="BB303" s="173">
        <f t="shared" si="194"/>
        <v>0.4350403101475479</v>
      </c>
      <c r="BC303" s="174">
        <f t="shared" si="195"/>
        <v>3168.4756494185285</v>
      </c>
      <c r="BD303" s="175">
        <f t="shared" si="213"/>
        <v>166700.63589718184</v>
      </c>
      <c r="BE303" s="188"/>
      <c r="BF303" s="177" t="str">
        <f t="shared" si="180"/>
        <v/>
      </c>
      <c r="BG303" s="178" t="str">
        <f t="shared" si="214"/>
        <v/>
      </c>
      <c r="BH303" s="179" t="str">
        <f t="shared" si="196"/>
        <v/>
      </c>
      <c r="BI303" s="180">
        <f t="shared" si="215"/>
        <v>101</v>
      </c>
      <c r="BJ303" s="181">
        <f t="shared" si="219"/>
        <v>285.73438589487972</v>
      </c>
      <c r="BK303" s="182">
        <f t="shared" si="216"/>
        <v>1.6999999999999999E-3</v>
      </c>
    </row>
    <row r="304" spans="1:63" x14ac:dyDescent="0.25">
      <c r="A304" s="7">
        <f t="shared" si="197"/>
        <v>25</v>
      </c>
      <c r="B304" s="7">
        <f t="shared" si="198"/>
        <v>75</v>
      </c>
      <c r="C304" s="115">
        <f t="shared" si="199"/>
        <v>54848</v>
      </c>
      <c r="D304" s="2">
        <f t="shared" si="182"/>
        <v>0.01</v>
      </c>
      <c r="E304" s="169">
        <f t="shared" si="200"/>
        <v>290</v>
      </c>
      <c r="F304" s="165">
        <f t="shared" si="201"/>
        <v>1392.8097654819421</v>
      </c>
      <c r="G304" s="170">
        <f t="shared" si="217"/>
        <v>1667.0063589718184</v>
      </c>
      <c r="H304" s="164" t="str">
        <f t="shared" si="220"/>
        <v>🚙</v>
      </c>
      <c r="I304" s="171" t="str">
        <f t="shared" si="183"/>
        <v>🚴‍♂️</v>
      </c>
      <c r="J304" s="172">
        <f t="shared" si="184"/>
        <v>1383.6152779466092</v>
      </c>
      <c r="K304" s="173">
        <f t="shared" si="185"/>
        <v>0.437878415531472</v>
      </c>
      <c r="L304" s="174">
        <f t="shared" si="186"/>
        <v>3159.8161244537605</v>
      </c>
      <c r="M304" s="175">
        <f t="shared" si="202"/>
        <v>165317.02061923523</v>
      </c>
      <c r="N304" s="15"/>
      <c r="O304" s="37" t="str">
        <f t="shared" si="179"/>
        <v/>
      </c>
      <c r="P304" s="62" t="str">
        <f t="shared" si="203"/>
        <v/>
      </c>
      <c r="Q304" s="16" t="str">
        <f t="shared" si="187"/>
        <v/>
      </c>
      <c r="R304" s="60">
        <f t="shared" si="204"/>
        <v>100</v>
      </c>
      <c r="S304" s="98">
        <f t="shared" si="205"/>
        <v>283.39108102520913</v>
      </c>
      <c r="T304" s="21">
        <f t="shared" si="206"/>
        <v>1.6999999999999999E-3</v>
      </c>
      <c r="AA304" s="14">
        <f t="shared" si="188"/>
        <v>-3159.8161244537605</v>
      </c>
      <c r="AH304" s="6">
        <f t="shared" si="189"/>
        <v>3</v>
      </c>
      <c r="AI304" s="6">
        <f t="shared" si="190"/>
        <v>9</v>
      </c>
      <c r="AJ304" s="12">
        <f t="shared" si="191"/>
        <v>25</v>
      </c>
      <c r="AK304" s="72">
        <f t="shared" si="181"/>
        <v>31</v>
      </c>
      <c r="AR304">
        <f t="shared" si="207"/>
        <v>25</v>
      </c>
      <c r="AS304">
        <f t="shared" si="208"/>
        <v>75</v>
      </c>
      <c r="AT304" s="183">
        <f t="shared" si="209"/>
        <v>54848</v>
      </c>
      <c r="AU304" s="2">
        <f t="shared" si="210"/>
        <v>0.01</v>
      </c>
      <c r="AV304" s="169">
        <f t="shared" si="211"/>
        <v>290</v>
      </c>
      <c r="AW304" s="165">
        <f t="shared" si="212"/>
        <v>1392.8097654819421</v>
      </c>
      <c r="AX304" s="170">
        <f t="shared" si="218"/>
        <v>1667.0063589718184</v>
      </c>
      <c r="AY304" s="164" t="str">
        <f t="shared" si="221"/>
        <v>🚙</v>
      </c>
      <c r="AZ304" s="171" t="str">
        <f t="shared" si="192"/>
        <v>🚴‍♂️</v>
      </c>
      <c r="BA304" s="172">
        <f t="shared" si="193"/>
        <v>1383.6152779466092</v>
      </c>
      <c r="BB304" s="173">
        <f t="shared" si="194"/>
        <v>0.437878415531472</v>
      </c>
      <c r="BC304" s="174">
        <f t="shared" si="195"/>
        <v>3159.8161244537605</v>
      </c>
      <c r="BD304" s="175">
        <f t="shared" si="213"/>
        <v>165317.02061923523</v>
      </c>
      <c r="BE304" s="188"/>
      <c r="BF304" s="177" t="str">
        <f t="shared" si="180"/>
        <v/>
      </c>
      <c r="BG304" s="178" t="str">
        <f t="shared" si="214"/>
        <v/>
      </c>
      <c r="BH304" s="179" t="str">
        <f t="shared" si="196"/>
        <v/>
      </c>
      <c r="BI304" s="180">
        <f t="shared" si="215"/>
        <v>100</v>
      </c>
      <c r="BJ304" s="181">
        <f t="shared" si="219"/>
        <v>283.39108102520913</v>
      </c>
      <c r="BK304" s="182">
        <f t="shared" si="216"/>
        <v>1.6999999999999999E-3</v>
      </c>
    </row>
    <row r="305" spans="1:63" x14ac:dyDescent="0.25">
      <c r="A305" s="7">
        <f t="shared" si="197"/>
        <v>25</v>
      </c>
      <c r="B305" s="7">
        <f t="shared" si="198"/>
        <v>75</v>
      </c>
      <c r="C305" s="115">
        <f t="shared" si="199"/>
        <v>54879</v>
      </c>
      <c r="D305" s="2">
        <f t="shared" si="182"/>
        <v>1.0101010101010102E-2</v>
      </c>
      <c r="E305" s="169">
        <f t="shared" si="200"/>
        <v>291</v>
      </c>
      <c r="F305" s="165">
        <f t="shared" si="201"/>
        <v>1381.2494444284421</v>
      </c>
      <c r="G305" s="170">
        <f t="shared" si="217"/>
        <v>1669.8688951437903</v>
      </c>
      <c r="H305" s="164" t="str">
        <f t="shared" si="220"/>
        <v>🚙</v>
      </c>
      <c r="I305" s="171" t="str">
        <f t="shared" si="183"/>
        <v>🚴‍♂️</v>
      </c>
      <c r="J305" s="172">
        <f t="shared" si="184"/>
        <v>1388.8299600910905</v>
      </c>
      <c r="K305" s="173">
        <f t="shared" si="185"/>
        <v>0.44074192411308349</v>
      </c>
      <c r="L305" s="174">
        <f t="shared" si="186"/>
        <v>3151.1183395722323</v>
      </c>
      <c r="M305" s="175">
        <f t="shared" si="202"/>
        <v>163928.19065914414</v>
      </c>
      <c r="N305" s="15"/>
      <c r="O305" s="37" t="str">
        <f t="shared" si="179"/>
        <v/>
      </c>
      <c r="P305" s="62" t="str">
        <f t="shared" si="203"/>
        <v/>
      </c>
      <c r="Q305" s="16" t="str">
        <f t="shared" si="187"/>
        <v/>
      </c>
      <c r="R305" s="60">
        <f t="shared" si="204"/>
        <v>99</v>
      </c>
      <c r="S305" s="98">
        <f t="shared" si="205"/>
        <v>281.03893505269986</v>
      </c>
      <c r="T305" s="21">
        <f t="shared" si="206"/>
        <v>1.6999999999999999E-3</v>
      </c>
      <c r="AA305" s="14">
        <f t="shared" si="188"/>
        <v>-3151.1183395722323</v>
      </c>
      <c r="AH305" s="6">
        <f t="shared" si="189"/>
        <v>3</v>
      </c>
      <c r="AI305" s="6">
        <f t="shared" si="190"/>
        <v>9</v>
      </c>
      <c r="AJ305" s="12">
        <f t="shared" si="191"/>
        <v>25</v>
      </c>
      <c r="AK305" s="72">
        <f t="shared" si="181"/>
        <v>30</v>
      </c>
      <c r="AR305">
        <f t="shared" si="207"/>
        <v>25</v>
      </c>
      <c r="AS305">
        <f t="shared" si="208"/>
        <v>75</v>
      </c>
      <c r="AT305" s="183">
        <f t="shared" si="209"/>
        <v>54879</v>
      </c>
      <c r="AU305" s="2">
        <f t="shared" si="210"/>
        <v>1.0101010101010102E-2</v>
      </c>
      <c r="AV305" s="169">
        <f t="shared" si="211"/>
        <v>291</v>
      </c>
      <c r="AW305" s="165">
        <f t="shared" si="212"/>
        <v>1381.2494444284421</v>
      </c>
      <c r="AX305" s="170">
        <f t="shared" si="218"/>
        <v>1669.8688951437903</v>
      </c>
      <c r="AY305" s="164" t="str">
        <f t="shared" si="221"/>
        <v>🚙</v>
      </c>
      <c r="AZ305" s="171" t="str">
        <f t="shared" si="192"/>
        <v>🚴‍♂️</v>
      </c>
      <c r="BA305" s="172">
        <f t="shared" si="193"/>
        <v>1388.8299600910905</v>
      </c>
      <c r="BB305" s="173">
        <f t="shared" si="194"/>
        <v>0.44074192411308349</v>
      </c>
      <c r="BC305" s="174">
        <f t="shared" si="195"/>
        <v>3151.1183395722323</v>
      </c>
      <c r="BD305" s="175">
        <f t="shared" si="213"/>
        <v>163928.19065914414</v>
      </c>
      <c r="BE305" s="188"/>
      <c r="BF305" s="177" t="str">
        <f t="shared" si="180"/>
        <v/>
      </c>
      <c r="BG305" s="178" t="str">
        <f t="shared" si="214"/>
        <v/>
      </c>
      <c r="BH305" s="179" t="str">
        <f t="shared" si="196"/>
        <v/>
      </c>
      <c r="BI305" s="180">
        <f t="shared" si="215"/>
        <v>99</v>
      </c>
      <c r="BJ305" s="181">
        <f t="shared" si="219"/>
        <v>281.03893505269986</v>
      </c>
      <c r="BK305" s="182">
        <f t="shared" si="216"/>
        <v>1.6999999999999999E-3</v>
      </c>
    </row>
    <row r="306" spans="1:63" x14ac:dyDescent="0.25">
      <c r="A306" s="7">
        <f t="shared" si="197"/>
        <v>25</v>
      </c>
      <c r="B306" s="7">
        <f t="shared" si="198"/>
        <v>75</v>
      </c>
      <c r="C306" s="115">
        <f t="shared" si="199"/>
        <v>54909</v>
      </c>
      <c r="D306" s="2">
        <f t="shared" si="182"/>
        <v>1.0204081632653062E-2</v>
      </c>
      <c r="E306" s="169">
        <f t="shared" si="200"/>
        <v>292</v>
      </c>
      <c r="F306" s="165">
        <f t="shared" si="201"/>
        <v>1369.6455538937839</v>
      </c>
      <c r="G306" s="170">
        <f t="shared" si="217"/>
        <v>1672.7366393790219</v>
      </c>
      <c r="H306" s="164" t="str">
        <f t="shared" si="220"/>
        <v>🚙</v>
      </c>
      <c r="I306" s="171" t="str">
        <f t="shared" si="183"/>
        <v>🚴‍♂️</v>
      </c>
      <c r="J306" s="172">
        <f t="shared" si="184"/>
        <v>1394.0587152584769</v>
      </c>
      <c r="K306" s="173">
        <f t="shared" si="185"/>
        <v>0.44363117835980292</v>
      </c>
      <c r="L306" s="174">
        <f t="shared" si="186"/>
        <v>3142.382193272806</v>
      </c>
      <c r="M306" s="175">
        <f t="shared" si="202"/>
        <v>162534.13194388564</v>
      </c>
      <c r="N306" s="15"/>
      <c r="O306" s="37" t="str">
        <f t="shared" si="179"/>
        <v/>
      </c>
      <c r="P306" s="62" t="str">
        <f t="shared" si="203"/>
        <v/>
      </c>
      <c r="Q306" s="16" t="str">
        <f t="shared" si="187"/>
        <v/>
      </c>
      <c r="R306" s="60">
        <f t="shared" si="204"/>
        <v>98</v>
      </c>
      <c r="S306" s="98">
        <f t="shared" si="205"/>
        <v>278.67792412054501</v>
      </c>
      <c r="T306" s="21">
        <f t="shared" si="206"/>
        <v>1.6999999999999999E-3</v>
      </c>
      <c r="AA306" s="14">
        <f t="shared" si="188"/>
        <v>-3142.382193272806</v>
      </c>
      <c r="AH306" s="6">
        <f t="shared" si="189"/>
        <v>3</v>
      </c>
      <c r="AI306" s="6">
        <f t="shared" si="190"/>
        <v>9</v>
      </c>
      <c r="AJ306" s="12">
        <f t="shared" si="191"/>
        <v>25</v>
      </c>
      <c r="AK306" s="72">
        <f t="shared" si="181"/>
        <v>31</v>
      </c>
      <c r="AR306">
        <f t="shared" si="207"/>
        <v>25</v>
      </c>
      <c r="AS306">
        <f t="shared" si="208"/>
        <v>75</v>
      </c>
      <c r="AT306" s="183">
        <f t="shared" si="209"/>
        <v>54909</v>
      </c>
      <c r="AU306" s="2">
        <f t="shared" si="210"/>
        <v>1.0204081632653062E-2</v>
      </c>
      <c r="AV306" s="169">
        <f t="shared" si="211"/>
        <v>292</v>
      </c>
      <c r="AW306" s="165">
        <f t="shared" si="212"/>
        <v>1369.6455538937839</v>
      </c>
      <c r="AX306" s="170">
        <f t="shared" si="218"/>
        <v>1672.7366393790219</v>
      </c>
      <c r="AY306" s="164" t="str">
        <f t="shared" si="221"/>
        <v>🚙</v>
      </c>
      <c r="AZ306" s="171" t="str">
        <f t="shared" si="192"/>
        <v>🚴‍♂️</v>
      </c>
      <c r="BA306" s="172">
        <f t="shared" si="193"/>
        <v>1394.0587152584769</v>
      </c>
      <c r="BB306" s="173">
        <f t="shared" si="194"/>
        <v>0.44363117835980292</v>
      </c>
      <c r="BC306" s="174">
        <f t="shared" si="195"/>
        <v>3142.382193272806</v>
      </c>
      <c r="BD306" s="175">
        <f t="shared" si="213"/>
        <v>162534.13194388564</v>
      </c>
      <c r="BE306" s="188"/>
      <c r="BF306" s="177" t="str">
        <f t="shared" si="180"/>
        <v/>
      </c>
      <c r="BG306" s="178" t="str">
        <f t="shared" si="214"/>
        <v/>
      </c>
      <c r="BH306" s="179" t="str">
        <f t="shared" si="196"/>
        <v/>
      </c>
      <c r="BI306" s="180">
        <f t="shared" si="215"/>
        <v>98</v>
      </c>
      <c r="BJ306" s="181">
        <f t="shared" si="219"/>
        <v>278.67792412054501</v>
      </c>
      <c r="BK306" s="182">
        <f t="shared" si="216"/>
        <v>1.6999999999999999E-3</v>
      </c>
    </row>
    <row r="307" spans="1:63" x14ac:dyDescent="0.25">
      <c r="A307" s="7">
        <f t="shared" si="197"/>
        <v>25</v>
      </c>
      <c r="B307" s="7">
        <f t="shared" si="198"/>
        <v>75</v>
      </c>
      <c r="C307" s="115">
        <f t="shared" si="199"/>
        <v>54940</v>
      </c>
      <c r="D307" s="2">
        <f t="shared" si="182"/>
        <v>1.0309278350515464E-2</v>
      </c>
      <c r="E307" s="169">
        <f t="shared" si="200"/>
        <v>293</v>
      </c>
      <c r="F307" s="165">
        <f t="shared" si="201"/>
        <v>1357.9979762956707</v>
      </c>
      <c r="G307" s="170">
        <f t="shared" si="217"/>
        <v>1675.6096076689241</v>
      </c>
      <c r="H307" s="164" t="str">
        <f t="shared" si="220"/>
        <v>🚙</v>
      </c>
      <c r="I307" s="171" t="str">
        <f t="shared" si="183"/>
        <v>🚴‍♂️</v>
      </c>
      <c r="J307" s="172">
        <f t="shared" si="184"/>
        <v>1399.3015833643185</v>
      </c>
      <c r="K307" s="173">
        <f t="shared" si="185"/>
        <v>0.44654652692470909</v>
      </c>
      <c r="L307" s="174">
        <f t="shared" si="186"/>
        <v>3133.6075839645946</v>
      </c>
      <c r="M307" s="175">
        <f t="shared" si="202"/>
        <v>161134.83036052133</v>
      </c>
      <c r="N307" s="15"/>
      <c r="O307" s="37" t="str">
        <f t="shared" si="179"/>
        <v/>
      </c>
      <c r="P307" s="62" t="str">
        <f t="shared" si="203"/>
        <v/>
      </c>
      <c r="Q307" s="16" t="str">
        <f t="shared" si="187"/>
        <v/>
      </c>
      <c r="R307" s="60">
        <f t="shared" si="204"/>
        <v>97</v>
      </c>
      <c r="S307" s="98">
        <f t="shared" si="205"/>
        <v>276.30802430460557</v>
      </c>
      <c r="T307" s="21">
        <f t="shared" si="206"/>
        <v>1.6999999999999999E-3</v>
      </c>
      <c r="AA307" s="14">
        <f t="shared" si="188"/>
        <v>-3133.6075839645946</v>
      </c>
      <c r="AH307" s="6">
        <f t="shared" si="189"/>
        <v>3</v>
      </c>
      <c r="AI307" s="6">
        <f t="shared" si="190"/>
        <v>9</v>
      </c>
      <c r="AJ307" s="12">
        <f t="shared" si="191"/>
        <v>25</v>
      </c>
      <c r="AK307" s="72">
        <f t="shared" si="181"/>
        <v>30</v>
      </c>
      <c r="AR307">
        <f t="shared" si="207"/>
        <v>25</v>
      </c>
      <c r="AS307">
        <f t="shared" si="208"/>
        <v>75</v>
      </c>
      <c r="AT307" s="183">
        <f t="shared" si="209"/>
        <v>54940</v>
      </c>
      <c r="AU307" s="2">
        <f t="shared" si="210"/>
        <v>1.0309278350515464E-2</v>
      </c>
      <c r="AV307" s="169">
        <f t="shared" si="211"/>
        <v>293</v>
      </c>
      <c r="AW307" s="165">
        <f t="shared" si="212"/>
        <v>1357.9979762956707</v>
      </c>
      <c r="AX307" s="170">
        <f t="shared" si="218"/>
        <v>1675.6096076689241</v>
      </c>
      <c r="AY307" s="164" t="str">
        <f t="shared" si="221"/>
        <v>🚙</v>
      </c>
      <c r="AZ307" s="171" t="str">
        <f t="shared" si="192"/>
        <v>🚴‍♂️</v>
      </c>
      <c r="BA307" s="172">
        <f t="shared" si="193"/>
        <v>1399.3015833643185</v>
      </c>
      <c r="BB307" s="173">
        <f t="shared" si="194"/>
        <v>0.44654652692470909</v>
      </c>
      <c r="BC307" s="174">
        <f t="shared" si="195"/>
        <v>3133.6075839645946</v>
      </c>
      <c r="BD307" s="175">
        <f t="shared" si="213"/>
        <v>161134.83036052133</v>
      </c>
      <c r="BE307" s="188"/>
      <c r="BF307" s="177" t="str">
        <f t="shared" si="180"/>
        <v/>
      </c>
      <c r="BG307" s="178" t="str">
        <f t="shared" si="214"/>
        <v/>
      </c>
      <c r="BH307" s="179" t="str">
        <f t="shared" si="196"/>
        <v/>
      </c>
      <c r="BI307" s="180">
        <f t="shared" si="215"/>
        <v>97</v>
      </c>
      <c r="BJ307" s="181">
        <f t="shared" si="219"/>
        <v>276.30802430460557</v>
      </c>
      <c r="BK307" s="182">
        <f t="shared" si="216"/>
        <v>1.6999999999999999E-3</v>
      </c>
    </row>
    <row r="308" spans="1:63" x14ac:dyDescent="0.25">
      <c r="A308" s="7">
        <f t="shared" si="197"/>
        <v>25</v>
      </c>
      <c r="B308" s="7">
        <f t="shared" si="198"/>
        <v>75</v>
      </c>
      <c r="C308" s="115">
        <f t="shared" si="199"/>
        <v>54970</v>
      </c>
      <c r="D308" s="2">
        <f t="shared" si="182"/>
        <v>1.0416666666666666E-2</v>
      </c>
      <c r="E308" s="169">
        <f t="shared" si="200"/>
        <v>294</v>
      </c>
      <c r="F308" s="165">
        <f t="shared" si="201"/>
        <v>1346.3065937183046</v>
      </c>
      <c r="G308" s="170">
        <f t="shared" si="217"/>
        <v>1678.4878162554305</v>
      </c>
      <c r="H308" s="164" t="str">
        <f t="shared" si="220"/>
        <v>🚙</v>
      </c>
      <c r="I308" s="171" t="str">
        <f t="shared" si="183"/>
        <v>🚴‍♂️</v>
      </c>
      <c r="J308" s="172">
        <f t="shared" si="184"/>
        <v>1404.5586046425442</v>
      </c>
      <c r="K308" s="173">
        <f t="shared" si="185"/>
        <v>0.44948832478689371</v>
      </c>
      <c r="L308" s="174">
        <f t="shared" si="186"/>
        <v>3124.7944099737351</v>
      </c>
      <c r="M308" s="175">
        <f t="shared" si="202"/>
        <v>159730.27175587878</v>
      </c>
      <c r="N308" s="15"/>
      <c r="O308" s="37" t="str">
        <f t="shared" si="179"/>
        <v/>
      </c>
      <c r="P308" s="62" t="str">
        <f t="shared" si="203"/>
        <v/>
      </c>
      <c r="Q308" s="16" t="str">
        <f t="shared" si="187"/>
        <v/>
      </c>
      <c r="R308" s="60">
        <f t="shared" si="204"/>
        <v>96</v>
      </c>
      <c r="S308" s="98">
        <f t="shared" si="205"/>
        <v>273.92921161288626</v>
      </c>
      <c r="T308" s="21">
        <f t="shared" si="206"/>
        <v>1.6999999999999999E-3</v>
      </c>
      <c r="AA308" s="14">
        <f t="shared" si="188"/>
        <v>-3124.7944099737351</v>
      </c>
      <c r="AH308" s="6">
        <f t="shared" si="189"/>
        <v>3</v>
      </c>
      <c r="AI308" s="6">
        <f t="shared" si="190"/>
        <v>9</v>
      </c>
      <c r="AJ308" s="12">
        <f t="shared" si="191"/>
        <v>25</v>
      </c>
      <c r="AK308" s="72">
        <f t="shared" si="181"/>
        <v>31</v>
      </c>
      <c r="AR308">
        <f t="shared" si="207"/>
        <v>25</v>
      </c>
      <c r="AS308">
        <f t="shared" si="208"/>
        <v>75</v>
      </c>
      <c r="AT308" s="183">
        <f t="shared" si="209"/>
        <v>54970</v>
      </c>
      <c r="AU308" s="2">
        <f t="shared" si="210"/>
        <v>1.0416666666666666E-2</v>
      </c>
      <c r="AV308" s="169">
        <f t="shared" si="211"/>
        <v>294</v>
      </c>
      <c r="AW308" s="165">
        <f t="shared" si="212"/>
        <v>1346.3065937183046</v>
      </c>
      <c r="AX308" s="170">
        <f t="shared" si="218"/>
        <v>1678.4878162554305</v>
      </c>
      <c r="AY308" s="164" t="str">
        <f t="shared" si="221"/>
        <v>🚙</v>
      </c>
      <c r="AZ308" s="171" t="str">
        <f t="shared" si="192"/>
        <v>🚴‍♂️</v>
      </c>
      <c r="BA308" s="172">
        <f t="shared" si="193"/>
        <v>1404.5586046425442</v>
      </c>
      <c r="BB308" s="173">
        <f t="shared" si="194"/>
        <v>0.44948832478689371</v>
      </c>
      <c r="BC308" s="174">
        <f t="shared" si="195"/>
        <v>3124.7944099737351</v>
      </c>
      <c r="BD308" s="175">
        <f t="shared" si="213"/>
        <v>159730.27175587878</v>
      </c>
      <c r="BE308" s="188"/>
      <c r="BF308" s="177" t="str">
        <f t="shared" si="180"/>
        <v/>
      </c>
      <c r="BG308" s="178" t="str">
        <f t="shared" si="214"/>
        <v/>
      </c>
      <c r="BH308" s="179" t="str">
        <f t="shared" si="196"/>
        <v/>
      </c>
      <c r="BI308" s="180">
        <f t="shared" si="215"/>
        <v>96</v>
      </c>
      <c r="BJ308" s="181">
        <f t="shared" si="219"/>
        <v>273.92921161288626</v>
      </c>
      <c r="BK308" s="182">
        <f t="shared" si="216"/>
        <v>1.6999999999999999E-3</v>
      </c>
    </row>
    <row r="309" spans="1:63" x14ac:dyDescent="0.25">
      <c r="A309" s="7">
        <f t="shared" si="197"/>
        <v>25</v>
      </c>
      <c r="B309" s="7">
        <f t="shared" si="198"/>
        <v>75</v>
      </c>
      <c r="C309" s="115">
        <f t="shared" si="199"/>
        <v>55001</v>
      </c>
      <c r="D309" s="2">
        <f t="shared" si="182"/>
        <v>1.0526315789473684E-2</v>
      </c>
      <c r="E309" s="169">
        <f t="shared" si="200"/>
        <v>295</v>
      </c>
      <c r="F309" s="165">
        <f t="shared" si="201"/>
        <v>1334.5712879097268</v>
      </c>
      <c r="G309" s="170">
        <f t="shared" si="217"/>
        <v>1681.3712816408292</v>
      </c>
      <c r="H309" s="164" t="str">
        <f t="shared" si="220"/>
        <v>🚙</v>
      </c>
      <c r="I309" s="171" t="str">
        <f t="shared" si="183"/>
        <v>🚴‍♂️</v>
      </c>
      <c r="J309" s="172">
        <f t="shared" si="184"/>
        <v>1409.8298196558353</v>
      </c>
      <c r="K309" s="173">
        <f t="shared" si="185"/>
        <v>0.45245693339565923</v>
      </c>
      <c r="L309" s="174">
        <f t="shared" si="186"/>
        <v>3115.9425695505561</v>
      </c>
      <c r="M309" s="175">
        <f t="shared" si="202"/>
        <v>158320.44193622295</v>
      </c>
      <c r="N309" s="15"/>
      <c r="O309" s="37" t="str">
        <f t="shared" si="179"/>
        <v/>
      </c>
      <c r="P309" s="62" t="str">
        <f t="shared" si="203"/>
        <v/>
      </c>
      <c r="Q309" s="16" t="str">
        <f t="shared" si="187"/>
        <v/>
      </c>
      <c r="R309" s="60">
        <f t="shared" si="204"/>
        <v>95</v>
      </c>
      <c r="S309" s="98">
        <f t="shared" si="205"/>
        <v>271.54146198499393</v>
      </c>
      <c r="T309" s="21">
        <f t="shared" si="206"/>
        <v>1.6999999999999999E-3</v>
      </c>
      <c r="AA309" s="14">
        <f t="shared" si="188"/>
        <v>-3115.9425695505561</v>
      </c>
      <c r="AH309" s="6">
        <f t="shared" si="189"/>
        <v>3</v>
      </c>
      <c r="AI309" s="6">
        <f t="shared" si="190"/>
        <v>9</v>
      </c>
      <c r="AJ309" s="12">
        <f t="shared" si="191"/>
        <v>25</v>
      </c>
      <c r="AK309" s="72">
        <f t="shared" si="181"/>
        <v>31</v>
      </c>
      <c r="AR309">
        <f t="shared" si="207"/>
        <v>25</v>
      </c>
      <c r="AS309">
        <f t="shared" si="208"/>
        <v>75</v>
      </c>
      <c r="AT309" s="183">
        <f t="shared" si="209"/>
        <v>55001</v>
      </c>
      <c r="AU309" s="2">
        <f t="shared" si="210"/>
        <v>1.0526315789473684E-2</v>
      </c>
      <c r="AV309" s="169">
        <f t="shared" si="211"/>
        <v>295</v>
      </c>
      <c r="AW309" s="165">
        <f t="shared" si="212"/>
        <v>1334.5712879097268</v>
      </c>
      <c r="AX309" s="170">
        <f t="shared" si="218"/>
        <v>1681.3712816408292</v>
      </c>
      <c r="AY309" s="164" t="str">
        <f t="shared" si="221"/>
        <v>🚙</v>
      </c>
      <c r="AZ309" s="171" t="str">
        <f t="shared" si="192"/>
        <v>🚴‍♂️</v>
      </c>
      <c r="BA309" s="172">
        <f t="shared" si="193"/>
        <v>1409.8298196558353</v>
      </c>
      <c r="BB309" s="173">
        <f t="shared" si="194"/>
        <v>0.45245693339565923</v>
      </c>
      <c r="BC309" s="174">
        <f t="shared" si="195"/>
        <v>3115.9425695505561</v>
      </c>
      <c r="BD309" s="175">
        <f t="shared" si="213"/>
        <v>158320.44193622295</v>
      </c>
      <c r="BE309" s="188"/>
      <c r="BF309" s="177" t="str">
        <f t="shared" si="180"/>
        <v/>
      </c>
      <c r="BG309" s="178" t="str">
        <f t="shared" si="214"/>
        <v/>
      </c>
      <c r="BH309" s="179" t="str">
        <f t="shared" si="196"/>
        <v/>
      </c>
      <c r="BI309" s="180">
        <f t="shared" si="215"/>
        <v>95</v>
      </c>
      <c r="BJ309" s="181">
        <f t="shared" si="219"/>
        <v>271.54146198499393</v>
      </c>
      <c r="BK309" s="182">
        <f t="shared" si="216"/>
        <v>1.6999999999999999E-3</v>
      </c>
    </row>
    <row r="310" spans="1:63" x14ac:dyDescent="0.25">
      <c r="A310" s="7">
        <f t="shared" si="197"/>
        <v>25</v>
      </c>
      <c r="B310" s="7">
        <f t="shared" si="198"/>
        <v>75</v>
      </c>
      <c r="C310" s="115">
        <f t="shared" si="199"/>
        <v>55032</v>
      </c>
      <c r="D310" s="2">
        <f t="shared" si="182"/>
        <v>1.0638297872340427E-2</v>
      </c>
      <c r="E310" s="169">
        <f t="shared" si="200"/>
        <v>296</v>
      </c>
      <c r="F310" s="165">
        <f t="shared" si="201"/>
        <v>1322.791940279071</v>
      </c>
      <c r="G310" s="170">
        <f t="shared" si="217"/>
        <v>1684.2600205981166</v>
      </c>
      <c r="H310" s="164" t="str">
        <f t="shared" si="220"/>
        <v>🚙</v>
      </c>
      <c r="I310" s="171" t="str">
        <f t="shared" si="183"/>
        <v>🚴‍♂️</v>
      </c>
      <c r="J310" s="172">
        <f t="shared" si="184"/>
        <v>1415.1152693065376</v>
      </c>
      <c r="K310" s="173">
        <f t="shared" si="185"/>
        <v>0.45545272081868249</v>
      </c>
      <c r="L310" s="174">
        <f t="shared" si="186"/>
        <v>3107.0519608771874</v>
      </c>
      <c r="M310" s="175">
        <f t="shared" si="202"/>
        <v>156905.3266669164</v>
      </c>
      <c r="N310" s="15"/>
      <c r="O310" s="37" t="str">
        <f t="shared" si="179"/>
        <v/>
      </c>
      <c r="P310" s="62" t="str">
        <f t="shared" si="203"/>
        <v/>
      </c>
      <c r="Q310" s="16" t="str">
        <f t="shared" si="187"/>
        <v/>
      </c>
      <c r="R310" s="60">
        <f t="shared" si="204"/>
        <v>94</v>
      </c>
      <c r="S310" s="98">
        <f t="shared" si="205"/>
        <v>269.14475129157898</v>
      </c>
      <c r="T310" s="21">
        <f t="shared" si="206"/>
        <v>1.6999999999999999E-3</v>
      </c>
      <c r="AA310" s="14">
        <f t="shared" si="188"/>
        <v>-3107.0519608771874</v>
      </c>
      <c r="AH310" s="6">
        <f t="shared" si="189"/>
        <v>3</v>
      </c>
      <c r="AI310" s="6">
        <f t="shared" si="190"/>
        <v>9</v>
      </c>
      <c r="AJ310" s="12">
        <f t="shared" si="191"/>
        <v>25</v>
      </c>
      <c r="AK310" s="72">
        <f t="shared" si="181"/>
        <v>30</v>
      </c>
      <c r="AR310">
        <f t="shared" si="207"/>
        <v>25</v>
      </c>
      <c r="AS310">
        <f t="shared" si="208"/>
        <v>75</v>
      </c>
      <c r="AT310" s="183">
        <f t="shared" si="209"/>
        <v>55032</v>
      </c>
      <c r="AU310" s="2">
        <f t="shared" si="210"/>
        <v>1.0638297872340427E-2</v>
      </c>
      <c r="AV310" s="169">
        <f t="shared" si="211"/>
        <v>296</v>
      </c>
      <c r="AW310" s="165">
        <f t="shared" si="212"/>
        <v>1322.791940279071</v>
      </c>
      <c r="AX310" s="170">
        <f t="shared" si="218"/>
        <v>1684.2600205981166</v>
      </c>
      <c r="AY310" s="164" t="str">
        <f t="shared" si="221"/>
        <v>🚙</v>
      </c>
      <c r="AZ310" s="171" t="str">
        <f t="shared" si="192"/>
        <v>🚴‍♂️</v>
      </c>
      <c r="BA310" s="172">
        <f t="shared" si="193"/>
        <v>1415.1152693065376</v>
      </c>
      <c r="BB310" s="173">
        <f t="shared" si="194"/>
        <v>0.45545272081868249</v>
      </c>
      <c r="BC310" s="174">
        <f t="shared" si="195"/>
        <v>3107.0519608771874</v>
      </c>
      <c r="BD310" s="175">
        <f t="shared" si="213"/>
        <v>156905.3266669164</v>
      </c>
      <c r="BE310" s="188"/>
      <c r="BF310" s="177" t="str">
        <f t="shared" si="180"/>
        <v/>
      </c>
      <c r="BG310" s="178" t="str">
        <f t="shared" si="214"/>
        <v/>
      </c>
      <c r="BH310" s="179" t="str">
        <f t="shared" si="196"/>
        <v/>
      </c>
      <c r="BI310" s="180">
        <f t="shared" si="215"/>
        <v>94</v>
      </c>
      <c r="BJ310" s="181">
        <f t="shared" si="219"/>
        <v>269.14475129157898</v>
      </c>
      <c r="BK310" s="182">
        <f t="shared" si="216"/>
        <v>1.6999999999999999E-3</v>
      </c>
    </row>
    <row r="311" spans="1:63" x14ac:dyDescent="0.25">
      <c r="A311" s="7">
        <f t="shared" si="197"/>
        <v>25</v>
      </c>
      <c r="B311" s="7">
        <f t="shared" si="198"/>
        <v>75</v>
      </c>
      <c r="C311" s="115">
        <f t="shared" si="199"/>
        <v>55062</v>
      </c>
      <c r="D311" s="2">
        <f t="shared" si="182"/>
        <v>1.075268817204301E-2</v>
      </c>
      <c r="E311" s="169">
        <f t="shared" si="200"/>
        <v>297</v>
      </c>
      <c r="F311" s="165">
        <f t="shared" si="201"/>
        <v>1310.9684318937254</v>
      </c>
      <c r="G311" s="170">
        <f t="shared" si="217"/>
        <v>1687.1540501818968</v>
      </c>
      <c r="H311" s="164" t="str">
        <f t="shared" si="220"/>
        <v>🚙</v>
      </c>
      <c r="I311" s="171" t="str">
        <f t="shared" si="183"/>
        <v>🚴‍♂️</v>
      </c>
      <c r="J311" s="172">
        <f t="shared" si="184"/>
        <v>1420.414994848139</v>
      </c>
      <c r="K311" s="173">
        <f t="shared" si="185"/>
        <v>0.45847606189427209</v>
      </c>
      <c r="L311" s="174">
        <f t="shared" si="186"/>
        <v>3098.1224820756224</v>
      </c>
      <c r="M311" s="175">
        <f t="shared" si="202"/>
        <v>155484.91167206824</v>
      </c>
      <c r="N311" s="15"/>
      <c r="O311" s="37" t="str">
        <f t="shared" si="179"/>
        <v/>
      </c>
      <c r="P311" s="62" t="str">
        <f t="shared" si="203"/>
        <v/>
      </c>
      <c r="Q311" s="16" t="str">
        <f t="shared" si="187"/>
        <v/>
      </c>
      <c r="R311" s="60">
        <f t="shared" si="204"/>
        <v>93</v>
      </c>
      <c r="S311" s="98">
        <f t="shared" si="205"/>
        <v>266.73905533375785</v>
      </c>
      <c r="T311" s="21">
        <f t="shared" si="206"/>
        <v>1.6999999999999999E-3</v>
      </c>
      <c r="AA311" s="14">
        <f t="shared" si="188"/>
        <v>-3098.1224820756224</v>
      </c>
      <c r="AH311" s="6">
        <f t="shared" si="189"/>
        <v>3</v>
      </c>
      <c r="AI311" s="6">
        <f t="shared" si="190"/>
        <v>9</v>
      </c>
      <c r="AJ311" s="12">
        <f t="shared" si="191"/>
        <v>25</v>
      </c>
      <c r="AK311" s="72">
        <f t="shared" si="181"/>
        <v>31</v>
      </c>
      <c r="AR311">
        <f t="shared" si="207"/>
        <v>25</v>
      </c>
      <c r="AS311">
        <f t="shared" si="208"/>
        <v>75</v>
      </c>
      <c r="AT311" s="183">
        <f t="shared" si="209"/>
        <v>55062</v>
      </c>
      <c r="AU311" s="2">
        <f t="shared" si="210"/>
        <v>1.075268817204301E-2</v>
      </c>
      <c r="AV311" s="169">
        <f t="shared" si="211"/>
        <v>297</v>
      </c>
      <c r="AW311" s="165">
        <f t="shared" si="212"/>
        <v>1310.9684318937254</v>
      </c>
      <c r="AX311" s="170">
        <f t="shared" si="218"/>
        <v>1687.1540501818968</v>
      </c>
      <c r="AY311" s="164" t="str">
        <f t="shared" si="221"/>
        <v>🚙</v>
      </c>
      <c r="AZ311" s="171" t="str">
        <f t="shared" si="192"/>
        <v>🚴‍♂️</v>
      </c>
      <c r="BA311" s="172">
        <f t="shared" si="193"/>
        <v>1420.414994848139</v>
      </c>
      <c r="BB311" s="173">
        <f t="shared" si="194"/>
        <v>0.45847606189427209</v>
      </c>
      <c r="BC311" s="174">
        <f t="shared" si="195"/>
        <v>3098.1224820756224</v>
      </c>
      <c r="BD311" s="175">
        <f t="shared" si="213"/>
        <v>155484.91167206824</v>
      </c>
      <c r="BE311" s="188"/>
      <c r="BF311" s="177" t="str">
        <f t="shared" si="180"/>
        <v/>
      </c>
      <c r="BG311" s="178" t="str">
        <f t="shared" si="214"/>
        <v/>
      </c>
      <c r="BH311" s="179" t="str">
        <f t="shared" si="196"/>
        <v/>
      </c>
      <c r="BI311" s="180">
        <f t="shared" si="215"/>
        <v>93</v>
      </c>
      <c r="BJ311" s="181">
        <f t="shared" si="219"/>
        <v>266.73905533375785</v>
      </c>
      <c r="BK311" s="182">
        <f t="shared" si="216"/>
        <v>1.6999999999999999E-3</v>
      </c>
    </row>
    <row r="312" spans="1:63" x14ac:dyDescent="0.25">
      <c r="A312" s="7">
        <f t="shared" si="197"/>
        <v>25</v>
      </c>
      <c r="B312" s="7">
        <f t="shared" si="198"/>
        <v>75</v>
      </c>
      <c r="C312" s="115">
        <f t="shared" si="199"/>
        <v>55093</v>
      </c>
      <c r="D312" s="2">
        <f t="shared" si="182"/>
        <v>1.0869565217391304E-2</v>
      </c>
      <c r="E312" s="169">
        <f t="shared" si="200"/>
        <v>298</v>
      </c>
      <c r="F312" s="165">
        <f t="shared" si="201"/>
        <v>1299.100643476399</v>
      </c>
      <c r="G312" s="170">
        <f t="shared" si="217"/>
        <v>1690.0533877398721</v>
      </c>
      <c r="H312" s="164" t="str">
        <f t="shared" si="220"/>
        <v>🚙</v>
      </c>
      <c r="I312" s="171" t="str">
        <f t="shared" si="183"/>
        <v>🚴‍♂️</v>
      </c>
      <c r="J312" s="172">
        <f t="shared" si="184"/>
        <v>1425.7290378973562</v>
      </c>
      <c r="K312" s="173">
        <f t="shared" si="185"/>
        <v>0.46152733838785431</v>
      </c>
      <c r="L312" s="174">
        <f t="shared" si="186"/>
        <v>3089.1540312162711</v>
      </c>
      <c r="M312" s="175">
        <f t="shared" si="202"/>
        <v>154059.18263417089</v>
      </c>
      <c r="N312" s="15"/>
      <c r="O312" s="37" t="str">
        <f t="shared" si="179"/>
        <v/>
      </c>
      <c r="P312" s="62" t="str">
        <f t="shared" si="203"/>
        <v/>
      </c>
      <c r="Q312" s="16" t="str">
        <f t="shared" si="187"/>
        <v/>
      </c>
      <c r="R312" s="60">
        <f t="shared" si="204"/>
        <v>92</v>
      </c>
      <c r="S312" s="98">
        <f t="shared" si="205"/>
        <v>264.32434984251597</v>
      </c>
      <c r="T312" s="21">
        <f t="shared" si="206"/>
        <v>1.6999999999999999E-3</v>
      </c>
      <c r="AA312" s="14">
        <f t="shared" si="188"/>
        <v>-3089.1540312162711</v>
      </c>
      <c r="AH312" s="6">
        <f t="shared" si="189"/>
        <v>3</v>
      </c>
      <c r="AI312" s="6">
        <f t="shared" si="190"/>
        <v>9</v>
      </c>
      <c r="AJ312" s="12">
        <f t="shared" si="191"/>
        <v>25</v>
      </c>
      <c r="AK312" s="72">
        <f t="shared" si="181"/>
        <v>30</v>
      </c>
      <c r="AR312">
        <f t="shared" si="207"/>
        <v>25</v>
      </c>
      <c r="AS312">
        <f t="shared" si="208"/>
        <v>75</v>
      </c>
      <c r="AT312" s="183">
        <f t="shared" si="209"/>
        <v>55093</v>
      </c>
      <c r="AU312" s="2">
        <f t="shared" si="210"/>
        <v>1.0869565217391304E-2</v>
      </c>
      <c r="AV312" s="169">
        <f t="shared" si="211"/>
        <v>298</v>
      </c>
      <c r="AW312" s="165">
        <f t="shared" si="212"/>
        <v>1299.100643476399</v>
      </c>
      <c r="AX312" s="170">
        <f t="shared" si="218"/>
        <v>1690.0533877398721</v>
      </c>
      <c r="AY312" s="164" t="str">
        <f t="shared" si="221"/>
        <v>🚙</v>
      </c>
      <c r="AZ312" s="171" t="str">
        <f t="shared" si="192"/>
        <v>🚴‍♂️</v>
      </c>
      <c r="BA312" s="172">
        <f t="shared" si="193"/>
        <v>1425.7290378973562</v>
      </c>
      <c r="BB312" s="173">
        <f t="shared" si="194"/>
        <v>0.46152733838785431</v>
      </c>
      <c r="BC312" s="174">
        <f t="shared" si="195"/>
        <v>3089.1540312162711</v>
      </c>
      <c r="BD312" s="175">
        <f t="shared" si="213"/>
        <v>154059.18263417089</v>
      </c>
      <c r="BE312" s="188"/>
      <c r="BF312" s="177" t="str">
        <f t="shared" si="180"/>
        <v/>
      </c>
      <c r="BG312" s="178" t="str">
        <f t="shared" si="214"/>
        <v/>
      </c>
      <c r="BH312" s="179" t="str">
        <f t="shared" si="196"/>
        <v/>
      </c>
      <c r="BI312" s="180">
        <f t="shared" si="215"/>
        <v>92</v>
      </c>
      <c r="BJ312" s="181">
        <f t="shared" si="219"/>
        <v>264.32434984251597</v>
      </c>
      <c r="BK312" s="182">
        <f t="shared" si="216"/>
        <v>1.6999999999999999E-3</v>
      </c>
    </row>
    <row r="313" spans="1:63" x14ac:dyDescent="0.25">
      <c r="A313" s="7">
        <f t="shared" si="197"/>
        <v>25</v>
      </c>
      <c r="B313" s="7">
        <f t="shared" si="198"/>
        <v>75</v>
      </c>
      <c r="C313" s="115">
        <f t="shared" si="199"/>
        <v>55123</v>
      </c>
      <c r="D313" s="2">
        <f t="shared" si="182"/>
        <v>1.098901098901099E-2</v>
      </c>
      <c r="E313" s="169">
        <f t="shared" si="200"/>
        <v>299</v>
      </c>
      <c r="F313" s="165">
        <f t="shared" si="201"/>
        <v>1287.1884554020874</v>
      </c>
      <c r="G313" s="170">
        <f t="shared" si="217"/>
        <v>1692.9580509249549</v>
      </c>
      <c r="H313" s="164" t="str">
        <f t="shared" si="220"/>
        <v>🚙</v>
      </c>
      <c r="I313" s="171" t="str">
        <f t="shared" si="183"/>
        <v>🚴‍♂️</v>
      </c>
      <c r="J313" s="172">
        <f t="shared" si="184"/>
        <v>1431.0574404468643</v>
      </c>
      <c r="K313" s="173">
        <f t="shared" si="185"/>
        <v>0.46460693915282164</v>
      </c>
      <c r="L313" s="174">
        <f t="shared" si="186"/>
        <v>3080.1465063270425</v>
      </c>
      <c r="M313" s="175">
        <f t="shared" si="202"/>
        <v>152628.12519372403</v>
      </c>
      <c r="N313" s="15"/>
      <c r="O313" s="37" t="str">
        <f t="shared" si="179"/>
        <v/>
      </c>
      <c r="P313" s="62" t="str">
        <f t="shared" si="203"/>
        <v/>
      </c>
      <c r="Q313" s="16" t="str">
        <f t="shared" si="187"/>
        <v/>
      </c>
      <c r="R313" s="60">
        <f t="shared" si="204"/>
        <v>91</v>
      </c>
      <c r="S313" s="98">
        <f t="shared" si="205"/>
        <v>261.90061047809053</v>
      </c>
      <c r="T313" s="21">
        <f t="shared" si="206"/>
        <v>1.6999999999999999E-3</v>
      </c>
      <c r="AA313" s="14">
        <f t="shared" si="188"/>
        <v>-3080.1465063270425</v>
      </c>
      <c r="AH313" s="6">
        <f t="shared" si="189"/>
        <v>3</v>
      </c>
      <c r="AI313" s="6">
        <f t="shared" si="190"/>
        <v>9</v>
      </c>
      <c r="AJ313" s="12">
        <f t="shared" si="191"/>
        <v>25</v>
      </c>
      <c r="AK313" s="72">
        <f t="shared" si="181"/>
        <v>31</v>
      </c>
      <c r="AR313">
        <f t="shared" si="207"/>
        <v>25</v>
      </c>
      <c r="AS313">
        <f t="shared" si="208"/>
        <v>75</v>
      </c>
      <c r="AT313" s="183">
        <f t="shared" si="209"/>
        <v>55123</v>
      </c>
      <c r="AU313" s="2">
        <f t="shared" si="210"/>
        <v>1.098901098901099E-2</v>
      </c>
      <c r="AV313" s="169">
        <f t="shared" si="211"/>
        <v>299</v>
      </c>
      <c r="AW313" s="165">
        <f t="shared" si="212"/>
        <v>1287.1884554020874</v>
      </c>
      <c r="AX313" s="170">
        <f t="shared" si="218"/>
        <v>1692.9580509249549</v>
      </c>
      <c r="AY313" s="164" t="str">
        <f t="shared" si="221"/>
        <v>🚙</v>
      </c>
      <c r="AZ313" s="171" t="str">
        <f t="shared" si="192"/>
        <v>🚴‍♂️</v>
      </c>
      <c r="BA313" s="172">
        <f t="shared" si="193"/>
        <v>1431.0574404468643</v>
      </c>
      <c r="BB313" s="173">
        <f t="shared" si="194"/>
        <v>0.46460693915282164</v>
      </c>
      <c r="BC313" s="174">
        <f t="shared" si="195"/>
        <v>3080.1465063270425</v>
      </c>
      <c r="BD313" s="175">
        <f t="shared" si="213"/>
        <v>152628.12519372403</v>
      </c>
      <c r="BE313" s="188"/>
      <c r="BF313" s="177" t="str">
        <f t="shared" si="180"/>
        <v/>
      </c>
      <c r="BG313" s="178" t="str">
        <f t="shared" si="214"/>
        <v/>
      </c>
      <c r="BH313" s="179" t="str">
        <f t="shared" si="196"/>
        <v/>
      </c>
      <c r="BI313" s="180">
        <f t="shared" si="215"/>
        <v>91</v>
      </c>
      <c r="BJ313" s="181">
        <f t="shared" si="219"/>
        <v>261.90061047809053</v>
      </c>
      <c r="BK313" s="182">
        <f t="shared" si="216"/>
        <v>1.6999999999999999E-3</v>
      </c>
    </row>
    <row r="314" spans="1:63" x14ac:dyDescent="0.25">
      <c r="A314" s="7">
        <f t="shared" si="197"/>
        <v>25</v>
      </c>
      <c r="B314" s="7">
        <f t="shared" si="198"/>
        <v>75</v>
      </c>
      <c r="C314" s="115">
        <f t="shared" si="199"/>
        <v>55154</v>
      </c>
      <c r="D314" s="2">
        <f t="shared" si="182"/>
        <v>1.1111111111111112E-2</v>
      </c>
      <c r="E314" s="169">
        <f t="shared" si="200"/>
        <v>300</v>
      </c>
      <c r="F314" s="165">
        <f t="shared" si="201"/>
        <v>1275.2317476949293</v>
      </c>
      <c r="G314" s="170">
        <f t="shared" si="217"/>
        <v>1695.8680577080447</v>
      </c>
      <c r="H314" s="164" t="str">
        <f t="shared" si="220"/>
        <v>🚙</v>
      </c>
      <c r="I314" s="171" t="str">
        <f t="shared" si="183"/>
        <v>🚴‍♂️</v>
      </c>
      <c r="J314" s="172">
        <f t="shared" si="184"/>
        <v>1436.4002448787139</v>
      </c>
      <c r="K314" s="173">
        <f t="shared" si="185"/>
        <v>0.46771526029589156</v>
      </c>
      <c r="L314" s="174">
        <f t="shared" si="186"/>
        <v>3071.0998054029742</v>
      </c>
      <c r="M314" s="175">
        <f t="shared" si="202"/>
        <v>151191.72494884531</v>
      </c>
      <c r="N314" s="15"/>
      <c r="O314" s="37" t="str">
        <f t="shared" si="179"/>
        <v/>
      </c>
      <c r="P314" s="62" t="str">
        <f t="shared" si="203"/>
        <v/>
      </c>
      <c r="Q314" s="16" t="str">
        <f t="shared" si="187"/>
        <v/>
      </c>
      <c r="R314" s="60">
        <f t="shared" si="204"/>
        <v>90</v>
      </c>
      <c r="S314" s="98">
        <f t="shared" si="205"/>
        <v>259.46781282933085</v>
      </c>
      <c r="T314" s="21">
        <f t="shared" si="206"/>
        <v>1.6999999999999999E-3</v>
      </c>
      <c r="AA314" s="14">
        <f t="shared" si="188"/>
        <v>-3071.0998054029742</v>
      </c>
      <c r="AH314" s="6">
        <f t="shared" si="189"/>
        <v>3</v>
      </c>
      <c r="AI314" s="6">
        <f t="shared" si="190"/>
        <v>9</v>
      </c>
      <c r="AJ314" s="12">
        <f t="shared" si="191"/>
        <v>25</v>
      </c>
      <c r="AK314" s="72">
        <f t="shared" si="181"/>
        <v>31</v>
      </c>
      <c r="AR314">
        <f t="shared" si="207"/>
        <v>25</v>
      </c>
      <c r="AS314">
        <f t="shared" si="208"/>
        <v>75</v>
      </c>
      <c r="AT314" s="183">
        <f t="shared" si="209"/>
        <v>55154</v>
      </c>
      <c r="AU314" s="2">
        <f t="shared" si="210"/>
        <v>1.1111111111111112E-2</v>
      </c>
      <c r="AV314" s="169">
        <f t="shared" si="211"/>
        <v>300</v>
      </c>
      <c r="AW314" s="165">
        <f t="shared" si="212"/>
        <v>1275.2317476949293</v>
      </c>
      <c r="AX314" s="170">
        <f t="shared" si="218"/>
        <v>1695.8680577080447</v>
      </c>
      <c r="AY314" s="164" t="str">
        <f t="shared" si="221"/>
        <v>🚙</v>
      </c>
      <c r="AZ314" s="171" t="str">
        <f t="shared" si="192"/>
        <v>🚴‍♂️</v>
      </c>
      <c r="BA314" s="172">
        <f t="shared" si="193"/>
        <v>1436.4002448787139</v>
      </c>
      <c r="BB314" s="173">
        <f t="shared" si="194"/>
        <v>0.46771526029589156</v>
      </c>
      <c r="BC314" s="174">
        <f t="shared" si="195"/>
        <v>3071.0998054029742</v>
      </c>
      <c r="BD314" s="175">
        <f t="shared" si="213"/>
        <v>151191.72494884531</v>
      </c>
      <c r="BE314" s="188"/>
      <c r="BF314" s="177" t="str">
        <f t="shared" si="180"/>
        <v/>
      </c>
      <c r="BG314" s="178" t="str">
        <f t="shared" si="214"/>
        <v/>
      </c>
      <c r="BH314" s="179" t="str">
        <f t="shared" si="196"/>
        <v/>
      </c>
      <c r="BI314" s="180">
        <f t="shared" si="215"/>
        <v>90</v>
      </c>
      <c r="BJ314" s="181">
        <f t="shared" si="219"/>
        <v>259.46781282933085</v>
      </c>
      <c r="BK314" s="182">
        <f t="shared" si="216"/>
        <v>1.6999999999999999E-3</v>
      </c>
    </row>
    <row r="315" spans="1:63" x14ac:dyDescent="0.25">
      <c r="A315" s="7">
        <f t="shared" si="197"/>
        <v>25</v>
      </c>
      <c r="B315" s="7">
        <f t="shared" si="198"/>
        <v>75</v>
      </c>
      <c r="C315" s="115">
        <f t="shared" si="199"/>
        <v>55185</v>
      </c>
      <c r="D315" s="2">
        <f t="shared" si="182"/>
        <v>1.1235955056179775E-2</v>
      </c>
      <c r="E315" s="169">
        <f t="shared" si="200"/>
        <v>301</v>
      </c>
      <c r="F315" s="165">
        <f t="shared" si="201"/>
        <v>1263.2304000249558</v>
      </c>
      <c r="G315" s="170">
        <f t="shared" si="217"/>
        <v>1698.7834263915204</v>
      </c>
      <c r="H315" s="164" t="str">
        <f t="shared" si="220"/>
        <v>🚙</v>
      </c>
      <c r="I315" s="171" t="str">
        <f t="shared" si="183"/>
        <v>🚴‍♂️</v>
      </c>
      <c r="J315" s="172">
        <f t="shared" si="184"/>
        <v>1441.7574939784834</v>
      </c>
      <c r="K315" s="173">
        <f t="shared" si="185"/>
        <v>0.47085270534711965</v>
      </c>
      <c r="L315" s="174">
        <f t="shared" si="186"/>
        <v>3062.0138264164761</v>
      </c>
      <c r="M315" s="175">
        <f t="shared" si="202"/>
        <v>149749.96745486683</v>
      </c>
      <c r="N315" s="15"/>
      <c r="O315" s="37" t="str">
        <f t="shared" si="179"/>
        <v/>
      </c>
      <c r="P315" s="62" t="str">
        <f t="shared" si="203"/>
        <v/>
      </c>
      <c r="Q315" s="16" t="str">
        <f t="shared" si="187"/>
        <v/>
      </c>
      <c r="R315" s="60">
        <f t="shared" si="204"/>
        <v>89</v>
      </c>
      <c r="S315" s="98">
        <f t="shared" si="205"/>
        <v>257.02593241303703</v>
      </c>
      <c r="T315" s="21">
        <f t="shared" si="206"/>
        <v>1.6999999999999999E-3</v>
      </c>
      <c r="AA315" s="14">
        <f t="shared" si="188"/>
        <v>-3062.0138264164761</v>
      </c>
      <c r="AH315" s="6">
        <f t="shared" si="189"/>
        <v>3</v>
      </c>
      <c r="AI315" s="6">
        <f t="shared" si="190"/>
        <v>9</v>
      </c>
      <c r="AJ315" s="12">
        <f t="shared" si="191"/>
        <v>26</v>
      </c>
      <c r="AK315" s="72">
        <f t="shared" si="181"/>
        <v>28</v>
      </c>
      <c r="AR315">
        <f t="shared" si="207"/>
        <v>25</v>
      </c>
      <c r="AS315">
        <f t="shared" si="208"/>
        <v>75</v>
      </c>
      <c r="AT315" s="183">
        <f t="shared" si="209"/>
        <v>55185</v>
      </c>
      <c r="AU315" s="2">
        <f t="shared" si="210"/>
        <v>1.1235955056179775E-2</v>
      </c>
      <c r="AV315" s="169">
        <f t="shared" si="211"/>
        <v>301</v>
      </c>
      <c r="AW315" s="165">
        <f t="shared" si="212"/>
        <v>1263.2304000249558</v>
      </c>
      <c r="AX315" s="170">
        <f t="shared" si="218"/>
        <v>1698.7834263915204</v>
      </c>
      <c r="AY315" s="164" t="str">
        <f t="shared" si="221"/>
        <v>🚙</v>
      </c>
      <c r="AZ315" s="171" t="str">
        <f t="shared" si="192"/>
        <v>🚴‍♂️</v>
      </c>
      <c r="BA315" s="172">
        <f t="shared" si="193"/>
        <v>1441.7574939784834</v>
      </c>
      <c r="BB315" s="173">
        <f t="shared" si="194"/>
        <v>0.47085270534711965</v>
      </c>
      <c r="BC315" s="174">
        <f t="shared" si="195"/>
        <v>3062.0138264164761</v>
      </c>
      <c r="BD315" s="175">
        <f t="shared" si="213"/>
        <v>149749.96745486683</v>
      </c>
      <c r="BE315" s="188"/>
      <c r="BF315" s="177" t="str">
        <f t="shared" si="180"/>
        <v/>
      </c>
      <c r="BG315" s="178" t="str">
        <f t="shared" si="214"/>
        <v/>
      </c>
      <c r="BH315" s="179" t="str">
        <f t="shared" si="196"/>
        <v/>
      </c>
      <c r="BI315" s="180">
        <f t="shared" si="215"/>
        <v>89</v>
      </c>
      <c r="BJ315" s="181">
        <f t="shared" si="219"/>
        <v>257.02593241303703</v>
      </c>
      <c r="BK315" s="182">
        <f t="shared" si="216"/>
        <v>1.6999999999999999E-3</v>
      </c>
    </row>
    <row r="316" spans="1:63" x14ac:dyDescent="0.25">
      <c r="A316" s="7">
        <f t="shared" si="197"/>
        <v>25</v>
      </c>
      <c r="B316" s="7">
        <f t="shared" si="198"/>
        <v>75</v>
      </c>
      <c r="C316" s="115">
        <f t="shared" si="199"/>
        <v>55213</v>
      </c>
      <c r="D316" s="2">
        <f t="shared" si="182"/>
        <v>1.1363636363636364E-2</v>
      </c>
      <c r="E316" s="169">
        <f t="shared" si="200"/>
        <v>302</v>
      </c>
      <c r="F316" s="165">
        <f t="shared" si="201"/>
        <v>1251.1842917047179</v>
      </c>
      <c r="G316" s="170">
        <f t="shared" si="217"/>
        <v>1701.7041756234867</v>
      </c>
      <c r="H316" s="164" t="str">
        <f t="shared" si="220"/>
        <v>🚙</v>
      </c>
      <c r="I316" s="171" t="str">
        <f t="shared" si="183"/>
        <v>🚴‍♂️</v>
      </c>
      <c r="J316" s="172">
        <f t="shared" si="184"/>
        <v>1447.129230950213</v>
      </c>
      <c r="K316" s="173">
        <f t="shared" si="185"/>
        <v>0.47401968543472428</v>
      </c>
      <c r="L316" s="174">
        <f t="shared" si="186"/>
        <v>3052.8884673282046</v>
      </c>
      <c r="M316" s="175">
        <f t="shared" si="202"/>
        <v>148302.83822391662</v>
      </c>
      <c r="N316" s="15"/>
      <c r="O316" s="37" t="str">
        <f t="shared" si="179"/>
        <v/>
      </c>
      <c r="P316" s="62" t="str">
        <f t="shared" si="203"/>
        <v/>
      </c>
      <c r="Q316" s="16" t="str">
        <f t="shared" si="187"/>
        <v/>
      </c>
      <c r="R316" s="60">
        <f t="shared" si="204"/>
        <v>88</v>
      </c>
      <c r="S316" s="98">
        <f t="shared" si="205"/>
        <v>254.57494467327359</v>
      </c>
      <c r="T316" s="21">
        <f t="shared" si="206"/>
        <v>1.6999999999999999E-3</v>
      </c>
      <c r="AA316" s="14">
        <f t="shared" si="188"/>
        <v>-3052.8884673282046</v>
      </c>
      <c r="AH316" s="6">
        <f t="shared" si="189"/>
        <v>3</v>
      </c>
      <c r="AI316" s="6">
        <f t="shared" si="190"/>
        <v>9</v>
      </c>
      <c r="AJ316" s="12">
        <f t="shared" si="191"/>
        <v>26</v>
      </c>
      <c r="AK316" s="72">
        <f t="shared" si="181"/>
        <v>31</v>
      </c>
      <c r="AR316">
        <f t="shared" si="207"/>
        <v>25</v>
      </c>
      <c r="AS316">
        <f t="shared" si="208"/>
        <v>75</v>
      </c>
      <c r="AT316" s="183">
        <f t="shared" si="209"/>
        <v>55213</v>
      </c>
      <c r="AU316" s="2">
        <f t="shared" si="210"/>
        <v>1.1363636363636364E-2</v>
      </c>
      <c r="AV316" s="169">
        <f t="shared" si="211"/>
        <v>302</v>
      </c>
      <c r="AW316" s="165">
        <f t="shared" si="212"/>
        <v>1251.1842917047179</v>
      </c>
      <c r="AX316" s="170">
        <f t="shared" si="218"/>
        <v>1701.7041756234867</v>
      </c>
      <c r="AY316" s="164" t="str">
        <f t="shared" si="221"/>
        <v>🚙</v>
      </c>
      <c r="AZ316" s="171" t="str">
        <f t="shared" si="192"/>
        <v>🚴‍♂️</v>
      </c>
      <c r="BA316" s="172">
        <f t="shared" si="193"/>
        <v>1447.129230950213</v>
      </c>
      <c r="BB316" s="173">
        <f t="shared" si="194"/>
        <v>0.47401968543472428</v>
      </c>
      <c r="BC316" s="174">
        <f t="shared" si="195"/>
        <v>3052.8884673282046</v>
      </c>
      <c r="BD316" s="175">
        <f t="shared" si="213"/>
        <v>148302.83822391662</v>
      </c>
      <c r="BE316" s="188"/>
      <c r="BF316" s="177" t="str">
        <f t="shared" si="180"/>
        <v/>
      </c>
      <c r="BG316" s="178" t="str">
        <f t="shared" si="214"/>
        <v/>
      </c>
      <c r="BH316" s="179" t="str">
        <f t="shared" si="196"/>
        <v/>
      </c>
      <c r="BI316" s="180">
        <f t="shared" si="215"/>
        <v>88</v>
      </c>
      <c r="BJ316" s="181">
        <f t="shared" si="219"/>
        <v>254.57494467327359</v>
      </c>
      <c r="BK316" s="182">
        <f t="shared" si="216"/>
        <v>1.6999999999999999E-3</v>
      </c>
    </row>
    <row r="317" spans="1:63" x14ac:dyDescent="0.25">
      <c r="A317" s="7">
        <f t="shared" si="197"/>
        <v>25</v>
      </c>
      <c r="B317" s="7">
        <f t="shared" si="198"/>
        <v>75</v>
      </c>
      <c r="C317" s="115">
        <f t="shared" si="199"/>
        <v>55244</v>
      </c>
      <c r="D317" s="2">
        <f t="shared" si="182"/>
        <v>1.1494252873563218E-2</v>
      </c>
      <c r="E317" s="169">
        <f t="shared" si="200"/>
        <v>303</v>
      </c>
      <c r="F317" s="165">
        <f t="shared" si="201"/>
        <v>1239.0933016857896</v>
      </c>
      <c r="G317" s="170">
        <f t="shared" si="217"/>
        <v>1704.6303244128349</v>
      </c>
      <c r="H317" s="164" t="str">
        <f t="shared" si="220"/>
        <v>🚙</v>
      </c>
      <c r="I317" s="171" t="str">
        <f t="shared" si="183"/>
        <v>🚴‍♂️</v>
      </c>
      <c r="J317" s="172">
        <f t="shared" si="184"/>
        <v>1452.5154994321765</v>
      </c>
      <c r="K317" s="173">
        <f t="shared" si="185"/>
        <v>0.47721661946488148</v>
      </c>
      <c r="L317" s="174">
        <f t="shared" si="186"/>
        <v>3043.7236260986247</v>
      </c>
      <c r="M317" s="175">
        <f t="shared" si="202"/>
        <v>146850.32272448446</v>
      </c>
      <c r="N317" s="15"/>
      <c r="O317" s="37" t="str">
        <f t="shared" si="179"/>
        <v/>
      </c>
      <c r="P317" s="62" t="str">
        <f t="shared" si="203"/>
        <v/>
      </c>
      <c r="Q317" s="16" t="str">
        <f t="shared" si="187"/>
        <v/>
      </c>
      <c r="R317" s="60">
        <f t="shared" si="204"/>
        <v>87</v>
      </c>
      <c r="S317" s="98">
        <f t="shared" si="205"/>
        <v>252.11482498065826</v>
      </c>
      <c r="T317" s="21">
        <f t="shared" si="206"/>
        <v>1.6999999999999999E-3</v>
      </c>
      <c r="AA317" s="14">
        <f t="shared" si="188"/>
        <v>-3043.7236260986247</v>
      </c>
      <c r="AH317" s="6">
        <f t="shared" si="189"/>
        <v>3</v>
      </c>
      <c r="AI317" s="6">
        <f t="shared" si="190"/>
        <v>9</v>
      </c>
      <c r="AJ317" s="12">
        <f t="shared" si="191"/>
        <v>26</v>
      </c>
      <c r="AK317" s="72">
        <f t="shared" si="181"/>
        <v>30</v>
      </c>
      <c r="AR317">
        <f t="shared" si="207"/>
        <v>25</v>
      </c>
      <c r="AS317">
        <f t="shared" si="208"/>
        <v>75</v>
      </c>
      <c r="AT317" s="183">
        <f t="shared" si="209"/>
        <v>55244</v>
      </c>
      <c r="AU317" s="2">
        <f t="shared" si="210"/>
        <v>1.1494252873563218E-2</v>
      </c>
      <c r="AV317" s="169">
        <f t="shared" si="211"/>
        <v>303</v>
      </c>
      <c r="AW317" s="165">
        <f t="shared" si="212"/>
        <v>1239.0933016857896</v>
      </c>
      <c r="AX317" s="170">
        <f t="shared" si="218"/>
        <v>1704.6303244128349</v>
      </c>
      <c r="AY317" s="164" t="str">
        <f t="shared" si="221"/>
        <v>🚙</v>
      </c>
      <c r="AZ317" s="171" t="str">
        <f t="shared" si="192"/>
        <v>🚴‍♂️</v>
      </c>
      <c r="BA317" s="172">
        <f t="shared" si="193"/>
        <v>1452.5154994321765</v>
      </c>
      <c r="BB317" s="173">
        <f t="shared" si="194"/>
        <v>0.47721661946488148</v>
      </c>
      <c r="BC317" s="174">
        <f t="shared" si="195"/>
        <v>3043.7236260986247</v>
      </c>
      <c r="BD317" s="175">
        <f t="shared" si="213"/>
        <v>146850.32272448446</v>
      </c>
      <c r="BE317" s="188"/>
      <c r="BF317" s="177" t="str">
        <f t="shared" si="180"/>
        <v/>
      </c>
      <c r="BG317" s="178" t="str">
        <f t="shared" si="214"/>
        <v/>
      </c>
      <c r="BH317" s="179" t="str">
        <f t="shared" si="196"/>
        <v/>
      </c>
      <c r="BI317" s="180">
        <f t="shared" si="215"/>
        <v>87</v>
      </c>
      <c r="BJ317" s="181">
        <f t="shared" si="219"/>
        <v>252.11482498065826</v>
      </c>
      <c r="BK317" s="182">
        <f t="shared" si="216"/>
        <v>1.6999999999999999E-3</v>
      </c>
    </row>
    <row r="318" spans="1:63" x14ac:dyDescent="0.25">
      <c r="A318" s="7">
        <f t="shared" si="197"/>
        <v>25</v>
      </c>
      <c r="B318" s="7">
        <f t="shared" si="198"/>
        <v>75</v>
      </c>
      <c r="C318" s="115">
        <f t="shared" si="199"/>
        <v>55274</v>
      </c>
      <c r="D318" s="2">
        <f t="shared" si="182"/>
        <v>1.1627906976744186E-2</v>
      </c>
      <c r="E318" s="169">
        <f t="shared" si="200"/>
        <v>304</v>
      </c>
      <c r="F318" s="165">
        <f t="shared" si="201"/>
        <v>1226.9573085551408</v>
      </c>
      <c r="G318" s="170">
        <f t="shared" si="217"/>
        <v>1707.561892145168</v>
      </c>
      <c r="H318" s="164" t="str">
        <f t="shared" si="220"/>
        <v>🚙</v>
      </c>
      <c r="I318" s="171" t="str">
        <f t="shared" si="183"/>
        <v>🚴‍♂️</v>
      </c>
      <c r="J318" s="172">
        <f t="shared" si="184"/>
        <v>1457.9163435135445</v>
      </c>
      <c r="K318" s="173">
        <f t="shared" si="185"/>
        <v>0.48044393430665566</v>
      </c>
      <c r="L318" s="174">
        <f t="shared" si="186"/>
        <v>3034.5192007003088</v>
      </c>
      <c r="M318" s="175">
        <f t="shared" si="202"/>
        <v>145392.4063809709</v>
      </c>
      <c r="N318" s="15"/>
      <c r="O318" s="37" t="str">
        <f t="shared" si="179"/>
        <v/>
      </c>
      <c r="P318" s="62" t="str">
        <f t="shared" si="203"/>
        <v/>
      </c>
      <c r="Q318" s="16" t="str">
        <f t="shared" si="187"/>
        <v/>
      </c>
      <c r="R318" s="60">
        <f t="shared" si="204"/>
        <v>86</v>
      </c>
      <c r="S318" s="98">
        <f t="shared" si="205"/>
        <v>249.64554863162357</v>
      </c>
      <c r="T318" s="21">
        <f t="shared" si="206"/>
        <v>1.6999999999999999E-3</v>
      </c>
      <c r="AA318" s="14">
        <f t="shared" si="188"/>
        <v>-3034.5192007003088</v>
      </c>
      <c r="AH318" s="6">
        <f t="shared" si="189"/>
        <v>3</v>
      </c>
      <c r="AI318" s="6">
        <f t="shared" si="190"/>
        <v>9</v>
      </c>
      <c r="AJ318" s="12">
        <f t="shared" si="191"/>
        <v>26</v>
      </c>
      <c r="AK318" s="72">
        <f t="shared" si="181"/>
        <v>31</v>
      </c>
      <c r="AR318">
        <f t="shared" si="207"/>
        <v>25</v>
      </c>
      <c r="AS318">
        <f t="shared" si="208"/>
        <v>75</v>
      </c>
      <c r="AT318" s="183">
        <f t="shared" si="209"/>
        <v>55274</v>
      </c>
      <c r="AU318" s="2">
        <f t="shared" si="210"/>
        <v>1.1627906976744186E-2</v>
      </c>
      <c r="AV318" s="169">
        <f t="shared" si="211"/>
        <v>304</v>
      </c>
      <c r="AW318" s="165">
        <f t="shared" si="212"/>
        <v>1226.9573085551408</v>
      </c>
      <c r="AX318" s="170">
        <f t="shared" si="218"/>
        <v>1707.561892145168</v>
      </c>
      <c r="AY318" s="164" t="str">
        <f t="shared" si="221"/>
        <v>🚙</v>
      </c>
      <c r="AZ318" s="171" t="str">
        <f t="shared" si="192"/>
        <v>🚴‍♂️</v>
      </c>
      <c r="BA318" s="172">
        <f t="shared" si="193"/>
        <v>1457.9163435135445</v>
      </c>
      <c r="BB318" s="173">
        <f t="shared" si="194"/>
        <v>0.48044393430665566</v>
      </c>
      <c r="BC318" s="174">
        <f t="shared" si="195"/>
        <v>3034.5192007003088</v>
      </c>
      <c r="BD318" s="175">
        <f t="shared" si="213"/>
        <v>145392.4063809709</v>
      </c>
      <c r="BE318" s="188"/>
      <c r="BF318" s="177" t="str">
        <f t="shared" si="180"/>
        <v/>
      </c>
      <c r="BG318" s="178" t="str">
        <f t="shared" si="214"/>
        <v/>
      </c>
      <c r="BH318" s="179" t="str">
        <f t="shared" si="196"/>
        <v/>
      </c>
      <c r="BI318" s="180">
        <f t="shared" si="215"/>
        <v>86</v>
      </c>
      <c r="BJ318" s="181">
        <f t="shared" si="219"/>
        <v>249.64554863162357</v>
      </c>
      <c r="BK318" s="182">
        <f t="shared" si="216"/>
        <v>1.6999999999999999E-3</v>
      </c>
    </row>
    <row r="319" spans="1:63" x14ac:dyDescent="0.25">
      <c r="A319" s="7">
        <f t="shared" si="197"/>
        <v>25</v>
      </c>
      <c r="B319" s="7">
        <f t="shared" si="198"/>
        <v>75</v>
      </c>
      <c r="C319" s="115">
        <f t="shared" si="199"/>
        <v>55305</v>
      </c>
      <c r="D319" s="2">
        <f t="shared" si="182"/>
        <v>1.1764705882352941E-2</v>
      </c>
      <c r="E319" s="169">
        <f t="shared" si="200"/>
        <v>305</v>
      </c>
      <c r="F319" s="165">
        <f t="shared" si="201"/>
        <v>1214.7761905313687</v>
      </c>
      <c r="G319" s="170">
        <f t="shared" si="217"/>
        <v>1710.4988985996577</v>
      </c>
      <c r="H319" s="164" t="str">
        <f t="shared" si="220"/>
        <v>🚙</v>
      </c>
      <c r="I319" s="171" t="str">
        <f t="shared" si="183"/>
        <v>🚴‍♂️</v>
      </c>
      <c r="J319" s="172">
        <f t="shared" si="184"/>
        <v>1463.3318077520071</v>
      </c>
      <c r="K319" s="173">
        <f t="shared" si="185"/>
        <v>0.48370206498223989</v>
      </c>
      <c r="L319" s="174">
        <f t="shared" si="186"/>
        <v>3025.2750891310261</v>
      </c>
      <c r="M319" s="175">
        <f t="shared" si="202"/>
        <v>143929.07457321891</v>
      </c>
      <c r="N319" s="15"/>
      <c r="O319" s="37" t="str">
        <f t="shared" si="179"/>
        <v/>
      </c>
      <c r="P319" s="62" t="str">
        <f t="shared" si="203"/>
        <v/>
      </c>
      <c r="Q319" s="16" t="str">
        <f t="shared" si="187"/>
        <v/>
      </c>
      <c r="R319" s="60">
        <f t="shared" si="204"/>
        <v>85</v>
      </c>
      <c r="S319" s="98">
        <f t="shared" si="205"/>
        <v>247.16709084765051</v>
      </c>
      <c r="T319" s="21">
        <f t="shared" si="206"/>
        <v>1.6999999999999999E-3</v>
      </c>
      <c r="AA319" s="14">
        <f t="shared" si="188"/>
        <v>-3025.2750891310261</v>
      </c>
      <c r="AH319" s="6">
        <f t="shared" si="189"/>
        <v>3</v>
      </c>
      <c r="AI319" s="6">
        <f t="shared" si="190"/>
        <v>9</v>
      </c>
      <c r="AJ319" s="12">
        <f t="shared" si="191"/>
        <v>26</v>
      </c>
      <c r="AK319" s="72">
        <f t="shared" si="181"/>
        <v>30</v>
      </c>
      <c r="AR319">
        <f t="shared" si="207"/>
        <v>25</v>
      </c>
      <c r="AS319">
        <f t="shared" si="208"/>
        <v>75</v>
      </c>
      <c r="AT319" s="183">
        <f t="shared" si="209"/>
        <v>55305</v>
      </c>
      <c r="AU319" s="2">
        <f t="shared" si="210"/>
        <v>1.1764705882352941E-2</v>
      </c>
      <c r="AV319" s="169">
        <f t="shared" si="211"/>
        <v>305</v>
      </c>
      <c r="AW319" s="165">
        <f t="shared" si="212"/>
        <v>1214.7761905313687</v>
      </c>
      <c r="AX319" s="170">
        <f t="shared" si="218"/>
        <v>1710.4988985996577</v>
      </c>
      <c r="AY319" s="164" t="str">
        <f t="shared" si="221"/>
        <v>🚙</v>
      </c>
      <c r="AZ319" s="171" t="str">
        <f t="shared" si="192"/>
        <v>🚴‍♂️</v>
      </c>
      <c r="BA319" s="172">
        <f t="shared" si="193"/>
        <v>1463.3318077520071</v>
      </c>
      <c r="BB319" s="173">
        <f t="shared" si="194"/>
        <v>0.48370206498223989</v>
      </c>
      <c r="BC319" s="174">
        <f t="shared" si="195"/>
        <v>3025.2750891310261</v>
      </c>
      <c r="BD319" s="175">
        <f t="shared" si="213"/>
        <v>143929.07457321891</v>
      </c>
      <c r="BE319" s="188"/>
      <c r="BF319" s="177" t="str">
        <f t="shared" si="180"/>
        <v/>
      </c>
      <c r="BG319" s="178" t="str">
        <f t="shared" si="214"/>
        <v/>
      </c>
      <c r="BH319" s="179" t="str">
        <f t="shared" si="196"/>
        <v/>
      </c>
      <c r="BI319" s="180">
        <f t="shared" si="215"/>
        <v>85</v>
      </c>
      <c r="BJ319" s="181">
        <f t="shared" si="219"/>
        <v>247.16709084765051</v>
      </c>
      <c r="BK319" s="182">
        <f t="shared" si="216"/>
        <v>1.6999999999999999E-3</v>
      </c>
    </row>
    <row r="320" spans="1:63" x14ac:dyDescent="0.25">
      <c r="A320" s="7">
        <f t="shared" si="197"/>
        <v>25</v>
      </c>
      <c r="B320" s="7">
        <f t="shared" si="198"/>
        <v>75</v>
      </c>
      <c r="C320" s="115">
        <f t="shared" si="199"/>
        <v>55335</v>
      </c>
      <c r="D320" s="2">
        <f t="shared" si="182"/>
        <v>1.1904761904761904E-2</v>
      </c>
      <c r="E320" s="169">
        <f t="shared" si="200"/>
        <v>306</v>
      </c>
      <c r="F320" s="165">
        <f t="shared" si="201"/>
        <v>1202.5498254607855</v>
      </c>
      <c r="G320" s="170">
        <f t="shared" si="217"/>
        <v>1713.4413639668917</v>
      </c>
      <c r="H320" s="164" t="str">
        <f t="shared" si="220"/>
        <v>🚙</v>
      </c>
      <c r="I320" s="171" t="str">
        <f t="shared" si="183"/>
        <v>🚴‍♂️</v>
      </c>
      <c r="J320" s="172">
        <f t="shared" si="184"/>
        <v>1468.7619371924195</v>
      </c>
      <c r="K320" s="173">
        <f t="shared" si="185"/>
        <v>0.48699145486268336</v>
      </c>
      <c r="L320" s="174">
        <f t="shared" si="186"/>
        <v>3015.9911894276775</v>
      </c>
      <c r="M320" s="175">
        <f t="shared" si="202"/>
        <v>142460.3126360265</v>
      </c>
      <c r="N320" s="15"/>
      <c r="O320" s="37" t="str">
        <f t="shared" si="179"/>
        <v/>
      </c>
      <c r="P320" s="62" t="str">
        <f t="shared" si="203"/>
        <v/>
      </c>
      <c r="Q320" s="16" t="str">
        <f t="shared" si="187"/>
        <v/>
      </c>
      <c r="R320" s="60">
        <f t="shared" si="204"/>
        <v>84</v>
      </c>
      <c r="S320" s="98">
        <f t="shared" si="205"/>
        <v>244.67942677447212</v>
      </c>
      <c r="T320" s="21">
        <f t="shared" si="206"/>
        <v>1.6999999999999999E-3</v>
      </c>
      <c r="AA320" s="14">
        <f t="shared" si="188"/>
        <v>-3015.9911894276775</v>
      </c>
      <c r="AH320" s="6">
        <f t="shared" si="189"/>
        <v>3</v>
      </c>
      <c r="AI320" s="6">
        <f t="shared" si="190"/>
        <v>9</v>
      </c>
      <c r="AJ320" s="12">
        <f t="shared" si="191"/>
        <v>26</v>
      </c>
      <c r="AK320" s="72">
        <f t="shared" si="181"/>
        <v>31</v>
      </c>
      <c r="AR320">
        <f t="shared" si="207"/>
        <v>25</v>
      </c>
      <c r="AS320">
        <f t="shared" si="208"/>
        <v>75</v>
      </c>
      <c r="AT320" s="183">
        <f t="shared" si="209"/>
        <v>55335</v>
      </c>
      <c r="AU320" s="2">
        <f t="shared" si="210"/>
        <v>1.1904761904761904E-2</v>
      </c>
      <c r="AV320" s="169">
        <f t="shared" si="211"/>
        <v>306</v>
      </c>
      <c r="AW320" s="165">
        <f t="shared" si="212"/>
        <v>1202.5498254607855</v>
      </c>
      <c r="AX320" s="170">
        <f t="shared" si="218"/>
        <v>1713.4413639668917</v>
      </c>
      <c r="AY320" s="164" t="str">
        <f t="shared" si="221"/>
        <v>🚙</v>
      </c>
      <c r="AZ320" s="171" t="str">
        <f t="shared" si="192"/>
        <v>🚴‍♂️</v>
      </c>
      <c r="BA320" s="172">
        <f t="shared" si="193"/>
        <v>1468.7619371924195</v>
      </c>
      <c r="BB320" s="173">
        <f t="shared" si="194"/>
        <v>0.48699145486268336</v>
      </c>
      <c r="BC320" s="174">
        <f t="shared" si="195"/>
        <v>3015.9911894276775</v>
      </c>
      <c r="BD320" s="175">
        <f t="shared" si="213"/>
        <v>142460.3126360265</v>
      </c>
      <c r="BE320" s="188"/>
      <c r="BF320" s="177" t="str">
        <f t="shared" si="180"/>
        <v/>
      </c>
      <c r="BG320" s="178" t="str">
        <f t="shared" si="214"/>
        <v/>
      </c>
      <c r="BH320" s="179" t="str">
        <f t="shared" si="196"/>
        <v/>
      </c>
      <c r="BI320" s="180">
        <f t="shared" si="215"/>
        <v>84</v>
      </c>
      <c r="BJ320" s="181">
        <f t="shared" si="219"/>
        <v>244.67942677447212</v>
      </c>
      <c r="BK320" s="182">
        <f t="shared" si="216"/>
        <v>1.6999999999999999E-3</v>
      </c>
    </row>
    <row r="321" spans="1:63" x14ac:dyDescent="0.25">
      <c r="A321" s="7">
        <f t="shared" si="197"/>
        <v>25</v>
      </c>
      <c r="B321" s="7">
        <f t="shared" si="198"/>
        <v>75</v>
      </c>
      <c r="C321" s="115">
        <f t="shared" si="199"/>
        <v>55366</v>
      </c>
      <c r="D321" s="2">
        <f t="shared" si="182"/>
        <v>1.2048192771084338E-2</v>
      </c>
      <c r="E321" s="169">
        <f t="shared" si="200"/>
        <v>307</v>
      </c>
      <c r="F321" s="165">
        <f t="shared" si="201"/>
        <v>1190.2780908133452</v>
      </c>
      <c r="G321" s="170">
        <f t="shared" si="217"/>
        <v>1716.3893088677892</v>
      </c>
      <c r="H321" s="164" t="str">
        <f t="shared" si="220"/>
        <v>🚙</v>
      </c>
      <c r="I321" s="171" t="str">
        <f t="shared" si="183"/>
        <v>🚴‍♂️</v>
      </c>
      <c r="J321" s="172">
        <f t="shared" si="184"/>
        <v>1474.2067773865442</v>
      </c>
      <c r="K321" s="173">
        <f t="shared" si="185"/>
        <v>0.49031255586929506</v>
      </c>
      <c r="L321" s="174">
        <f t="shared" si="186"/>
        <v>3006.6673996811342</v>
      </c>
      <c r="M321" s="175">
        <f t="shared" si="202"/>
        <v>140986.10585863996</v>
      </c>
      <c r="N321" s="15"/>
      <c r="O321" s="37" t="str">
        <f t="shared" si="179"/>
        <v/>
      </c>
      <c r="P321" s="62" t="str">
        <f t="shared" si="203"/>
        <v/>
      </c>
      <c r="Q321" s="16" t="str">
        <f t="shared" si="187"/>
        <v/>
      </c>
      <c r="R321" s="60">
        <f t="shared" si="204"/>
        <v>83</v>
      </c>
      <c r="S321" s="98">
        <f t="shared" si="205"/>
        <v>242.18253148124504</v>
      </c>
      <c r="T321" s="21">
        <f t="shared" si="206"/>
        <v>1.6999999999999999E-3</v>
      </c>
      <c r="AA321" s="14">
        <f t="shared" si="188"/>
        <v>-3006.6673996811342</v>
      </c>
      <c r="AH321" s="6">
        <f t="shared" si="189"/>
        <v>3</v>
      </c>
      <c r="AI321" s="6">
        <f t="shared" si="190"/>
        <v>9</v>
      </c>
      <c r="AJ321" s="12">
        <f t="shared" si="191"/>
        <v>26</v>
      </c>
      <c r="AK321" s="72">
        <f t="shared" si="181"/>
        <v>31</v>
      </c>
      <c r="AR321">
        <f t="shared" si="207"/>
        <v>25</v>
      </c>
      <c r="AS321">
        <f t="shared" si="208"/>
        <v>75</v>
      </c>
      <c r="AT321" s="183">
        <f t="shared" si="209"/>
        <v>55366</v>
      </c>
      <c r="AU321" s="2">
        <f t="shared" si="210"/>
        <v>1.2048192771084338E-2</v>
      </c>
      <c r="AV321" s="169">
        <f t="shared" si="211"/>
        <v>307</v>
      </c>
      <c r="AW321" s="165">
        <f t="shared" si="212"/>
        <v>1190.2780908133452</v>
      </c>
      <c r="AX321" s="170">
        <f t="shared" si="218"/>
        <v>1716.3893088677892</v>
      </c>
      <c r="AY321" s="164" t="str">
        <f t="shared" si="221"/>
        <v>🚙</v>
      </c>
      <c r="AZ321" s="171" t="str">
        <f t="shared" si="192"/>
        <v>🚴‍♂️</v>
      </c>
      <c r="BA321" s="172">
        <f t="shared" si="193"/>
        <v>1474.2067773865442</v>
      </c>
      <c r="BB321" s="173">
        <f t="shared" si="194"/>
        <v>0.49031255586929506</v>
      </c>
      <c r="BC321" s="174">
        <f t="shared" si="195"/>
        <v>3006.6673996811342</v>
      </c>
      <c r="BD321" s="175">
        <f t="shared" si="213"/>
        <v>140986.10585863996</v>
      </c>
      <c r="BE321" s="188"/>
      <c r="BF321" s="177" t="str">
        <f t="shared" si="180"/>
        <v/>
      </c>
      <c r="BG321" s="178" t="str">
        <f t="shared" si="214"/>
        <v/>
      </c>
      <c r="BH321" s="179" t="str">
        <f t="shared" si="196"/>
        <v/>
      </c>
      <c r="BI321" s="180">
        <f t="shared" si="215"/>
        <v>83</v>
      </c>
      <c r="BJ321" s="181">
        <f t="shared" si="219"/>
        <v>242.18253148124504</v>
      </c>
      <c r="BK321" s="182">
        <f t="shared" si="216"/>
        <v>1.6999999999999999E-3</v>
      </c>
    </row>
    <row r="322" spans="1:63" x14ac:dyDescent="0.25">
      <c r="A322" s="7">
        <f t="shared" si="197"/>
        <v>25</v>
      </c>
      <c r="B322" s="7">
        <f t="shared" si="198"/>
        <v>75</v>
      </c>
      <c r="C322" s="115">
        <f t="shared" si="199"/>
        <v>55397</v>
      </c>
      <c r="D322" s="2">
        <f t="shared" si="182"/>
        <v>1.2195121951219511E-2</v>
      </c>
      <c r="E322" s="169">
        <f t="shared" si="200"/>
        <v>308</v>
      </c>
      <c r="F322" s="165">
        <f t="shared" si="201"/>
        <v>1177.9608636784105</v>
      </c>
      <c r="G322" s="170">
        <f t="shared" si="217"/>
        <v>1719.342754373658</v>
      </c>
      <c r="H322" s="164" t="str">
        <f t="shared" si="220"/>
        <v>🚙</v>
      </c>
      <c r="I322" s="171" t="str">
        <f t="shared" si="183"/>
        <v>🚴‍♂️</v>
      </c>
      <c r="J322" s="172">
        <f t="shared" si="184"/>
        <v>1479.6663744139701</v>
      </c>
      <c r="K322" s="173">
        <f t="shared" si="185"/>
        <v>0.49366582868091197</v>
      </c>
      <c r="L322" s="174">
        <f t="shared" si="186"/>
        <v>2997.3036180520685</v>
      </c>
      <c r="M322" s="175">
        <f t="shared" si="202"/>
        <v>139506.43948422599</v>
      </c>
      <c r="N322" s="15"/>
      <c r="O322" s="37" t="str">
        <f t="shared" si="179"/>
        <v/>
      </c>
      <c r="P322" s="62" t="str">
        <f t="shared" si="203"/>
        <v/>
      </c>
      <c r="Q322" s="16" t="str">
        <f t="shared" si="187"/>
        <v/>
      </c>
      <c r="R322" s="60">
        <f t="shared" si="204"/>
        <v>82</v>
      </c>
      <c r="S322" s="98">
        <f t="shared" si="205"/>
        <v>239.67637995968792</v>
      </c>
      <c r="T322" s="21">
        <f t="shared" si="206"/>
        <v>1.6999999999999999E-3</v>
      </c>
      <c r="AA322" s="14">
        <f t="shared" si="188"/>
        <v>-2997.3036180520685</v>
      </c>
      <c r="AH322" s="6">
        <f t="shared" si="189"/>
        <v>3</v>
      </c>
      <c r="AI322" s="6">
        <f t="shared" si="190"/>
        <v>9</v>
      </c>
      <c r="AJ322" s="12">
        <f t="shared" si="191"/>
        <v>26</v>
      </c>
      <c r="AK322" s="72">
        <f t="shared" si="181"/>
        <v>30</v>
      </c>
      <c r="AR322">
        <f t="shared" si="207"/>
        <v>25</v>
      </c>
      <c r="AS322">
        <f t="shared" si="208"/>
        <v>75</v>
      </c>
      <c r="AT322" s="183">
        <f t="shared" si="209"/>
        <v>55397</v>
      </c>
      <c r="AU322" s="2">
        <f t="shared" si="210"/>
        <v>1.2195121951219511E-2</v>
      </c>
      <c r="AV322" s="169">
        <f t="shared" si="211"/>
        <v>308</v>
      </c>
      <c r="AW322" s="165">
        <f t="shared" si="212"/>
        <v>1177.9608636784105</v>
      </c>
      <c r="AX322" s="170">
        <f t="shared" si="218"/>
        <v>1719.342754373658</v>
      </c>
      <c r="AY322" s="164" t="str">
        <f t="shared" si="221"/>
        <v>🚙</v>
      </c>
      <c r="AZ322" s="171" t="str">
        <f t="shared" si="192"/>
        <v>🚴‍♂️</v>
      </c>
      <c r="BA322" s="172">
        <f t="shared" si="193"/>
        <v>1479.6663744139701</v>
      </c>
      <c r="BB322" s="173">
        <f t="shared" si="194"/>
        <v>0.49366582868091197</v>
      </c>
      <c r="BC322" s="174">
        <f t="shared" si="195"/>
        <v>2997.3036180520685</v>
      </c>
      <c r="BD322" s="175">
        <f t="shared" si="213"/>
        <v>139506.43948422599</v>
      </c>
      <c r="BE322" s="188"/>
      <c r="BF322" s="177" t="str">
        <f t="shared" si="180"/>
        <v/>
      </c>
      <c r="BG322" s="178" t="str">
        <f t="shared" si="214"/>
        <v/>
      </c>
      <c r="BH322" s="179" t="str">
        <f t="shared" si="196"/>
        <v/>
      </c>
      <c r="BI322" s="180">
        <f t="shared" si="215"/>
        <v>82</v>
      </c>
      <c r="BJ322" s="181">
        <f t="shared" si="219"/>
        <v>239.67637995968792</v>
      </c>
      <c r="BK322" s="182">
        <f t="shared" si="216"/>
        <v>1.6999999999999999E-3</v>
      </c>
    </row>
    <row r="323" spans="1:63" x14ac:dyDescent="0.25">
      <c r="A323" s="7">
        <f t="shared" si="197"/>
        <v>25</v>
      </c>
      <c r="B323" s="7">
        <f t="shared" si="198"/>
        <v>75</v>
      </c>
      <c r="C323" s="115">
        <f t="shared" si="199"/>
        <v>55427</v>
      </c>
      <c r="D323" s="2">
        <f t="shared" si="182"/>
        <v>1.234567901234568E-2</v>
      </c>
      <c r="E323" s="169">
        <f t="shared" si="200"/>
        <v>309</v>
      </c>
      <c r="F323" s="165">
        <f t="shared" si="201"/>
        <v>1165.5980207603418</v>
      </c>
      <c r="G323" s="170">
        <f t="shared" si="217"/>
        <v>1722.3017220274814</v>
      </c>
      <c r="H323" s="164" t="str">
        <f t="shared" si="220"/>
        <v>🚙</v>
      </c>
      <c r="I323" s="171" t="str">
        <f t="shared" si="183"/>
        <v>🚴‍♂️</v>
      </c>
      <c r="J323" s="172">
        <f t="shared" si="184"/>
        <v>1485.1407749042974</v>
      </c>
      <c r="K323" s="173">
        <f t="shared" si="185"/>
        <v>0.49705174294723997</v>
      </c>
      <c r="L323" s="174">
        <f t="shared" si="186"/>
        <v>2987.899742787823</v>
      </c>
      <c r="M323" s="175">
        <f t="shared" si="202"/>
        <v>138021.29870932171</v>
      </c>
      <c r="N323" s="15"/>
      <c r="O323" s="37" t="str">
        <f t="shared" si="179"/>
        <v/>
      </c>
      <c r="P323" s="62" t="str">
        <f t="shared" si="203"/>
        <v/>
      </c>
      <c r="Q323" s="16" t="str">
        <f t="shared" si="187"/>
        <v/>
      </c>
      <c r="R323" s="60">
        <f t="shared" si="204"/>
        <v>81</v>
      </c>
      <c r="S323" s="98">
        <f t="shared" si="205"/>
        <v>237.16094712318417</v>
      </c>
      <c r="T323" s="21">
        <f t="shared" si="206"/>
        <v>1.6999999999999999E-3</v>
      </c>
      <c r="AA323" s="14">
        <f t="shared" si="188"/>
        <v>-2987.899742787823</v>
      </c>
      <c r="AH323" s="6">
        <f t="shared" si="189"/>
        <v>3</v>
      </c>
      <c r="AI323" s="6">
        <f t="shared" si="190"/>
        <v>9</v>
      </c>
      <c r="AJ323" s="12">
        <f t="shared" si="191"/>
        <v>26</v>
      </c>
      <c r="AK323" s="72">
        <f t="shared" si="181"/>
        <v>31</v>
      </c>
      <c r="AR323">
        <f t="shared" si="207"/>
        <v>25</v>
      </c>
      <c r="AS323">
        <f t="shared" si="208"/>
        <v>75</v>
      </c>
      <c r="AT323" s="183">
        <f t="shared" si="209"/>
        <v>55427</v>
      </c>
      <c r="AU323" s="2">
        <f t="shared" si="210"/>
        <v>1.234567901234568E-2</v>
      </c>
      <c r="AV323" s="169">
        <f t="shared" si="211"/>
        <v>309</v>
      </c>
      <c r="AW323" s="165">
        <f t="shared" si="212"/>
        <v>1165.5980207603418</v>
      </c>
      <c r="AX323" s="170">
        <f t="shared" si="218"/>
        <v>1722.3017220274814</v>
      </c>
      <c r="AY323" s="164" t="str">
        <f t="shared" si="221"/>
        <v>🚙</v>
      </c>
      <c r="AZ323" s="171" t="str">
        <f t="shared" si="192"/>
        <v>🚴‍♂️</v>
      </c>
      <c r="BA323" s="172">
        <f t="shared" si="193"/>
        <v>1485.1407749042974</v>
      </c>
      <c r="BB323" s="173">
        <f t="shared" si="194"/>
        <v>0.49705174294723997</v>
      </c>
      <c r="BC323" s="174">
        <f t="shared" si="195"/>
        <v>2987.899742787823</v>
      </c>
      <c r="BD323" s="175">
        <f t="shared" si="213"/>
        <v>138021.29870932171</v>
      </c>
      <c r="BE323" s="188"/>
      <c r="BF323" s="177" t="str">
        <f t="shared" si="180"/>
        <v/>
      </c>
      <c r="BG323" s="178" t="str">
        <f t="shared" si="214"/>
        <v/>
      </c>
      <c r="BH323" s="179" t="str">
        <f t="shared" si="196"/>
        <v/>
      </c>
      <c r="BI323" s="180">
        <f t="shared" si="215"/>
        <v>81</v>
      </c>
      <c r="BJ323" s="181">
        <f t="shared" si="219"/>
        <v>237.16094712318417</v>
      </c>
      <c r="BK323" s="182">
        <f t="shared" si="216"/>
        <v>1.6999999999999999E-3</v>
      </c>
    </row>
    <row r="324" spans="1:63" x14ac:dyDescent="0.25">
      <c r="A324" s="7">
        <f t="shared" si="197"/>
        <v>25</v>
      </c>
      <c r="B324" s="7">
        <f t="shared" si="198"/>
        <v>75</v>
      </c>
      <c r="C324" s="115">
        <f t="shared" si="199"/>
        <v>55458</v>
      </c>
      <c r="D324" s="2">
        <f t="shared" si="182"/>
        <v>1.2500000000000001E-2</v>
      </c>
      <c r="E324" s="169">
        <f t="shared" si="200"/>
        <v>310</v>
      </c>
      <c r="F324" s="165">
        <f t="shared" si="201"/>
        <v>1153.189438373902</v>
      </c>
      <c r="G324" s="170">
        <f t="shared" si="217"/>
        <v>1725.2662338665214</v>
      </c>
      <c r="H324" s="164" t="str">
        <f t="shared" si="220"/>
        <v>🚙</v>
      </c>
      <c r="I324" s="171" t="str">
        <f t="shared" si="183"/>
        <v>🚖</v>
      </c>
      <c r="J324" s="172">
        <f t="shared" si="184"/>
        <v>1490.6300260606745</v>
      </c>
      <c r="K324" s="173">
        <f t="shared" si="185"/>
        <v>0.50047077750846902</v>
      </c>
      <c r="L324" s="174">
        <f t="shared" si="186"/>
        <v>2978.4556722404232</v>
      </c>
      <c r="M324" s="175">
        <f t="shared" si="202"/>
        <v>136530.66868326106</v>
      </c>
      <c r="N324" s="15"/>
      <c r="O324" s="37" t="str">
        <f t="shared" si="179"/>
        <v/>
      </c>
      <c r="P324" s="62" t="str">
        <f t="shared" si="203"/>
        <v/>
      </c>
      <c r="Q324" s="16" t="str">
        <f t="shared" si="187"/>
        <v/>
      </c>
      <c r="R324" s="60">
        <f t="shared" si="204"/>
        <v>80</v>
      </c>
      <c r="S324" s="98">
        <f t="shared" si="205"/>
        <v>234.63620780584688</v>
      </c>
      <c r="T324" s="21">
        <f t="shared" si="206"/>
        <v>1.6999999999999999E-3</v>
      </c>
      <c r="AA324" s="14">
        <f t="shared" si="188"/>
        <v>-2978.4556722404232</v>
      </c>
      <c r="AH324" s="6">
        <f t="shared" si="189"/>
        <v>3</v>
      </c>
      <c r="AI324" s="6">
        <f t="shared" si="190"/>
        <v>9</v>
      </c>
      <c r="AJ324" s="12">
        <f t="shared" si="191"/>
        <v>26</v>
      </c>
      <c r="AK324" s="72">
        <f t="shared" si="181"/>
        <v>30</v>
      </c>
      <c r="AR324">
        <f t="shared" si="207"/>
        <v>25</v>
      </c>
      <c r="AS324">
        <f t="shared" si="208"/>
        <v>75</v>
      </c>
      <c r="AT324" s="183">
        <f t="shared" si="209"/>
        <v>55458</v>
      </c>
      <c r="AU324" s="2">
        <f t="shared" si="210"/>
        <v>1.2500000000000001E-2</v>
      </c>
      <c r="AV324" s="169">
        <f t="shared" si="211"/>
        <v>310</v>
      </c>
      <c r="AW324" s="165">
        <f t="shared" si="212"/>
        <v>1153.189438373902</v>
      </c>
      <c r="AX324" s="170">
        <f t="shared" si="218"/>
        <v>1725.2662338665214</v>
      </c>
      <c r="AY324" s="164" t="str">
        <f t="shared" si="221"/>
        <v>🚙</v>
      </c>
      <c r="AZ324" s="171" t="str">
        <f t="shared" si="192"/>
        <v>🚖</v>
      </c>
      <c r="BA324" s="172">
        <f t="shared" si="193"/>
        <v>1490.6300260606745</v>
      </c>
      <c r="BB324" s="173">
        <f t="shared" si="194"/>
        <v>0.50047077750846902</v>
      </c>
      <c r="BC324" s="174">
        <f t="shared" si="195"/>
        <v>2978.4556722404232</v>
      </c>
      <c r="BD324" s="175">
        <f t="shared" si="213"/>
        <v>136530.66868326106</v>
      </c>
      <c r="BE324" s="188"/>
      <c r="BF324" s="177" t="str">
        <f t="shared" si="180"/>
        <v/>
      </c>
      <c r="BG324" s="178" t="str">
        <f t="shared" si="214"/>
        <v/>
      </c>
      <c r="BH324" s="179" t="str">
        <f t="shared" si="196"/>
        <v/>
      </c>
      <c r="BI324" s="180">
        <f t="shared" si="215"/>
        <v>80</v>
      </c>
      <c r="BJ324" s="181">
        <f t="shared" si="219"/>
        <v>234.63620780584688</v>
      </c>
      <c r="BK324" s="182">
        <f t="shared" si="216"/>
        <v>1.6999999999999999E-3</v>
      </c>
    </row>
    <row r="325" spans="1:63" x14ac:dyDescent="0.25">
      <c r="A325" s="7">
        <f t="shared" si="197"/>
        <v>25</v>
      </c>
      <c r="B325" s="7">
        <f t="shared" si="198"/>
        <v>75</v>
      </c>
      <c r="C325" s="115">
        <f t="shared" si="199"/>
        <v>55488</v>
      </c>
      <c r="D325" s="2">
        <f t="shared" si="182"/>
        <v>1.2658227848101266E-2</v>
      </c>
      <c r="E325" s="169">
        <f t="shared" si="200"/>
        <v>311</v>
      </c>
      <c r="F325" s="165">
        <f t="shared" si="201"/>
        <v>1140.7349924394639</v>
      </c>
      <c r="G325" s="170">
        <f t="shared" si="217"/>
        <v>1728.2363124463425</v>
      </c>
      <c r="H325" s="164" t="str">
        <f t="shared" si="220"/>
        <v>🚙</v>
      </c>
      <c r="I325" s="171" t="str">
        <f t="shared" si="183"/>
        <v>🚖</v>
      </c>
      <c r="J325" s="172">
        <f t="shared" si="184"/>
        <v>1496.1341756847987</v>
      </c>
      <c r="K325" s="173">
        <f t="shared" si="185"/>
        <v>0.50392342062138706</v>
      </c>
      <c r="L325" s="174">
        <f t="shared" si="186"/>
        <v>2968.9713048858066</v>
      </c>
      <c r="M325" s="175">
        <f t="shared" si="202"/>
        <v>135034.53450757626</v>
      </c>
      <c r="N325" s="15"/>
      <c r="O325" s="37" t="str">
        <f t="shared" si="179"/>
        <v/>
      </c>
      <c r="P325" s="62" t="str">
        <f t="shared" si="203"/>
        <v/>
      </c>
      <c r="Q325" s="16" t="str">
        <f t="shared" si="187"/>
        <v/>
      </c>
      <c r="R325" s="60">
        <f t="shared" si="204"/>
        <v>79</v>
      </c>
      <c r="S325" s="98">
        <f t="shared" si="205"/>
        <v>232.10213676154379</v>
      </c>
      <c r="T325" s="21">
        <f t="shared" si="206"/>
        <v>1.6999999999999999E-3</v>
      </c>
      <c r="AA325" s="14">
        <f t="shared" si="188"/>
        <v>-2968.9713048858066</v>
      </c>
      <c r="AH325" s="6">
        <f t="shared" si="189"/>
        <v>3</v>
      </c>
      <c r="AI325" s="6">
        <f t="shared" si="190"/>
        <v>9</v>
      </c>
      <c r="AJ325" s="12">
        <f t="shared" si="191"/>
        <v>26</v>
      </c>
      <c r="AK325" s="72">
        <f t="shared" si="181"/>
        <v>31</v>
      </c>
      <c r="AR325">
        <f t="shared" si="207"/>
        <v>25</v>
      </c>
      <c r="AS325">
        <f t="shared" si="208"/>
        <v>75</v>
      </c>
      <c r="AT325" s="183">
        <f t="shared" si="209"/>
        <v>55488</v>
      </c>
      <c r="AU325" s="2">
        <f t="shared" si="210"/>
        <v>1.2658227848101266E-2</v>
      </c>
      <c r="AV325" s="169">
        <f t="shared" si="211"/>
        <v>311</v>
      </c>
      <c r="AW325" s="165">
        <f t="shared" si="212"/>
        <v>1140.7349924394639</v>
      </c>
      <c r="AX325" s="170">
        <f t="shared" si="218"/>
        <v>1728.2363124463425</v>
      </c>
      <c r="AY325" s="164" t="str">
        <f t="shared" si="221"/>
        <v>🚙</v>
      </c>
      <c r="AZ325" s="171" t="str">
        <f t="shared" si="192"/>
        <v>🚖</v>
      </c>
      <c r="BA325" s="172">
        <f t="shared" si="193"/>
        <v>1496.1341756847987</v>
      </c>
      <c r="BB325" s="173">
        <f t="shared" si="194"/>
        <v>0.50392342062138706</v>
      </c>
      <c r="BC325" s="174">
        <f t="shared" si="195"/>
        <v>2968.9713048858066</v>
      </c>
      <c r="BD325" s="175">
        <f t="shared" si="213"/>
        <v>135034.53450757626</v>
      </c>
      <c r="BE325" s="188"/>
      <c r="BF325" s="177" t="str">
        <f t="shared" si="180"/>
        <v/>
      </c>
      <c r="BG325" s="178" t="str">
        <f t="shared" si="214"/>
        <v/>
      </c>
      <c r="BH325" s="179" t="str">
        <f t="shared" si="196"/>
        <v/>
      </c>
      <c r="BI325" s="180">
        <f t="shared" si="215"/>
        <v>79</v>
      </c>
      <c r="BJ325" s="181">
        <f t="shared" si="219"/>
        <v>232.10213676154379</v>
      </c>
      <c r="BK325" s="182">
        <f t="shared" si="216"/>
        <v>1.6999999999999999E-3</v>
      </c>
    </row>
    <row r="326" spans="1:63" x14ac:dyDescent="0.25">
      <c r="A326" s="7">
        <f t="shared" si="197"/>
        <v>25</v>
      </c>
      <c r="B326" s="7">
        <f t="shared" si="198"/>
        <v>75</v>
      </c>
      <c r="C326" s="115">
        <f t="shared" si="199"/>
        <v>55519</v>
      </c>
      <c r="D326" s="2">
        <f t="shared" si="182"/>
        <v>1.2820512820512822E-2</v>
      </c>
      <c r="E326" s="169">
        <f t="shared" si="200"/>
        <v>312</v>
      </c>
      <c r="F326" s="165">
        <f t="shared" si="201"/>
        <v>1128.2345584780103</v>
      </c>
      <c r="G326" s="170">
        <f t="shared" si="217"/>
        <v>1731.2119808663624</v>
      </c>
      <c r="H326" s="164" t="str">
        <f t="shared" si="220"/>
        <v>🚙</v>
      </c>
      <c r="I326" s="171" t="str">
        <f t="shared" si="183"/>
        <v>🚖</v>
      </c>
      <c r="J326" s="172">
        <f t="shared" si="184"/>
        <v>1501.6532722034829</v>
      </c>
      <c r="K326" s="173">
        <f t="shared" si="185"/>
        <v>0.50741017019221268</v>
      </c>
      <c r="L326" s="174">
        <f t="shared" si="186"/>
        <v>2959.4465393443725</v>
      </c>
      <c r="M326" s="175">
        <f t="shared" si="202"/>
        <v>133532.88123537277</v>
      </c>
      <c r="N326" s="15"/>
      <c r="O326" s="37" t="str">
        <f t="shared" si="179"/>
        <v/>
      </c>
      <c r="P326" s="62" t="str">
        <f t="shared" si="203"/>
        <v/>
      </c>
      <c r="Q326" s="16" t="str">
        <f t="shared" si="187"/>
        <v/>
      </c>
      <c r="R326" s="60">
        <f t="shared" si="204"/>
        <v>78</v>
      </c>
      <c r="S326" s="98">
        <f t="shared" si="205"/>
        <v>229.55870866287964</v>
      </c>
      <c r="T326" s="21">
        <f t="shared" si="206"/>
        <v>1.6999999999999999E-3</v>
      </c>
      <c r="AA326" s="14">
        <f t="shared" si="188"/>
        <v>-2959.4465393443725</v>
      </c>
      <c r="AH326" s="6">
        <f t="shared" si="189"/>
        <v>3</v>
      </c>
      <c r="AI326" s="6">
        <f t="shared" si="190"/>
        <v>9</v>
      </c>
      <c r="AJ326" s="12">
        <f t="shared" si="191"/>
        <v>26</v>
      </c>
      <c r="AK326" s="72">
        <f t="shared" si="181"/>
        <v>31</v>
      </c>
      <c r="AR326">
        <f t="shared" si="207"/>
        <v>25</v>
      </c>
      <c r="AS326">
        <f t="shared" si="208"/>
        <v>75</v>
      </c>
      <c r="AT326" s="183">
        <f t="shared" si="209"/>
        <v>55519</v>
      </c>
      <c r="AU326" s="2">
        <f t="shared" si="210"/>
        <v>1.2820512820512822E-2</v>
      </c>
      <c r="AV326" s="169">
        <f t="shared" si="211"/>
        <v>312</v>
      </c>
      <c r="AW326" s="165">
        <f t="shared" si="212"/>
        <v>1128.2345584780103</v>
      </c>
      <c r="AX326" s="170">
        <f t="shared" si="218"/>
        <v>1731.2119808663624</v>
      </c>
      <c r="AY326" s="164" t="str">
        <f t="shared" si="221"/>
        <v>🚙</v>
      </c>
      <c r="AZ326" s="171" t="str">
        <f t="shared" si="192"/>
        <v>🚖</v>
      </c>
      <c r="BA326" s="172">
        <f t="shared" si="193"/>
        <v>1501.6532722034829</v>
      </c>
      <c r="BB326" s="173">
        <f t="shared" si="194"/>
        <v>0.50741017019221268</v>
      </c>
      <c r="BC326" s="174">
        <f t="shared" si="195"/>
        <v>2959.4465393443725</v>
      </c>
      <c r="BD326" s="175">
        <f t="shared" si="213"/>
        <v>133532.88123537277</v>
      </c>
      <c r="BE326" s="188"/>
      <c r="BF326" s="177" t="str">
        <f t="shared" si="180"/>
        <v/>
      </c>
      <c r="BG326" s="178" t="str">
        <f t="shared" si="214"/>
        <v/>
      </c>
      <c r="BH326" s="179" t="str">
        <f t="shared" si="196"/>
        <v/>
      </c>
      <c r="BI326" s="180">
        <f t="shared" si="215"/>
        <v>78</v>
      </c>
      <c r="BJ326" s="181">
        <f t="shared" si="219"/>
        <v>229.55870866287964</v>
      </c>
      <c r="BK326" s="182">
        <f t="shared" si="216"/>
        <v>1.6999999999999999E-3</v>
      </c>
    </row>
    <row r="327" spans="1:63" x14ac:dyDescent="0.25">
      <c r="A327" s="7">
        <f t="shared" si="197"/>
        <v>25</v>
      </c>
      <c r="B327" s="7">
        <f t="shared" si="198"/>
        <v>75</v>
      </c>
      <c r="C327" s="115">
        <f t="shared" si="199"/>
        <v>55550</v>
      </c>
      <c r="D327" s="2">
        <f t="shared" si="182"/>
        <v>1.2987012987012986E-2</v>
      </c>
      <c r="E327" s="169">
        <f t="shared" si="200"/>
        <v>313</v>
      </c>
      <c r="F327" s="165">
        <f t="shared" si="201"/>
        <v>1115.6880116059099</v>
      </c>
      <c r="G327" s="170">
        <f t="shared" si="217"/>
        <v>1734.1932627970489</v>
      </c>
      <c r="H327" s="164" t="str">
        <f t="shared" si="220"/>
        <v>🚙</v>
      </c>
      <c r="I327" s="171" t="str">
        <f t="shared" si="183"/>
        <v>🚖</v>
      </c>
      <c r="J327" s="172">
        <f t="shared" si="184"/>
        <v>1507.1873646969152</v>
      </c>
      <c r="K327" s="173">
        <f t="shared" si="185"/>
        <v>0.51093153401638591</v>
      </c>
      <c r="L327" s="174">
        <f t="shared" si="186"/>
        <v>2949.8812744029588</v>
      </c>
      <c r="M327" s="175">
        <f t="shared" si="202"/>
        <v>132025.69387067584</v>
      </c>
      <c r="N327" s="15"/>
      <c r="O327" s="37" t="str">
        <f t="shared" si="179"/>
        <v/>
      </c>
      <c r="P327" s="62" t="str">
        <f t="shared" si="203"/>
        <v/>
      </c>
      <c r="Q327" s="16" t="str">
        <f t="shared" si="187"/>
        <v/>
      </c>
      <c r="R327" s="60">
        <f t="shared" si="204"/>
        <v>77</v>
      </c>
      <c r="S327" s="98">
        <f t="shared" si="205"/>
        <v>227.00589810013369</v>
      </c>
      <c r="T327" s="21">
        <f t="shared" si="206"/>
        <v>1.6999999999999999E-3</v>
      </c>
      <c r="AA327" s="14">
        <f t="shared" si="188"/>
        <v>-2949.8812744029588</v>
      </c>
      <c r="AH327" s="6">
        <f t="shared" si="189"/>
        <v>3</v>
      </c>
      <c r="AI327" s="6">
        <f t="shared" si="190"/>
        <v>9</v>
      </c>
      <c r="AJ327" s="12">
        <f t="shared" si="191"/>
        <v>27</v>
      </c>
      <c r="AK327" s="72">
        <f t="shared" si="181"/>
        <v>29</v>
      </c>
      <c r="AR327">
        <f t="shared" si="207"/>
        <v>25</v>
      </c>
      <c r="AS327">
        <f t="shared" si="208"/>
        <v>75</v>
      </c>
      <c r="AT327" s="183">
        <f t="shared" si="209"/>
        <v>55550</v>
      </c>
      <c r="AU327" s="2">
        <f t="shared" si="210"/>
        <v>1.2987012987012986E-2</v>
      </c>
      <c r="AV327" s="169">
        <f t="shared" si="211"/>
        <v>313</v>
      </c>
      <c r="AW327" s="165">
        <f t="shared" si="212"/>
        <v>1115.6880116059099</v>
      </c>
      <c r="AX327" s="170">
        <f t="shared" si="218"/>
        <v>1734.1932627970489</v>
      </c>
      <c r="AY327" s="164" t="str">
        <f t="shared" si="221"/>
        <v>🚙</v>
      </c>
      <c r="AZ327" s="171" t="str">
        <f t="shared" si="192"/>
        <v>🚖</v>
      </c>
      <c r="BA327" s="172">
        <f t="shared" si="193"/>
        <v>1507.1873646969152</v>
      </c>
      <c r="BB327" s="173">
        <f t="shared" si="194"/>
        <v>0.51093153401638591</v>
      </c>
      <c r="BC327" s="174">
        <f t="shared" si="195"/>
        <v>2949.8812744029588</v>
      </c>
      <c r="BD327" s="175">
        <f t="shared" si="213"/>
        <v>132025.69387067584</v>
      </c>
      <c r="BE327" s="188"/>
      <c r="BF327" s="177" t="str">
        <f t="shared" si="180"/>
        <v/>
      </c>
      <c r="BG327" s="178" t="str">
        <f t="shared" si="214"/>
        <v/>
      </c>
      <c r="BH327" s="179" t="str">
        <f t="shared" si="196"/>
        <v/>
      </c>
      <c r="BI327" s="180">
        <f t="shared" si="215"/>
        <v>77</v>
      </c>
      <c r="BJ327" s="181">
        <f t="shared" si="219"/>
        <v>227.00589810013369</v>
      </c>
      <c r="BK327" s="182">
        <f t="shared" si="216"/>
        <v>1.6999999999999999E-3</v>
      </c>
    </row>
    <row r="328" spans="1:63" x14ac:dyDescent="0.25">
      <c r="A328" s="7">
        <f t="shared" si="197"/>
        <v>25</v>
      </c>
      <c r="B328" s="7">
        <f t="shared" si="198"/>
        <v>75</v>
      </c>
      <c r="C328" s="115">
        <f t="shared" si="199"/>
        <v>55579</v>
      </c>
      <c r="D328" s="2">
        <f t="shared" si="182"/>
        <v>1.3157894736842105E-2</v>
      </c>
      <c r="E328" s="169">
        <f t="shared" si="200"/>
        <v>314</v>
      </c>
      <c r="F328" s="165">
        <f t="shared" si="201"/>
        <v>1103.0952265294591</v>
      </c>
      <c r="G328" s="170">
        <f t="shared" si="217"/>
        <v>1737.1801825088926</v>
      </c>
      <c r="H328" s="164" t="str">
        <f t="shared" si="220"/>
        <v>🚙</v>
      </c>
      <c r="I328" s="171" t="str">
        <f t="shared" si="183"/>
        <v>🚖</v>
      </c>
      <c r="J328" s="172">
        <f t="shared" si="184"/>
        <v>1512.7365029287437</v>
      </c>
      <c r="K328" s="173">
        <f t="shared" si="185"/>
        <v>0.51448803002556154</v>
      </c>
      <c r="L328" s="174">
        <f t="shared" si="186"/>
        <v>2940.2754090383514</v>
      </c>
      <c r="M328" s="175">
        <f t="shared" si="202"/>
        <v>130512.95736774709</v>
      </c>
      <c r="N328" s="15"/>
      <c r="O328" s="37" t="str">
        <f t="shared" si="179"/>
        <v/>
      </c>
      <c r="P328" s="62" t="str">
        <f t="shared" si="203"/>
        <v/>
      </c>
      <c r="Q328" s="16" t="str">
        <f t="shared" si="187"/>
        <v/>
      </c>
      <c r="R328" s="60">
        <f t="shared" si="204"/>
        <v>76</v>
      </c>
      <c r="S328" s="98">
        <f t="shared" si="205"/>
        <v>224.44367958014891</v>
      </c>
      <c r="T328" s="21">
        <f t="shared" si="206"/>
        <v>1.6999999999999999E-3</v>
      </c>
      <c r="AA328" s="14">
        <f t="shared" si="188"/>
        <v>-2940.2754090383514</v>
      </c>
      <c r="AH328" s="6">
        <f t="shared" si="189"/>
        <v>3</v>
      </c>
      <c r="AI328" s="6">
        <f t="shared" si="190"/>
        <v>9</v>
      </c>
      <c r="AJ328" s="12">
        <f t="shared" si="191"/>
        <v>27</v>
      </c>
      <c r="AK328" s="72">
        <f t="shared" si="181"/>
        <v>31</v>
      </c>
      <c r="AR328">
        <f t="shared" si="207"/>
        <v>25</v>
      </c>
      <c r="AS328">
        <f t="shared" si="208"/>
        <v>75</v>
      </c>
      <c r="AT328" s="183">
        <f t="shared" si="209"/>
        <v>55579</v>
      </c>
      <c r="AU328" s="2">
        <f t="shared" si="210"/>
        <v>1.3157894736842105E-2</v>
      </c>
      <c r="AV328" s="169">
        <f t="shared" si="211"/>
        <v>314</v>
      </c>
      <c r="AW328" s="165">
        <f t="shared" si="212"/>
        <v>1103.0952265294591</v>
      </c>
      <c r="AX328" s="170">
        <f t="shared" si="218"/>
        <v>1737.1801825088926</v>
      </c>
      <c r="AY328" s="164" t="str">
        <f t="shared" si="221"/>
        <v>🚙</v>
      </c>
      <c r="AZ328" s="171" t="str">
        <f t="shared" si="192"/>
        <v>🚖</v>
      </c>
      <c r="BA328" s="172">
        <f t="shared" si="193"/>
        <v>1512.7365029287437</v>
      </c>
      <c r="BB328" s="173">
        <f t="shared" si="194"/>
        <v>0.51448803002556154</v>
      </c>
      <c r="BC328" s="174">
        <f t="shared" si="195"/>
        <v>2940.2754090383514</v>
      </c>
      <c r="BD328" s="175">
        <f t="shared" si="213"/>
        <v>130512.95736774709</v>
      </c>
      <c r="BE328" s="188"/>
      <c r="BF328" s="177" t="str">
        <f t="shared" si="180"/>
        <v/>
      </c>
      <c r="BG328" s="178" t="str">
        <f t="shared" si="214"/>
        <v/>
      </c>
      <c r="BH328" s="179" t="str">
        <f t="shared" si="196"/>
        <v/>
      </c>
      <c r="BI328" s="180">
        <f t="shared" si="215"/>
        <v>76</v>
      </c>
      <c r="BJ328" s="181">
        <f t="shared" si="219"/>
        <v>224.44367958014891</v>
      </c>
      <c r="BK328" s="182">
        <f t="shared" si="216"/>
        <v>1.6999999999999999E-3</v>
      </c>
    </row>
    <row r="329" spans="1:63" x14ac:dyDescent="0.25">
      <c r="A329" s="7">
        <f t="shared" si="197"/>
        <v>25</v>
      </c>
      <c r="B329" s="7">
        <f t="shared" si="198"/>
        <v>75</v>
      </c>
      <c r="C329" s="115">
        <f t="shared" si="199"/>
        <v>55610</v>
      </c>
      <c r="D329" s="2">
        <f t="shared" si="182"/>
        <v>1.3333333333333334E-2</v>
      </c>
      <c r="E329" s="169">
        <f t="shared" si="200"/>
        <v>315</v>
      </c>
      <c r="F329" s="165">
        <f t="shared" si="201"/>
        <v>1090.4560775391715</v>
      </c>
      <c r="G329" s="170">
        <f t="shared" si="217"/>
        <v>1740.1727649032946</v>
      </c>
      <c r="H329" s="164" t="str">
        <f t="shared" si="220"/>
        <v>🚙</v>
      </c>
      <c r="I329" s="171" t="str">
        <f t="shared" si="183"/>
        <v>🚖</v>
      </c>
      <c r="J329" s="172">
        <f t="shared" si="184"/>
        <v>1518.3007373781245</v>
      </c>
      <c r="K329" s="173">
        <f t="shared" si="185"/>
        <v>0.51808018654205668</v>
      </c>
      <c r="L329" s="174">
        <f t="shared" si="186"/>
        <v>2930.6288424424661</v>
      </c>
      <c r="M329" s="175">
        <f t="shared" si="202"/>
        <v>128994.65663036896</v>
      </c>
      <c r="N329" s="15"/>
      <c r="O329" s="37" t="str">
        <f t="shared" si="179"/>
        <v/>
      </c>
      <c r="P329" s="62" t="str">
        <f t="shared" si="203"/>
        <v/>
      </c>
      <c r="Q329" s="16" t="str">
        <f t="shared" si="187"/>
        <v/>
      </c>
      <c r="R329" s="60">
        <f t="shared" si="204"/>
        <v>75</v>
      </c>
      <c r="S329" s="98">
        <f t="shared" si="205"/>
        <v>221.87202752517004</v>
      </c>
      <c r="T329" s="21">
        <f t="shared" si="206"/>
        <v>1.6999999999999999E-3</v>
      </c>
      <c r="AA329" s="14">
        <f t="shared" si="188"/>
        <v>-2930.6288424424661</v>
      </c>
      <c r="AH329" s="6">
        <f t="shared" si="189"/>
        <v>3</v>
      </c>
      <c r="AI329" s="6">
        <f t="shared" si="190"/>
        <v>9</v>
      </c>
      <c r="AJ329" s="12">
        <f t="shared" si="191"/>
        <v>27</v>
      </c>
      <c r="AK329" s="72">
        <f t="shared" si="181"/>
        <v>30</v>
      </c>
      <c r="AR329">
        <f t="shared" si="207"/>
        <v>25</v>
      </c>
      <c r="AS329">
        <f t="shared" si="208"/>
        <v>75</v>
      </c>
      <c r="AT329" s="183">
        <f t="shared" si="209"/>
        <v>55610</v>
      </c>
      <c r="AU329" s="2">
        <f t="shared" si="210"/>
        <v>1.3333333333333334E-2</v>
      </c>
      <c r="AV329" s="169">
        <f t="shared" si="211"/>
        <v>315</v>
      </c>
      <c r="AW329" s="165">
        <f t="shared" si="212"/>
        <v>1090.4560775391715</v>
      </c>
      <c r="AX329" s="170">
        <f t="shared" si="218"/>
        <v>1740.1727649032946</v>
      </c>
      <c r="AY329" s="164" t="str">
        <f t="shared" si="221"/>
        <v>🚙</v>
      </c>
      <c r="AZ329" s="171" t="str">
        <f t="shared" si="192"/>
        <v>🚖</v>
      </c>
      <c r="BA329" s="172">
        <f t="shared" si="193"/>
        <v>1518.3007373781245</v>
      </c>
      <c r="BB329" s="173">
        <f t="shared" si="194"/>
        <v>0.51808018654205668</v>
      </c>
      <c r="BC329" s="174">
        <f t="shared" si="195"/>
        <v>2930.6288424424661</v>
      </c>
      <c r="BD329" s="175">
        <f t="shared" si="213"/>
        <v>128994.65663036896</v>
      </c>
      <c r="BE329" s="188"/>
      <c r="BF329" s="177" t="str">
        <f t="shared" si="180"/>
        <v/>
      </c>
      <c r="BG329" s="178" t="str">
        <f t="shared" si="214"/>
        <v/>
      </c>
      <c r="BH329" s="179" t="str">
        <f t="shared" si="196"/>
        <v/>
      </c>
      <c r="BI329" s="180">
        <f t="shared" si="215"/>
        <v>75</v>
      </c>
      <c r="BJ329" s="181">
        <f t="shared" si="219"/>
        <v>221.87202752517004</v>
      </c>
      <c r="BK329" s="182">
        <f t="shared" si="216"/>
        <v>1.6999999999999999E-3</v>
      </c>
    </row>
    <row r="330" spans="1:63" x14ac:dyDescent="0.25">
      <c r="A330" s="7">
        <f t="shared" si="197"/>
        <v>25</v>
      </c>
      <c r="B330" s="7">
        <f t="shared" si="198"/>
        <v>75</v>
      </c>
      <c r="C330" s="115">
        <f t="shared" si="199"/>
        <v>55640</v>
      </c>
      <c r="D330" s="2">
        <f t="shared" si="182"/>
        <v>1.3513513513513514E-2</v>
      </c>
      <c r="E330" s="169">
        <f t="shared" si="200"/>
        <v>316</v>
      </c>
      <c r="F330" s="165">
        <f t="shared" si="201"/>
        <v>1077.7704385037991</v>
      </c>
      <c r="G330" s="170">
        <f t="shared" si="217"/>
        <v>1743.1710355455266</v>
      </c>
      <c r="H330" s="164" t="str">
        <f t="shared" si="220"/>
        <v>🚙</v>
      </c>
      <c r="I330" s="171" t="str">
        <f t="shared" si="183"/>
        <v>🚖</v>
      </c>
      <c r="J330" s="172">
        <f t="shared" si="184"/>
        <v>1523.8801192738993</v>
      </c>
      <c r="K330" s="173">
        <f t="shared" si="185"/>
        <v>0.52170854254102239</v>
      </c>
      <c r="L330" s="174">
        <f t="shared" si="186"/>
        <v>2920.9414740493257</v>
      </c>
      <c r="M330" s="175">
        <f t="shared" si="202"/>
        <v>127470.77651109506</v>
      </c>
      <c r="N330" s="15"/>
      <c r="O330" s="37" t="str">
        <f t="shared" si="179"/>
        <v/>
      </c>
      <c r="P330" s="62" t="str">
        <f t="shared" si="203"/>
        <v/>
      </c>
      <c r="Q330" s="16" t="str">
        <f t="shared" si="187"/>
        <v/>
      </c>
      <c r="R330" s="60">
        <f t="shared" si="204"/>
        <v>74</v>
      </c>
      <c r="S330" s="98">
        <f t="shared" si="205"/>
        <v>219.29091627162722</v>
      </c>
      <c r="T330" s="21">
        <f t="shared" si="206"/>
        <v>1.6999999999999999E-3</v>
      </c>
      <c r="AA330" s="14">
        <f t="shared" si="188"/>
        <v>-2920.9414740493257</v>
      </c>
      <c r="AH330" s="6">
        <f t="shared" si="189"/>
        <v>3</v>
      </c>
      <c r="AI330" s="6">
        <f t="shared" si="190"/>
        <v>9</v>
      </c>
      <c r="AJ330" s="12">
        <f t="shared" si="191"/>
        <v>27</v>
      </c>
      <c r="AK330" s="72">
        <f t="shared" si="181"/>
        <v>31</v>
      </c>
      <c r="AR330">
        <f t="shared" si="207"/>
        <v>25</v>
      </c>
      <c r="AS330">
        <f t="shared" si="208"/>
        <v>75</v>
      </c>
      <c r="AT330" s="183">
        <f t="shared" si="209"/>
        <v>55640</v>
      </c>
      <c r="AU330" s="2">
        <f t="shared" si="210"/>
        <v>1.3513513513513514E-2</v>
      </c>
      <c r="AV330" s="169">
        <f t="shared" si="211"/>
        <v>316</v>
      </c>
      <c r="AW330" s="165">
        <f t="shared" si="212"/>
        <v>1077.7704385037991</v>
      </c>
      <c r="AX330" s="170">
        <f t="shared" si="218"/>
        <v>1743.1710355455266</v>
      </c>
      <c r="AY330" s="164" t="str">
        <f t="shared" si="221"/>
        <v>🚙</v>
      </c>
      <c r="AZ330" s="171" t="str">
        <f t="shared" si="192"/>
        <v>🚖</v>
      </c>
      <c r="BA330" s="172">
        <f t="shared" si="193"/>
        <v>1523.8801192738993</v>
      </c>
      <c r="BB330" s="173">
        <f t="shared" si="194"/>
        <v>0.52170854254102239</v>
      </c>
      <c r="BC330" s="174">
        <f t="shared" si="195"/>
        <v>2920.9414740493257</v>
      </c>
      <c r="BD330" s="175">
        <f t="shared" si="213"/>
        <v>127470.77651109506</v>
      </c>
      <c r="BE330" s="188"/>
      <c r="BF330" s="177" t="str">
        <f t="shared" si="180"/>
        <v/>
      </c>
      <c r="BG330" s="178" t="str">
        <f t="shared" si="214"/>
        <v/>
      </c>
      <c r="BH330" s="179" t="str">
        <f t="shared" si="196"/>
        <v/>
      </c>
      <c r="BI330" s="180">
        <f t="shared" si="215"/>
        <v>74</v>
      </c>
      <c r="BJ330" s="181">
        <f t="shared" si="219"/>
        <v>219.29091627162722</v>
      </c>
      <c r="BK330" s="182">
        <f t="shared" si="216"/>
        <v>1.6999999999999999E-3</v>
      </c>
    </row>
    <row r="331" spans="1:63" x14ac:dyDescent="0.25">
      <c r="A331" s="7">
        <f t="shared" si="197"/>
        <v>25</v>
      </c>
      <c r="B331" s="7">
        <f t="shared" si="198"/>
        <v>75</v>
      </c>
      <c r="C331" s="115">
        <f t="shared" si="199"/>
        <v>55671</v>
      </c>
      <c r="D331" s="2">
        <f t="shared" si="182"/>
        <v>1.3698630136986301E-2</v>
      </c>
      <c r="E331" s="169">
        <f t="shared" si="200"/>
        <v>317</v>
      </c>
      <c r="F331" s="165">
        <f t="shared" si="201"/>
        <v>1065.0381828640691</v>
      </c>
      <c r="G331" s="170">
        <f t="shared" si="217"/>
        <v>1746.1750206999322</v>
      </c>
      <c r="H331" s="164" t="str">
        <f t="shared" si="220"/>
        <v>🚙</v>
      </c>
      <c r="I331" s="171" t="str">
        <f t="shared" si="183"/>
        <v>🚖</v>
      </c>
      <c r="J331" s="172">
        <f t="shared" si="184"/>
        <v>1529.4747006310706</v>
      </c>
      <c r="K331" s="173">
        <f t="shared" si="185"/>
        <v>0.52537364792061192</v>
      </c>
      <c r="L331" s="174">
        <f t="shared" si="186"/>
        <v>2911.2132035640016</v>
      </c>
      <c r="M331" s="175">
        <f t="shared" si="202"/>
        <v>125941.30181046399</v>
      </c>
      <c r="N331" s="15"/>
      <c r="O331" s="37" t="str">
        <f t="shared" ref="O331:O394" si="222">IF(AND(N331&lt;&gt;"",N331&lt;R331),"V","")</f>
        <v/>
      </c>
      <c r="P331" s="62" t="str">
        <f t="shared" si="203"/>
        <v/>
      </c>
      <c r="Q331" s="16" t="str">
        <f t="shared" si="187"/>
        <v/>
      </c>
      <c r="R331" s="60">
        <f t="shared" si="204"/>
        <v>73</v>
      </c>
      <c r="S331" s="98">
        <f t="shared" si="205"/>
        <v>216.70032006886157</v>
      </c>
      <c r="T331" s="21">
        <f t="shared" si="206"/>
        <v>1.6999999999999999E-3</v>
      </c>
      <c r="AA331" s="14">
        <f t="shared" si="188"/>
        <v>-2911.2132035640016</v>
      </c>
      <c r="AH331" s="6">
        <f t="shared" si="189"/>
        <v>3</v>
      </c>
      <c r="AI331" s="6">
        <f t="shared" si="190"/>
        <v>9</v>
      </c>
      <c r="AJ331" s="12">
        <f t="shared" si="191"/>
        <v>27</v>
      </c>
      <c r="AK331" s="72">
        <f t="shared" si="181"/>
        <v>30</v>
      </c>
      <c r="AR331">
        <f t="shared" si="207"/>
        <v>25</v>
      </c>
      <c r="AS331">
        <f t="shared" si="208"/>
        <v>75</v>
      </c>
      <c r="AT331" s="183">
        <f t="shared" si="209"/>
        <v>55671</v>
      </c>
      <c r="AU331" s="2">
        <f t="shared" si="210"/>
        <v>1.3698630136986301E-2</v>
      </c>
      <c r="AV331" s="169">
        <f t="shared" si="211"/>
        <v>317</v>
      </c>
      <c r="AW331" s="165">
        <f t="shared" si="212"/>
        <v>1065.0381828640691</v>
      </c>
      <c r="AX331" s="170">
        <f t="shared" si="218"/>
        <v>1746.1750206999322</v>
      </c>
      <c r="AY331" s="164" t="str">
        <f t="shared" si="221"/>
        <v>🚙</v>
      </c>
      <c r="AZ331" s="171" t="str">
        <f t="shared" si="192"/>
        <v>🚖</v>
      </c>
      <c r="BA331" s="172">
        <f t="shared" si="193"/>
        <v>1529.4747006310706</v>
      </c>
      <c r="BB331" s="173">
        <f t="shared" si="194"/>
        <v>0.52537364792061192</v>
      </c>
      <c r="BC331" s="174">
        <f t="shared" si="195"/>
        <v>2911.2132035640016</v>
      </c>
      <c r="BD331" s="175">
        <f t="shared" si="213"/>
        <v>125941.30181046399</v>
      </c>
      <c r="BE331" s="188"/>
      <c r="BF331" s="177" t="str">
        <f t="shared" ref="BF331:BF394" si="223">IF(AND(BE331&lt;&gt;"",BE331&lt;BI331),"V","")</f>
        <v/>
      </c>
      <c r="BG331" s="178" t="str">
        <f t="shared" si="214"/>
        <v/>
      </c>
      <c r="BH331" s="179" t="str">
        <f t="shared" si="196"/>
        <v/>
      </c>
      <c r="BI331" s="180">
        <f t="shared" si="215"/>
        <v>73</v>
      </c>
      <c r="BJ331" s="181">
        <f t="shared" si="219"/>
        <v>216.70032006886157</v>
      </c>
      <c r="BK331" s="182">
        <f t="shared" si="216"/>
        <v>1.6999999999999999E-3</v>
      </c>
    </row>
    <row r="332" spans="1:63" x14ac:dyDescent="0.25">
      <c r="A332" s="7">
        <f t="shared" si="197"/>
        <v>25</v>
      </c>
      <c r="B332" s="7">
        <f t="shared" si="198"/>
        <v>75</v>
      </c>
      <c r="C332" s="115">
        <f t="shared" si="199"/>
        <v>55701</v>
      </c>
      <c r="D332" s="2">
        <f t="shared" si="182"/>
        <v>1.388888888888889E-2</v>
      </c>
      <c r="E332" s="169">
        <f t="shared" si="200"/>
        <v>318</v>
      </c>
      <c r="F332" s="165">
        <f t="shared" si="201"/>
        <v>1052.2591836261151</v>
      </c>
      <c r="G332" s="170">
        <f t="shared" si="217"/>
        <v>1749.1847473675555</v>
      </c>
      <c r="H332" s="164" t="str">
        <f t="shared" si="220"/>
        <v>🚙</v>
      </c>
      <c r="I332" s="171" t="str">
        <f t="shared" si="183"/>
        <v>🚖</v>
      </c>
      <c r="J332" s="172">
        <f t="shared" si="184"/>
        <v>1535.0845342897667</v>
      </c>
      <c r="K332" s="173">
        <f t="shared" si="185"/>
        <v>0.52907606378043615</v>
      </c>
      <c r="L332" s="174">
        <f t="shared" si="186"/>
        <v>2901.4439309936706</v>
      </c>
      <c r="M332" s="175">
        <f t="shared" si="202"/>
        <v>124406.21727617423</v>
      </c>
      <c r="N332" s="15"/>
      <c r="O332" s="37" t="str">
        <f t="shared" si="222"/>
        <v/>
      </c>
      <c r="P332" s="62" t="str">
        <f t="shared" si="203"/>
        <v/>
      </c>
      <c r="Q332" s="16" t="str">
        <f t="shared" si="187"/>
        <v/>
      </c>
      <c r="R332" s="60">
        <f t="shared" si="204"/>
        <v>72</v>
      </c>
      <c r="S332" s="98">
        <f t="shared" si="205"/>
        <v>214.10021307778877</v>
      </c>
      <c r="T332" s="21">
        <f t="shared" si="206"/>
        <v>1.6999999999999999E-3</v>
      </c>
      <c r="AA332" s="14">
        <f t="shared" si="188"/>
        <v>-2901.4439309936706</v>
      </c>
      <c r="AH332" s="6">
        <f t="shared" si="189"/>
        <v>3</v>
      </c>
      <c r="AI332" s="6">
        <f t="shared" si="190"/>
        <v>9</v>
      </c>
      <c r="AJ332" s="12">
        <f t="shared" si="191"/>
        <v>27</v>
      </c>
      <c r="AK332" s="72">
        <f t="shared" si="181"/>
        <v>31</v>
      </c>
      <c r="AR332">
        <f t="shared" si="207"/>
        <v>25</v>
      </c>
      <c r="AS332">
        <f t="shared" si="208"/>
        <v>75</v>
      </c>
      <c r="AT332" s="183">
        <f t="shared" si="209"/>
        <v>55701</v>
      </c>
      <c r="AU332" s="2">
        <f t="shared" si="210"/>
        <v>1.388888888888889E-2</v>
      </c>
      <c r="AV332" s="169">
        <f t="shared" si="211"/>
        <v>318</v>
      </c>
      <c r="AW332" s="165">
        <f t="shared" si="212"/>
        <v>1052.2591836261151</v>
      </c>
      <c r="AX332" s="170">
        <f t="shared" si="218"/>
        <v>1749.1847473675555</v>
      </c>
      <c r="AY332" s="164" t="str">
        <f t="shared" si="221"/>
        <v>🚙</v>
      </c>
      <c r="AZ332" s="171" t="str">
        <f t="shared" si="192"/>
        <v>🚖</v>
      </c>
      <c r="BA332" s="172">
        <f t="shared" si="193"/>
        <v>1535.0845342897667</v>
      </c>
      <c r="BB332" s="173">
        <f t="shared" si="194"/>
        <v>0.52907606378043615</v>
      </c>
      <c r="BC332" s="174">
        <f t="shared" si="195"/>
        <v>2901.4439309936706</v>
      </c>
      <c r="BD332" s="175">
        <f t="shared" si="213"/>
        <v>124406.21727617423</v>
      </c>
      <c r="BE332" s="188"/>
      <c r="BF332" s="177" t="str">
        <f t="shared" si="223"/>
        <v/>
      </c>
      <c r="BG332" s="178" t="str">
        <f t="shared" si="214"/>
        <v/>
      </c>
      <c r="BH332" s="179" t="str">
        <f t="shared" si="196"/>
        <v/>
      </c>
      <c r="BI332" s="180">
        <f t="shared" si="215"/>
        <v>72</v>
      </c>
      <c r="BJ332" s="181">
        <f t="shared" si="219"/>
        <v>214.10021307778877</v>
      </c>
      <c r="BK332" s="182">
        <f t="shared" si="216"/>
        <v>1.6999999999999999E-3</v>
      </c>
    </row>
    <row r="333" spans="1:63" x14ac:dyDescent="0.25">
      <c r="A333" s="7">
        <f t="shared" si="197"/>
        <v>25</v>
      </c>
      <c r="B333" s="7">
        <f t="shared" si="198"/>
        <v>75</v>
      </c>
      <c r="C333" s="115">
        <f t="shared" si="199"/>
        <v>55732</v>
      </c>
      <c r="D333" s="2">
        <f t="shared" si="182"/>
        <v>1.4084507042253521E-2</v>
      </c>
      <c r="E333" s="169">
        <f t="shared" si="200"/>
        <v>319</v>
      </c>
      <c r="F333" s="165">
        <f t="shared" si="201"/>
        <v>1039.4333133545836</v>
      </c>
      <c r="G333" s="170">
        <f t="shared" si="217"/>
        <v>1752.2002433263976</v>
      </c>
      <c r="H333" s="164" t="str">
        <f t="shared" si="220"/>
        <v>🚙</v>
      </c>
      <c r="I333" s="171" t="str">
        <f t="shared" si="183"/>
        <v>🚖</v>
      </c>
      <c r="J333" s="172">
        <f t="shared" si="184"/>
        <v>1540.7096739569015</v>
      </c>
      <c r="K333" s="173">
        <f t="shared" si="185"/>
        <v>0.532816362708603</v>
      </c>
      <c r="L333" s="174">
        <f t="shared" si="186"/>
        <v>2891.6335566809812</v>
      </c>
      <c r="M333" s="175">
        <f t="shared" si="202"/>
        <v>122865.50760221732</v>
      </c>
      <c r="N333" s="15"/>
      <c r="O333" s="37" t="str">
        <f t="shared" si="222"/>
        <v/>
      </c>
      <c r="P333" s="62" t="str">
        <f t="shared" si="203"/>
        <v/>
      </c>
      <c r="Q333" s="16" t="str">
        <f t="shared" si="187"/>
        <v/>
      </c>
      <c r="R333" s="60">
        <f t="shared" si="204"/>
        <v>71</v>
      </c>
      <c r="S333" s="98">
        <f t="shared" si="205"/>
        <v>211.49056936949617</v>
      </c>
      <c r="T333" s="21">
        <f t="shared" si="206"/>
        <v>1.6999999999999999E-3</v>
      </c>
      <c r="AA333" s="14">
        <f t="shared" si="188"/>
        <v>-2891.6335566809812</v>
      </c>
      <c r="AH333" s="6">
        <f t="shared" si="189"/>
        <v>3</v>
      </c>
      <c r="AI333" s="6">
        <f t="shared" si="190"/>
        <v>9</v>
      </c>
      <c r="AJ333" s="12">
        <f t="shared" si="191"/>
        <v>27</v>
      </c>
      <c r="AK333" s="72">
        <f t="shared" si="181"/>
        <v>31</v>
      </c>
      <c r="AR333">
        <f t="shared" si="207"/>
        <v>25</v>
      </c>
      <c r="AS333">
        <f t="shared" si="208"/>
        <v>75</v>
      </c>
      <c r="AT333" s="183">
        <f t="shared" si="209"/>
        <v>55732</v>
      </c>
      <c r="AU333" s="2">
        <f t="shared" si="210"/>
        <v>1.4084507042253521E-2</v>
      </c>
      <c r="AV333" s="169">
        <f t="shared" si="211"/>
        <v>319</v>
      </c>
      <c r="AW333" s="165">
        <f t="shared" si="212"/>
        <v>1039.4333133545836</v>
      </c>
      <c r="AX333" s="170">
        <f t="shared" si="218"/>
        <v>1752.2002433263976</v>
      </c>
      <c r="AY333" s="164" t="str">
        <f t="shared" si="221"/>
        <v>🚙</v>
      </c>
      <c r="AZ333" s="171" t="str">
        <f t="shared" si="192"/>
        <v>🚖</v>
      </c>
      <c r="BA333" s="172">
        <f t="shared" si="193"/>
        <v>1540.7096739569015</v>
      </c>
      <c r="BB333" s="173">
        <f t="shared" si="194"/>
        <v>0.532816362708603</v>
      </c>
      <c r="BC333" s="174">
        <f t="shared" si="195"/>
        <v>2891.6335566809812</v>
      </c>
      <c r="BD333" s="175">
        <f t="shared" si="213"/>
        <v>122865.50760221732</v>
      </c>
      <c r="BE333" s="188"/>
      <c r="BF333" s="177" t="str">
        <f t="shared" si="223"/>
        <v/>
      </c>
      <c r="BG333" s="178" t="str">
        <f t="shared" si="214"/>
        <v/>
      </c>
      <c r="BH333" s="179" t="str">
        <f t="shared" si="196"/>
        <v/>
      </c>
      <c r="BI333" s="180">
        <f t="shared" si="215"/>
        <v>71</v>
      </c>
      <c r="BJ333" s="181">
        <f t="shared" si="219"/>
        <v>211.49056936949617</v>
      </c>
      <c r="BK333" s="182">
        <f t="shared" si="216"/>
        <v>1.6999999999999999E-3</v>
      </c>
    </row>
    <row r="334" spans="1:63" x14ac:dyDescent="0.25">
      <c r="A334" s="7">
        <f t="shared" si="197"/>
        <v>25</v>
      </c>
      <c r="B334" s="7">
        <f t="shared" si="198"/>
        <v>75</v>
      </c>
      <c r="C334" s="115">
        <f t="shared" si="199"/>
        <v>55763</v>
      </c>
      <c r="D334" s="2">
        <f t="shared" si="182"/>
        <v>1.4285714285714285E-2</v>
      </c>
      <c r="E334" s="169">
        <f t="shared" si="200"/>
        <v>320</v>
      </c>
      <c r="F334" s="165">
        <f t="shared" si="201"/>
        <v>1026.5604441653907</v>
      </c>
      <c r="G334" s="170">
        <f t="shared" si="217"/>
        <v>1755.2215371745331</v>
      </c>
      <c r="H334" s="164" t="str">
        <f t="shared" si="220"/>
        <v>🚙</v>
      </c>
      <c r="I334" s="171" t="str">
        <f t="shared" si="183"/>
        <v>🚖</v>
      </c>
      <c r="J334" s="172">
        <f t="shared" si="184"/>
        <v>1546.3501742507638</v>
      </c>
      <c r="K334" s="173">
        <f t="shared" si="185"/>
        <v>0.53659512907765738</v>
      </c>
      <c r="L334" s="174">
        <f t="shared" si="186"/>
        <v>2881.7819813399237</v>
      </c>
      <c r="M334" s="175">
        <f t="shared" si="202"/>
        <v>121319.15742796657</v>
      </c>
      <c r="N334" s="15"/>
      <c r="O334" s="37" t="str">
        <f t="shared" si="222"/>
        <v/>
      </c>
      <c r="P334" s="62" t="str">
        <f t="shared" si="203"/>
        <v/>
      </c>
      <c r="Q334" s="16" t="str">
        <f t="shared" si="187"/>
        <v/>
      </c>
      <c r="R334" s="60">
        <f t="shared" si="204"/>
        <v>70</v>
      </c>
      <c r="S334" s="98">
        <f t="shared" si="205"/>
        <v>208.87136292376942</v>
      </c>
      <c r="T334" s="21">
        <f t="shared" si="206"/>
        <v>1.6999999999999999E-3</v>
      </c>
      <c r="AA334" s="14">
        <f t="shared" si="188"/>
        <v>-2881.7819813399237</v>
      </c>
      <c r="AH334" s="6">
        <f t="shared" si="189"/>
        <v>3</v>
      </c>
      <c r="AI334" s="6">
        <f t="shared" si="190"/>
        <v>9</v>
      </c>
      <c r="AJ334" s="12">
        <f t="shared" si="191"/>
        <v>27</v>
      </c>
      <c r="AK334" s="72">
        <f t="shared" ref="AK334:AK397" si="224">DAY(DATE(YEAR(C334),MONTH(C334)+1,1)-1)</f>
        <v>30</v>
      </c>
      <c r="AR334">
        <f t="shared" si="207"/>
        <v>25</v>
      </c>
      <c r="AS334">
        <f t="shared" si="208"/>
        <v>75</v>
      </c>
      <c r="AT334" s="183">
        <f t="shared" si="209"/>
        <v>55763</v>
      </c>
      <c r="AU334" s="2">
        <f t="shared" si="210"/>
        <v>1.4285714285714285E-2</v>
      </c>
      <c r="AV334" s="169">
        <f t="shared" si="211"/>
        <v>320</v>
      </c>
      <c r="AW334" s="165">
        <f t="shared" si="212"/>
        <v>1026.5604441653907</v>
      </c>
      <c r="AX334" s="170">
        <f t="shared" si="218"/>
        <v>1755.2215371745331</v>
      </c>
      <c r="AY334" s="164" t="str">
        <f t="shared" si="221"/>
        <v>🚙</v>
      </c>
      <c r="AZ334" s="171" t="str">
        <f t="shared" si="192"/>
        <v>🚖</v>
      </c>
      <c r="BA334" s="172">
        <f t="shared" si="193"/>
        <v>1546.3501742507638</v>
      </c>
      <c r="BB334" s="173">
        <f t="shared" si="194"/>
        <v>0.53659512907765738</v>
      </c>
      <c r="BC334" s="174">
        <f t="shared" si="195"/>
        <v>2881.7819813399237</v>
      </c>
      <c r="BD334" s="175">
        <f t="shared" si="213"/>
        <v>121319.15742796657</v>
      </c>
      <c r="BE334" s="188"/>
      <c r="BF334" s="177" t="str">
        <f t="shared" si="223"/>
        <v/>
      </c>
      <c r="BG334" s="178" t="str">
        <f t="shared" si="214"/>
        <v/>
      </c>
      <c r="BH334" s="179" t="str">
        <f t="shared" si="196"/>
        <v/>
      </c>
      <c r="BI334" s="180">
        <f t="shared" si="215"/>
        <v>70</v>
      </c>
      <c r="BJ334" s="181">
        <f t="shared" si="219"/>
        <v>208.87136292376942</v>
      </c>
      <c r="BK334" s="182">
        <f t="shared" si="216"/>
        <v>1.6999999999999999E-3</v>
      </c>
    </row>
    <row r="335" spans="1:63" x14ac:dyDescent="0.25">
      <c r="A335" s="7">
        <f t="shared" si="197"/>
        <v>25</v>
      </c>
      <c r="B335" s="7">
        <f t="shared" si="198"/>
        <v>75</v>
      </c>
      <c r="C335" s="115">
        <f t="shared" si="199"/>
        <v>55793</v>
      </c>
      <c r="D335" s="2">
        <f t="shared" ref="D335:D398" si="225">IFERROR(G335/M334,0)</f>
        <v>1.4492753623188406E-2</v>
      </c>
      <c r="E335" s="169">
        <f t="shared" si="200"/>
        <v>321</v>
      </c>
      <c r="F335" s="165">
        <f t="shared" si="201"/>
        <v>1013.6404477181093</v>
      </c>
      <c r="G335" s="170">
        <f t="shared" si="217"/>
        <v>1758.2486583763271</v>
      </c>
      <c r="H335" s="164" t="str">
        <f t="shared" si="220"/>
        <v>🚙</v>
      </c>
      <c r="I335" s="171" t="str">
        <f t="shared" ref="I335:I398" si="226">IFERROR(IF((G335+N335-S335)/L335&lt;0,"🔙",IF((G335+N335-S335)/L335&lt;10%,"🥾",IF((G335+N335-S335)/L335&lt;20%,"🛴",IF((G335+N335-S335)/L335&lt;50%,"🚴‍♂️",IF((G335+N335-S335)/L335&lt;75%,"🚖","🚁"))))),"")</f>
        <v>🚖</v>
      </c>
      <c r="J335" s="172">
        <f t="shared" ref="J335:J398" si="227">G335+N335-S335</f>
        <v>1552.0060907487839</v>
      </c>
      <c r="K335" s="173">
        <f t="shared" ref="K335:K398" si="228">IFERROR(J335/(L335+N335),0)</f>
        <v>0.54041295934974354</v>
      </c>
      <c r="L335" s="174">
        <f t="shared" ref="L335:L398" si="229">G335+F335+A335+B335</f>
        <v>2871.8891060944361</v>
      </c>
      <c r="M335" s="175">
        <f t="shared" si="202"/>
        <v>119767.15133721779</v>
      </c>
      <c r="N335" s="15"/>
      <c r="O335" s="37" t="str">
        <f t="shared" si="222"/>
        <v/>
      </c>
      <c r="P335" s="62" t="str">
        <f t="shared" si="203"/>
        <v/>
      </c>
      <c r="Q335" s="16" t="str">
        <f t="shared" ref="Q335:Q398" si="230">IF(N335=0,"",IF(N335&gt;M335,"🚫",IF(INT(N335/G335&lt;1),"👍",INT(N335/G335)&amp;"x")))</f>
        <v/>
      </c>
      <c r="R335" s="60">
        <f t="shared" si="204"/>
        <v>69</v>
      </c>
      <c r="S335" s="98">
        <f t="shared" si="205"/>
        <v>206.24256762754314</v>
      </c>
      <c r="T335" s="21">
        <f t="shared" si="206"/>
        <v>1.6999999999999999E-3</v>
      </c>
      <c r="AA335" s="14">
        <f t="shared" ref="AA335:AA398" si="231">-(L335+N335)</f>
        <v>-2871.8891060944361</v>
      </c>
      <c r="AH335" s="6">
        <f t="shared" ref="AH335:AH398" si="232">ROUNDUP(E335/120,0)</f>
        <v>3</v>
      </c>
      <c r="AI335" s="6">
        <f t="shared" ref="AI335:AI398" si="233">ROUNDUP(E335/36,0)</f>
        <v>9</v>
      </c>
      <c r="AJ335" s="12">
        <f t="shared" ref="AJ335:AJ398" si="234">ROUNDUP(E335/12,0)</f>
        <v>27</v>
      </c>
      <c r="AK335" s="72">
        <f t="shared" si="224"/>
        <v>31</v>
      </c>
      <c r="AR335">
        <f t="shared" si="207"/>
        <v>25</v>
      </c>
      <c r="AS335">
        <f t="shared" si="208"/>
        <v>75</v>
      </c>
      <c r="AT335" s="183">
        <f t="shared" si="209"/>
        <v>55793</v>
      </c>
      <c r="AU335" s="2">
        <f t="shared" si="210"/>
        <v>1.4492753623188406E-2</v>
      </c>
      <c r="AV335" s="169">
        <f t="shared" si="211"/>
        <v>321</v>
      </c>
      <c r="AW335" s="165">
        <f t="shared" si="212"/>
        <v>1013.6404477181093</v>
      </c>
      <c r="AX335" s="170">
        <f t="shared" si="218"/>
        <v>1758.2486583763271</v>
      </c>
      <c r="AY335" s="164" t="str">
        <f t="shared" si="221"/>
        <v>🚙</v>
      </c>
      <c r="AZ335" s="171" t="str">
        <f t="shared" ref="AZ335:AZ398" si="235">IFERROR(IF((AX335+BE335-BJ335)/BC335&lt;0,"🔙",IF((AX335+BE335-BJ335)/BC335&lt;10%,"🥾",IF((AX335+BE335-BJ335)/BC335&lt;20%,"🛴",IF((AX335+BE335-BJ335)/BC335&lt;50%,"🚴‍♂️",IF((AX335+BE335-BJ335)/BC335&lt;75%,"🚖","🚁"))))),"")</f>
        <v>🚖</v>
      </c>
      <c r="BA335" s="172">
        <f t="shared" ref="BA335:BA398" si="236">AX335+BE335-BJ335</f>
        <v>1552.0060907487839</v>
      </c>
      <c r="BB335" s="173">
        <f t="shared" ref="BB335:BB398" si="237">IFERROR(BA335/(BC335+BE335),0)</f>
        <v>0.54041295934974354</v>
      </c>
      <c r="BC335" s="174">
        <f t="shared" ref="BC335:BC398" si="238">AX335+AW335+AR335+AS335</f>
        <v>2871.8891060944361</v>
      </c>
      <c r="BD335" s="175">
        <f t="shared" si="213"/>
        <v>119767.15133721779</v>
      </c>
      <c r="BE335" s="188"/>
      <c r="BF335" s="177" t="str">
        <f t="shared" si="223"/>
        <v/>
      </c>
      <c r="BG335" s="178" t="str">
        <f t="shared" si="214"/>
        <v/>
      </c>
      <c r="BH335" s="179" t="str">
        <f t="shared" ref="BH335:BH398" si="239">IF(BE335=0,"",IF(BE335&gt;BD335,"🚫",IF(INT(BE335/AX335&lt;1),"👍",INT(BE335/AX335)&amp;"x")))</f>
        <v/>
      </c>
      <c r="BI335" s="180">
        <f t="shared" si="215"/>
        <v>69</v>
      </c>
      <c r="BJ335" s="181">
        <f t="shared" si="219"/>
        <v>206.24256762754314</v>
      </c>
      <c r="BK335" s="182">
        <f t="shared" si="216"/>
        <v>1.6999999999999999E-3</v>
      </c>
    </row>
    <row r="336" spans="1:63" x14ac:dyDescent="0.25">
      <c r="A336" s="7">
        <f t="shared" ref="A336:A399" si="240">IF(INT(F336)&gt;0,A335,0)</f>
        <v>25</v>
      </c>
      <c r="B336" s="7">
        <f t="shared" ref="B336:B399" si="241">IF(F336&gt;0.1,B335,0)</f>
        <v>75</v>
      </c>
      <c r="C336" s="115">
        <f t="shared" ref="C336:C399" si="242">DATE(YEAR(C335),MONTH(C335)+1,1)</f>
        <v>55824</v>
      </c>
      <c r="D336" s="2">
        <f t="shared" si="225"/>
        <v>1.4705882352941176E-2</v>
      </c>
      <c r="E336" s="169">
        <f t="shared" ref="E336:E399" si="243">E335+1</f>
        <v>322</v>
      </c>
      <c r="F336" s="165">
        <f t="shared" ref="F336:F399" si="244">IF(OR(M335&lt;1,N335&gt;M335),0,(M335-N335)*IF(D$11&lt;&gt;"BB",$E$7,(1+$D$7)^(AK335/365)-1))</f>
        <v>1000.6731952079532</v>
      </c>
      <c r="G336" s="170">
        <f t="shared" si="217"/>
        <v>1761.2816373120263</v>
      </c>
      <c r="H336" s="164" t="str">
        <f t="shared" si="220"/>
        <v>🚙</v>
      </c>
      <c r="I336" s="171" t="str">
        <f t="shared" si="226"/>
        <v>🚖</v>
      </c>
      <c r="J336" s="172">
        <f t="shared" si="227"/>
        <v>1557.6774800387561</v>
      </c>
      <c r="K336" s="173">
        <f t="shared" si="228"/>
        <v>0.54427046239133192</v>
      </c>
      <c r="L336" s="174">
        <f t="shared" si="229"/>
        <v>2861.9548325199794</v>
      </c>
      <c r="M336" s="175">
        <f t="shared" ref="M336:M399" si="245">IF(R336=0,0,MAX(0,M335-G336+S336-N335))</f>
        <v>118209.47385717902</v>
      </c>
      <c r="N336" s="15"/>
      <c r="O336" s="37" t="str">
        <f t="shared" si="222"/>
        <v/>
      </c>
      <c r="P336" s="62" t="str">
        <f t="shared" ref="P336:P399" si="246">IF(N335=0,"",(L335-L336)/N335)</f>
        <v/>
      </c>
      <c r="Q336" s="16" t="str">
        <f t="shared" si="230"/>
        <v/>
      </c>
      <c r="R336" s="60">
        <f t="shared" ref="R336:R399" si="247">IF(M335=0,0,IF(OR(N335=0,O335="V"),R335-1,IF(OR(D$11="BRADESCO",D$11="BB"),R335-ROUNDDOWN(N335/(M335/R335),0)-1,ROUNDUP((M335-N335+S335-(M335/R335))/(L335-F336-A336-B336),0)+1)))</f>
        <v>68</v>
      </c>
      <c r="S336" s="98">
        <f t="shared" ref="S336:S399" si="248">M335*$T336</f>
        <v>203.60415727327023</v>
      </c>
      <c r="T336" s="21">
        <f t="shared" ref="T336:T399" si="249">IF(M335&gt;0,T335,0)</f>
        <v>1.6999999999999999E-3</v>
      </c>
      <c r="AA336" s="14">
        <f t="shared" si="231"/>
        <v>-2861.9548325199794</v>
      </c>
      <c r="AH336" s="6">
        <f t="shared" si="232"/>
        <v>3</v>
      </c>
      <c r="AI336" s="6">
        <f t="shared" si="233"/>
        <v>9</v>
      </c>
      <c r="AJ336" s="12">
        <f t="shared" si="234"/>
        <v>27</v>
      </c>
      <c r="AK336" s="72">
        <f t="shared" si="224"/>
        <v>30</v>
      </c>
      <c r="AR336">
        <f t="shared" ref="AR336:AR399" si="250">IF(INT(AW336)&gt;0,AR335,0)</f>
        <v>25</v>
      </c>
      <c r="AS336">
        <f t="shared" ref="AS336:AS399" si="251">IF(AW336&gt;0.1,AS335,0)</f>
        <v>75</v>
      </c>
      <c r="AT336" s="183">
        <f t="shared" ref="AT336:AT399" si="252">DATE(YEAR(AT335),MONTH(AT335)+1,1)</f>
        <v>55824</v>
      </c>
      <c r="AU336" s="2">
        <f t="shared" ref="AU336:AU399" si="253">IFERROR(AX336/BD335,0)</f>
        <v>1.4705882352941176E-2</v>
      </c>
      <c r="AV336" s="169">
        <f t="shared" ref="AV336:AV399" si="254">AV335+1</f>
        <v>322</v>
      </c>
      <c r="AW336" s="165">
        <f t="shared" ref="AW336:AW399" si="255">IF(OR(BD335&lt;1,BE335&gt;BD335),0,(BD335-BE335)*IF(AU$11&lt;&gt;"BB",$E$7,(1+$D$7)^(BY335/365)-1))</f>
        <v>1000.6731952079532</v>
      </c>
      <c r="AX336" s="170">
        <f t="shared" si="218"/>
        <v>1761.2816373120263</v>
      </c>
      <c r="AY336" s="164" t="str">
        <f t="shared" si="221"/>
        <v>🚙</v>
      </c>
      <c r="AZ336" s="171" t="str">
        <f t="shared" si="235"/>
        <v>🚖</v>
      </c>
      <c r="BA336" s="172">
        <f t="shared" si="236"/>
        <v>1557.6774800387561</v>
      </c>
      <c r="BB336" s="173">
        <f t="shared" si="237"/>
        <v>0.54427046239133192</v>
      </c>
      <c r="BC336" s="174">
        <f t="shared" si="238"/>
        <v>2861.9548325199794</v>
      </c>
      <c r="BD336" s="175">
        <f t="shared" ref="BD336:BD399" si="256">IF(BI336=0,0,MAX(0,BD335-AX336+BJ336-BE335))</f>
        <v>118209.47385717902</v>
      </c>
      <c r="BE336" s="188"/>
      <c r="BF336" s="177" t="str">
        <f t="shared" si="223"/>
        <v/>
      </c>
      <c r="BG336" s="178" t="str">
        <f t="shared" ref="BG336:BG399" si="257">IF(BE335=0,"",(BC335-BC336)/BE335)</f>
        <v/>
      </c>
      <c r="BH336" s="179" t="str">
        <f t="shared" si="239"/>
        <v/>
      </c>
      <c r="BI336" s="180">
        <f t="shared" ref="BI336:BI399" si="258">IF(BD335=0,0,IF(OR(BE335=0,BF335="V"),BI335-1,IF(OR(AU$11="BRADESCO",AU$11="BB"),BI335-ROUNDDOWN(BE335/(BD335/BI335),0)-1,ROUNDUP((BD335-BE335+BJ335-(BD335/BI335))/(BC335-AW336-AR336-AS336),0)+1)))</f>
        <v>68</v>
      </c>
      <c r="BJ336" s="181">
        <f t="shared" si="219"/>
        <v>203.60415727327023</v>
      </c>
      <c r="BK336" s="182">
        <f t="shared" ref="BK336:BK399" si="259">IF(BD335&gt;0,BK335,0)</f>
        <v>1.6999999999999999E-3</v>
      </c>
    </row>
    <row r="337" spans="1:63" x14ac:dyDescent="0.25">
      <c r="A337" s="7">
        <f t="shared" si="240"/>
        <v>25</v>
      </c>
      <c r="B337" s="7">
        <f t="shared" si="241"/>
        <v>75</v>
      </c>
      <c r="C337" s="115">
        <f t="shared" si="242"/>
        <v>55854</v>
      </c>
      <c r="D337" s="2">
        <f t="shared" si="225"/>
        <v>1.492537313432836E-2</v>
      </c>
      <c r="E337" s="169">
        <f t="shared" si="243"/>
        <v>323</v>
      </c>
      <c r="F337" s="165">
        <f t="shared" si="244"/>
        <v>987.65855735733669</v>
      </c>
      <c r="G337" s="170">
        <f t="shared" ref="G337:G400" si="260">IF(R337=0,0,IF(M336&lt;1,0,IF(AND(AND(((M336-N336)/R337)&lt;G336,O336&lt;&gt;"V"),D$11&lt;&gt;"BRADESCO"),G336,  (M336-N336)/R337)))</f>
        <v>1764.3205053310303</v>
      </c>
      <c r="H337" s="164" t="str">
        <f t="shared" si="220"/>
        <v>🚙</v>
      </c>
      <c r="I337" s="171" t="str">
        <f t="shared" si="226"/>
        <v>🚖</v>
      </c>
      <c r="J337" s="172">
        <f t="shared" si="227"/>
        <v>1563.3643997738259</v>
      </c>
      <c r="K337" s="173">
        <f t="shared" si="228"/>
        <v>0.54816825979786421</v>
      </c>
      <c r="L337" s="174">
        <f t="shared" si="229"/>
        <v>2851.9790626883669</v>
      </c>
      <c r="M337" s="175">
        <f t="shared" si="245"/>
        <v>116646.10945740518</v>
      </c>
      <c r="N337" s="15"/>
      <c r="O337" s="37" t="str">
        <f t="shared" si="222"/>
        <v/>
      </c>
      <c r="P337" s="62" t="str">
        <f t="shared" si="246"/>
        <v/>
      </c>
      <c r="Q337" s="16" t="str">
        <f t="shared" si="230"/>
        <v/>
      </c>
      <c r="R337" s="60">
        <f t="shared" si="247"/>
        <v>67</v>
      </c>
      <c r="S337" s="98">
        <f t="shared" si="248"/>
        <v>200.95610555720432</v>
      </c>
      <c r="T337" s="21">
        <f t="shared" si="249"/>
        <v>1.6999999999999999E-3</v>
      </c>
      <c r="AA337" s="14">
        <f t="shared" si="231"/>
        <v>-2851.9790626883669</v>
      </c>
      <c r="AH337" s="6">
        <f t="shared" si="232"/>
        <v>3</v>
      </c>
      <c r="AI337" s="6">
        <f t="shared" si="233"/>
        <v>9</v>
      </c>
      <c r="AJ337" s="12">
        <f t="shared" si="234"/>
        <v>27</v>
      </c>
      <c r="AK337" s="72">
        <f t="shared" si="224"/>
        <v>31</v>
      </c>
      <c r="AR337">
        <f t="shared" si="250"/>
        <v>25</v>
      </c>
      <c r="AS337">
        <f t="shared" si="251"/>
        <v>75</v>
      </c>
      <c r="AT337" s="183">
        <f t="shared" si="252"/>
        <v>55854</v>
      </c>
      <c r="AU337" s="2">
        <f t="shared" si="253"/>
        <v>1.492537313432836E-2</v>
      </c>
      <c r="AV337" s="169">
        <f t="shared" si="254"/>
        <v>323</v>
      </c>
      <c r="AW337" s="165">
        <f t="shared" si="255"/>
        <v>987.65855735733669</v>
      </c>
      <c r="AX337" s="170">
        <f t="shared" ref="AX337:AX400" si="261">IF(BI337=0,0,IF(BD336&lt;1,0,IF(AND(AND(((BD336-BE336)/BI337)&lt;AX336,BF336&lt;&gt;"V"),AU$11&lt;&gt;"BRADESCO"),AX336,  (BD336-BE336)/BI337)))</f>
        <v>1764.3205053310303</v>
      </c>
      <c r="AY337" s="164" t="str">
        <f t="shared" si="221"/>
        <v>🚙</v>
      </c>
      <c r="AZ337" s="171" t="str">
        <f t="shared" si="235"/>
        <v>🚖</v>
      </c>
      <c r="BA337" s="172">
        <f t="shared" si="236"/>
        <v>1563.3643997738259</v>
      </c>
      <c r="BB337" s="173">
        <f t="shared" si="237"/>
        <v>0.54816825979786421</v>
      </c>
      <c r="BC337" s="174">
        <f t="shared" si="238"/>
        <v>2851.9790626883669</v>
      </c>
      <c r="BD337" s="175">
        <f t="shared" si="256"/>
        <v>116646.10945740518</v>
      </c>
      <c r="BE337" s="188"/>
      <c r="BF337" s="177" t="str">
        <f t="shared" si="223"/>
        <v/>
      </c>
      <c r="BG337" s="178" t="str">
        <f t="shared" si="257"/>
        <v/>
      </c>
      <c r="BH337" s="179" t="str">
        <f t="shared" si="239"/>
        <v/>
      </c>
      <c r="BI337" s="180">
        <f t="shared" si="258"/>
        <v>67</v>
      </c>
      <c r="BJ337" s="181">
        <f t="shared" ref="BJ337:BJ400" si="262">BD336*$BK336</f>
        <v>200.95610555720432</v>
      </c>
      <c r="BK337" s="182">
        <f t="shared" si="259"/>
        <v>1.6999999999999999E-3</v>
      </c>
    </row>
    <row r="338" spans="1:63" x14ac:dyDescent="0.25">
      <c r="A338" s="7">
        <f t="shared" si="240"/>
        <v>25</v>
      </c>
      <c r="B338" s="7">
        <f t="shared" si="241"/>
        <v>75</v>
      </c>
      <c r="C338" s="115">
        <f t="shared" si="242"/>
        <v>55885</v>
      </c>
      <c r="D338" s="2">
        <f t="shared" si="225"/>
        <v>1.5151515151515152E-2</v>
      </c>
      <c r="E338" s="169">
        <f t="shared" si="243"/>
        <v>324</v>
      </c>
      <c r="F338" s="165">
        <f t="shared" si="244"/>
        <v>974.59640440697342</v>
      </c>
      <c r="G338" s="170">
        <f t="shared" si="260"/>
        <v>1767.3652948091694</v>
      </c>
      <c r="H338" s="164" t="str">
        <f t="shared" si="220"/>
        <v>🚙</v>
      </c>
      <c r="I338" s="171" t="str">
        <f t="shared" si="226"/>
        <v>🚖</v>
      </c>
      <c r="J338" s="172">
        <f t="shared" si="227"/>
        <v>1569.0669087315807</v>
      </c>
      <c r="K338" s="173">
        <f t="shared" si="228"/>
        <v>0.55210698622868626</v>
      </c>
      <c r="L338" s="174">
        <f t="shared" si="229"/>
        <v>2841.9616992161427</v>
      </c>
      <c r="M338" s="175">
        <f t="shared" si="245"/>
        <v>115077.04254867359</v>
      </c>
      <c r="N338" s="15"/>
      <c r="O338" s="37" t="str">
        <f t="shared" si="222"/>
        <v/>
      </c>
      <c r="P338" s="62" t="str">
        <f t="shared" si="246"/>
        <v/>
      </c>
      <c r="Q338" s="16" t="str">
        <f t="shared" si="230"/>
        <v/>
      </c>
      <c r="R338" s="60">
        <f t="shared" si="247"/>
        <v>66</v>
      </c>
      <c r="S338" s="98">
        <f t="shared" si="248"/>
        <v>198.29838607758879</v>
      </c>
      <c r="T338" s="21">
        <f t="shared" si="249"/>
        <v>1.6999999999999999E-3</v>
      </c>
      <c r="AA338" s="14">
        <f t="shared" si="231"/>
        <v>-2841.9616992161427</v>
      </c>
      <c r="AH338" s="6">
        <f t="shared" si="232"/>
        <v>3</v>
      </c>
      <c r="AI338" s="6">
        <f t="shared" si="233"/>
        <v>9</v>
      </c>
      <c r="AJ338" s="12">
        <f t="shared" si="234"/>
        <v>27</v>
      </c>
      <c r="AK338" s="72">
        <f t="shared" si="224"/>
        <v>31</v>
      </c>
      <c r="AR338">
        <f t="shared" si="250"/>
        <v>25</v>
      </c>
      <c r="AS338">
        <f t="shared" si="251"/>
        <v>75</v>
      </c>
      <c r="AT338" s="183">
        <f t="shared" si="252"/>
        <v>55885</v>
      </c>
      <c r="AU338" s="2">
        <f t="shared" si="253"/>
        <v>1.5151515151515152E-2</v>
      </c>
      <c r="AV338" s="169">
        <f t="shared" si="254"/>
        <v>324</v>
      </c>
      <c r="AW338" s="165">
        <f t="shared" si="255"/>
        <v>974.59640440697342</v>
      </c>
      <c r="AX338" s="170">
        <f t="shared" si="261"/>
        <v>1767.3652948091694</v>
      </c>
      <c r="AY338" s="164" t="str">
        <f t="shared" si="221"/>
        <v>🚙</v>
      </c>
      <c r="AZ338" s="171" t="str">
        <f t="shared" si="235"/>
        <v>🚖</v>
      </c>
      <c r="BA338" s="172">
        <f t="shared" si="236"/>
        <v>1569.0669087315807</v>
      </c>
      <c r="BB338" s="173">
        <f t="shared" si="237"/>
        <v>0.55210698622868626</v>
      </c>
      <c r="BC338" s="174">
        <f t="shared" si="238"/>
        <v>2841.9616992161427</v>
      </c>
      <c r="BD338" s="175">
        <f t="shared" si="256"/>
        <v>115077.04254867359</v>
      </c>
      <c r="BE338" s="188"/>
      <c r="BF338" s="177" t="str">
        <f t="shared" si="223"/>
        <v/>
      </c>
      <c r="BG338" s="178" t="str">
        <f t="shared" si="257"/>
        <v/>
      </c>
      <c r="BH338" s="179" t="str">
        <f t="shared" si="239"/>
        <v/>
      </c>
      <c r="BI338" s="180">
        <f t="shared" si="258"/>
        <v>66</v>
      </c>
      <c r="BJ338" s="181">
        <f t="shared" si="262"/>
        <v>198.29838607758879</v>
      </c>
      <c r="BK338" s="182">
        <f t="shared" si="259"/>
        <v>1.6999999999999999E-3</v>
      </c>
    </row>
    <row r="339" spans="1:63" x14ac:dyDescent="0.25">
      <c r="A339" s="7">
        <f t="shared" si="240"/>
        <v>25</v>
      </c>
      <c r="B339" s="7">
        <f t="shared" si="241"/>
        <v>75</v>
      </c>
      <c r="C339" s="115">
        <f t="shared" si="242"/>
        <v>55916</v>
      </c>
      <c r="D339" s="2">
        <f t="shared" si="225"/>
        <v>1.5384615384615384E-2</v>
      </c>
      <c r="E339" s="169">
        <f t="shared" si="243"/>
        <v>325</v>
      </c>
      <c r="F339" s="165">
        <f t="shared" si="244"/>
        <v>961.48660610648074</v>
      </c>
      <c r="G339" s="170">
        <f t="shared" si="260"/>
        <v>1770.4160392103629</v>
      </c>
      <c r="H339" s="164" t="str">
        <f t="shared" si="220"/>
        <v>🚙</v>
      </c>
      <c r="I339" s="171" t="str">
        <f t="shared" si="226"/>
        <v>🚖</v>
      </c>
      <c r="J339" s="172">
        <f t="shared" si="227"/>
        <v>1574.7850668776177</v>
      </c>
      <c r="K339" s="173">
        <f t="shared" si="228"/>
        <v>0.55608728975265498</v>
      </c>
      <c r="L339" s="174">
        <f t="shared" si="229"/>
        <v>2831.9026453168435</v>
      </c>
      <c r="M339" s="175">
        <f t="shared" si="245"/>
        <v>113502.25748179597</v>
      </c>
      <c r="N339" s="15"/>
      <c r="O339" s="37" t="str">
        <f t="shared" si="222"/>
        <v/>
      </c>
      <c r="P339" s="62" t="str">
        <f t="shared" si="246"/>
        <v/>
      </c>
      <c r="Q339" s="16" t="str">
        <f t="shared" si="230"/>
        <v/>
      </c>
      <c r="R339" s="60">
        <f t="shared" si="247"/>
        <v>65</v>
      </c>
      <c r="S339" s="98">
        <f t="shared" si="248"/>
        <v>195.6309723327451</v>
      </c>
      <c r="T339" s="21">
        <f t="shared" si="249"/>
        <v>1.6999999999999999E-3</v>
      </c>
      <c r="AA339" s="14">
        <f t="shared" si="231"/>
        <v>-2831.9026453168435</v>
      </c>
      <c r="AH339" s="6">
        <f t="shared" si="232"/>
        <v>3</v>
      </c>
      <c r="AI339" s="6">
        <f t="shared" si="233"/>
        <v>10</v>
      </c>
      <c r="AJ339" s="12">
        <f t="shared" si="234"/>
        <v>28</v>
      </c>
      <c r="AK339" s="72">
        <f t="shared" si="224"/>
        <v>28</v>
      </c>
      <c r="AR339">
        <f t="shared" si="250"/>
        <v>25</v>
      </c>
      <c r="AS339">
        <f t="shared" si="251"/>
        <v>75</v>
      </c>
      <c r="AT339" s="183">
        <f t="shared" si="252"/>
        <v>55916</v>
      </c>
      <c r="AU339" s="2">
        <f t="shared" si="253"/>
        <v>1.5384615384615384E-2</v>
      </c>
      <c r="AV339" s="169">
        <f t="shared" si="254"/>
        <v>325</v>
      </c>
      <c r="AW339" s="165">
        <f t="shared" si="255"/>
        <v>961.48660610648074</v>
      </c>
      <c r="AX339" s="170">
        <f t="shared" si="261"/>
        <v>1770.4160392103629</v>
      </c>
      <c r="AY339" s="164" t="str">
        <f t="shared" si="221"/>
        <v>🚙</v>
      </c>
      <c r="AZ339" s="171" t="str">
        <f t="shared" si="235"/>
        <v>🚖</v>
      </c>
      <c r="BA339" s="172">
        <f t="shared" si="236"/>
        <v>1574.7850668776177</v>
      </c>
      <c r="BB339" s="173">
        <f t="shared" si="237"/>
        <v>0.55608728975265498</v>
      </c>
      <c r="BC339" s="174">
        <f t="shared" si="238"/>
        <v>2831.9026453168435</v>
      </c>
      <c r="BD339" s="175">
        <f t="shared" si="256"/>
        <v>113502.25748179597</v>
      </c>
      <c r="BE339" s="188"/>
      <c r="BF339" s="177" t="str">
        <f t="shared" si="223"/>
        <v/>
      </c>
      <c r="BG339" s="178" t="str">
        <f t="shared" si="257"/>
        <v/>
      </c>
      <c r="BH339" s="179" t="str">
        <f t="shared" si="239"/>
        <v/>
      </c>
      <c r="BI339" s="180">
        <f t="shared" si="258"/>
        <v>65</v>
      </c>
      <c r="BJ339" s="181">
        <f t="shared" si="262"/>
        <v>195.6309723327451</v>
      </c>
      <c r="BK339" s="182">
        <f t="shared" si="259"/>
        <v>1.6999999999999999E-3</v>
      </c>
    </row>
    <row r="340" spans="1:63" x14ac:dyDescent="0.25">
      <c r="A340" s="7">
        <f t="shared" si="240"/>
        <v>25</v>
      </c>
      <c r="B340" s="7">
        <f t="shared" si="241"/>
        <v>75</v>
      </c>
      <c r="C340" s="115">
        <f t="shared" si="242"/>
        <v>55944</v>
      </c>
      <c r="D340" s="2">
        <f t="shared" si="225"/>
        <v>1.5625E-2</v>
      </c>
      <c r="E340" s="169">
        <f t="shared" si="243"/>
        <v>326</v>
      </c>
      <c r="F340" s="165">
        <f t="shared" si="244"/>
        <v>948.32903170445434</v>
      </c>
      <c r="G340" s="170">
        <f t="shared" si="260"/>
        <v>1773.472773153062</v>
      </c>
      <c r="H340" s="164" t="str">
        <f t="shared" si="220"/>
        <v>🚙</v>
      </c>
      <c r="I340" s="171" t="str">
        <f t="shared" si="226"/>
        <v>🚖</v>
      </c>
      <c r="J340" s="172">
        <f t="shared" si="227"/>
        <v>1580.5189354340089</v>
      </c>
      <c r="K340" s="173">
        <f t="shared" si="228"/>
        <v>0.56010983220482258</v>
      </c>
      <c r="L340" s="174">
        <f t="shared" si="229"/>
        <v>2821.8018048575163</v>
      </c>
      <c r="M340" s="175">
        <f t="shared" si="245"/>
        <v>111921.73854636196</v>
      </c>
      <c r="N340" s="15"/>
      <c r="O340" s="37" t="str">
        <f t="shared" si="222"/>
        <v/>
      </c>
      <c r="P340" s="62" t="str">
        <f t="shared" si="246"/>
        <v/>
      </c>
      <c r="Q340" s="16" t="str">
        <f t="shared" si="230"/>
        <v/>
      </c>
      <c r="R340" s="60">
        <f t="shared" si="247"/>
        <v>64</v>
      </c>
      <c r="S340" s="98">
        <f t="shared" si="248"/>
        <v>192.95383771905313</v>
      </c>
      <c r="T340" s="21">
        <f t="shared" si="249"/>
        <v>1.6999999999999999E-3</v>
      </c>
      <c r="AA340" s="14">
        <f t="shared" si="231"/>
        <v>-2821.8018048575163</v>
      </c>
      <c r="AH340" s="6">
        <f t="shared" si="232"/>
        <v>3</v>
      </c>
      <c r="AI340" s="6">
        <f t="shared" si="233"/>
        <v>10</v>
      </c>
      <c r="AJ340" s="12">
        <f t="shared" si="234"/>
        <v>28</v>
      </c>
      <c r="AK340" s="72">
        <f t="shared" si="224"/>
        <v>31</v>
      </c>
      <c r="AR340">
        <f t="shared" si="250"/>
        <v>25</v>
      </c>
      <c r="AS340">
        <f t="shared" si="251"/>
        <v>75</v>
      </c>
      <c r="AT340" s="183">
        <f t="shared" si="252"/>
        <v>55944</v>
      </c>
      <c r="AU340" s="2">
        <f t="shared" si="253"/>
        <v>1.5625E-2</v>
      </c>
      <c r="AV340" s="169">
        <f t="shared" si="254"/>
        <v>326</v>
      </c>
      <c r="AW340" s="165">
        <f t="shared" si="255"/>
        <v>948.32903170445434</v>
      </c>
      <c r="AX340" s="170">
        <f t="shared" si="261"/>
        <v>1773.472773153062</v>
      </c>
      <c r="AY340" s="164" t="str">
        <f t="shared" si="221"/>
        <v>🚙</v>
      </c>
      <c r="AZ340" s="171" t="str">
        <f t="shared" si="235"/>
        <v>🚖</v>
      </c>
      <c r="BA340" s="172">
        <f t="shared" si="236"/>
        <v>1580.5189354340089</v>
      </c>
      <c r="BB340" s="173">
        <f t="shared" si="237"/>
        <v>0.56010983220482258</v>
      </c>
      <c r="BC340" s="174">
        <f t="shared" si="238"/>
        <v>2821.8018048575163</v>
      </c>
      <c r="BD340" s="175">
        <f t="shared" si="256"/>
        <v>111921.73854636196</v>
      </c>
      <c r="BE340" s="188"/>
      <c r="BF340" s="177" t="str">
        <f t="shared" si="223"/>
        <v/>
      </c>
      <c r="BG340" s="178" t="str">
        <f t="shared" si="257"/>
        <v/>
      </c>
      <c r="BH340" s="179" t="str">
        <f t="shared" si="239"/>
        <v/>
      </c>
      <c r="BI340" s="180">
        <f t="shared" si="258"/>
        <v>64</v>
      </c>
      <c r="BJ340" s="181">
        <f t="shared" si="262"/>
        <v>192.95383771905313</v>
      </c>
      <c r="BK340" s="182">
        <f t="shared" si="259"/>
        <v>1.6999999999999999E-3</v>
      </c>
    </row>
    <row r="341" spans="1:63" x14ac:dyDescent="0.25">
      <c r="A341" s="7">
        <f t="shared" si="240"/>
        <v>25</v>
      </c>
      <c r="B341" s="7">
        <f t="shared" si="241"/>
        <v>75</v>
      </c>
      <c r="C341" s="115">
        <f t="shared" si="242"/>
        <v>55975</v>
      </c>
      <c r="D341" s="2">
        <f t="shared" si="225"/>
        <v>1.5873015873015872E-2</v>
      </c>
      <c r="E341" s="169">
        <f t="shared" si="243"/>
        <v>327</v>
      </c>
      <c r="F341" s="165">
        <f t="shared" si="244"/>
        <v>935.12354993796976</v>
      </c>
      <c r="G341" s="170">
        <f t="shared" si="260"/>
        <v>1776.5355324819359</v>
      </c>
      <c r="H341" s="164" t="str">
        <f t="shared" si="220"/>
        <v>🚙</v>
      </c>
      <c r="I341" s="171" t="str">
        <f t="shared" si="226"/>
        <v>🚖</v>
      </c>
      <c r="J341" s="172">
        <f t="shared" si="227"/>
        <v>1586.2685769531206</v>
      </c>
      <c r="K341" s="173">
        <f t="shared" si="228"/>
        <v>0.5641752895546176</v>
      </c>
      <c r="L341" s="174">
        <f t="shared" si="229"/>
        <v>2811.6590824199056</v>
      </c>
      <c r="M341" s="175">
        <f t="shared" si="245"/>
        <v>110335.46996940883</v>
      </c>
      <c r="N341" s="15"/>
      <c r="O341" s="37" t="str">
        <f t="shared" si="222"/>
        <v/>
      </c>
      <c r="P341" s="62" t="str">
        <f t="shared" si="246"/>
        <v/>
      </c>
      <c r="Q341" s="16" t="str">
        <f t="shared" si="230"/>
        <v/>
      </c>
      <c r="R341" s="60">
        <f t="shared" si="247"/>
        <v>63</v>
      </c>
      <c r="S341" s="98">
        <f t="shared" si="248"/>
        <v>190.26695552881532</v>
      </c>
      <c r="T341" s="21">
        <f t="shared" si="249"/>
        <v>1.6999999999999999E-3</v>
      </c>
      <c r="AA341" s="14">
        <f t="shared" si="231"/>
        <v>-2811.6590824199056</v>
      </c>
      <c r="AH341" s="6">
        <f t="shared" si="232"/>
        <v>3</v>
      </c>
      <c r="AI341" s="6">
        <f t="shared" si="233"/>
        <v>10</v>
      </c>
      <c r="AJ341" s="12">
        <f t="shared" si="234"/>
        <v>28</v>
      </c>
      <c r="AK341" s="72">
        <f t="shared" si="224"/>
        <v>30</v>
      </c>
      <c r="AR341">
        <f t="shared" si="250"/>
        <v>25</v>
      </c>
      <c r="AS341">
        <f t="shared" si="251"/>
        <v>75</v>
      </c>
      <c r="AT341" s="183">
        <f t="shared" si="252"/>
        <v>55975</v>
      </c>
      <c r="AU341" s="2">
        <f t="shared" si="253"/>
        <v>1.5873015873015872E-2</v>
      </c>
      <c r="AV341" s="169">
        <f t="shared" si="254"/>
        <v>327</v>
      </c>
      <c r="AW341" s="165">
        <f t="shared" si="255"/>
        <v>935.12354993796976</v>
      </c>
      <c r="AX341" s="170">
        <f t="shared" si="261"/>
        <v>1776.5355324819359</v>
      </c>
      <c r="AY341" s="164" t="str">
        <f t="shared" si="221"/>
        <v>🚙</v>
      </c>
      <c r="AZ341" s="171" t="str">
        <f t="shared" si="235"/>
        <v>🚖</v>
      </c>
      <c r="BA341" s="172">
        <f t="shared" si="236"/>
        <v>1586.2685769531206</v>
      </c>
      <c r="BB341" s="173">
        <f t="shared" si="237"/>
        <v>0.5641752895546176</v>
      </c>
      <c r="BC341" s="174">
        <f t="shared" si="238"/>
        <v>2811.6590824199056</v>
      </c>
      <c r="BD341" s="175">
        <f t="shared" si="256"/>
        <v>110335.46996940883</v>
      </c>
      <c r="BE341" s="188"/>
      <c r="BF341" s="177" t="str">
        <f t="shared" si="223"/>
        <v/>
      </c>
      <c r="BG341" s="178" t="str">
        <f t="shared" si="257"/>
        <v/>
      </c>
      <c r="BH341" s="179" t="str">
        <f t="shared" si="239"/>
        <v/>
      </c>
      <c r="BI341" s="180">
        <f t="shared" si="258"/>
        <v>63</v>
      </c>
      <c r="BJ341" s="181">
        <f t="shared" si="262"/>
        <v>190.26695552881532</v>
      </c>
      <c r="BK341" s="182">
        <f t="shared" si="259"/>
        <v>1.6999999999999999E-3</v>
      </c>
    </row>
    <row r="342" spans="1:63" x14ac:dyDescent="0.25">
      <c r="A342" s="7">
        <f t="shared" si="240"/>
        <v>25</v>
      </c>
      <c r="B342" s="7">
        <f t="shared" si="241"/>
        <v>75</v>
      </c>
      <c r="C342" s="115">
        <f t="shared" si="242"/>
        <v>56005</v>
      </c>
      <c r="D342" s="2">
        <f t="shared" si="225"/>
        <v>1.6129032258064516E-2</v>
      </c>
      <c r="E342" s="169">
        <f t="shared" si="243"/>
        <v>328</v>
      </c>
      <c r="F342" s="165">
        <f t="shared" si="244"/>
        <v>921.87002902146787</v>
      </c>
      <c r="G342" s="170">
        <f t="shared" si="260"/>
        <v>1779.6043543453038</v>
      </c>
      <c r="H342" s="164" t="str">
        <f t="shared" si="220"/>
        <v>🚙</v>
      </c>
      <c r="I342" s="171" t="str">
        <f t="shared" si="226"/>
        <v>🚖</v>
      </c>
      <c r="J342" s="172">
        <f t="shared" si="227"/>
        <v>1592.0340553973087</v>
      </c>
      <c r="K342" s="173">
        <f t="shared" si="228"/>
        <v>0.56828435228596486</v>
      </c>
      <c r="L342" s="174">
        <f t="shared" si="229"/>
        <v>2801.4743833667717</v>
      </c>
      <c r="M342" s="175">
        <f t="shared" si="245"/>
        <v>108743.43591401153</v>
      </c>
      <c r="N342" s="15"/>
      <c r="O342" s="37" t="str">
        <f t="shared" si="222"/>
        <v/>
      </c>
      <c r="P342" s="62" t="str">
        <f t="shared" si="246"/>
        <v/>
      </c>
      <c r="Q342" s="16" t="str">
        <f t="shared" si="230"/>
        <v/>
      </c>
      <c r="R342" s="60">
        <f t="shared" si="247"/>
        <v>62</v>
      </c>
      <c r="S342" s="98">
        <f t="shared" si="248"/>
        <v>187.57029894799501</v>
      </c>
      <c r="T342" s="21">
        <f t="shared" si="249"/>
        <v>1.6999999999999999E-3</v>
      </c>
      <c r="AA342" s="14">
        <f t="shared" si="231"/>
        <v>-2801.4743833667717</v>
      </c>
      <c r="AH342" s="6">
        <f t="shared" si="232"/>
        <v>3</v>
      </c>
      <c r="AI342" s="6">
        <f t="shared" si="233"/>
        <v>10</v>
      </c>
      <c r="AJ342" s="12">
        <f t="shared" si="234"/>
        <v>28</v>
      </c>
      <c r="AK342" s="72">
        <f t="shared" si="224"/>
        <v>31</v>
      </c>
      <c r="AR342">
        <f t="shared" si="250"/>
        <v>25</v>
      </c>
      <c r="AS342">
        <f t="shared" si="251"/>
        <v>75</v>
      </c>
      <c r="AT342" s="183">
        <f t="shared" si="252"/>
        <v>56005</v>
      </c>
      <c r="AU342" s="2">
        <f t="shared" si="253"/>
        <v>1.6129032258064516E-2</v>
      </c>
      <c r="AV342" s="169">
        <f t="shared" si="254"/>
        <v>328</v>
      </c>
      <c r="AW342" s="165">
        <f t="shared" si="255"/>
        <v>921.87002902146787</v>
      </c>
      <c r="AX342" s="170">
        <f t="shared" si="261"/>
        <v>1779.6043543453038</v>
      </c>
      <c r="AY342" s="164" t="str">
        <f t="shared" si="221"/>
        <v>🚙</v>
      </c>
      <c r="AZ342" s="171" t="str">
        <f t="shared" si="235"/>
        <v>🚖</v>
      </c>
      <c r="BA342" s="172">
        <f t="shared" si="236"/>
        <v>1592.0340553973087</v>
      </c>
      <c r="BB342" s="173">
        <f t="shared" si="237"/>
        <v>0.56828435228596486</v>
      </c>
      <c r="BC342" s="174">
        <f t="shared" si="238"/>
        <v>2801.4743833667717</v>
      </c>
      <c r="BD342" s="175">
        <f t="shared" si="256"/>
        <v>108743.43591401153</v>
      </c>
      <c r="BE342" s="188"/>
      <c r="BF342" s="177" t="str">
        <f t="shared" si="223"/>
        <v/>
      </c>
      <c r="BG342" s="178" t="str">
        <f t="shared" si="257"/>
        <v/>
      </c>
      <c r="BH342" s="179" t="str">
        <f t="shared" si="239"/>
        <v/>
      </c>
      <c r="BI342" s="180">
        <f t="shared" si="258"/>
        <v>62</v>
      </c>
      <c r="BJ342" s="181">
        <f t="shared" si="262"/>
        <v>187.57029894799501</v>
      </c>
      <c r="BK342" s="182">
        <f t="shared" si="259"/>
        <v>1.6999999999999999E-3</v>
      </c>
    </row>
    <row r="343" spans="1:63" x14ac:dyDescent="0.25">
      <c r="A343" s="7">
        <f t="shared" si="240"/>
        <v>25</v>
      </c>
      <c r="B343" s="7">
        <f t="shared" si="241"/>
        <v>75</v>
      </c>
      <c r="C343" s="115">
        <f t="shared" si="242"/>
        <v>56036</v>
      </c>
      <c r="D343" s="2">
        <f t="shared" si="225"/>
        <v>1.6393442622950821E-2</v>
      </c>
      <c r="E343" s="169">
        <f t="shared" si="243"/>
        <v>329</v>
      </c>
      <c r="F343" s="165">
        <f t="shared" si="244"/>
        <v>908.56833663497434</v>
      </c>
      <c r="G343" s="170">
        <f t="shared" si="260"/>
        <v>1782.6792772788774</v>
      </c>
      <c r="H343" s="164" t="str">
        <f t="shared" si="220"/>
        <v>🚙</v>
      </c>
      <c r="I343" s="171" t="str">
        <f t="shared" si="226"/>
        <v>🚖</v>
      </c>
      <c r="J343" s="172">
        <f t="shared" si="227"/>
        <v>1597.8154362250577</v>
      </c>
      <c r="K343" s="173">
        <f t="shared" si="228"/>
        <v>0.57243772578980245</v>
      </c>
      <c r="L343" s="174">
        <f t="shared" si="229"/>
        <v>2791.2476139138516</v>
      </c>
      <c r="M343" s="175">
        <f t="shared" si="245"/>
        <v>107145.62047778648</v>
      </c>
      <c r="N343" s="15"/>
      <c r="O343" s="37" t="str">
        <f t="shared" si="222"/>
        <v/>
      </c>
      <c r="P343" s="62" t="str">
        <f t="shared" si="246"/>
        <v/>
      </c>
      <c r="Q343" s="16" t="str">
        <f t="shared" si="230"/>
        <v/>
      </c>
      <c r="R343" s="60">
        <f t="shared" si="247"/>
        <v>61</v>
      </c>
      <c r="S343" s="98">
        <f t="shared" si="248"/>
        <v>184.86384105381958</v>
      </c>
      <c r="T343" s="21">
        <f t="shared" si="249"/>
        <v>1.6999999999999999E-3</v>
      </c>
      <c r="AA343" s="14">
        <f t="shared" si="231"/>
        <v>-2791.2476139138516</v>
      </c>
      <c r="AH343" s="6">
        <f t="shared" si="232"/>
        <v>3</v>
      </c>
      <c r="AI343" s="6">
        <f t="shared" si="233"/>
        <v>10</v>
      </c>
      <c r="AJ343" s="12">
        <f t="shared" si="234"/>
        <v>28</v>
      </c>
      <c r="AK343" s="72">
        <f t="shared" si="224"/>
        <v>30</v>
      </c>
      <c r="AR343">
        <f t="shared" si="250"/>
        <v>25</v>
      </c>
      <c r="AS343">
        <f t="shared" si="251"/>
        <v>75</v>
      </c>
      <c r="AT343" s="183">
        <f t="shared" si="252"/>
        <v>56036</v>
      </c>
      <c r="AU343" s="2">
        <f t="shared" si="253"/>
        <v>1.6393442622950821E-2</v>
      </c>
      <c r="AV343" s="169">
        <f t="shared" si="254"/>
        <v>329</v>
      </c>
      <c r="AW343" s="165">
        <f t="shared" si="255"/>
        <v>908.56833663497434</v>
      </c>
      <c r="AX343" s="170">
        <f t="shared" si="261"/>
        <v>1782.6792772788774</v>
      </c>
      <c r="AY343" s="164" t="str">
        <f t="shared" si="221"/>
        <v>🚙</v>
      </c>
      <c r="AZ343" s="171" t="str">
        <f t="shared" si="235"/>
        <v>🚖</v>
      </c>
      <c r="BA343" s="172">
        <f t="shared" si="236"/>
        <v>1597.8154362250577</v>
      </c>
      <c r="BB343" s="173">
        <f t="shared" si="237"/>
        <v>0.57243772578980245</v>
      </c>
      <c r="BC343" s="174">
        <f t="shared" si="238"/>
        <v>2791.2476139138516</v>
      </c>
      <c r="BD343" s="175">
        <f t="shared" si="256"/>
        <v>107145.62047778648</v>
      </c>
      <c r="BE343" s="188"/>
      <c r="BF343" s="177" t="str">
        <f t="shared" si="223"/>
        <v/>
      </c>
      <c r="BG343" s="178" t="str">
        <f t="shared" si="257"/>
        <v/>
      </c>
      <c r="BH343" s="179" t="str">
        <f t="shared" si="239"/>
        <v/>
      </c>
      <c r="BI343" s="180">
        <f t="shared" si="258"/>
        <v>61</v>
      </c>
      <c r="BJ343" s="181">
        <f t="shared" si="262"/>
        <v>184.86384105381958</v>
      </c>
      <c r="BK343" s="182">
        <f t="shared" si="259"/>
        <v>1.6999999999999999E-3</v>
      </c>
    </row>
    <row r="344" spans="1:63" x14ac:dyDescent="0.25">
      <c r="A344" s="7">
        <f t="shared" si="240"/>
        <v>25</v>
      </c>
      <c r="B344" s="7">
        <f t="shared" si="241"/>
        <v>75</v>
      </c>
      <c r="C344" s="115">
        <f t="shared" si="242"/>
        <v>56066</v>
      </c>
      <c r="D344" s="2">
        <f t="shared" si="225"/>
        <v>1.6666666666666666E-2</v>
      </c>
      <c r="E344" s="169">
        <f t="shared" si="243"/>
        <v>330</v>
      </c>
      <c r="F344" s="165">
        <f t="shared" si="244"/>
        <v>895.21833991159849</v>
      </c>
      <c r="G344" s="170">
        <f t="shared" si="260"/>
        <v>1785.7603412964413</v>
      </c>
      <c r="H344" s="164" t="str">
        <f t="shared" si="220"/>
        <v>🚙</v>
      </c>
      <c r="I344" s="171" t="str">
        <f t="shared" si="226"/>
        <v>🚖</v>
      </c>
      <c r="J344" s="172">
        <f t="shared" si="227"/>
        <v>1603.6127864842042</v>
      </c>
      <c r="K344" s="173">
        <f t="shared" si="228"/>
        <v>0.57663613076947606</v>
      </c>
      <c r="L344" s="174">
        <f t="shared" si="229"/>
        <v>2780.9786812080397</v>
      </c>
      <c r="M344" s="175">
        <f t="shared" si="245"/>
        <v>105542.00769130228</v>
      </c>
      <c r="N344" s="15"/>
      <c r="O344" s="37" t="str">
        <f t="shared" si="222"/>
        <v/>
      </c>
      <c r="P344" s="62" t="str">
        <f t="shared" si="246"/>
        <v/>
      </c>
      <c r="Q344" s="16" t="str">
        <f t="shared" si="230"/>
        <v/>
      </c>
      <c r="R344" s="60">
        <f t="shared" si="247"/>
        <v>60</v>
      </c>
      <c r="S344" s="98">
        <f t="shared" si="248"/>
        <v>182.14755481223699</v>
      </c>
      <c r="T344" s="21">
        <f t="shared" si="249"/>
        <v>1.6999999999999999E-3</v>
      </c>
      <c r="AA344" s="14">
        <f t="shared" si="231"/>
        <v>-2780.9786812080397</v>
      </c>
      <c r="AH344" s="6">
        <f t="shared" si="232"/>
        <v>3</v>
      </c>
      <c r="AI344" s="6">
        <f t="shared" si="233"/>
        <v>10</v>
      </c>
      <c r="AJ344" s="12">
        <f t="shared" si="234"/>
        <v>28</v>
      </c>
      <c r="AK344" s="72">
        <f t="shared" si="224"/>
        <v>31</v>
      </c>
      <c r="AR344">
        <f t="shared" si="250"/>
        <v>25</v>
      </c>
      <c r="AS344">
        <f t="shared" si="251"/>
        <v>75</v>
      </c>
      <c r="AT344" s="183">
        <f t="shared" si="252"/>
        <v>56066</v>
      </c>
      <c r="AU344" s="2">
        <f t="shared" si="253"/>
        <v>1.6666666666666666E-2</v>
      </c>
      <c r="AV344" s="169">
        <f t="shared" si="254"/>
        <v>330</v>
      </c>
      <c r="AW344" s="165">
        <f t="shared" si="255"/>
        <v>895.21833991159849</v>
      </c>
      <c r="AX344" s="170">
        <f t="shared" si="261"/>
        <v>1785.7603412964413</v>
      </c>
      <c r="AY344" s="164" t="str">
        <f t="shared" si="221"/>
        <v>🚙</v>
      </c>
      <c r="AZ344" s="171" t="str">
        <f t="shared" si="235"/>
        <v>🚖</v>
      </c>
      <c r="BA344" s="172">
        <f t="shared" si="236"/>
        <v>1603.6127864842042</v>
      </c>
      <c r="BB344" s="173">
        <f t="shared" si="237"/>
        <v>0.57663613076947606</v>
      </c>
      <c r="BC344" s="174">
        <f t="shared" si="238"/>
        <v>2780.9786812080397</v>
      </c>
      <c r="BD344" s="175">
        <f t="shared" si="256"/>
        <v>105542.00769130228</v>
      </c>
      <c r="BE344" s="188"/>
      <c r="BF344" s="177" t="str">
        <f t="shared" si="223"/>
        <v/>
      </c>
      <c r="BG344" s="178" t="str">
        <f t="shared" si="257"/>
        <v/>
      </c>
      <c r="BH344" s="179" t="str">
        <f t="shared" si="239"/>
        <v/>
      </c>
      <c r="BI344" s="180">
        <f t="shared" si="258"/>
        <v>60</v>
      </c>
      <c r="BJ344" s="181">
        <f t="shared" si="262"/>
        <v>182.14755481223699</v>
      </c>
      <c r="BK344" s="182">
        <f t="shared" si="259"/>
        <v>1.6999999999999999E-3</v>
      </c>
    </row>
    <row r="345" spans="1:63" x14ac:dyDescent="0.25">
      <c r="A345" s="7">
        <f t="shared" si="240"/>
        <v>25</v>
      </c>
      <c r="B345" s="7">
        <f t="shared" si="241"/>
        <v>75</v>
      </c>
      <c r="C345" s="115">
        <f t="shared" si="242"/>
        <v>56097</v>
      </c>
      <c r="D345" s="2">
        <f t="shared" si="225"/>
        <v>1.6949152542372881E-2</v>
      </c>
      <c r="E345" s="169">
        <f t="shared" si="243"/>
        <v>331</v>
      </c>
      <c r="F345" s="165">
        <f t="shared" si="244"/>
        <v>881.81990542425501</v>
      </c>
      <c r="G345" s="170">
        <f t="shared" si="260"/>
        <v>1788.8475879881742</v>
      </c>
      <c r="H345" s="164" t="str">
        <f t="shared" si="220"/>
        <v>🚙</v>
      </c>
      <c r="I345" s="171" t="str">
        <f t="shared" si="226"/>
        <v>🚖</v>
      </c>
      <c r="J345" s="172">
        <f t="shared" si="227"/>
        <v>1609.4261749129603</v>
      </c>
      <c r="K345" s="173">
        <f t="shared" si="228"/>
        <v>0.58088030365951537</v>
      </c>
      <c r="L345" s="174">
        <f t="shared" si="229"/>
        <v>2770.6674934124294</v>
      </c>
      <c r="M345" s="175">
        <f t="shared" si="245"/>
        <v>103932.58151638931</v>
      </c>
      <c r="N345" s="15"/>
      <c r="O345" s="37" t="str">
        <f t="shared" si="222"/>
        <v/>
      </c>
      <c r="P345" s="62" t="str">
        <f t="shared" si="246"/>
        <v/>
      </c>
      <c r="Q345" s="16" t="str">
        <f t="shared" si="230"/>
        <v/>
      </c>
      <c r="R345" s="60">
        <f t="shared" si="247"/>
        <v>59</v>
      </c>
      <c r="S345" s="98">
        <f t="shared" si="248"/>
        <v>179.42141307521388</v>
      </c>
      <c r="T345" s="21">
        <f t="shared" si="249"/>
        <v>1.6999999999999999E-3</v>
      </c>
      <c r="AA345" s="14">
        <f t="shared" si="231"/>
        <v>-2770.6674934124294</v>
      </c>
      <c r="AH345" s="6">
        <f t="shared" si="232"/>
        <v>3</v>
      </c>
      <c r="AI345" s="6">
        <f t="shared" si="233"/>
        <v>10</v>
      </c>
      <c r="AJ345" s="12">
        <f t="shared" si="234"/>
        <v>28</v>
      </c>
      <c r="AK345" s="72">
        <f t="shared" si="224"/>
        <v>31</v>
      </c>
      <c r="AR345">
        <f t="shared" si="250"/>
        <v>25</v>
      </c>
      <c r="AS345">
        <f t="shared" si="251"/>
        <v>75</v>
      </c>
      <c r="AT345" s="183">
        <f t="shared" si="252"/>
        <v>56097</v>
      </c>
      <c r="AU345" s="2">
        <f t="shared" si="253"/>
        <v>1.6949152542372881E-2</v>
      </c>
      <c r="AV345" s="169">
        <f t="shared" si="254"/>
        <v>331</v>
      </c>
      <c r="AW345" s="165">
        <f t="shared" si="255"/>
        <v>881.81990542425501</v>
      </c>
      <c r="AX345" s="170">
        <f t="shared" si="261"/>
        <v>1788.8475879881742</v>
      </c>
      <c r="AY345" s="164" t="str">
        <f t="shared" si="221"/>
        <v>🚙</v>
      </c>
      <c r="AZ345" s="171" t="str">
        <f t="shared" si="235"/>
        <v>🚖</v>
      </c>
      <c r="BA345" s="172">
        <f t="shared" si="236"/>
        <v>1609.4261749129603</v>
      </c>
      <c r="BB345" s="173">
        <f t="shared" si="237"/>
        <v>0.58088030365951537</v>
      </c>
      <c r="BC345" s="174">
        <f t="shared" si="238"/>
        <v>2770.6674934124294</v>
      </c>
      <c r="BD345" s="175">
        <f t="shared" si="256"/>
        <v>103932.58151638931</v>
      </c>
      <c r="BE345" s="188"/>
      <c r="BF345" s="177" t="str">
        <f t="shared" si="223"/>
        <v/>
      </c>
      <c r="BG345" s="178" t="str">
        <f t="shared" si="257"/>
        <v/>
      </c>
      <c r="BH345" s="179" t="str">
        <f t="shared" si="239"/>
        <v/>
      </c>
      <c r="BI345" s="180">
        <f t="shared" si="258"/>
        <v>59</v>
      </c>
      <c r="BJ345" s="181">
        <f t="shared" si="262"/>
        <v>179.42141307521388</v>
      </c>
      <c r="BK345" s="182">
        <f t="shared" si="259"/>
        <v>1.6999999999999999E-3</v>
      </c>
    </row>
    <row r="346" spans="1:63" x14ac:dyDescent="0.25">
      <c r="A346" s="7">
        <f t="shared" si="240"/>
        <v>25</v>
      </c>
      <c r="B346" s="7">
        <f t="shared" si="241"/>
        <v>75</v>
      </c>
      <c r="C346" s="115">
        <f t="shared" si="242"/>
        <v>56128</v>
      </c>
      <c r="D346" s="2">
        <f t="shared" si="225"/>
        <v>1.7241379310344827E-2</v>
      </c>
      <c r="E346" s="169">
        <f t="shared" si="243"/>
        <v>332</v>
      </c>
      <c r="F346" s="165">
        <f t="shared" si="244"/>
        <v>868.37289917153964</v>
      </c>
      <c r="G346" s="170">
        <f t="shared" si="260"/>
        <v>1791.9410606274018</v>
      </c>
      <c r="H346" s="164" t="str">
        <f t="shared" ref="H346:H409" si="263">IF(OR(G346=0,L346&lt;1),"",IF(G346/L346&gt;90%,"🛩",IF(G346/L346&gt;70%,"🏎",IF(G346/L346&gt;50%,"🚙",IF(G346/L346&gt;30%,"🛵",IF(G346/L346&gt;15%,"🐢","⚓️"))))))</f>
        <v>🚙</v>
      </c>
      <c r="I346" s="171" t="str">
        <f t="shared" si="226"/>
        <v>🚖</v>
      </c>
      <c r="J346" s="172">
        <f t="shared" si="227"/>
        <v>1615.25567204954</v>
      </c>
      <c r="K346" s="173">
        <f t="shared" si="228"/>
        <v>0.58517099705831777</v>
      </c>
      <c r="L346" s="174">
        <f t="shared" si="229"/>
        <v>2760.3139597989416</v>
      </c>
      <c r="M346" s="175">
        <f t="shared" si="245"/>
        <v>102317.32584433976</v>
      </c>
      <c r="N346" s="15"/>
      <c r="O346" s="37" t="str">
        <f t="shared" si="222"/>
        <v/>
      </c>
      <c r="P346" s="62" t="str">
        <f t="shared" si="246"/>
        <v/>
      </c>
      <c r="Q346" s="16" t="str">
        <f t="shared" si="230"/>
        <v/>
      </c>
      <c r="R346" s="60">
        <f t="shared" si="247"/>
        <v>58</v>
      </c>
      <c r="S346" s="98">
        <f t="shared" si="248"/>
        <v>176.68538857786183</v>
      </c>
      <c r="T346" s="21">
        <f t="shared" si="249"/>
        <v>1.6999999999999999E-3</v>
      </c>
      <c r="AA346" s="14">
        <f t="shared" si="231"/>
        <v>-2760.3139597989416</v>
      </c>
      <c r="AH346" s="6">
        <f t="shared" si="232"/>
        <v>3</v>
      </c>
      <c r="AI346" s="6">
        <f t="shared" si="233"/>
        <v>10</v>
      </c>
      <c r="AJ346" s="12">
        <f t="shared" si="234"/>
        <v>28</v>
      </c>
      <c r="AK346" s="72">
        <f t="shared" si="224"/>
        <v>30</v>
      </c>
      <c r="AR346">
        <f t="shared" si="250"/>
        <v>25</v>
      </c>
      <c r="AS346">
        <f t="shared" si="251"/>
        <v>75</v>
      </c>
      <c r="AT346" s="183">
        <f t="shared" si="252"/>
        <v>56128</v>
      </c>
      <c r="AU346" s="2">
        <f t="shared" si="253"/>
        <v>1.7241379310344827E-2</v>
      </c>
      <c r="AV346" s="169">
        <f t="shared" si="254"/>
        <v>332</v>
      </c>
      <c r="AW346" s="165">
        <f t="shared" si="255"/>
        <v>868.37289917153964</v>
      </c>
      <c r="AX346" s="170">
        <f t="shared" si="261"/>
        <v>1791.9410606274018</v>
      </c>
      <c r="AY346" s="164" t="str">
        <f t="shared" ref="AY346:AY409" si="264">IF(OR(AX346=0,BC346&lt;1),"",IF(AX346/BC346&gt;90%,"🛩",IF(AX346/BC346&gt;70%,"🏎",IF(AX346/BC346&gt;50%,"🚙",IF(AX346/BC346&gt;30%,"🛵",IF(AX346/BC346&gt;15%,"🐢","⚓️"))))))</f>
        <v>🚙</v>
      </c>
      <c r="AZ346" s="171" t="str">
        <f t="shared" si="235"/>
        <v>🚖</v>
      </c>
      <c r="BA346" s="172">
        <f t="shared" si="236"/>
        <v>1615.25567204954</v>
      </c>
      <c r="BB346" s="173">
        <f t="shared" si="237"/>
        <v>0.58517099705831777</v>
      </c>
      <c r="BC346" s="174">
        <f t="shared" si="238"/>
        <v>2760.3139597989416</v>
      </c>
      <c r="BD346" s="175">
        <f t="shared" si="256"/>
        <v>102317.32584433976</v>
      </c>
      <c r="BE346" s="188"/>
      <c r="BF346" s="177" t="str">
        <f t="shared" si="223"/>
        <v/>
      </c>
      <c r="BG346" s="178" t="str">
        <f t="shared" si="257"/>
        <v/>
      </c>
      <c r="BH346" s="179" t="str">
        <f t="shared" si="239"/>
        <v/>
      </c>
      <c r="BI346" s="180">
        <f t="shared" si="258"/>
        <v>58</v>
      </c>
      <c r="BJ346" s="181">
        <f t="shared" si="262"/>
        <v>176.68538857786183</v>
      </c>
      <c r="BK346" s="182">
        <f t="shared" si="259"/>
        <v>1.6999999999999999E-3</v>
      </c>
    </row>
    <row r="347" spans="1:63" x14ac:dyDescent="0.25">
      <c r="A347" s="7">
        <f t="shared" si="240"/>
        <v>25</v>
      </c>
      <c r="B347" s="7">
        <f t="shared" si="241"/>
        <v>75</v>
      </c>
      <c r="C347" s="115">
        <f t="shared" si="242"/>
        <v>56158</v>
      </c>
      <c r="D347" s="2">
        <f t="shared" si="225"/>
        <v>1.7543859649122806E-2</v>
      </c>
      <c r="E347" s="169">
        <f t="shared" si="243"/>
        <v>333</v>
      </c>
      <c r="F347" s="165">
        <f t="shared" si="244"/>
        <v>854.87718656269078</v>
      </c>
      <c r="G347" s="170">
        <f t="shared" si="260"/>
        <v>1795.0408042866625</v>
      </c>
      <c r="H347" s="164" t="str">
        <f t="shared" si="263"/>
        <v>🚙</v>
      </c>
      <c r="I347" s="171" t="str">
        <f t="shared" si="226"/>
        <v>🚖</v>
      </c>
      <c r="J347" s="172">
        <f t="shared" si="227"/>
        <v>1621.101350351285</v>
      </c>
      <c r="K347" s="173">
        <f t="shared" si="228"/>
        <v>0.58950898017529008</v>
      </c>
      <c r="L347" s="174">
        <f t="shared" si="229"/>
        <v>2749.9179908493534</v>
      </c>
      <c r="M347" s="175">
        <f t="shared" si="245"/>
        <v>100696.22449398848</v>
      </c>
      <c r="N347" s="15"/>
      <c r="O347" s="37" t="str">
        <f t="shared" si="222"/>
        <v/>
      </c>
      <c r="P347" s="62" t="str">
        <f t="shared" si="246"/>
        <v/>
      </c>
      <c r="Q347" s="16" t="str">
        <f t="shared" si="230"/>
        <v/>
      </c>
      <c r="R347" s="60">
        <f t="shared" si="247"/>
        <v>57</v>
      </c>
      <c r="S347" s="98">
        <f t="shared" si="248"/>
        <v>173.9394539353776</v>
      </c>
      <c r="T347" s="21">
        <f t="shared" si="249"/>
        <v>1.6999999999999999E-3</v>
      </c>
      <c r="AA347" s="14">
        <f t="shared" si="231"/>
        <v>-2749.9179908493534</v>
      </c>
      <c r="AH347" s="6">
        <f t="shared" si="232"/>
        <v>3</v>
      </c>
      <c r="AI347" s="6">
        <f t="shared" si="233"/>
        <v>10</v>
      </c>
      <c r="AJ347" s="12">
        <f t="shared" si="234"/>
        <v>28</v>
      </c>
      <c r="AK347" s="72">
        <f t="shared" si="224"/>
        <v>31</v>
      </c>
      <c r="AR347">
        <f t="shared" si="250"/>
        <v>25</v>
      </c>
      <c r="AS347">
        <f t="shared" si="251"/>
        <v>75</v>
      </c>
      <c r="AT347" s="183">
        <f t="shared" si="252"/>
        <v>56158</v>
      </c>
      <c r="AU347" s="2">
        <f t="shared" si="253"/>
        <v>1.7543859649122806E-2</v>
      </c>
      <c r="AV347" s="169">
        <f t="shared" si="254"/>
        <v>333</v>
      </c>
      <c r="AW347" s="165">
        <f t="shared" si="255"/>
        <v>854.87718656269078</v>
      </c>
      <c r="AX347" s="170">
        <f t="shared" si="261"/>
        <v>1795.0408042866625</v>
      </c>
      <c r="AY347" s="164" t="str">
        <f t="shared" si="264"/>
        <v>🚙</v>
      </c>
      <c r="AZ347" s="171" t="str">
        <f t="shared" si="235"/>
        <v>🚖</v>
      </c>
      <c r="BA347" s="172">
        <f t="shared" si="236"/>
        <v>1621.101350351285</v>
      </c>
      <c r="BB347" s="173">
        <f t="shared" si="237"/>
        <v>0.58950898017529008</v>
      </c>
      <c r="BC347" s="174">
        <f t="shared" si="238"/>
        <v>2749.9179908493534</v>
      </c>
      <c r="BD347" s="175">
        <f t="shared" si="256"/>
        <v>100696.22449398848</v>
      </c>
      <c r="BE347" s="188"/>
      <c r="BF347" s="177" t="str">
        <f t="shared" si="223"/>
        <v/>
      </c>
      <c r="BG347" s="178" t="str">
        <f t="shared" si="257"/>
        <v/>
      </c>
      <c r="BH347" s="179" t="str">
        <f t="shared" si="239"/>
        <v/>
      </c>
      <c r="BI347" s="180">
        <f t="shared" si="258"/>
        <v>57</v>
      </c>
      <c r="BJ347" s="181">
        <f t="shared" si="262"/>
        <v>173.9394539353776</v>
      </c>
      <c r="BK347" s="182">
        <f t="shared" si="259"/>
        <v>1.6999999999999999E-3</v>
      </c>
    </row>
    <row r="348" spans="1:63" x14ac:dyDescent="0.25">
      <c r="A348" s="7">
        <f t="shared" si="240"/>
        <v>25</v>
      </c>
      <c r="B348" s="7">
        <f t="shared" si="241"/>
        <v>75</v>
      </c>
      <c r="C348" s="115">
        <f t="shared" si="242"/>
        <v>56189</v>
      </c>
      <c r="D348" s="2">
        <f t="shared" si="225"/>
        <v>1.7857142857142856E-2</v>
      </c>
      <c r="E348" s="169">
        <f t="shared" si="243"/>
        <v>334</v>
      </c>
      <c r="F348" s="165">
        <f t="shared" si="244"/>
        <v>841.33263240155463</v>
      </c>
      <c r="G348" s="170">
        <f t="shared" si="260"/>
        <v>1798.14686596408</v>
      </c>
      <c r="H348" s="164" t="str">
        <f t="shared" si="263"/>
        <v>🚙</v>
      </c>
      <c r="I348" s="171" t="str">
        <f t="shared" si="226"/>
        <v>🚖</v>
      </c>
      <c r="J348" s="172">
        <f t="shared" si="227"/>
        <v>1626.9632843242996</v>
      </c>
      <c r="K348" s="173">
        <f t="shared" si="228"/>
        <v>0.59389503929302667</v>
      </c>
      <c r="L348" s="174">
        <f t="shared" si="229"/>
        <v>2739.4794983656348</v>
      </c>
      <c r="M348" s="175">
        <f t="shared" si="245"/>
        <v>99069.261209664182</v>
      </c>
      <c r="N348" s="15"/>
      <c r="O348" s="37" t="str">
        <f t="shared" si="222"/>
        <v/>
      </c>
      <c r="P348" s="62" t="str">
        <f t="shared" si="246"/>
        <v/>
      </c>
      <c r="Q348" s="16" t="str">
        <f t="shared" si="230"/>
        <v/>
      </c>
      <c r="R348" s="60">
        <f t="shared" si="247"/>
        <v>56</v>
      </c>
      <c r="S348" s="98">
        <f t="shared" si="248"/>
        <v>171.18358163978041</v>
      </c>
      <c r="T348" s="21">
        <f t="shared" si="249"/>
        <v>1.6999999999999999E-3</v>
      </c>
      <c r="AA348" s="14">
        <f t="shared" si="231"/>
        <v>-2739.4794983656348</v>
      </c>
      <c r="AH348" s="6">
        <f t="shared" si="232"/>
        <v>3</v>
      </c>
      <c r="AI348" s="6">
        <f t="shared" si="233"/>
        <v>10</v>
      </c>
      <c r="AJ348" s="12">
        <f t="shared" si="234"/>
        <v>28</v>
      </c>
      <c r="AK348" s="72">
        <f t="shared" si="224"/>
        <v>30</v>
      </c>
      <c r="AR348">
        <f t="shared" si="250"/>
        <v>25</v>
      </c>
      <c r="AS348">
        <f t="shared" si="251"/>
        <v>75</v>
      </c>
      <c r="AT348" s="183">
        <f t="shared" si="252"/>
        <v>56189</v>
      </c>
      <c r="AU348" s="2">
        <f t="shared" si="253"/>
        <v>1.7857142857142856E-2</v>
      </c>
      <c r="AV348" s="169">
        <f t="shared" si="254"/>
        <v>334</v>
      </c>
      <c r="AW348" s="165">
        <f t="shared" si="255"/>
        <v>841.33263240155463</v>
      </c>
      <c r="AX348" s="170">
        <f t="shared" si="261"/>
        <v>1798.14686596408</v>
      </c>
      <c r="AY348" s="164" t="str">
        <f t="shared" si="264"/>
        <v>🚙</v>
      </c>
      <c r="AZ348" s="171" t="str">
        <f t="shared" si="235"/>
        <v>🚖</v>
      </c>
      <c r="BA348" s="172">
        <f t="shared" si="236"/>
        <v>1626.9632843242996</v>
      </c>
      <c r="BB348" s="173">
        <f t="shared" si="237"/>
        <v>0.59389503929302667</v>
      </c>
      <c r="BC348" s="174">
        <f t="shared" si="238"/>
        <v>2739.4794983656348</v>
      </c>
      <c r="BD348" s="175">
        <f t="shared" si="256"/>
        <v>99069.261209664182</v>
      </c>
      <c r="BE348" s="188"/>
      <c r="BF348" s="177" t="str">
        <f t="shared" si="223"/>
        <v/>
      </c>
      <c r="BG348" s="178" t="str">
        <f t="shared" si="257"/>
        <v/>
      </c>
      <c r="BH348" s="179" t="str">
        <f t="shared" si="239"/>
        <v/>
      </c>
      <c r="BI348" s="180">
        <f t="shared" si="258"/>
        <v>56</v>
      </c>
      <c r="BJ348" s="181">
        <f t="shared" si="262"/>
        <v>171.18358163978041</v>
      </c>
      <c r="BK348" s="182">
        <f t="shared" si="259"/>
        <v>1.6999999999999999E-3</v>
      </c>
    </row>
    <row r="349" spans="1:63" x14ac:dyDescent="0.25">
      <c r="A349" s="7">
        <f t="shared" si="240"/>
        <v>25</v>
      </c>
      <c r="B349" s="7">
        <f t="shared" si="241"/>
        <v>75</v>
      </c>
      <c r="C349" s="115">
        <f t="shared" si="242"/>
        <v>56219</v>
      </c>
      <c r="D349" s="2">
        <f t="shared" si="225"/>
        <v>1.8181818181818181E-2</v>
      </c>
      <c r="E349" s="169">
        <f t="shared" si="243"/>
        <v>335</v>
      </c>
      <c r="F349" s="165">
        <f t="shared" si="244"/>
        <v>827.7391008694666</v>
      </c>
      <c r="G349" s="170">
        <f t="shared" si="260"/>
        <v>1801.259294721167</v>
      </c>
      <c r="H349" s="164" t="str">
        <f t="shared" si="263"/>
        <v>🚙</v>
      </c>
      <c r="I349" s="171" t="str">
        <f t="shared" si="226"/>
        <v>🚖</v>
      </c>
      <c r="J349" s="172">
        <f t="shared" si="227"/>
        <v>1632.841550664738</v>
      </c>
      <c r="K349" s="173">
        <f t="shared" si="228"/>
        <v>0.59832997824512979</v>
      </c>
      <c r="L349" s="174">
        <f t="shared" si="229"/>
        <v>2728.9983955906337</v>
      </c>
      <c r="M349" s="175">
        <f t="shared" si="245"/>
        <v>97436.419658999439</v>
      </c>
      <c r="N349" s="15"/>
      <c r="O349" s="37" t="str">
        <f t="shared" si="222"/>
        <v/>
      </c>
      <c r="P349" s="62" t="str">
        <f t="shared" si="246"/>
        <v/>
      </c>
      <c r="Q349" s="16" t="str">
        <f t="shared" si="230"/>
        <v/>
      </c>
      <c r="R349" s="60">
        <f t="shared" si="247"/>
        <v>55</v>
      </c>
      <c r="S349" s="98">
        <f t="shared" si="248"/>
        <v>168.41774405642911</v>
      </c>
      <c r="T349" s="21">
        <f t="shared" si="249"/>
        <v>1.6999999999999999E-3</v>
      </c>
      <c r="AA349" s="14">
        <f t="shared" si="231"/>
        <v>-2728.9983955906337</v>
      </c>
      <c r="AH349" s="6">
        <f t="shared" si="232"/>
        <v>3</v>
      </c>
      <c r="AI349" s="6">
        <f t="shared" si="233"/>
        <v>10</v>
      </c>
      <c r="AJ349" s="12">
        <f t="shared" si="234"/>
        <v>28</v>
      </c>
      <c r="AK349" s="72">
        <f t="shared" si="224"/>
        <v>31</v>
      </c>
      <c r="AR349">
        <f t="shared" si="250"/>
        <v>25</v>
      </c>
      <c r="AS349">
        <f t="shared" si="251"/>
        <v>75</v>
      </c>
      <c r="AT349" s="183">
        <f t="shared" si="252"/>
        <v>56219</v>
      </c>
      <c r="AU349" s="2">
        <f t="shared" si="253"/>
        <v>1.8181818181818181E-2</v>
      </c>
      <c r="AV349" s="169">
        <f t="shared" si="254"/>
        <v>335</v>
      </c>
      <c r="AW349" s="165">
        <f t="shared" si="255"/>
        <v>827.7391008694666</v>
      </c>
      <c r="AX349" s="170">
        <f t="shared" si="261"/>
        <v>1801.259294721167</v>
      </c>
      <c r="AY349" s="164" t="str">
        <f t="shared" si="264"/>
        <v>🚙</v>
      </c>
      <c r="AZ349" s="171" t="str">
        <f t="shared" si="235"/>
        <v>🚖</v>
      </c>
      <c r="BA349" s="172">
        <f t="shared" si="236"/>
        <v>1632.841550664738</v>
      </c>
      <c r="BB349" s="173">
        <f t="shared" si="237"/>
        <v>0.59832997824512979</v>
      </c>
      <c r="BC349" s="174">
        <f t="shared" si="238"/>
        <v>2728.9983955906337</v>
      </c>
      <c r="BD349" s="175">
        <f t="shared" si="256"/>
        <v>97436.419658999439</v>
      </c>
      <c r="BE349" s="188"/>
      <c r="BF349" s="177" t="str">
        <f t="shared" si="223"/>
        <v/>
      </c>
      <c r="BG349" s="178" t="str">
        <f t="shared" si="257"/>
        <v/>
      </c>
      <c r="BH349" s="179" t="str">
        <f t="shared" si="239"/>
        <v/>
      </c>
      <c r="BI349" s="180">
        <f t="shared" si="258"/>
        <v>55</v>
      </c>
      <c r="BJ349" s="181">
        <f t="shared" si="262"/>
        <v>168.41774405642911</v>
      </c>
      <c r="BK349" s="182">
        <f t="shared" si="259"/>
        <v>1.6999999999999999E-3</v>
      </c>
    </row>
    <row r="350" spans="1:63" x14ac:dyDescent="0.25">
      <c r="A350" s="7">
        <f t="shared" si="240"/>
        <v>25</v>
      </c>
      <c r="B350" s="7">
        <f t="shared" si="241"/>
        <v>75</v>
      </c>
      <c r="C350" s="115">
        <f t="shared" si="242"/>
        <v>56250</v>
      </c>
      <c r="D350" s="2">
        <f t="shared" si="225"/>
        <v>1.8518518518518517E-2</v>
      </c>
      <c r="E350" s="169">
        <f t="shared" si="243"/>
        <v>336</v>
      </c>
      <c r="F350" s="165">
        <f t="shared" si="244"/>
        <v>814.09645550695438</v>
      </c>
      <c r="G350" s="170">
        <f t="shared" si="260"/>
        <v>1804.3781418333228</v>
      </c>
      <c r="H350" s="164" t="str">
        <f t="shared" si="263"/>
        <v>🚙</v>
      </c>
      <c r="I350" s="171" t="str">
        <f t="shared" si="226"/>
        <v>🚖</v>
      </c>
      <c r="J350" s="172">
        <f t="shared" si="227"/>
        <v>1638.7362284130238</v>
      </c>
      <c r="K350" s="173">
        <f t="shared" si="228"/>
        <v>0.60281461891030486</v>
      </c>
      <c r="L350" s="174">
        <f t="shared" si="229"/>
        <v>2718.4745973402773</v>
      </c>
      <c r="M350" s="175">
        <f t="shared" si="245"/>
        <v>95797.683430586418</v>
      </c>
      <c r="N350" s="15"/>
      <c r="O350" s="37" t="str">
        <f t="shared" si="222"/>
        <v/>
      </c>
      <c r="P350" s="62" t="str">
        <f t="shared" si="246"/>
        <v/>
      </c>
      <c r="Q350" s="16" t="str">
        <f t="shared" si="230"/>
        <v/>
      </c>
      <c r="R350" s="60">
        <f t="shared" si="247"/>
        <v>54</v>
      </c>
      <c r="S350" s="98">
        <f t="shared" si="248"/>
        <v>165.64191342029903</v>
      </c>
      <c r="T350" s="21">
        <f t="shared" si="249"/>
        <v>1.6999999999999999E-3</v>
      </c>
      <c r="AA350" s="14">
        <f t="shared" si="231"/>
        <v>-2718.4745973402773</v>
      </c>
      <c r="AH350" s="6">
        <f t="shared" si="232"/>
        <v>3</v>
      </c>
      <c r="AI350" s="6">
        <f t="shared" si="233"/>
        <v>10</v>
      </c>
      <c r="AJ350" s="12">
        <f t="shared" si="234"/>
        <v>28</v>
      </c>
      <c r="AK350" s="72">
        <f t="shared" si="224"/>
        <v>31</v>
      </c>
      <c r="AR350">
        <f t="shared" si="250"/>
        <v>25</v>
      </c>
      <c r="AS350">
        <f t="shared" si="251"/>
        <v>75</v>
      </c>
      <c r="AT350" s="183">
        <f t="shared" si="252"/>
        <v>56250</v>
      </c>
      <c r="AU350" s="2">
        <f t="shared" si="253"/>
        <v>1.8518518518518517E-2</v>
      </c>
      <c r="AV350" s="169">
        <f t="shared" si="254"/>
        <v>336</v>
      </c>
      <c r="AW350" s="165">
        <f t="shared" si="255"/>
        <v>814.09645550695438</v>
      </c>
      <c r="AX350" s="170">
        <f t="shared" si="261"/>
        <v>1804.3781418333228</v>
      </c>
      <c r="AY350" s="164" t="str">
        <f t="shared" si="264"/>
        <v>🚙</v>
      </c>
      <c r="AZ350" s="171" t="str">
        <f t="shared" si="235"/>
        <v>🚖</v>
      </c>
      <c r="BA350" s="172">
        <f t="shared" si="236"/>
        <v>1638.7362284130238</v>
      </c>
      <c r="BB350" s="173">
        <f t="shared" si="237"/>
        <v>0.60281461891030486</v>
      </c>
      <c r="BC350" s="174">
        <f t="shared" si="238"/>
        <v>2718.4745973402773</v>
      </c>
      <c r="BD350" s="175">
        <f t="shared" si="256"/>
        <v>95797.683430586418</v>
      </c>
      <c r="BE350" s="188"/>
      <c r="BF350" s="177" t="str">
        <f t="shared" si="223"/>
        <v/>
      </c>
      <c r="BG350" s="178" t="str">
        <f t="shared" si="257"/>
        <v/>
      </c>
      <c r="BH350" s="179" t="str">
        <f t="shared" si="239"/>
        <v/>
      </c>
      <c r="BI350" s="180">
        <f t="shared" si="258"/>
        <v>54</v>
      </c>
      <c r="BJ350" s="181">
        <f t="shared" si="262"/>
        <v>165.64191342029903</v>
      </c>
      <c r="BK350" s="182">
        <f t="shared" si="259"/>
        <v>1.6999999999999999E-3</v>
      </c>
    </row>
    <row r="351" spans="1:63" x14ac:dyDescent="0.25">
      <c r="A351" s="7">
        <f t="shared" si="240"/>
        <v>25</v>
      </c>
      <c r="B351" s="7">
        <f t="shared" si="241"/>
        <v>75</v>
      </c>
      <c r="C351" s="115">
        <f t="shared" si="242"/>
        <v>56281</v>
      </c>
      <c r="D351" s="2">
        <f t="shared" si="225"/>
        <v>1.8867924528301886E-2</v>
      </c>
      <c r="E351" s="169">
        <f t="shared" si="243"/>
        <v>337</v>
      </c>
      <c r="F351" s="165">
        <f t="shared" si="244"/>
        <v>800.40455919415035</v>
      </c>
      <c r="G351" s="170">
        <f t="shared" si="260"/>
        <v>1807.5034609544607</v>
      </c>
      <c r="H351" s="164" t="str">
        <f t="shared" si="263"/>
        <v>🚙</v>
      </c>
      <c r="I351" s="171" t="str">
        <f t="shared" si="226"/>
        <v>🚖</v>
      </c>
      <c r="J351" s="172">
        <f t="shared" si="227"/>
        <v>1644.6473991224639</v>
      </c>
      <c r="K351" s="173">
        <f t="shared" si="228"/>
        <v>0.60734980172340003</v>
      </c>
      <c r="L351" s="174">
        <f t="shared" si="229"/>
        <v>2707.9080201486113</v>
      </c>
      <c r="M351" s="175">
        <f t="shared" si="245"/>
        <v>94153.03603146394</v>
      </c>
      <c r="N351" s="15"/>
      <c r="O351" s="37" t="str">
        <f t="shared" si="222"/>
        <v/>
      </c>
      <c r="P351" s="62" t="str">
        <f t="shared" si="246"/>
        <v/>
      </c>
      <c r="Q351" s="16" t="str">
        <f t="shared" si="230"/>
        <v/>
      </c>
      <c r="R351" s="60">
        <f t="shared" si="247"/>
        <v>53</v>
      </c>
      <c r="S351" s="98">
        <f t="shared" si="248"/>
        <v>162.8560618319969</v>
      </c>
      <c r="T351" s="21">
        <f t="shared" si="249"/>
        <v>1.6999999999999999E-3</v>
      </c>
      <c r="AA351" s="14">
        <f t="shared" si="231"/>
        <v>-2707.9080201486113</v>
      </c>
      <c r="AH351" s="6">
        <f t="shared" si="232"/>
        <v>3</v>
      </c>
      <c r="AI351" s="6">
        <f t="shared" si="233"/>
        <v>10</v>
      </c>
      <c r="AJ351" s="12">
        <f t="shared" si="234"/>
        <v>29</v>
      </c>
      <c r="AK351" s="72">
        <f t="shared" si="224"/>
        <v>28</v>
      </c>
      <c r="AR351">
        <f t="shared" si="250"/>
        <v>25</v>
      </c>
      <c r="AS351">
        <f t="shared" si="251"/>
        <v>75</v>
      </c>
      <c r="AT351" s="183">
        <f t="shared" si="252"/>
        <v>56281</v>
      </c>
      <c r="AU351" s="2">
        <f t="shared" si="253"/>
        <v>1.8867924528301886E-2</v>
      </c>
      <c r="AV351" s="169">
        <f t="shared" si="254"/>
        <v>337</v>
      </c>
      <c r="AW351" s="165">
        <f t="shared" si="255"/>
        <v>800.40455919415035</v>
      </c>
      <c r="AX351" s="170">
        <f t="shared" si="261"/>
        <v>1807.5034609544607</v>
      </c>
      <c r="AY351" s="164" t="str">
        <f t="shared" si="264"/>
        <v>🚙</v>
      </c>
      <c r="AZ351" s="171" t="str">
        <f t="shared" si="235"/>
        <v>🚖</v>
      </c>
      <c r="BA351" s="172">
        <f t="shared" si="236"/>
        <v>1644.6473991224639</v>
      </c>
      <c r="BB351" s="173">
        <f t="shared" si="237"/>
        <v>0.60734980172340003</v>
      </c>
      <c r="BC351" s="174">
        <f t="shared" si="238"/>
        <v>2707.9080201486113</v>
      </c>
      <c r="BD351" s="175">
        <f t="shared" si="256"/>
        <v>94153.03603146394</v>
      </c>
      <c r="BE351" s="188"/>
      <c r="BF351" s="177" t="str">
        <f t="shared" si="223"/>
        <v/>
      </c>
      <c r="BG351" s="178" t="str">
        <f t="shared" si="257"/>
        <v/>
      </c>
      <c r="BH351" s="179" t="str">
        <f t="shared" si="239"/>
        <v/>
      </c>
      <c r="BI351" s="180">
        <f t="shared" si="258"/>
        <v>53</v>
      </c>
      <c r="BJ351" s="181">
        <f t="shared" si="262"/>
        <v>162.8560618319969</v>
      </c>
      <c r="BK351" s="182">
        <f t="shared" si="259"/>
        <v>1.6999999999999999E-3</v>
      </c>
    </row>
    <row r="352" spans="1:63" x14ac:dyDescent="0.25">
      <c r="A352" s="7">
        <f t="shared" si="240"/>
        <v>25</v>
      </c>
      <c r="B352" s="7">
        <f t="shared" si="241"/>
        <v>75</v>
      </c>
      <c r="C352" s="115">
        <f t="shared" si="242"/>
        <v>56309</v>
      </c>
      <c r="D352" s="2">
        <f t="shared" si="225"/>
        <v>1.9230769230769232E-2</v>
      </c>
      <c r="E352" s="169">
        <f t="shared" si="243"/>
        <v>338</v>
      </c>
      <c r="F352" s="165">
        <f t="shared" si="244"/>
        <v>786.66327412979638</v>
      </c>
      <c r="G352" s="170">
        <f t="shared" si="260"/>
        <v>1810.6353082973835</v>
      </c>
      <c r="H352" s="164" t="str">
        <f t="shared" si="263"/>
        <v>🚙</v>
      </c>
      <c r="I352" s="171" t="str">
        <f t="shared" si="226"/>
        <v>🚖</v>
      </c>
      <c r="J352" s="172">
        <f t="shared" si="227"/>
        <v>1650.5751470438947</v>
      </c>
      <c r="K352" s="173">
        <f t="shared" si="228"/>
        <v>0.61193638620408686</v>
      </c>
      <c r="L352" s="174">
        <f t="shared" si="229"/>
        <v>2697.29858242718</v>
      </c>
      <c r="M352" s="175">
        <f t="shared" si="245"/>
        <v>92502.460884420056</v>
      </c>
      <c r="N352" s="15"/>
      <c r="O352" s="37" t="str">
        <f t="shared" si="222"/>
        <v/>
      </c>
      <c r="P352" s="62" t="str">
        <f t="shared" si="246"/>
        <v/>
      </c>
      <c r="Q352" s="16" t="str">
        <f t="shared" si="230"/>
        <v/>
      </c>
      <c r="R352" s="60">
        <f t="shared" si="247"/>
        <v>52</v>
      </c>
      <c r="S352" s="98">
        <f t="shared" si="248"/>
        <v>160.0601612534887</v>
      </c>
      <c r="T352" s="21">
        <f t="shared" si="249"/>
        <v>1.6999999999999999E-3</v>
      </c>
      <c r="AA352" s="14">
        <f t="shared" si="231"/>
        <v>-2697.29858242718</v>
      </c>
      <c r="AH352" s="6">
        <f t="shared" si="232"/>
        <v>3</v>
      </c>
      <c r="AI352" s="6">
        <f t="shared" si="233"/>
        <v>10</v>
      </c>
      <c r="AJ352" s="12">
        <f t="shared" si="234"/>
        <v>29</v>
      </c>
      <c r="AK352" s="72">
        <f t="shared" si="224"/>
        <v>31</v>
      </c>
      <c r="AR352">
        <f t="shared" si="250"/>
        <v>25</v>
      </c>
      <c r="AS352">
        <f t="shared" si="251"/>
        <v>75</v>
      </c>
      <c r="AT352" s="183">
        <f t="shared" si="252"/>
        <v>56309</v>
      </c>
      <c r="AU352" s="2">
        <f t="shared" si="253"/>
        <v>1.9230769230769232E-2</v>
      </c>
      <c r="AV352" s="169">
        <f t="shared" si="254"/>
        <v>338</v>
      </c>
      <c r="AW352" s="165">
        <f t="shared" si="255"/>
        <v>786.66327412979638</v>
      </c>
      <c r="AX352" s="170">
        <f t="shared" si="261"/>
        <v>1810.6353082973835</v>
      </c>
      <c r="AY352" s="164" t="str">
        <f t="shared" si="264"/>
        <v>🚙</v>
      </c>
      <c r="AZ352" s="171" t="str">
        <f t="shared" si="235"/>
        <v>🚖</v>
      </c>
      <c r="BA352" s="172">
        <f t="shared" si="236"/>
        <v>1650.5751470438947</v>
      </c>
      <c r="BB352" s="173">
        <f t="shared" si="237"/>
        <v>0.61193638620408686</v>
      </c>
      <c r="BC352" s="174">
        <f t="shared" si="238"/>
        <v>2697.29858242718</v>
      </c>
      <c r="BD352" s="175">
        <f t="shared" si="256"/>
        <v>92502.460884420056</v>
      </c>
      <c r="BE352" s="188"/>
      <c r="BF352" s="177" t="str">
        <f t="shared" si="223"/>
        <v/>
      </c>
      <c r="BG352" s="178" t="str">
        <f t="shared" si="257"/>
        <v/>
      </c>
      <c r="BH352" s="179" t="str">
        <f t="shared" si="239"/>
        <v/>
      </c>
      <c r="BI352" s="180">
        <f t="shared" si="258"/>
        <v>52</v>
      </c>
      <c r="BJ352" s="181">
        <f t="shared" si="262"/>
        <v>160.0601612534887</v>
      </c>
      <c r="BK352" s="182">
        <f t="shared" si="259"/>
        <v>1.6999999999999999E-3</v>
      </c>
    </row>
    <row r="353" spans="1:63" x14ac:dyDescent="0.25">
      <c r="A353" s="7">
        <f t="shared" si="240"/>
        <v>25</v>
      </c>
      <c r="B353" s="7">
        <f t="shared" si="241"/>
        <v>75</v>
      </c>
      <c r="C353" s="115">
        <f t="shared" si="242"/>
        <v>56340</v>
      </c>
      <c r="D353" s="2">
        <f t="shared" si="225"/>
        <v>1.9607843137254902E-2</v>
      </c>
      <c r="E353" s="169">
        <f t="shared" si="243"/>
        <v>339</v>
      </c>
      <c r="F353" s="165">
        <f t="shared" si="244"/>
        <v>772.87246180870568</v>
      </c>
      <c r="G353" s="170">
        <f t="shared" si="260"/>
        <v>1813.7737428317657</v>
      </c>
      <c r="H353" s="164" t="str">
        <f t="shared" si="263"/>
        <v>🚙</v>
      </c>
      <c r="I353" s="171" t="str">
        <f t="shared" si="226"/>
        <v>🚖</v>
      </c>
      <c r="J353" s="172">
        <f t="shared" si="227"/>
        <v>1656.5195593282517</v>
      </c>
      <c r="K353" s="173">
        <f t="shared" si="228"/>
        <v>0.61657525150392034</v>
      </c>
      <c r="L353" s="174">
        <f t="shared" si="229"/>
        <v>2686.6462046404713</v>
      </c>
      <c r="M353" s="175">
        <f t="shared" si="245"/>
        <v>90845.941325091801</v>
      </c>
      <c r="N353" s="15"/>
      <c r="O353" s="37" t="str">
        <f t="shared" si="222"/>
        <v/>
      </c>
      <c r="P353" s="62" t="str">
        <f t="shared" si="246"/>
        <v/>
      </c>
      <c r="Q353" s="16" t="str">
        <f t="shared" si="230"/>
        <v/>
      </c>
      <c r="R353" s="60">
        <f t="shared" si="247"/>
        <v>51</v>
      </c>
      <c r="S353" s="98">
        <f t="shared" si="248"/>
        <v>157.2541835035141</v>
      </c>
      <c r="T353" s="21">
        <f t="shared" si="249"/>
        <v>1.6999999999999999E-3</v>
      </c>
      <c r="AA353" s="14">
        <f t="shared" si="231"/>
        <v>-2686.6462046404713</v>
      </c>
      <c r="AH353" s="6">
        <f t="shared" si="232"/>
        <v>3</v>
      </c>
      <c r="AI353" s="6">
        <f t="shared" si="233"/>
        <v>10</v>
      </c>
      <c r="AJ353" s="12">
        <f t="shared" si="234"/>
        <v>29</v>
      </c>
      <c r="AK353" s="72">
        <f t="shared" si="224"/>
        <v>30</v>
      </c>
      <c r="AR353">
        <f t="shared" si="250"/>
        <v>25</v>
      </c>
      <c r="AS353">
        <f t="shared" si="251"/>
        <v>75</v>
      </c>
      <c r="AT353" s="183">
        <f t="shared" si="252"/>
        <v>56340</v>
      </c>
      <c r="AU353" s="2">
        <f t="shared" si="253"/>
        <v>1.9607843137254902E-2</v>
      </c>
      <c r="AV353" s="169">
        <f t="shared" si="254"/>
        <v>339</v>
      </c>
      <c r="AW353" s="165">
        <f t="shared" si="255"/>
        <v>772.87246180870568</v>
      </c>
      <c r="AX353" s="170">
        <f t="shared" si="261"/>
        <v>1813.7737428317657</v>
      </c>
      <c r="AY353" s="164" t="str">
        <f t="shared" si="264"/>
        <v>🚙</v>
      </c>
      <c r="AZ353" s="171" t="str">
        <f t="shared" si="235"/>
        <v>🚖</v>
      </c>
      <c r="BA353" s="172">
        <f t="shared" si="236"/>
        <v>1656.5195593282517</v>
      </c>
      <c r="BB353" s="173">
        <f t="shared" si="237"/>
        <v>0.61657525150392034</v>
      </c>
      <c r="BC353" s="174">
        <f t="shared" si="238"/>
        <v>2686.6462046404713</v>
      </c>
      <c r="BD353" s="175">
        <f t="shared" si="256"/>
        <v>90845.941325091801</v>
      </c>
      <c r="BE353" s="188"/>
      <c r="BF353" s="177" t="str">
        <f t="shared" si="223"/>
        <v/>
      </c>
      <c r="BG353" s="178" t="str">
        <f t="shared" si="257"/>
        <v/>
      </c>
      <c r="BH353" s="179" t="str">
        <f t="shared" si="239"/>
        <v/>
      </c>
      <c r="BI353" s="180">
        <f t="shared" si="258"/>
        <v>51</v>
      </c>
      <c r="BJ353" s="181">
        <f t="shared" si="262"/>
        <v>157.2541835035141</v>
      </c>
      <c r="BK353" s="182">
        <f t="shared" si="259"/>
        <v>1.6999999999999999E-3</v>
      </c>
    </row>
    <row r="354" spans="1:63" x14ac:dyDescent="0.25">
      <c r="A354" s="7">
        <f t="shared" si="240"/>
        <v>25</v>
      </c>
      <c r="B354" s="7">
        <f t="shared" si="241"/>
        <v>75</v>
      </c>
      <c r="C354" s="115">
        <f t="shared" si="242"/>
        <v>56370</v>
      </c>
      <c r="D354" s="2">
        <f t="shared" si="225"/>
        <v>0.02</v>
      </c>
      <c r="E354" s="169">
        <f t="shared" si="243"/>
        <v>340</v>
      </c>
      <c r="F354" s="165">
        <f t="shared" si="244"/>
        <v>759.03198299753126</v>
      </c>
      <c r="G354" s="170">
        <f t="shared" si="260"/>
        <v>1816.9188265018361</v>
      </c>
      <c r="H354" s="164" t="str">
        <f t="shared" si="263"/>
        <v>🚙</v>
      </c>
      <c r="I354" s="171" t="str">
        <f t="shared" si="226"/>
        <v>🚖</v>
      </c>
      <c r="J354" s="172">
        <f t="shared" si="227"/>
        <v>1662.48072624918</v>
      </c>
      <c r="K354" s="173">
        <f t="shared" si="228"/>
        <v>0.62126729697255045</v>
      </c>
      <c r="L354" s="174">
        <f t="shared" si="229"/>
        <v>2675.9508094993671</v>
      </c>
      <c r="M354" s="175">
        <f t="shared" si="245"/>
        <v>89183.460598842619</v>
      </c>
      <c r="N354" s="15"/>
      <c r="O354" s="37" t="str">
        <f t="shared" si="222"/>
        <v/>
      </c>
      <c r="P354" s="62" t="str">
        <f t="shared" si="246"/>
        <v/>
      </c>
      <c r="Q354" s="16" t="str">
        <f t="shared" si="230"/>
        <v/>
      </c>
      <c r="R354" s="60">
        <f t="shared" si="247"/>
        <v>50</v>
      </c>
      <c r="S354" s="98">
        <f t="shared" si="248"/>
        <v>154.43810025265606</v>
      </c>
      <c r="T354" s="21">
        <f t="shared" si="249"/>
        <v>1.6999999999999999E-3</v>
      </c>
      <c r="AA354" s="14">
        <f t="shared" si="231"/>
        <v>-2675.9508094993671</v>
      </c>
      <c r="AH354" s="6">
        <f t="shared" si="232"/>
        <v>3</v>
      </c>
      <c r="AI354" s="6">
        <f t="shared" si="233"/>
        <v>10</v>
      </c>
      <c r="AJ354" s="12">
        <f t="shared" si="234"/>
        <v>29</v>
      </c>
      <c r="AK354" s="72">
        <f t="shared" si="224"/>
        <v>31</v>
      </c>
      <c r="AR354">
        <f t="shared" si="250"/>
        <v>25</v>
      </c>
      <c r="AS354">
        <f t="shared" si="251"/>
        <v>75</v>
      </c>
      <c r="AT354" s="183">
        <f t="shared" si="252"/>
        <v>56370</v>
      </c>
      <c r="AU354" s="2">
        <f t="shared" si="253"/>
        <v>0.02</v>
      </c>
      <c r="AV354" s="169">
        <f t="shared" si="254"/>
        <v>340</v>
      </c>
      <c r="AW354" s="165">
        <f t="shared" si="255"/>
        <v>759.03198299753126</v>
      </c>
      <c r="AX354" s="170">
        <f t="shared" si="261"/>
        <v>1816.9188265018361</v>
      </c>
      <c r="AY354" s="164" t="str">
        <f t="shared" si="264"/>
        <v>🚙</v>
      </c>
      <c r="AZ354" s="171" t="str">
        <f t="shared" si="235"/>
        <v>🚖</v>
      </c>
      <c r="BA354" s="172">
        <f t="shared" si="236"/>
        <v>1662.48072624918</v>
      </c>
      <c r="BB354" s="173">
        <f t="shared" si="237"/>
        <v>0.62126729697255045</v>
      </c>
      <c r="BC354" s="174">
        <f t="shared" si="238"/>
        <v>2675.9508094993671</v>
      </c>
      <c r="BD354" s="175">
        <f t="shared" si="256"/>
        <v>89183.460598842619</v>
      </c>
      <c r="BE354" s="188"/>
      <c r="BF354" s="177" t="str">
        <f t="shared" si="223"/>
        <v/>
      </c>
      <c r="BG354" s="178" t="str">
        <f t="shared" si="257"/>
        <v/>
      </c>
      <c r="BH354" s="179" t="str">
        <f t="shared" si="239"/>
        <v/>
      </c>
      <c r="BI354" s="180">
        <f t="shared" si="258"/>
        <v>50</v>
      </c>
      <c r="BJ354" s="181">
        <f t="shared" si="262"/>
        <v>154.43810025265606</v>
      </c>
      <c r="BK354" s="182">
        <f t="shared" si="259"/>
        <v>1.6999999999999999E-3</v>
      </c>
    </row>
    <row r="355" spans="1:63" x14ac:dyDescent="0.25">
      <c r="A355" s="7">
        <f t="shared" si="240"/>
        <v>25</v>
      </c>
      <c r="B355" s="7">
        <f t="shared" si="241"/>
        <v>75</v>
      </c>
      <c r="C355" s="115">
        <f t="shared" si="242"/>
        <v>56401</v>
      </c>
      <c r="D355" s="2">
        <f t="shared" si="225"/>
        <v>2.0408163265306124E-2</v>
      </c>
      <c r="E355" s="169">
        <f t="shared" si="243"/>
        <v>341</v>
      </c>
      <c r="F355" s="165">
        <f t="shared" si="244"/>
        <v>745.14169770867647</v>
      </c>
      <c r="G355" s="170">
        <f t="shared" si="260"/>
        <v>1820.070624466176</v>
      </c>
      <c r="H355" s="164" t="str">
        <f t="shared" si="263"/>
        <v>🚙</v>
      </c>
      <c r="I355" s="171" t="str">
        <f t="shared" si="226"/>
        <v>🚖</v>
      </c>
      <c r="J355" s="172">
        <f t="shared" si="227"/>
        <v>1668.4587414481437</v>
      </c>
      <c r="K355" s="173">
        <f t="shared" si="228"/>
        <v>0.62601344274389992</v>
      </c>
      <c r="L355" s="174">
        <f t="shared" si="229"/>
        <v>2665.2123221748525</v>
      </c>
      <c r="M355" s="175">
        <f t="shared" si="245"/>
        <v>87515.001857394484</v>
      </c>
      <c r="N355" s="15"/>
      <c r="O355" s="37" t="str">
        <f t="shared" si="222"/>
        <v/>
      </c>
      <c r="P355" s="62" t="str">
        <f t="shared" si="246"/>
        <v/>
      </c>
      <c r="Q355" s="16" t="str">
        <f t="shared" si="230"/>
        <v/>
      </c>
      <c r="R355" s="60">
        <f t="shared" si="247"/>
        <v>49</v>
      </c>
      <c r="S355" s="98">
        <f t="shared" si="248"/>
        <v>151.61188301803244</v>
      </c>
      <c r="T355" s="21">
        <f t="shared" si="249"/>
        <v>1.6999999999999999E-3</v>
      </c>
      <c r="AA355" s="14">
        <f t="shared" si="231"/>
        <v>-2665.2123221748525</v>
      </c>
      <c r="AH355" s="6">
        <f t="shared" si="232"/>
        <v>3</v>
      </c>
      <c r="AI355" s="6">
        <f t="shared" si="233"/>
        <v>10</v>
      </c>
      <c r="AJ355" s="12">
        <f t="shared" si="234"/>
        <v>29</v>
      </c>
      <c r="AK355" s="72">
        <f t="shared" si="224"/>
        <v>30</v>
      </c>
      <c r="AR355">
        <f t="shared" si="250"/>
        <v>25</v>
      </c>
      <c r="AS355">
        <f t="shared" si="251"/>
        <v>75</v>
      </c>
      <c r="AT355" s="183">
        <f t="shared" si="252"/>
        <v>56401</v>
      </c>
      <c r="AU355" s="2">
        <f t="shared" si="253"/>
        <v>2.0408163265306124E-2</v>
      </c>
      <c r="AV355" s="169">
        <f t="shared" si="254"/>
        <v>341</v>
      </c>
      <c r="AW355" s="165">
        <f t="shared" si="255"/>
        <v>745.14169770867647</v>
      </c>
      <c r="AX355" s="170">
        <f t="shared" si="261"/>
        <v>1820.070624466176</v>
      </c>
      <c r="AY355" s="164" t="str">
        <f t="shared" si="264"/>
        <v>🚙</v>
      </c>
      <c r="AZ355" s="171" t="str">
        <f t="shared" si="235"/>
        <v>🚖</v>
      </c>
      <c r="BA355" s="172">
        <f t="shared" si="236"/>
        <v>1668.4587414481437</v>
      </c>
      <c r="BB355" s="173">
        <f t="shared" si="237"/>
        <v>0.62601344274389992</v>
      </c>
      <c r="BC355" s="174">
        <f t="shared" si="238"/>
        <v>2665.2123221748525</v>
      </c>
      <c r="BD355" s="175">
        <f t="shared" si="256"/>
        <v>87515.001857394484</v>
      </c>
      <c r="BE355" s="188"/>
      <c r="BF355" s="177" t="str">
        <f t="shared" si="223"/>
        <v/>
      </c>
      <c r="BG355" s="178" t="str">
        <f t="shared" si="257"/>
        <v/>
      </c>
      <c r="BH355" s="179" t="str">
        <f t="shared" si="239"/>
        <v/>
      </c>
      <c r="BI355" s="180">
        <f t="shared" si="258"/>
        <v>49</v>
      </c>
      <c r="BJ355" s="181">
        <f t="shared" si="262"/>
        <v>151.61188301803244</v>
      </c>
      <c r="BK355" s="182">
        <f t="shared" si="259"/>
        <v>1.6999999999999999E-3</v>
      </c>
    </row>
    <row r="356" spans="1:63" x14ac:dyDescent="0.25">
      <c r="A356" s="7">
        <f t="shared" si="240"/>
        <v>25</v>
      </c>
      <c r="B356" s="7">
        <f t="shared" si="241"/>
        <v>75</v>
      </c>
      <c r="C356" s="115">
        <f t="shared" si="242"/>
        <v>56431</v>
      </c>
      <c r="D356" s="2">
        <f t="shared" si="225"/>
        <v>2.0833333333333332E-2</v>
      </c>
      <c r="E356" s="169">
        <f t="shared" si="243"/>
        <v>342</v>
      </c>
      <c r="F356" s="165">
        <f t="shared" si="244"/>
        <v>731.20146517215517</v>
      </c>
      <c r="G356" s="170">
        <f t="shared" si="260"/>
        <v>1823.2292053623851</v>
      </c>
      <c r="H356" s="164" t="str">
        <f t="shared" si="263"/>
        <v>🚙</v>
      </c>
      <c r="I356" s="171" t="str">
        <f t="shared" si="226"/>
        <v>🚖</v>
      </c>
      <c r="J356" s="172">
        <f t="shared" si="227"/>
        <v>1674.4537022048144</v>
      </c>
      <c r="K356" s="173">
        <f t="shared" si="228"/>
        <v>0.63081463034316831</v>
      </c>
      <c r="L356" s="174">
        <f t="shared" si="229"/>
        <v>2654.4306705345402</v>
      </c>
      <c r="M356" s="175">
        <f t="shared" si="245"/>
        <v>85840.548155189666</v>
      </c>
      <c r="N356" s="15"/>
      <c r="O356" s="37" t="str">
        <f t="shared" si="222"/>
        <v/>
      </c>
      <c r="P356" s="62" t="str">
        <f t="shared" si="246"/>
        <v/>
      </c>
      <c r="Q356" s="16" t="str">
        <f t="shared" si="230"/>
        <v/>
      </c>
      <c r="R356" s="60">
        <f t="shared" si="247"/>
        <v>48</v>
      </c>
      <c r="S356" s="98">
        <f t="shared" si="248"/>
        <v>148.77550315757063</v>
      </c>
      <c r="T356" s="21">
        <f t="shared" si="249"/>
        <v>1.6999999999999999E-3</v>
      </c>
      <c r="AA356" s="14">
        <f t="shared" si="231"/>
        <v>-2654.4306705345402</v>
      </c>
      <c r="AH356" s="6">
        <f t="shared" si="232"/>
        <v>3</v>
      </c>
      <c r="AI356" s="6">
        <f t="shared" si="233"/>
        <v>10</v>
      </c>
      <c r="AJ356" s="12">
        <f t="shared" si="234"/>
        <v>29</v>
      </c>
      <c r="AK356" s="72">
        <f t="shared" si="224"/>
        <v>31</v>
      </c>
      <c r="AR356">
        <f t="shared" si="250"/>
        <v>25</v>
      </c>
      <c r="AS356">
        <f t="shared" si="251"/>
        <v>75</v>
      </c>
      <c r="AT356" s="183">
        <f t="shared" si="252"/>
        <v>56431</v>
      </c>
      <c r="AU356" s="2">
        <f t="shared" si="253"/>
        <v>2.0833333333333332E-2</v>
      </c>
      <c r="AV356" s="169">
        <f t="shared" si="254"/>
        <v>342</v>
      </c>
      <c r="AW356" s="165">
        <f t="shared" si="255"/>
        <v>731.20146517215517</v>
      </c>
      <c r="AX356" s="170">
        <f t="shared" si="261"/>
        <v>1823.2292053623851</v>
      </c>
      <c r="AY356" s="164" t="str">
        <f t="shared" si="264"/>
        <v>🚙</v>
      </c>
      <c r="AZ356" s="171" t="str">
        <f t="shared" si="235"/>
        <v>🚖</v>
      </c>
      <c r="BA356" s="172">
        <f t="shared" si="236"/>
        <v>1674.4537022048144</v>
      </c>
      <c r="BB356" s="173">
        <f t="shared" si="237"/>
        <v>0.63081463034316831</v>
      </c>
      <c r="BC356" s="174">
        <f t="shared" si="238"/>
        <v>2654.4306705345402</v>
      </c>
      <c r="BD356" s="175">
        <f t="shared" si="256"/>
        <v>85840.548155189666</v>
      </c>
      <c r="BE356" s="188"/>
      <c r="BF356" s="177" t="str">
        <f t="shared" si="223"/>
        <v/>
      </c>
      <c r="BG356" s="178" t="str">
        <f t="shared" si="257"/>
        <v/>
      </c>
      <c r="BH356" s="179" t="str">
        <f t="shared" si="239"/>
        <v/>
      </c>
      <c r="BI356" s="180">
        <f t="shared" si="258"/>
        <v>48</v>
      </c>
      <c r="BJ356" s="181">
        <f t="shared" si="262"/>
        <v>148.77550315757063</v>
      </c>
      <c r="BK356" s="182">
        <f t="shared" si="259"/>
        <v>1.6999999999999999E-3</v>
      </c>
    </row>
    <row r="357" spans="1:63" x14ac:dyDescent="0.25">
      <c r="A357" s="7">
        <f t="shared" si="240"/>
        <v>25</v>
      </c>
      <c r="B357" s="7">
        <f t="shared" si="241"/>
        <v>75</v>
      </c>
      <c r="C357" s="115">
        <f t="shared" si="242"/>
        <v>56462</v>
      </c>
      <c r="D357" s="2">
        <f t="shared" si="225"/>
        <v>2.1276595744680854E-2</v>
      </c>
      <c r="E357" s="169">
        <f t="shared" si="243"/>
        <v>343</v>
      </c>
      <c r="F357" s="165">
        <f t="shared" si="244"/>
        <v>717.21114380519464</v>
      </c>
      <c r="G357" s="170">
        <f t="shared" si="260"/>
        <v>1826.3946415997802</v>
      </c>
      <c r="H357" s="164" t="str">
        <f t="shared" si="263"/>
        <v>🚙</v>
      </c>
      <c r="I357" s="171" t="str">
        <f t="shared" si="226"/>
        <v>🚖</v>
      </c>
      <c r="J357" s="172">
        <f t="shared" si="227"/>
        <v>1680.4657097359577</v>
      </c>
      <c r="K357" s="173">
        <f t="shared" si="228"/>
        <v>0.63567182331556538</v>
      </c>
      <c r="L357" s="174">
        <f t="shared" si="229"/>
        <v>2643.605785404975</v>
      </c>
      <c r="M357" s="175">
        <f t="shared" si="245"/>
        <v>84160.082445453707</v>
      </c>
      <c r="N357" s="15"/>
      <c r="O357" s="37" t="str">
        <f t="shared" si="222"/>
        <v/>
      </c>
      <c r="P357" s="62" t="str">
        <f t="shared" si="246"/>
        <v/>
      </c>
      <c r="Q357" s="16" t="str">
        <f t="shared" si="230"/>
        <v/>
      </c>
      <c r="R357" s="60">
        <f t="shared" si="247"/>
        <v>47</v>
      </c>
      <c r="S357" s="98">
        <f t="shared" si="248"/>
        <v>145.92893186382241</v>
      </c>
      <c r="T357" s="21">
        <f t="shared" si="249"/>
        <v>1.6999999999999999E-3</v>
      </c>
      <c r="AA357" s="14">
        <f t="shared" si="231"/>
        <v>-2643.605785404975</v>
      </c>
      <c r="AH357" s="6">
        <f t="shared" si="232"/>
        <v>3</v>
      </c>
      <c r="AI357" s="6">
        <f t="shared" si="233"/>
        <v>10</v>
      </c>
      <c r="AJ357" s="12">
        <f t="shared" si="234"/>
        <v>29</v>
      </c>
      <c r="AK357" s="72">
        <f t="shared" si="224"/>
        <v>31</v>
      </c>
      <c r="AR357">
        <f t="shared" si="250"/>
        <v>25</v>
      </c>
      <c r="AS357">
        <f t="shared" si="251"/>
        <v>75</v>
      </c>
      <c r="AT357" s="183">
        <f t="shared" si="252"/>
        <v>56462</v>
      </c>
      <c r="AU357" s="2">
        <f t="shared" si="253"/>
        <v>2.1276595744680854E-2</v>
      </c>
      <c r="AV357" s="169">
        <f t="shared" si="254"/>
        <v>343</v>
      </c>
      <c r="AW357" s="165">
        <f t="shared" si="255"/>
        <v>717.21114380519464</v>
      </c>
      <c r="AX357" s="170">
        <f t="shared" si="261"/>
        <v>1826.3946415997802</v>
      </c>
      <c r="AY357" s="164" t="str">
        <f t="shared" si="264"/>
        <v>🚙</v>
      </c>
      <c r="AZ357" s="171" t="str">
        <f t="shared" si="235"/>
        <v>🚖</v>
      </c>
      <c r="BA357" s="172">
        <f t="shared" si="236"/>
        <v>1680.4657097359577</v>
      </c>
      <c r="BB357" s="173">
        <f t="shared" si="237"/>
        <v>0.63567182331556538</v>
      </c>
      <c r="BC357" s="174">
        <f t="shared" si="238"/>
        <v>2643.605785404975</v>
      </c>
      <c r="BD357" s="175">
        <f t="shared" si="256"/>
        <v>84160.082445453707</v>
      </c>
      <c r="BE357" s="188"/>
      <c r="BF357" s="177" t="str">
        <f t="shared" si="223"/>
        <v/>
      </c>
      <c r="BG357" s="178" t="str">
        <f t="shared" si="257"/>
        <v/>
      </c>
      <c r="BH357" s="179" t="str">
        <f t="shared" si="239"/>
        <v/>
      </c>
      <c r="BI357" s="180">
        <f t="shared" si="258"/>
        <v>47</v>
      </c>
      <c r="BJ357" s="181">
        <f t="shared" si="262"/>
        <v>145.92893186382241</v>
      </c>
      <c r="BK357" s="182">
        <f t="shared" si="259"/>
        <v>1.6999999999999999E-3</v>
      </c>
    </row>
    <row r="358" spans="1:63" x14ac:dyDescent="0.25">
      <c r="A358" s="7">
        <f t="shared" si="240"/>
        <v>25</v>
      </c>
      <c r="B358" s="7">
        <f t="shared" si="241"/>
        <v>75</v>
      </c>
      <c r="C358" s="115">
        <f t="shared" si="242"/>
        <v>56493</v>
      </c>
      <c r="D358" s="2">
        <f t="shared" si="225"/>
        <v>2.1739130434782608E-2</v>
      </c>
      <c r="E358" s="169">
        <f t="shared" si="243"/>
        <v>344</v>
      </c>
      <c r="F358" s="165">
        <f t="shared" si="244"/>
        <v>703.17059117934014</v>
      </c>
      <c r="G358" s="170">
        <f t="shared" si="260"/>
        <v>1829.5670096837762</v>
      </c>
      <c r="H358" s="164" t="str">
        <f t="shared" si="263"/>
        <v>🚙</v>
      </c>
      <c r="I358" s="171" t="str">
        <f t="shared" si="226"/>
        <v>🚖</v>
      </c>
      <c r="J358" s="172">
        <f t="shared" si="227"/>
        <v>1686.4948695265048</v>
      </c>
      <c r="K358" s="173">
        <f t="shared" si="228"/>
        <v>0.64058600787773323</v>
      </c>
      <c r="L358" s="174">
        <f t="shared" si="229"/>
        <v>2632.7376008631163</v>
      </c>
      <c r="M358" s="175">
        <f t="shared" si="245"/>
        <v>82473.587575927202</v>
      </c>
      <c r="N358" s="15"/>
      <c r="O358" s="37" t="str">
        <f t="shared" si="222"/>
        <v/>
      </c>
      <c r="P358" s="62" t="str">
        <f t="shared" si="246"/>
        <v/>
      </c>
      <c r="Q358" s="16" t="str">
        <f t="shared" si="230"/>
        <v/>
      </c>
      <c r="R358" s="60">
        <f t="shared" si="247"/>
        <v>46</v>
      </c>
      <c r="S358" s="98">
        <f t="shared" si="248"/>
        <v>143.07214015727129</v>
      </c>
      <c r="T358" s="21">
        <f t="shared" si="249"/>
        <v>1.6999999999999999E-3</v>
      </c>
      <c r="AA358" s="14">
        <f t="shared" si="231"/>
        <v>-2632.7376008631163</v>
      </c>
      <c r="AH358" s="6">
        <f t="shared" si="232"/>
        <v>3</v>
      </c>
      <c r="AI358" s="6">
        <f t="shared" si="233"/>
        <v>10</v>
      </c>
      <c r="AJ358" s="12">
        <f t="shared" si="234"/>
        <v>29</v>
      </c>
      <c r="AK358" s="72">
        <f t="shared" si="224"/>
        <v>30</v>
      </c>
      <c r="AR358">
        <f t="shared" si="250"/>
        <v>25</v>
      </c>
      <c r="AS358">
        <f t="shared" si="251"/>
        <v>75</v>
      </c>
      <c r="AT358" s="183">
        <f t="shared" si="252"/>
        <v>56493</v>
      </c>
      <c r="AU358" s="2">
        <f t="shared" si="253"/>
        <v>2.1739130434782608E-2</v>
      </c>
      <c r="AV358" s="169">
        <f t="shared" si="254"/>
        <v>344</v>
      </c>
      <c r="AW358" s="165">
        <f t="shared" si="255"/>
        <v>703.17059117934014</v>
      </c>
      <c r="AX358" s="170">
        <f t="shared" si="261"/>
        <v>1829.5670096837762</v>
      </c>
      <c r="AY358" s="164" t="str">
        <f t="shared" si="264"/>
        <v>🚙</v>
      </c>
      <c r="AZ358" s="171" t="str">
        <f t="shared" si="235"/>
        <v>🚖</v>
      </c>
      <c r="BA358" s="172">
        <f t="shared" si="236"/>
        <v>1686.4948695265048</v>
      </c>
      <c r="BB358" s="173">
        <f t="shared" si="237"/>
        <v>0.64058600787773323</v>
      </c>
      <c r="BC358" s="174">
        <f t="shared" si="238"/>
        <v>2632.7376008631163</v>
      </c>
      <c r="BD358" s="175">
        <f t="shared" si="256"/>
        <v>82473.587575927202</v>
      </c>
      <c r="BE358" s="188"/>
      <c r="BF358" s="177" t="str">
        <f t="shared" si="223"/>
        <v/>
      </c>
      <c r="BG358" s="178" t="str">
        <f t="shared" si="257"/>
        <v/>
      </c>
      <c r="BH358" s="179" t="str">
        <f t="shared" si="239"/>
        <v/>
      </c>
      <c r="BI358" s="180">
        <f t="shared" si="258"/>
        <v>46</v>
      </c>
      <c r="BJ358" s="181">
        <f t="shared" si="262"/>
        <v>143.07214015727129</v>
      </c>
      <c r="BK358" s="182">
        <f t="shared" si="259"/>
        <v>1.6999999999999999E-3</v>
      </c>
    </row>
    <row r="359" spans="1:63" x14ac:dyDescent="0.25">
      <c r="A359" s="7">
        <f t="shared" si="240"/>
        <v>25</v>
      </c>
      <c r="B359" s="7">
        <f t="shared" si="241"/>
        <v>75</v>
      </c>
      <c r="C359" s="115">
        <f t="shared" si="242"/>
        <v>56523</v>
      </c>
      <c r="D359" s="2">
        <f t="shared" si="225"/>
        <v>2.2222222222222223E-2</v>
      </c>
      <c r="E359" s="169">
        <f t="shared" si="243"/>
        <v>345</v>
      </c>
      <c r="F359" s="165">
        <f t="shared" si="244"/>
        <v>689.07966398479414</v>
      </c>
      <c r="G359" s="170">
        <f t="shared" si="260"/>
        <v>1832.7463905761601</v>
      </c>
      <c r="H359" s="164" t="str">
        <f t="shared" si="263"/>
        <v>🚙</v>
      </c>
      <c r="I359" s="171" t="str">
        <f t="shared" si="226"/>
        <v>🚖</v>
      </c>
      <c r="J359" s="172">
        <f t="shared" si="227"/>
        <v>1692.5412916970838</v>
      </c>
      <c r="K359" s="173">
        <f t="shared" si="228"/>
        <v>0.64555819359286726</v>
      </c>
      <c r="L359" s="174">
        <f t="shared" si="229"/>
        <v>2621.8260545609542</v>
      </c>
      <c r="M359" s="175">
        <f t="shared" si="245"/>
        <v>80781.04628423012</v>
      </c>
      <c r="N359" s="15"/>
      <c r="O359" s="37" t="str">
        <f t="shared" si="222"/>
        <v/>
      </c>
      <c r="P359" s="62" t="str">
        <f t="shared" si="246"/>
        <v/>
      </c>
      <c r="Q359" s="16" t="str">
        <f t="shared" si="230"/>
        <v/>
      </c>
      <c r="R359" s="60">
        <f t="shared" si="247"/>
        <v>45</v>
      </c>
      <c r="S359" s="98">
        <f t="shared" si="248"/>
        <v>140.20509887907625</v>
      </c>
      <c r="T359" s="21">
        <f t="shared" si="249"/>
        <v>1.6999999999999999E-3</v>
      </c>
      <c r="AA359" s="14">
        <f t="shared" si="231"/>
        <v>-2621.8260545609542</v>
      </c>
      <c r="AH359" s="6">
        <f t="shared" si="232"/>
        <v>3</v>
      </c>
      <c r="AI359" s="6">
        <f t="shared" si="233"/>
        <v>10</v>
      </c>
      <c r="AJ359" s="12">
        <f t="shared" si="234"/>
        <v>29</v>
      </c>
      <c r="AK359" s="72">
        <f t="shared" si="224"/>
        <v>31</v>
      </c>
      <c r="AR359">
        <f t="shared" si="250"/>
        <v>25</v>
      </c>
      <c r="AS359">
        <f t="shared" si="251"/>
        <v>75</v>
      </c>
      <c r="AT359" s="183">
        <f t="shared" si="252"/>
        <v>56523</v>
      </c>
      <c r="AU359" s="2">
        <f t="shared" si="253"/>
        <v>2.2222222222222223E-2</v>
      </c>
      <c r="AV359" s="169">
        <f t="shared" si="254"/>
        <v>345</v>
      </c>
      <c r="AW359" s="165">
        <f t="shared" si="255"/>
        <v>689.07966398479414</v>
      </c>
      <c r="AX359" s="170">
        <f t="shared" si="261"/>
        <v>1832.7463905761601</v>
      </c>
      <c r="AY359" s="164" t="str">
        <f t="shared" si="264"/>
        <v>🚙</v>
      </c>
      <c r="AZ359" s="171" t="str">
        <f t="shared" si="235"/>
        <v>🚖</v>
      </c>
      <c r="BA359" s="172">
        <f t="shared" si="236"/>
        <v>1692.5412916970838</v>
      </c>
      <c r="BB359" s="173">
        <f t="shared" si="237"/>
        <v>0.64555819359286726</v>
      </c>
      <c r="BC359" s="174">
        <f t="shared" si="238"/>
        <v>2621.8260545609542</v>
      </c>
      <c r="BD359" s="175">
        <f t="shared" si="256"/>
        <v>80781.04628423012</v>
      </c>
      <c r="BE359" s="188"/>
      <c r="BF359" s="177" t="str">
        <f t="shared" si="223"/>
        <v/>
      </c>
      <c r="BG359" s="178" t="str">
        <f t="shared" si="257"/>
        <v/>
      </c>
      <c r="BH359" s="179" t="str">
        <f t="shared" si="239"/>
        <v/>
      </c>
      <c r="BI359" s="180">
        <f t="shared" si="258"/>
        <v>45</v>
      </c>
      <c r="BJ359" s="181">
        <f t="shared" si="262"/>
        <v>140.20509887907625</v>
      </c>
      <c r="BK359" s="182">
        <f t="shared" si="259"/>
        <v>1.6999999999999999E-3</v>
      </c>
    </row>
    <row r="360" spans="1:63" x14ac:dyDescent="0.25">
      <c r="A360" s="7">
        <f t="shared" si="240"/>
        <v>25</v>
      </c>
      <c r="B360" s="7">
        <f t="shared" si="241"/>
        <v>75</v>
      </c>
      <c r="C360" s="115">
        <f t="shared" si="242"/>
        <v>56554</v>
      </c>
      <c r="D360" s="2">
        <f t="shared" si="225"/>
        <v>2.2727272727272728E-2</v>
      </c>
      <c r="E360" s="169">
        <f t="shared" si="243"/>
        <v>346</v>
      </c>
      <c r="F360" s="165">
        <f t="shared" si="244"/>
        <v>674.93821799168404</v>
      </c>
      <c r="G360" s="170">
        <f t="shared" si="260"/>
        <v>1835.9328700961391</v>
      </c>
      <c r="H360" s="164" t="str">
        <f t="shared" si="263"/>
        <v>🏎</v>
      </c>
      <c r="I360" s="171" t="str">
        <f t="shared" si="226"/>
        <v>🚖</v>
      </c>
      <c r="J360" s="172">
        <f t="shared" si="227"/>
        <v>1698.605091412948</v>
      </c>
      <c r="K360" s="173">
        <f t="shared" si="228"/>
        <v>0.65058941407060811</v>
      </c>
      <c r="L360" s="174">
        <f t="shared" si="229"/>
        <v>2610.8710880878234</v>
      </c>
      <c r="M360" s="175">
        <f t="shared" si="245"/>
        <v>79082.441192817176</v>
      </c>
      <c r="N360" s="15"/>
      <c r="O360" s="37" t="str">
        <f t="shared" si="222"/>
        <v/>
      </c>
      <c r="P360" s="62" t="str">
        <f t="shared" si="246"/>
        <v/>
      </c>
      <c r="Q360" s="16" t="str">
        <f t="shared" si="230"/>
        <v/>
      </c>
      <c r="R360" s="60">
        <f t="shared" si="247"/>
        <v>44</v>
      </c>
      <c r="S360" s="98">
        <f t="shared" si="248"/>
        <v>137.32777868319118</v>
      </c>
      <c r="T360" s="21">
        <f t="shared" si="249"/>
        <v>1.6999999999999999E-3</v>
      </c>
      <c r="AA360" s="14">
        <f t="shared" si="231"/>
        <v>-2610.8710880878234</v>
      </c>
      <c r="AH360" s="6">
        <f t="shared" si="232"/>
        <v>3</v>
      </c>
      <c r="AI360" s="6">
        <f t="shared" si="233"/>
        <v>10</v>
      </c>
      <c r="AJ360" s="12">
        <f t="shared" si="234"/>
        <v>29</v>
      </c>
      <c r="AK360" s="72">
        <f t="shared" si="224"/>
        <v>30</v>
      </c>
      <c r="AR360">
        <f t="shared" si="250"/>
        <v>25</v>
      </c>
      <c r="AS360">
        <f t="shared" si="251"/>
        <v>75</v>
      </c>
      <c r="AT360" s="183">
        <f t="shared" si="252"/>
        <v>56554</v>
      </c>
      <c r="AU360" s="2">
        <f t="shared" si="253"/>
        <v>2.2727272727272728E-2</v>
      </c>
      <c r="AV360" s="169">
        <f t="shared" si="254"/>
        <v>346</v>
      </c>
      <c r="AW360" s="165">
        <f t="shared" si="255"/>
        <v>674.93821799168404</v>
      </c>
      <c r="AX360" s="170">
        <f t="shared" si="261"/>
        <v>1835.9328700961391</v>
      </c>
      <c r="AY360" s="164" t="str">
        <f t="shared" si="264"/>
        <v>🏎</v>
      </c>
      <c r="AZ360" s="171" t="str">
        <f t="shared" si="235"/>
        <v>🚖</v>
      </c>
      <c r="BA360" s="172">
        <f t="shared" si="236"/>
        <v>1698.605091412948</v>
      </c>
      <c r="BB360" s="173">
        <f t="shared" si="237"/>
        <v>0.65058941407060811</v>
      </c>
      <c r="BC360" s="174">
        <f t="shared" si="238"/>
        <v>2610.8710880878234</v>
      </c>
      <c r="BD360" s="175">
        <f t="shared" si="256"/>
        <v>79082.441192817176</v>
      </c>
      <c r="BE360" s="188"/>
      <c r="BF360" s="177" t="str">
        <f t="shared" si="223"/>
        <v/>
      </c>
      <c r="BG360" s="178" t="str">
        <f t="shared" si="257"/>
        <v/>
      </c>
      <c r="BH360" s="179" t="str">
        <f t="shared" si="239"/>
        <v/>
      </c>
      <c r="BI360" s="180">
        <f t="shared" si="258"/>
        <v>44</v>
      </c>
      <c r="BJ360" s="181">
        <f t="shared" si="262"/>
        <v>137.32777868319118</v>
      </c>
      <c r="BK360" s="182">
        <f t="shared" si="259"/>
        <v>1.6999999999999999E-3</v>
      </c>
    </row>
    <row r="361" spans="1:63" x14ac:dyDescent="0.25">
      <c r="A361" s="7">
        <f t="shared" si="240"/>
        <v>25</v>
      </c>
      <c r="B361" s="7">
        <f t="shared" si="241"/>
        <v>75</v>
      </c>
      <c r="C361" s="115">
        <f t="shared" si="242"/>
        <v>56584</v>
      </c>
      <c r="D361" s="2">
        <f t="shared" si="225"/>
        <v>2.3255813953488372E-2</v>
      </c>
      <c r="E361" s="169">
        <f t="shared" si="243"/>
        <v>347</v>
      </c>
      <c r="F361" s="165">
        <f t="shared" si="244"/>
        <v>660.74610800791345</v>
      </c>
      <c r="G361" s="170">
        <f t="shared" si="260"/>
        <v>1839.1265393678414</v>
      </c>
      <c r="H361" s="164" t="str">
        <f t="shared" si="263"/>
        <v>🏎</v>
      </c>
      <c r="I361" s="171" t="str">
        <f t="shared" si="226"/>
        <v>🚖</v>
      </c>
      <c r="J361" s="172">
        <f t="shared" si="227"/>
        <v>1704.6863893400521</v>
      </c>
      <c r="K361" s="173">
        <f t="shared" si="228"/>
        <v>0.65568072769284258</v>
      </c>
      <c r="L361" s="174">
        <f t="shared" si="229"/>
        <v>2599.8726473757547</v>
      </c>
      <c r="M361" s="175">
        <f t="shared" si="245"/>
        <v>77377.754803477117</v>
      </c>
      <c r="N361" s="15"/>
      <c r="O361" s="37" t="str">
        <f t="shared" si="222"/>
        <v/>
      </c>
      <c r="P361" s="62" t="str">
        <f t="shared" si="246"/>
        <v/>
      </c>
      <c r="Q361" s="16" t="str">
        <f t="shared" si="230"/>
        <v/>
      </c>
      <c r="R361" s="60">
        <f t="shared" si="247"/>
        <v>43</v>
      </c>
      <c r="S361" s="98">
        <f t="shared" si="248"/>
        <v>134.4401500277892</v>
      </c>
      <c r="T361" s="21">
        <f t="shared" si="249"/>
        <v>1.6999999999999999E-3</v>
      </c>
      <c r="AA361" s="14">
        <f t="shared" si="231"/>
        <v>-2599.8726473757547</v>
      </c>
      <c r="AH361" s="6">
        <f t="shared" si="232"/>
        <v>3</v>
      </c>
      <c r="AI361" s="6">
        <f t="shared" si="233"/>
        <v>10</v>
      </c>
      <c r="AJ361" s="12">
        <f t="shared" si="234"/>
        <v>29</v>
      </c>
      <c r="AK361" s="72">
        <f t="shared" si="224"/>
        <v>31</v>
      </c>
      <c r="AR361">
        <f t="shared" si="250"/>
        <v>25</v>
      </c>
      <c r="AS361">
        <f t="shared" si="251"/>
        <v>75</v>
      </c>
      <c r="AT361" s="183">
        <f t="shared" si="252"/>
        <v>56584</v>
      </c>
      <c r="AU361" s="2">
        <f t="shared" si="253"/>
        <v>2.3255813953488372E-2</v>
      </c>
      <c r="AV361" s="169">
        <f t="shared" si="254"/>
        <v>347</v>
      </c>
      <c r="AW361" s="165">
        <f t="shared" si="255"/>
        <v>660.74610800791345</v>
      </c>
      <c r="AX361" s="170">
        <f t="shared" si="261"/>
        <v>1839.1265393678414</v>
      </c>
      <c r="AY361" s="164" t="str">
        <f t="shared" si="264"/>
        <v>🏎</v>
      </c>
      <c r="AZ361" s="171" t="str">
        <f t="shared" si="235"/>
        <v>🚖</v>
      </c>
      <c r="BA361" s="172">
        <f t="shared" si="236"/>
        <v>1704.6863893400521</v>
      </c>
      <c r="BB361" s="173">
        <f t="shared" si="237"/>
        <v>0.65568072769284258</v>
      </c>
      <c r="BC361" s="174">
        <f t="shared" si="238"/>
        <v>2599.8726473757547</v>
      </c>
      <c r="BD361" s="175">
        <f t="shared" si="256"/>
        <v>77377.754803477117</v>
      </c>
      <c r="BE361" s="188"/>
      <c r="BF361" s="177" t="str">
        <f t="shared" si="223"/>
        <v/>
      </c>
      <c r="BG361" s="178" t="str">
        <f t="shared" si="257"/>
        <v/>
      </c>
      <c r="BH361" s="179" t="str">
        <f t="shared" si="239"/>
        <v/>
      </c>
      <c r="BI361" s="180">
        <f t="shared" si="258"/>
        <v>43</v>
      </c>
      <c r="BJ361" s="181">
        <f t="shared" si="262"/>
        <v>134.4401500277892</v>
      </c>
      <c r="BK361" s="182">
        <f t="shared" si="259"/>
        <v>1.6999999999999999E-3</v>
      </c>
    </row>
    <row r="362" spans="1:63" x14ac:dyDescent="0.25">
      <c r="A362" s="7">
        <f t="shared" si="240"/>
        <v>25</v>
      </c>
      <c r="B362" s="7">
        <f t="shared" si="241"/>
        <v>75</v>
      </c>
      <c r="C362" s="115">
        <f t="shared" si="242"/>
        <v>56615</v>
      </c>
      <c r="D362" s="2">
        <f t="shared" si="225"/>
        <v>2.3809523809523812E-2</v>
      </c>
      <c r="E362" s="169">
        <f t="shared" si="243"/>
        <v>348</v>
      </c>
      <c r="F362" s="165">
        <f t="shared" si="244"/>
        <v>646.50318783320324</v>
      </c>
      <c r="G362" s="170">
        <f t="shared" si="260"/>
        <v>1842.3274953208838</v>
      </c>
      <c r="H362" s="164" t="str">
        <f t="shared" si="263"/>
        <v>🏎</v>
      </c>
      <c r="I362" s="171" t="str">
        <f t="shared" si="226"/>
        <v>🚖</v>
      </c>
      <c r="J362" s="172">
        <f t="shared" si="227"/>
        <v>1710.7853121549726</v>
      </c>
      <c r="K362" s="173">
        <f t="shared" si="228"/>
        <v>0.66083321836662068</v>
      </c>
      <c r="L362" s="174">
        <f t="shared" si="229"/>
        <v>2588.8306831540872</v>
      </c>
      <c r="M362" s="175">
        <f t="shared" si="245"/>
        <v>75666.969491322132</v>
      </c>
      <c r="N362" s="15"/>
      <c r="O362" s="37" t="str">
        <f t="shared" si="222"/>
        <v/>
      </c>
      <c r="P362" s="62" t="str">
        <f t="shared" si="246"/>
        <v/>
      </c>
      <c r="Q362" s="16" t="str">
        <f t="shared" si="230"/>
        <v/>
      </c>
      <c r="R362" s="60">
        <f t="shared" si="247"/>
        <v>42</v>
      </c>
      <c r="S362" s="98">
        <f t="shared" si="248"/>
        <v>131.5421831659111</v>
      </c>
      <c r="T362" s="21">
        <f t="shared" si="249"/>
        <v>1.6999999999999999E-3</v>
      </c>
      <c r="AA362" s="14">
        <f t="shared" si="231"/>
        <v>-2588.8306831540872</v>
      </c>
      <c r="AH362" s="6">
        <f t="shared" si="232"/>
        <v>3</v>
      </c>
      <c r="AI362" s="6">
        <f t="shared" si="233"/>
        <v>10</v>
      </c>
      <c r="AJ362" s="12">
        <f t="shared" si="234"/>
        <v>29</v>
      </c>
      <c r="AK362" s="72">
        <f t="shared" si="224"/>
        <v>31</v>
      </c>
      <c r="AR362">
        <f t="shared" si="250"/>
        <v>25</v>
      </c>
      <c r="AS362">
        <f t="shared" si="251"/>
        <v>75</v>
      </c>
      <c r="AT362" s="183">
        <f t="shared" si="252"/>
        <v>56615</v>
      </c>
      <c r="AU362" s="2">
        <f t="shared" si="253"/>
        <v>2.3809523809523812E-2</v>
      </c>
      <c r="AV362" s="169">
        <f t="shared" si="254"/>
        <v>348</v>
      </c>
      <c r="AW362" s="165">
        <f t="shared" si="255"/>
        <v>646.50318783320324</v>
      </c>
      <c r="AX362" s="170">
        <f t="shared" si="261"/>
        <v>1842.3274953208838</v>
      </c>
      <c r="AY362" s="164" t="str">
        <f t="shared" si="264"/>
        <v>🏎</v>
      </c>
      <c r="AZ362" s="171" t="str">
        <f t="shared" si="235"/>
        <v>🚖</v>
      </c>
      <c r="BA362" s="172">
        <f t="shared" si="236"/>
        <v>1710.7853121549726</v>
      </c>
      <c r="BB362" s="173">
        <f t="shared" si="237"/>
        <v>0.66083321836662068</v>
      </c>
      <c r="BC362" s="174">
        <f t="shared" si="238"/>
        <v>2588.8306831540872</v>
      </c>
      <c r="BD362" s="175">
        <f t="shared" si="256"/>
        <v>75666.969491322132</v>
      </c>
      <c r="BE362" s="188"/>
      <c r="BF362" s="177" t="str">
        <f t="shared" si="223"/>
        <v/>
      </c>
      <c r="BG362" s="178" t="str">
        <f t="shared" si="257"/>
        <v/>
      </c>
      <c r="BH362" s="179" t="str">
        <f t="shared" si="239"/>
        <v/>
      </c>
      <c r="BI362" s="180">
        <f t="shared" si="258"/>
        <v>42</v>
      </c>
      <c r="BJ362" s="181">
        <f t="shared" si="262"/>
        <v>131.5421831659111</v>
      </c>
      <c r="BK362" s="182">
        <f t="shared" si="259"/>
        <v>1.6999999999999999E-3</v>
      </c>
    </row>
    <row r="363" spans="1:63" x14ac:dyDescent="0.25">
      <c r="A363" s="7">
        <f t="shared" si="240"/>
        <v>25</v>
      </c>
      <c r="B363" s="7">
        <f t="shared" si="241"/>
        <v>75</v>
      </c>
      <c r="C363" s="115">
        <f t="shared" si="242"/>
        <v>56646</v>
      </c>
      <c r="D363" s="2">
        <f t="shared" si="225"/>
        <v>2.4390243902439025E-2</v>
      </c>
      <c r="E363" s="169">
        <f t="shared" si="243"/>
        <v>349</v>
      </c>
      <c r="F363" s="165">
        <f t="shared" si="244"/>
        <v>632.2093102088719</v>
      </c>
      <c r="G363" s="170">
        <f t="shared" si="260"/>
        <v>1845.5358412517594</v>
      </c>
      <c r="H363" s="164" t="str">
        <f t="shared" si="263"/>
        <v>🏎</v>
      </c>
      <c r="I363" s="171" t="str">
        <f t="shared" si="226"/>
        <v>🚖</v>
      </c>
      <c r="J363" s="172">
        <f t="shared" si="227"/>
        <v>1716.9019931165117</v>
      </c>
      <c r="K363" s="173">
        <f t="shared" si="228"/>
        <v>0.66604799630547695</v>
      </c>
      <c r="L363" s="174">
        <f t="shared" si="229"/>
        <v>2577.7451514606314</v>
      </c>
      <c r="M363" s="175">
        <f t="shared" si="245"/>
        <v>73950.067498205623</v>
      </c>
      <c r="N363" s="15"/>
      <c r="O363" s="37" t="str">
        <f t="shared" si="222"/>
        <v/>
      </c>
      <c r="P363" s="62" t="str">
        <f t="shared" si="246"/>
        <v/>
      </c>
      <c r="Q363" s="16" t="str">
        <f t="shared" si="230"/>
        <v/>
      </c>
      <c r="R363" s="60">
        <f t="shared" si="247"/>
        <v>41</v>
      </c>
      <c r="S363" s="98">
        <f t="shared" si="248"/>
        <v>128.6338481352476</v>
      </c>
      <c r="T363" s="21">
        <f t="shared" si="249"/>
        <v>1.6999999999999999E-3</v>
      </c>
      <c r="AA363" s="14">
        <f t="shared" si="231"/>
        <v>-2577.7451514606314</v>
      </c>
      <c r="AH363" s="6">
        <f t="shared" si="232"/>
        <v>3</v>
      </c>
      <c r="AI363" s="6">
        <f t="shared" si="233"/>
        <v>10</v>
      </c>
      <c r="AJ363" s="12">
        <f t="shared" si="234"/>
        <v>30</v>
      </c>
      <c r="AK363" s="72">
        <f t="shared" si="224"/>
        <v>28</v>
      </c>
      <c r="AR363">
        <f t="shared" si="250"/>
        <v>25</v>
      </c>
      <c r="AS363">
        <f t="shared" si="251"/>
        <v>75</v>
      </c>
      <c r="AT363" s="183">
        <f t="shared" si="252"/>
        <v>56646</v>
      </c>
      <c r="AU363" s="2">
        <f t="shared" si="253"/>
        <v>2.4390243902439025E-2</v>
      </c>
      <c r="AV363" s="169">
        <f t="shared" si="254"/>
        <v>349</v>
      </c>
      <c r="AW363" s="165">
        <f t="shared" si="255"/>
        <v>632.2093102088719</v>
      </c>
      <c r="AX363" s="170">
        <f t="shared" si="261"/>
        <v>1845.5358412517594</v>
      </c>
      <c r="AY363" s="164" t="str">
        <f t="shared" si="264"/>
        <v>🏎</v>
      </c>
      <c r="AZ363" s="171" t="str">
        <f t="shared" si="235"/>
        <v>🚖</v>
      </c>
      <c r="BA363" s="172">
        <f t="shared" si="236"/>
        <v>1716.9019931165117</v>
      </c>
      <c r="BB363" s="173">
        <f t="shared" si="237"/>
        <v>0.66604799630547695</v>
      </c>
      <c r="BC363" s="174">
        <f t="shared" si="238"/>
        <v>2577.7451514606314</v>
      </c>
      <c r="BD363" s="175">
        <f t="shared" si="256"/>
        <v>73950.067498205623</v>
      </c>
      <c r="BE363" s="188"/>
      <c r="BF363" s="177" t="str">
        <f t="shared" si="223"/>
        <v/>
      </c>
      <c r="BG363" s="178" t="str">
        <f t="shared" si="257"/>
        <v/>
      </c>
      <c r="BH363" s="179" t="str">
        <f t="shared" si="239"/>
        <v/>
      </c>
      <c r="BI363" s="180">
        <f t="shared" si="258"/>
        <v>41</v>
      </c>
      <c r="BJ363" s="181">
        <f t="shared" si="262"/>
        <v>128.6338481352476</v>
      </c>
      <c r="BK363" s="182">
        <f t="shared" si="259"/>
        <v>1.6999999999999999E-3</v>
      </c>
    </row>
    <row r="364" spans="1:63" x14ac:dyDescent="0.25">
      <c r="A364" s="7">
        <f t="shared" si="240"/>
        <v>25</v>
      </c>
      <c r="B364" s="7">
        <f t="shared" si="241"/>
        <v>75</v>
      </c>
      <c r="C364" s="115">
        <f t="shared" si="242"/>
        <v>56674</v>
      </c>
      <c r="D364" s="2">
        <f t="shared" si="225"/>
        <v>2.5000000000000001E-2</v>
      </c>
      <c r="E364" s="169">
        <f t="shared" si="243"/>
        <v>350</v>
      </c>
      <c r="F364" s="165">
        <f t="shared" si="244"/>
        <v>617.86432676283994</v>
      </c>
      <c r="G364" s="170">
        <f t="shared" si="260"/>
        <v>1848.7516874551407</v>
      </c>
      <c r="H364" s="164" t="str">
        <f t="shared" si="263"/>
        <v>🏎</v>
      </c>
      <c r="I364" s="171" t="str">
        <f t="shared" si="226"/>
        <v>🚖</v>
      </c>
      <c r="J364" s="172">
        <f t="shared" si="227"/>
        <v>1723.0365727081912</v>
      </c>
      <c r="K364" s="173">
        <f t="shared" si="228"/>
        <v>0.67132619884053102</v>
      </c>
      <c r="L364" s="174">
        <f t="shared" si="229"/>
        <v>2566.6160142179806</v>
      </c>
      <c r="M364" s="175">
        <f t="shared" si="245"/>
        <v>72227.030925497442</v>
      </c>
      <c r="N364" s="15"/>
      <c r="O364" s="37" t="str">
        <f t="shared" si="222"/>
        <v/>
      </c>
      <c r="P364" s="62" t="str">
        <f t="shared" si="246"/>
        <v/>
      </c>
      <c r="Q364" s="16" t="str">
        <f t="shared" si="230"/>
        <v/>
      </c>
      <c r="R364" s="60">
        <f t="shared" si="247"/>
        <v>40</v>
      </c>
      <c r="S364" s="98">
        <f t="shared" si="248"/>
        <v>125.71511474694955</v>
      </c>
      <c r="T364" s="21">
        <f t="shared" si="249"/>
        <v>1.6999999999999999E-3</v>
      </c>
      <c r="AA364" s="14">
        <f t="shared" si="231"/>
        <v>-2566.6160142179806</v>
      </c>
      <c r="AH364" s="6">
        <f t="shared" si="232"/>
        <v>3</v>
      </c>
      <c r="AI364" s="6">
        <f t="shared" si="233"/>
        <v>10</v>
      </c>
      <c r="AJ364" s="12">
        <f t="shared" si="234"/>
        <v>30</v>
      </c>
      <c r="AK364" s="72">
        <f t="shared" si="224"/>
        <v>31</v>
      </c>
      <c r="AR364">
        <f t="shared" si="250"/>
        <v>25</v>
      </c>
      <c r="AS364">
        <f t="shared" si="251"/>
        <v>75</v>
      </c>
      <c r="AT364" s="183">
        <f t="shared" si="252"/>
        <v>56674</v>
      </c>
      <c r="AU364" s="2">
        <f t="shared" si="253"/>
        <v>2.5000000000000001E-2</v>
      </c>
      <c r="AV364" s="169">
        <f t="shared" si="254"/>
        <v>350</v>
      </c>
      <c r="AW364" s="165">
        <f t="shared" si="255"/>
        <v>617.86432676283994</v>
      </c>
      <c r="AX364" s="170">
        <f t="shared" si="261"/>
        <v>1848.7516874551407</v>
      </c>
      <c r="AY364" s="164" t="str">
        <f t="shared" si="264"/>
        <v>🏎</v>
      </c>
      <c r="AZ364" s="171" t="str">
        <f t="shared" si="235"/>
        <v>🚖</v>
      </c>
      <c r="BA364" s="172">
        <f t="shared" si="236"/>
        <v>1723.0365727081912</v>
      </c>
      <c r="BB364" s="173">
        <f t="shared" si="237"/>
        <v>0.67132619884053102</v>
      </c>
      <c r="BC364" s="174">
        <f t="shared" si="238"/>
        <v>2566.6160142179806</v>
      </c>
      <c r="BD364" s="175">
        <f t="shared" si="256"/>
        <v>72227.030925497442</v>
      </c>
      <c r="BE364" s="188"/>
      <c r="BF364" s="177" t="str">
        <f t="shared" si="223"/>
        <v/>
      </c>
      <c r="BG364" s="178" t="str">
        <f t="shared" si="257"/>
        <v/>
      </c>
      <c r="BH364" s="179" t="str">
        <f t="shared" si="239"/>
        <v/>
      </c>
      <c r="BI364" s="180">
        <f t="shared" si="258"/>
        <v>40</v>
      </c>
      <c r="BJ364" s="181">
        <f t="shared" si="262"/>
        <v>125.71511474694955</v>
      </c>
      <c r="BK364" s="182">
        <f t="shared" si="259"/>
        <v>1.6999999999999999E-3</v>
      </c>
    </row>
    <row r="365" spans="1:63" x14ac:dyDescent="0.25">
      <c r="A365" s="7">
        <f t="shared" si="240"/>
        <v>25</v>
      </c>
      <c r="B365" s="7">
        <f t="shared" si="241"/>
        <v>75</v>
      </c>
      <c r="C365" s="115">
        <f t="shared" si="242"/>
        <v>56705</v>
      </c>
      <c r="D365" s="2">
        <f t="shared" si="225"/>
        <v>2.5641025641025644E-2</v>
      </c>
      <c r="E365" s="169">
        <f t="shared" si="243"/>
        <v>351</v>
      </c>
      <c r="F365" s="165">
        <f t="shared" si="244"/>
        <v>603.46808794926585</v>
      </c>
      <c r="G365" s="170">
        <f t="shared" si="260"/>
        <v>1851.9751519358319</v>
      </c>
      <c r="H365" s="164" t="str">
        <f t="shared" si="263"/>
        <v>🏎</v>
      </c>
      <c r="I365" s="171" t="str">
        <f t="shared" si="226"/>
        <v>🚖</v>
      </c>
      <c r="J365" s="172">
        <f t="shared" si="227"/>
        <v>1729.1891993624863</v>
      </c>
      <c r="K365" s="173">
        <f t="shared" si="228"/>
        <v>0.67666899126283753</v>
      </c>
      <c r="L365" s="174">
        <f t="shared" si="229"/>
        <v>2555.4432398850977</v>
      </c>
      <c r="M365" s="175">
        <f t="shared" si="245"/>
        <v>70497.841726134968</v>
      </c>
      <c r="N365" s="15"/>
      <c r="O365" s="37" t="str">
        <f t="shared" si="222"/>
        <v/>
      </c>
      <c r="P365" s="62" t="str">
        <f t="shared" si="246"/>
        <v/>
      </c>
      <c r="Q365" s="16" t="str">
        <f t="shared" si="230"/>
        <v/>
      </c>
      <c r="R365" s="60">
        <f t="shared" si="247"/>
        <v>39</v>
      </c>
      <c r="S365" s="98">
        <f t="shared" si="248"/>
        <v>122.78595257334564</v>
      </c>
      <c r="T365" s="21">
        <f t="shared" si="249"/>
        <v>1.6999999999999999E-3</v>
      </c>
      <c r="AA365" s="14">
        <f t="shared" si="231"/>
        <v>-2555.4432398850977</v>
      </c>
      <c r="AH365" s="6">
        <f t="shared" si="232"/>
        <v>3</v>
      </c>
      <c r="AI365" s="6">
        <f t="shared" si="233"/>
        <v>10</v>
      </c>
      <c r="AJ365" s="12">
        <f t="shared" si="234"/>
        <v>30</v>
      </c>
      <c r="AK365" s="72">
        <f t="shared" si="224"/>
        <v>30</v>
      </c>
      <c r="AR365">
        <f t="shared" si="250"/>
        <v>25</v>
      </c>
      <c r="AS365">
        <f t="shared" si="251"/>
        <v>75</v>
      </c>
      <c r="AT365" s="183">
        <f t="shared" si="252"/>
        <v>56705</v>
      </c>
      <c r="AU365" s="2">
        <f t="shared" si="253"/>
        <v>2.5641025641025644E-2</v>
      </c>
      <c r="AV365" s="169">
        <f t="shared" si="254"/>
        <v>351</v>
      </c>
      <c r="AW365" s="165">
        <f t="shared" si="255"/>
        <v>603.46808794926585</v>
      </c>
      <c r="AX365" s="170">
        <f t="shared" si="261"/>
        <v>1851.9751519358319</v>
      </c>
      <c r="AY365" s="164" t="str">
        <f t="shared" si="264"/>
        <v>🏎</v>
      </c>
      <c r="AZ365" s="171" t="str">
        <f t="shared" si="235"/>
        <v>🚖</v>
      </c>
      <c r="BA365" s="172">
        <f t="shared" si="236"/>
        <v>1729.1891993624863</v>
      </c>
      <c r="BB365" s="173">
        <f t="shared" si="237"/>
        <v>0.67666899126283753</v>
      </c>
      <c r="BC365" s="174">
        <f t="shared" si="238"/>
        <v>2555.4432398850977</v>
      </c>
      <c r="BD365" s="175">
        <f t="shared" si="256"/>
        <v>70497.841726134968</v>
      </c>
      <c r="BE365" s="188"/>
      <c r="BF365" s="177" t="str">
        <f t="shared" si="223"/>
        <v/>
      </c>
      <c r="BG365" s="178" t="str">
        <f t="shared" si="257"/>
        <v/>
      </c>
      <c r="BH365" s="179" t="str">
        <f t="shared" si="239"/>
        <v/>
      </c>
      <c r="BI365" s="180">
        <f t="shared" si="258"/>
        <v>39</v>
      </c>
      <c r="BJ365" s="181">
        <f t="shared" si="262"/>
        <v>122.78595257334564</v>
      </c>
      <c r="BK365" s="182">
        <f t="shared" si="259"/>
        <v>1.6999999999999999E-3</v>
      </c>
    </row>
    <row r="366" spans="1:63" x14ac:dyDescent="0.25">
      <c r="A366" s="7">
        <f t="shared" si="240"/>
        <v>25</v>
      </c>
      <c r="B366" s="7">
        <f t="shared" si="241"/>
        <v>75</v>
      </c>
      <c r="C366" s="115">
        <f t="shared" si="242"/>
        <v>56735</v>
      </c>
      <c r="D366" s="2">
        <f t="shared" si="225"/>
        <v>2.6315789473684209E-2</v>
      </c>
      <c r="E366" s="169">
        <f t="shared" si="243"/>
        <v>352</v>
      </c>
      <c r="F366" s="165">
        <f t="shared" si="244"/>
        <v>589.02044298213184</v>
      </c>
      <c r="G366" s="170">
        <f t="shared" si="260"/>
        <v>1855.206361214078</v>
      </c>
      <c r="H366" s="164" t="str">
        <f t="shared" si="263"/>
        <v>🏎</v>
      </c>
      <c r="I366" s="171" t="str">
        <f t="shared" si="226"/>
        <v>🚖</v>
      </c>
      <c r="J366" s="172">
        <f t="shared" si="227"/>
        <v>1735.3600302796485</v>
      </c>
      <c r="K366" s="173">
        <f t="shared" si="228"/>
        <v>0.68207756769856676</v>
      </c>
      <c r="L366" s="174">
        <f t="shared" si="229"/>
        <v>2544.2268041962097</v>
      </c>
      <c r="M366" s="175">
        <f t="shared" si="245"/>
        <v>68762.481695855313</v>
      </c>
      <c r="N366" s="15"/>
      <c r="O366" s="37" t="str">
        <f t="shared" si="222"/>
        <v/>
      </c>
      <c r="P366" s="62" t="str">
        <f t="shared" si="246"/>
        <v/>
      </c>
      <c r="Q366" s="16" t="str">
        <f t="shared" si="230"/>
        <v/>
      </c>
      <c r="R366" s="60">
        <f t="shared" si="247"/>
        <v>38</v>
      </c>
      <c r="S366" s="98">
        <f t="shared" si="248"/>
        <v>119.84633093442943</v>
      </c>
      <c r="T366" s="21">
        <f t="shared" si="249"/>
        <v>1.6999999999999999E-3</v>
      </c>
      <c r="AA366" s="14">
        <f t="shared" si="231"/>
        <v>-2544.2268041962097</v>
      </c>
      <c r="AH366" s="6">
        <f t="shared" si="232"/>
        <v>3</v>
      </c>
      <c r="AI366" s="6">
        <f t="shared" si="233"/>
        <v>10</v>
      </c>
      <c r="AJ366" s="12">
        <f t="shared" si="234"/>
        <v>30</v>
      </c>
      <c r="AK366" s="72">
        <f t="shared" si="224"/>
        <v>31</v>
      </c>
      <c r="AR366">
        <f t="shared" si="250"/>
        <v>25</v>
      </c>
      <c r="AS366">
        <f t="shared" si="251"/>
        <v>75</v>
      </c>
      <c r="AT366" s="183">
        <f t="shared" si="252"/>
        <v>56735</v>
      </c>
      <c r="AU366" s="2">
        <f t="shared" si="253"/>
        <v>2.6315789473684209E-2</v>
      </c>
      <c r="AV366" s="169">
        <f t="shared" si="254"/>
        <v>352</v>
      </c>
      <c r="AW366" s="165">
        <f t="shared" si="255"/>
        <v>589.02044298213184</v>
      </c>
      <c r="AX366" s="170">
        <f t="shared" si="261"/>
        <v>1855.206361214078</v>
      </c>
      <c r="AY366" s="164" t="str">
        <f t="shared" si="264"/>
        <v>🏎</v>
      </c>
      <c r="AZ366" s="171" t="str">
        <f t="shared" si="235"/>
        <v>🚖</v>
      </c>
      <c r="BA366" s="172">
        <f t="shared" si="236"/>
        <v>1735.3600302796485</v>
      </c>
      <c r="BB366" s="173">
        <f t="shared" si="237"/>
        <v>0.68207756769856676</v>
      </c>
      <c r="BC366" s="174">
        <f t="shared" si="238"/>
        <v>2544.2268041962097</v>
      </c>
      <c r="BD366" s="175">
        <f t="shared" si="256"/>
        <v>68762.481695855313</v>
      </c>
      <c r="BE366" s="188"/>
      <c r="BF366" s="177" t="str">
        <f t="shared" si="223"/>
        <v/>
      </c>
      <c r="BG366" s="178" t="str">
        <f t="shared" si="257"/>
        <v/>
      </c>
      <c r="BH366" s="179" t="str">
        <f t="shared" si="239"/>
        <v/>
      </c>
      <c r="BI366" s="180">
        <f t="shared" si="258"/>
        <v>38</v>
      </c>
      <c r="BJ366" s="181">
        <f t="shared" si="262"/>
        <v>119.84633093442943</v>
      </c>
      <c r="BK366" s="182">
        <f t="shared" si="259"/>
        <v>1.6999999999999999E-3</v>
      </c>
    </row>
    <row r="367" spans="1:63" x14ac:dyDescent="0.25">
      <c r="A367" s="7">
        <f t="shared" si="240"/>
        <v>25</v>
      </c>
      <c r="B367" s="7">
        <f t="shared" si="241"/>
        <v>75</v>
      </c>
      <c r="C367" s="115">
        <f t="shared" si="242"/>
        <v>56766</v>
      </c>
      <c r="D367" s="2">
        <f t="shared" si="225"/>
        <v>2.7027027027027025E-2</v>
      </c>
      <c r="E367" s="169">
        <f t="shared" si="243"/>
        <v>353</v>
      </c>
      <c r="F367" s="165">
        <f t="shared" si="244"/>
        <v>574.52123976198743</v>
      </c>
      <c r="G367" s="170">
        <f t="shared" si="260"/>
        <v>1858.4454512393327</v>
      </c>
      <c r="H367" s="164" t="str">
        <f t="shared" si="263"/>
        <v>🏎</v>
      </c>
      <c r="I367" s="171" t="str">
        <f t="shared" si="226"/>
        <v>🚖</v>
      </c>
      <c r="J367" s="172">
        <f t="shared" si="227"/>
        <v>1741.5492323563785</v>
      </c>
      <c r="K367" s="173">
        <f t="shared" si="228"/>
        <v>0.68755315201871747</v>
      </c>
      <c r="L367" s="174">
        <f t="shared" si="229"/>
        <v>2532.9666910013202</v>
      </c>
      <c r="M367" s="175">
        <f t="shared" si="245"/>
        <v>67020.932463498946</v>
      </c>
      <c r="N367" s="15"/>
      <c r="O367" s="37" t="str">
        <f t="shared" si="222"/>
        <v/>
      </c>
      <c r="P367" s="62" t="str">
        <f t="shared" si="246"/>
        <v/>
      </c>
      <c r="Q367" s="16" t="str">
        <f t="shared" si="230"/>
        <v/>
      </c>
      <c r="R367" s="60">
        <f t="shared" si="247"/>
        <v>37</v>
      </c>
      <c r="S367" s="98">
        <f t="shared" si="248"/>
        <v>116.89621888295403</v>
      </c>
      <c r="T367" s="21">
        <f t="shared" si="249"/>
        <v>1.6999999999999999E-3</v>
      </c>
      <c r="AA367" s="14">
        <f t="shared" si="231"/>
        <v>-2532.9666910013202</v>
      </c>
      <c r="AH367" s="6">
        <f t="shared" si="232"/>
        <v>3</v>
      </c>
      <c r="AI367" s="6">
        <f t="shared" si="233"/>
        <v>10</v>
      </c>
      <c r="AJ367" s="12">
        <f t="shared" si="234"/>
        <v>30</v>
      </c>
      <c r="AK367" s="72">
        <f t="shared" si="224"/>
        <v>30</v>
      </c>
      <c r="AR367">
        <f t="shared" si="250"/>
        <v>25</v>
      </c>
      <c r="AS367">
        <f t="shared" si="251"/>
        <v>75</v>
      </c>
      <c r="AT367" s="183">
        <f t="shared" si="252"/>
        <v>56766</v>
      </c>
      <c r="AU367" s="2">
        <f t="shared" si="253"/>
        <v>2.7027027027027025E-2</v>
      </c>
      <c r="AV367" s="169">
        <f t="shared" si="254"/>
        <v>353</v>
      </c>
      <c r="AW367" s="165">
        <f t="shared" si="255"/>
        <v>574.52123976198743</v>
      </c>
      <c r="AX367" s="170">
        <f t="shared" si="261"/>
        <v>1858.4454512393327</v>
      </c>
      <c r="AY367" s="164" t="str">
        <f t="shared" si="264"/>
        <v>🏎</v>
      </c>
      <c r="AZ367" s="171" t="str">
        <f t="shared" si="235"/>
        <v>🚖</v>
      </c>
      <c r="BA367" s="172">
        <f t="shared" si="236"/>
        <v>1741.5492323563785</v>
      </c>
      <c r="BB367" s="173">
        <f t="shared" si="237"/>
        <v>0.68755315201871747</v>
      </c>
      <c r="BC367" s="174">
        <f t="shared" si="238"/>
        <v>2532.9666910013202</v>
      </c>
      <c r="BD367" s="175">
        <f t="shared" si="256"/>
        <v>67020.932463498946</v>
      </c>
      <c r="BE367" s="188"/>
      <c r="BF367" s="177" t="str">
        <f t="shared" si="223"/>
        <v/>
      </c>
      <c r="BG367" s="178" t="str">
        <f t="shared" si="257"/>
        <v/>
      </c>
      <c r="BH367" s="179" t="str">
        <f t="shared" si="239"/>
        <v/>
      </c>
      <c r="BI367" s="180">
        <f t="shared" si="258"/>
        <v>37</v>
      </c>
      <c r="BJ367" s="181">
        <f t="shared" si="262"/>
        <v>116.89621888295403</v>
      </c>
      <c r="BK367" s="182">
        <f t="shared" si="259"/>
        <v>1.6999999999999999E-3</v>
      </c>
    </row>
    <row r="368" spans="1:63" x14ac:dyDescent="0.25">
      <c r="A368" s="7">
        <f t="shared" si="240"/>
        <v>25</v>
      </c>
      <c r="B368" s="7">
        <f t="shared" si="241"/>
        <v>75</v>
      </c>
      <c r="C368" s="115">
        <f t="shared" si="242"/>
        <v>56796</v>
      </c>
      <c r="D368" s="2">
        <f t="shared" si="225"/>
        <v>2.777777777777778E-2</v>
      </c>
      <c r="E368" s="169">
        <f t="shared" si="243"/>
        <v>354</v>
      </c>
      <c r="F368" s="165">
        <f t="shared" si="244"/>
        <v>559.97032479493453</v>
      </c>
      <c r="G368" s="170">
        <f t="shared" si="260"/>
        <v>1861.6925684305263</v>
      </c>
      <c r="H368" s="164" t="str">
        <f t="shared" si="263"/>
        <v>🏎</v>
      </c>
      <c r="I368" s="171" t="str">
        <f t="shared" si="226"/>
        <v>🚖</v>
      </c>
      <c r="J368" s="172">
        <f t="shared" si="227"/>
        <v>1747.7569832425781</v>
      </c>
      <c r="K368" s="173">
        <f t="shared" si="228"/>
        <v>0.69309699878520281</v>
      </c>
      <c r="L368" s="174">
        <f t="shared" si="229"/>
        <v>2521.6628932254607</v>
      </c>
      <c r="M368" s="175">
        <f t="shared" si="245"/>
        <v>65273.175480256374</v>
      </c>
      <c r="N368" s="15"/>
      <c r="O368" s="37" t="str">
        <f t="shared" si="222"/>
        <v/>
      </c>
      <c r="P368" s="62" t="str">
        <f t="shared" si="246"/>
        <v/>
      </c>
      <c r="Q368" s="16" t="str">
        <f t="shared" si="230"/>
        <v/>
      </c>
      <c r="R368" s="60">
        <f t="shared" si="247"/>
        <v>36</v>
      </c>
      <c r="S368" s="98">
        <f t="shared" si="248"/>
        <v>113.93558518794821</v>
      </c>
      <c r="T368" s="21">
        <f t="shared" si="249"/>
        <v>1.6999999999999999E-3</v>
      </c>
      <c r="AA368" s="14">
        <f t="shared" si="231"/>
        <v>-2521.6628932254607</v>
      </c>
      <c r="AH368" s="6">
        <f t="shared" si="232"/>
        <v>3</v>
      </c>
      <c r="AI368" s="6">
        <f t="shared" si="233"/>
        <v>10</v>
      </c>
      <c r="AJ368" s="12">
        <f t="shared" si="234"/>
        <v>30</v>
      </c>
      <c r="AK368" s="72">
        <f t="shared" si="224"/>
        <v>31</v>
      </c>
      <c r="AR368">
        <f t="shared" si="250"/>
        <v>25</v>
      </c>
      <c r="AS368">
        <f t="shared" si="251"/>
        <v>75</v>
      </c>
      <c r="AT368" s="183">
        <f t="shared" si="252"/>
        <v>56796</v>
      </c>
      <c r="AU368" s="2">
        <f t="shared" si="253"/>
        <v>2.777777777777778E-2</v>
      </c>
      <c r="AV368" s="169">
        <f t="shared" si="254"/>
        <v>354</v>
      </c>
      <c r="AW368" s="165">
        <f t="shared" si="255"/>
        <v>559.97032479493453</v>
      </c>
      <c r="AX368" s="170">
        <f t="shared" si="261"/>
        <v>1861.6925684305263</v>
      </c>
      <c r="AY368" s="164" t="str">
        <f t="shared" si="264"/>
        <v>🏎</v>
      </c>
      <c r="AZ368" s="171" t="str">
        <f t="shared" si="235"/>
        <v>🚖</v>
      </c>
      <c r="BA368" s="172">
        <f t="shared" si="236"/>
        <v>1747.7569832425781</v>
      </c>
      <c r="BB368" s="173">
        <f t="shared" si="237"/>
        <v>0.69309699878520281</v>
      </c>
      <c r="BC368" s="174">
        <f t="shared" si="238"/>
        <v>2521.6628932254607</v>
      </c>
      <c r="BD368" s="175">
        <f t="shared" si="256"/>
        <v>65273.175480256374</v>
      </c>
      <c r="BE368" s="188"/>
      <c r="BF368" s="177" t="str">
        <f t="shared" si="223"/>
        <v/>
      </c>
      <c r="BG368" s="178" t="str">
        <f t="shared" si="257"/>
        <v/>
      </c>
      <c r="BH368" s="179" t="str">
        <f t="shared" si="239"/>
        <v/>
      </c>
      <c r="BI368" s="180">
        <f t="shared" si="258"/>
        <v>36</v>
      </c>
      <c r="BJ368" s="181">
        <f t="shared" si="262"/>
        <v>113.93558518794821</v>
      </c>
      <c r="BK368" s="182">
        <f t="shared" si="259"/>
        <v>1.6999999999999999E-3</v>
      </c>
    </row>
    <row r="369" spans="1:63" x14ac:dyDescent="0.25">
      <c r="A369" s="7">
        <f t="shared" si="240"/>
        <v>25</v>
      </c>
      <c r="B369" s="7">
        <f t="shared" si="241"/>
        <v>75</v>
      </c>
      <c r="C369" s="115">
        <f t="shared" si="242"/>
        <v>56827</v>
      </c>
      <c r="D369" s="2">
        <f t="shared" si="225"/>
        <v>2.8571428571428571E-2</v>
      </c>
      <c r="E369" s="169">
        <f t="shared" si="243"/>
        <v>355</v>
      </c>
      <c r="F369" s="165">
        <f t="shared" si="244"/>
        <v>545.36754310278229</v>
      </c>
      <c r="G369" s="170">
        <f t="shared" si="260"/>
        <v>1864.9478708644679</v>
      </c>
      <c r="H369" s="164" t="str">
        <f t="shared" si="263"/>
        <v>🏎</v>
      </c>
      <c r="I369" s="171" t="str">
        <f t="shared" si="226"/>
        <v>🚖</v>
      </c>
      <c r="J369" s="172">
        <f t="shared" si="227"/>
        <v>1753.9834725480321</v>
      </c>
      <c r="K369" s="173">
        <f t="shared" si="228"/>
        <v>0.69871039423530967</v>
      </c>
      <c r="L369" s="174">
        <f t="shared" si="229"/>
        <v>2510.3154139672502</v>
      </c>
      <c r="M369" s="175">
        <f t="shared" si="245"/>
        <v>63519.192007708341</v>
      </c>
      <c r="N369" s="15"/>
      <c r="O369" s="37" t="str">
        <f t="shared" si="222"/>
        <v/>
      </c>
      <c r="P369" s="62" t="str">
        <f t="shared" si="246"/>
        <v/>
      </c>
      <c r="Q369" s="16" t="str">
        <f t="shared" si="230"/>
        <v/>
      </c>
      <c r="R369" s="60">
        <f t="shared" si="247"/>
        <v>35</v>
      </c>
      <c r="S369" s="98">
        <f t="shared" si="248"/>
        <v>110.96439831643583</v>
      </c>
      <c r="T369" s="21">
        <f t="shared" si="249"/>
        <v>1.6999999999999999E-3</v>
      </c>
      <c r="AA369" s="14">
        <f t="shared" si="231"/>
        <v>-2510.3154139672502</v>
      </c>
      <c r="AH369" s="6">
        <f t="shared" si="232"/>
        <v>3</v>
      </c>
      <c r="AI369" s="6">
        <f t="shared" si="233"/>
        <v>10</v>
      </c>
      <c r="AJ369" s="12">
        <f t="shared" si="234"/>
        <v>30</v>
      </c>
      <c r="AK369" s="72">
        <f t="shared" si="224"/>
        <v>31</v>
      </c>
      <c r="AR369">
        <f t="shared" si="250"/>
        <v>25</v>
      </c>
      <c r="AS369">
        <f t="shared" si="251"/>
        <v>75</v>
      </c>
      <c r="AT369" s="183">
        <f t="shared" si="252"/>
        <v>56827</v>
      </c>
      <c r="AU369" s="2">
        <f t="shared" si="253"/>
        <v>2.8571428571428571E-2</v>
      </c>
      <c r="AV369" s="169">
        <f t="shared" si="254"/>
        <v>355</v>
      </c>
      <c r="AW369" s="165">
        <f t="shared" si="255"/>
        <v>545.36754310278229</v>
      </c>
      <c r="AX369" s="170">
        <f t="shared" si="261"/>
        <v>1864.9478708644679</v>
      </c>
      <c r="AY369" s="164" t="str">
        <f t="shared" si="264"/>
        <v>🏎</v>
      </c>
      <c r="AZ369" s="171" t="str">
        <f t="shared" si="235"/>
        <v>🚖</v>
      </c>
      <c r="BA369" s="172">
        <f t="shared" si="236"/>
        <v>1753.9834725480321</v>
      </c>
      <c r="BB369" s="173">
        <f t="shared" si="237"/>
        <v>0.69871039423530967</v>
      </c>
      <c r="BC369" s="174">
        <f t="shared" si="238"/>
        <v>2510.3154139672502</v>
      </c>
      <c r="BD369" s="175">
        <f t="shared" si="256"/>
        <v>63519.192007708341</v>
      </c>
      <c r="BE369" s="188"/>
      <c r="BF369" s="177" t="str">
        <f t="shared" si="223"/>
        <v/>
      </c>
      <c r="BG369" s="178" t="str">
        <f t="shared" si="257"/>
        <v/>
      </c>
      <c r="BH369" s="179" t="str">
        <f t="shared" si="239"/>
        <v/>
      </c>
      <c r="BI369" s="180">
        <f t="shared" si="258"/>
        <v>35</v>
      </c>
      <c r="BJ369" s="181">
        <f t="shared" si="262"/>
        <v>110.96439831643583</v>
      </c>
      <c r="BK369" s="182">
        <f t="shared" si="259"/>
        <v>1.6999999999999999E-3</v>
      </c>
    </row>
    <row r="370" spans="1:63" x14ac:dyDescent="0.25">
      <c r="A370" s="7">
        <f t="shared" si="240"/>
        <v>25</v>
      </c>
      <c r="B370" s="7">
        <f t="shared" si="241"/>
        <v>75</v>
      </c>
      <c r="C370" s="115">
        <f t="shared" si="242"/>
        <v>56858</v>
      </c>
      <c r="D370" s="2">
        <f t="shared" si="225"/>
        <v>2.9411764705882353E-2</v>
      </c>
      <c r="E370" s="169">
        <f t="shared" si="243"/>
        <v>356</v>
      </c>
      <c r="F370" s="165">
        <f t="shared" si="244"/>
        <v>530.7127381231204</v>
      </c>
      <c r="G370" s="170">
        <f t="shared" si="260"/>
        <v>1868.2115296384807</v>
      </c>
      <c r="H370" s="164" t="str">
        <f t="shared" si="263"/>
        <v>🏎</v>
      </c>
      <c r="I370" s="171" t="str">
        <f t="shared" si="226"/>
        <v>🚖</v>
      </c>
      <c r="J370" s="172">
        <f t="shared" si="227"/>
        <v>1760.2289032253766</v>
      </c>
      <c r="K370" s="173">
        <f t="shared" si="228"/>
        <v>0.70439465730671891</v>
      </c>
      <c r="L370" s="174">
        <f t="shared" si="229"/>
        <v>2498.9242677616012</v>
      </c>
      <c r="M370" s="175">
        <f t="shared" si="245"/>
        <v>61758.963104482966</v>
      </c>
      <c r="N370" s="15"/>
      <c r="O370" s="37" t="str">
        <f t="shared" si="222"/>
        <v/>
      </c>
      <c r="P370" s="62" t="str">
        <f t="shared" si="246"/>
        <v/>
      </c>
      <c r="Q370" s="16" t="str">
        <f t="shared" si="230"/>
        <v/>
      </c>
      <c r="R370" s="60">
        <f t="shared" si="247"/>
        <v>34</v>
      </c>
      <c r="S370" s="98">
        <f t="shared" si="248"/>
        <v>107.98262641310417</v>
      </c>
      <c r="T370" s="21">
        <f t="shared" si="249"/>
        <v>1.6999999999999999E-3</v>
      </c>
      <c r="AA370" s="14">
        <f t="shared" si="231"/>
        <v>-2498.9242677616012</v>
      </c>
      <c r="AH370" s="6">
        <f t="shared" si="232"/>
        <v>3</v>
      </c>
      <c r="AI370" s="6">
        <f t="shared" si="233"/>
        <v>10</v>
      </c>
      <c r="AJ370" s="12">
        <f t="shared" si="234"/>
        <v>30</v>
      </c>
      <c r="AK370" s="72">
        <f t="shared" si="224"/>
        <v>30</v>
      </c>
      <c r="AR370">
        <f t="shared" si="250"/>
        <v>25</v>
      </c>
      <c r="AS370">
        <f t="shared" si="251"/>
        <v>75</v>
      </c>
      <c r="AT370" s="183">
        <f t="shared" si="252"/>
        <v>56858</v>
      </c>
      <c r="AU370" s="2">
        <f t="shared" si="253"/>
        <v>2.9411764705882353E-2</v>
      </c>
      <c r="AV370" s="169">
        <f t="shared" si="254"/>
        <v>356</v>
      </c>
      <c r="AW370" s="165">
        <f t="shared" si="255"/>
        <v>530.7127381231204</v>
      </c>
      <c r="AX370" s="170">
        <f t="shared" si="261"/>
        <v>1868.2115296384807</v>
      </c>
      <c r="AY370" s="164" t="str">
        <f t="shared" si="264"/>
        <v>🏎</v>
      </c>
      <c r="AZ370" s="171" t="str">
        <f t="shared" si="235"/>
        <v>🚖</v>
      </c>
      <c r="BA370" s="172">
        <f t="shared" si="236"/>
        <v>1760.2289032253766</v>
      </c>
      <c r="BB370" s="173">
        <f t="shared" si="237"/>
        <v>0.70439465730671891</v>
      </c>
      <c r="BC370" s="174">
        <f t="shared" si="238"/>
        <v>2498.9242677616012</v>
      </c>
      <c r="BD370" s="175">
        <f t="shared" si="256"/>
        <v>61758.963104482966</v>
      </c>
      <c r="BE370" s="188"/>
      <c r="BF370" s="177" t="str">
        <f t="shared" si="223"/>
        <v/>
      </c>
      <c r="BG370" s="178" t="str">
        <f t="shared" si="257"/>
        <v/>
      </c>
      <c r="BH370" s="179" t="str">
        <f t="shared" si="239"/>
        <v/>
      </c>
      <c r="BI370" s="180">
        <f t="shared" si="258"/>
        <v>34</v>
      </c>
      <c r="BJ370" s="181">
        <f t="shared" si="262"/>
        <v>107.98262641310417</v>
      </c>
      <c r="BK370" s="182">
        <f t="shared" si="259"/>
        <v>1.6999999999999999E-3</v>
      </c>
    </row>
    <row r="371" spans="1:63" x14ac:dyDescent="0.25">
      <c r="A371" s="7">
        <f t="shared" si="240"/>
        <v>25</v>
      </c>
      <c r="B371" s="7">
        <f t="shared" si="241"/>
        <v>75</v>
      </c>
      <c r="C371" s="115">
        <f t="shared" si="242"/>
        <v>56888</v>
      </c>
      <c r="D371" s="2">
        <f t="shared" si="225"/>
        <v>3.0303030303030304E-2</v>
      </c>
      <c r="E371" s="169">
        <f t="shared" si="243"/>
        <v>357</v>
      </c>
      <c r="F371" s="165">
        <f t="shared" si="244"/>
        <v>516.00575159783784</v>
      </c>
      <c r="G371" s="170">
        <f t="shared" si="260"/>
        <v>1871.4837304388777</v>
      </c>
      <c r="H371" s="164" t="str">
        <f t="shared" si="263"/>
        <v>🏎</v>
      </c>
      <c r="I371" s="171" t="str">
        <f t="shared" si="226"/>
        <v>🚖</v>
      </c>
      <c r="J371" s="172">
        <f t="shared" si="227"/>
        <v>1766.4934931612568</v>
      </c>
      <c r="K371" s="173">
        <f t="shared" si="228"/>
        <v>0.71015114070547991</v>
      </c>
      <c r="L371" s="174">
        <f t="shared" si="229"/>
        <v>2487.4894820367153</v>
      </c>
      <c r="M371" s="175">
        <f t="shared" si="245"/>
        <v>59992.469611321707</v>
      </c>
      <c r="N371" s="15"/>
      <c r="O371" s="37" t="str">
        <f t="shared" si="222"/>
        <v/>
      </c>
      <c r="P371" s="62" t="str">
        <f t="shared" si="246"/>
        <v/>
      </c>
      <c r="Q371" s="16" t="str">
        <f t="shared" si="230"/>
        <v/>
      </c>
      <c r="R371" s="60">
        <f t="shared" si="247"/>
        <v>33</v>
      </c>
      <c r="S371" s="98">
        <f t="shared" si="248"/>
        <v>104.99023727762103</v>
      </c>
      <c r="T371" s="21">
        <f t="shared" si="249"/>
        <v>1.6999999999999999E-3</v>
      </c>
      <c r="AA371" s="14">
        <f t="shared" si="231"/>
        <v>-2487.4894820367153</v>
      </c>
      <c r="AH371" s="6">
        <f t="shared" si="232"/>
        <v>3</v>
      </c>
      <c r="AI371" s="6">
        <f t="shared" si="233"/>
        <v>10</v>
      </c>
      <c r="AJ371" s="12">
        <f t="shared" si="234"/>
        <v>30</v>
      </c>
      <c r="AK371" s="72">
        <f t="shared" si="224"/>
        <v>31</v>
      </c>
      <c r="AR371">
        <f t="shared" si="250"/>
        <v>25</v>
      </c>
      <c r="AS371">
        <f t="shared" si="251"/>
        <v>75</v>
      </c>
      <c r="AT371" s="183">
        <f t="shared" si="252"/>
        <v>56888</v>
      </c>
      <c r="AU371" s="2">
        <f t="shared" si="253"/>
        <v>3.0303030303030304E-2</v>
      </c>
      <c r="AV371" s="169">
        <f t="shared" si="254"/>
        <v>357</v>
      </c>
      <c r="AW371" s="165">
        <f t="shared" si="255"/>
        <v>516.00575159783784</v>
      </c>
      <c r="AX371" s="170">
        <f t="shared" si="261"/>
        <v>1871.4837304388777</v>
      </c>
      <c r="AY371" s="164" t="str">
        <f t="shared" si="264"/>
        <v>🏎</v>
      </c>
      <c r="AZ371" s="171" t="str">
        <f t="shared" si="235"/>
        <v>🚖</v>
      </c>
      <c r="BA371" s="172">
        <f t="shared" si="236"/>
        <v>1766.4934931612568</v>
      </c>
      <c r="BB371" s="173">
        <f t="shared" si="237"/>
        <v>0.71015114070547991</v>
      </c>
      <c r="BC371" s="174">
        <f t="shared" si="238"/>
        <v>2487.4894820367153</v>
      </c>
      <c r="BD371" s="175">
        <f t="shared" si="256"/>
        <v>59992.469611321707</v>
      </c>
      <c r="BE371" s="188"/>
      <c r="BF371" s="177" t="str">
        <f t="shared" si="223"/>
        <v/>
      </c>
      <c r="BG371" s="178" t="str">
        <f t="shared" si="257"/>
        <v/>
      </c>
      <c r="BH371" s="179" t="str">
        <f t="shared" si="239"/>
        <v/>
      </c>
      <c r="BI371" s="180">
        <f t="shared" si="258"/>
        <v>33</v>
      </c>
      <c r="BJ371" s="181">
        <f t="shared" si="262"/>
        <v>104.99023727762103</v>
      </c>
      <c r="BK371" s="182">
        <f t="shared" si="259"/>
        <v>1.6999999999999999E-3</v>
      </c>
    </row>
    <row r="372" spans="1:63" x14ac:dyDescent="0.25">
      <c r="A372" s="7">
        <f t="shared" si="240"/>
        <v>25</v>
      </c>
      <c r="B372" s="7">
        <f t="shared" si="241"/>
        <v>75</v>
      </c>
      <c r="C372" s="115">
        <f t="shared" si="242"/>
        <v>56919</v>
      </c>
      <c r="D372" s="2">
        <f t="shared" si="225"/>
        <v>3.125E-2</v>
      </c>
      <c r="E372" s="169">
        <f t="shared" si="243"/>
        <v>358</v>
      </c>
      <c r="F372" s="165">
        <f t="shared" si="244"/>
        <v>501.246423448347</v>
      </c>
      <c r="G372" s="170">
        <f t="shared" si="260"/>
        <v>1874.7646753538033</v>
      </c>
      <c r="H372" s="164" t="str">
        <f t="shared" si="263"/>
        <v>🏎</v>
      </c>
      <c r="I372" s="171" t="str">
        <f t="shared" si="226"/>
        <v>🚖</v>
      </c>
      <c r="J372" s="172">
        <f t="shared" si="227"/>
        <v>1772.7774770145566</v>
      </c>
      <c r="K372" s="173">
        <f t="shared" si="228"/>
        <v>0.71598123201959574</v>
      </c>
      <c r="L372" s="174">
        <f t="shared" si="229"/>
        <v>2476.0110988021502</v>
      </c>
      <c r="M372" s="175">
        <f t="shared" si="245"/>
        <v>58219.692134307144</v>
      </c>
      <c r="N372" s="15"/>
      <c r="O372" s="37" t="str">
        <f t="shared" si="222"/>
        <v/>
      </c>
      <c r="P372" s="62" t="str">
        <f t="shared" si="246"/>
        <v/>
      </c>
      <c r="Q372" s="16" t="str">
        <f t="shared" si="230"/>
        <v/>
      </c>
      <c r="R372" s="60">
        <f t="shared" si="247"/>
        <v>32</v>
      </c>
      <c r="S372" s="98">
        <f t="shared" si="248"/>
        <v>101.9871983392469</v>
      </c>
      <c r="T372" s="21">
        <f t="shared" si="249"/>
        <v>1.6999999999999999E-3</v>
      </c>
      <c r="AA372" s="14">
        <f t="shared" si="231"/>
        <v>-2476.0110988021502</v>
      </c>
      <c r="AH372" s="6">
        <f t="shared" si="232"/>
        <v>3</v>
      </c>
      <c r="AI372" s="6">
        <f t="shared" si="233"/>
        <v>10</v>
      </c>
      <c r="AJ372" s="12">
        <f t="shared" si="234"/>
        <v>30</v>
      </c>
      <c r="AK372" s="72">
        <f t="shared" si="224"/>
        <v>30</v>
      </c>
      <c r="AR372">
        <f t="shared" si="250"/>
        <v>25</v>
      </c>
      <c r="AS372">
        <f t="shared" si="251"/>
        <v>75</v>
      </c>
      <c r="AT372" s="183">
        <f t="shared" si="252"/>
        <v>56919</v>
      </c>
      <c r="AU372" s="2">
        <f t="shared" si="253"/>
        <v>3.125E-2</v>
      </c>
      <c r="AV372" s="169">
        <f t="shared" si="254"/>
        <v>358</v>
      </c>
      <c r="AW372" s="165">
        <f t="shared" si="255"/>
        <v>501.246423448347</v>
      </c>
      <c r="AX372" s="170">
        <f t="shared" si="261"/>
        <v>1874.7646753538033</v>
      </c>
      <c r="AY372" s="164" t="str">
        <f t="shared" si="264"/>
        <v>🏎</v>
      </c>
      <c r="AZ372" s="171" t="str">
        <f t="shared" si="235"/>
        <v>🚖</v>
      </c>
      <c r="BA372" s="172">
        <f t="shared" si="236"/>
        <v>1772.7774770145566</v>
      </c>
      <c r="BB372" s="173">
        <f t="shared" si="237"/>
        <v>0.71598123201959574</v>
      </c>
      <c r="BC372" s="174">
        <f t="shared" si="238"/>
        <v>2476.0110988021502</v>
      </c>
      <c r="BD372" s="175">
        <f t="shared" si="256"/>
        <v>58219.692134307144</v>
      </c>
      <c r="BE372" s="188"/>
      <c r="BF372" s="177" t="str">
        <f t="shared" si="223"/>
        <v/>
      </c>
      <c r="BG372" s="178" t="str">
        <f t="shared" si="257"/>
        <v/>
      </c>
      <c r="BH372" s="179" t="str">
        <f t="shared" si="239"/>
        <v/>
      </c>
      <c r="BI372" s="180">
        <f t="shared" si="258"/>
        <v>32</v>
      </c>
      <c r="BJ372" s="181">
        <f t="shared" si="262"/>
        <v>101.9871983392469</v>
      </c>
      <c r="BK372" s="182">
        <f t="shared" si="259"/>
        <v>1.6999999999999999E-3</v>
      </c>
    </row>
    <row r="373" spans="1:63" x14ac:dyDescent="0.25">
      <c r="A373" s="7">
        <f t="shared" si="240"/>
        <v>25</v>
      </c>
      <c r="B373" s="7">
        <f t="shared" si="241"/>
        <v>75</v>
      </c>
      <c r="C373" s="115">
        <f t="shared" si="242"/>
        <v>56949</v>
      </c>
      <c r="D373" s="2">
        <f t="shared" si="225"/>
        <v>3.2258064516129031E-2</v>
      </c>
      <c r="E373" s="169">
        <f t="shared" si="243"/>
        <v>359</v>
      </c>
      <c r="F373" s="165">
        <f t="shared" si="244"/>
        <v>486.43459163544827</v>
      </c>
      <c r="G373" s="170">
        <f t="shared" si="260"/>
        <v>1878.0545849776497</v>
      </c>
      <c r="H373" s="164" t="str">
        <f t="shared" si="263"/>
        <v>🏎</v>
      </c>
      <c r="I373" s="171" t="str">
        <f t="shared" si="226"/>
        <v>🚖</v>
      </c>
      <c r="J373" s="172">
        <f t="shared" si="227"/>
        <v>1779.0811083493277</v>
      </c>
      <c r="K373" s="173">
        <f t="shared" si="228"/>
        <v>0.72188635488117092</v>
      </c>
      <c r="L373" s="174">
        <f t="shared" si="229"/>
        <v>2464.4891766130982</v>
      </c>
      <c r="M373" s="175">
        <f t="shared" si="245"/>
        <v>56440.61102595782</v>
      </c>
      <c r="N373" s="15"/>
      <c r="O373" s="37" t="str">
        <f t="shared" si="222"/>
        <v/>
      </c>
      <c r="P373" s="62" t="str">
        <f t="shared" si="246"/>
        <v/>
      </c>
      <c r="Q373" s="16" t="str">
        <f t="shared" si="230"/>
        <v/>
      </c>
      <c r="R373" s="60">
        <f t="shared" si="247"/>
        <v>31</v>
      </c>
      <c r="S373" s="98">
        <f t="shared" si="248"/>
        <v>98.973476628322146</v>
      </c>
      <c r="T373" s="21">
        <f t="shared" si="249"/>
        <v>1.6999999999999999E-3</v>
      </c>
      <c r="AA373" s="14">
        <f t="shared" si="231"/>
        <v>-2464.4891766130982</v>
      </c>
      <c r="AH373" s="6">
        <f t="shared" si="232"/>
        <v>3</v>
      </c>
      <c r="AI373" s="6">
        <f t="shared" si="233"/>
        <v>10</v>
      </c>
      <c r="AJ373" s="12">
        <f t="shared" si="234"/>
        <v>30</v>
      </c>
      <c r="AK373" s="72">
        <f t="shared" si="224"/>
        <v>31</v>
      </c>
      <c r="AR373">
        <f t="shared" si="250"/>
        <v>25</v>
      </c>
      <c r="AS373">
        <f t="shared" si="251"/>
        <v>75</v>
      </c>
      <c r="AT373" s="183">
        <f t="shared" si="252"/>
        <v>56949</v>
      </c>
      <c r="AU373" s="2">
        <f t="shared" si="253"/>
        <v>3.2258064516129031E-2</v>
      </c>
      <c r="AV373" s="169">
        <f t="shared" si="254"/>
        <v>359</v>
      </c>
      <c r="AW373" s="165">
        <f t="shared" si="255"/>
        <v>486.43459163544827</v>
      </c>
      <c r="AX373" s="170">
        <f t="shared" si="261"/>
        <v>1878.0545849776497</v>
      </c>
      <c r="AY373" s="164" t="str">
        <f t="shared" si="264"/>
        <v>🏎</v>
      </c>
      <c r="AZ373" s="171" t="str">
        <f t="shared" si="235"/>
        <v>🚖</v>
      </c>
      <c r="BA373" s="172">
        <f t="shared" si="236"/>
        <v>1779.0811083493277</v>
      </c>
      <c r="BB373" s="173">
        <f t="shared" si="237"/>
        <v>0.72188635488117092</v>
      </c>
      <c r="BC373" s="174">
        <f t="shared" si="238"/>
        <v>2464.4891766130982</v>
      </c>
      <c r="BD373" s="175">
        <f t="shared" si="256"/>
        <v>56440.61102595782</v>
      </c>
      <c r="BE373" s="188"/>
      <c r="BF373" s="177" t="str">
        <f t="shared" si="223"/>
        <v/>
      </c>
      <c r="BG373" s="178" t="str">
        <f t="shared" si="257"/>
        <v/>
      </c>
      <c r="BH373" s="179" t="str">
        <f t="shared" si="239"/>
        <v/>
      </c>
      <c r="BI373" s="180">
        <f t="shared" si="258"/>
        <v>31</v>
      </c>
      <c r="BJ373" s="181">
        <f t="shared" si="262"/>
        <v>98.973476628322146</v>
      </c>
      <c r="BK373" s="182">
        <f t="shared" si="259"/>
        <v>1.6999999999999999E-3</v>
      </c>
    </row>
    <row r="374" spans="1:63" x14ac:dyDescent="0.25">
      <c r="A374" s="7">
        <f t="shared" si="240"/>
        <v>25</v>
      </c>
      <c r="B374" s="7">
        <f t="shared" si="241"/>
        <v>75</v>
      </c>
      <c r="C374" s="115">
        <f t="shared" si="242"/>
        <v>56980</v>
      </c>
      <c r="D374" s="2">
        <f t="shared" si="225"/>
        <v>3.3333333333333333E-2</v>
      </c>
      <c r="E374" s="169">
        <f t="shared" si="243"/>
        <v>360</v>
      </c>
      <c r="F374" s="165">
        <f t="shared" si="244"/>
        <v>471.57009200137543</v>
      </c>
      <c r="G374" s="170">
        <f t="shared" si="260"/>
        <v>1881.3537008652606</v>
      </c>
      <c r="H374" s="164" t="str">
        <f t="shared" si="263"/>
        <v>🏎</v>
      </c>
      <c r="I374" s="171" t="str">
        <f t="shared" si="226"/>
        <v>🚖</v>
      </c>
      <c r="J374" s="172">
        <f t="shared" si="227"/>
        <v>1785.4046621211323</v>
      </c>
      <c r="K374" s="173">
        <f t="shared" si="228"/>
        <v>0.72786797018043503</v>
      </c>
      <c r="L374" s="174">
        <f t="shared" si="229"/>
        <v>2452.9237928666362</v>
      </c>
      <c r="M374" s="175">
        <f t="shared" si="245"/>
        <v>54655.206363836682</v>
      </c>
      <c r="N374" s="15"/>
      <c r="O374" s="37" t="str">
        <f t="shared" si="222"/>
        <v/>
      </c>
      <c r="P374" s="62" t="str">
        <f t="shared" si="246"/>
        <v/>
      </c>
      <c r="Q374" s="16" t="str">
        <f t="shared" si="230"/>
        <v/>
      </c>
      <c r="R374" s="60">
        <f t="shared" si="247"/>
        <v>30</v>
      </c>
      <c r="S374" s="98">
        <f t="shared" si="248"/>
        <v>95.949038744128288</v>
      </c>
      <c r="T374" s="21">
        <f t="shared" si="249"/>
        <v>1.6999999999999999E-3</v>
      </c>
      <c r="AA374" s="14">
        <f t="shared" si="231"/>
        <v>-2452.9237928666362</v>
      </c>
      <c r="AH374" s="6">
        <f t="shared" si="232"/>
        <v>3</v>
      </c>
      <c r="AI374" s="6">
        <f t="shared" si="233"/>
        <v>10</v>
      </c>
      <c r="AJ374" s="12">
        <f t="shared" si="234"/>
        <v>30</v>
      </c>
      <c r="AK374" s="72">
        <f t="shared" si="224"/>
        <v>31</v>
      </c>
      <c r="AR374">
        <f t="shared" si="250"/>
        <v>25</v>
      </c>
      <c r="AS374">
        <f t="shared" si="251"/>
        <v>75</v>
      </c>
      <c r="AT374" s="183">
        <f t="shared" si="252"/>
        <v>56980</v>
      </c>
      <c r="AU374" s="2">
        <f t="shared" si="253"/>
        <v>3.3333333333333333E-2</v>
      </c>
      <c r="AV374" s="169">
        <f t="shared" si="254"/>
        <v>360</v>
      </c>
      <c r="AW374" s="165">
        <f t="shared" si="255"/>
        <v>471.57009200137543</v>
      </c>
      <c r="AX374" s="170">
        <f t="shared" si="261"/>
        <v>1881.3537008652606</v>
      </c>
      <c r="AY374" s="164" t="str">
        <f t="shared" si="264"/>
        <v>🏎</v>
      </c>
      <c r="AZ374" s="171" t="str">
        <f t="shared" si="235"/>
        <v>🚖</v>
      </c>
      <c r="BA374" s="172">
        <f t="shared" si="236"/>
        <v>1785.4046621211323</v>
      </c>
      <c r="BB374" s="173">
        <f t="shared" si="237"/>
        <v>0.72786797018043503</v>
      </c>
      <c r="BC374" s="174">
        <f t="shared" si="238"/>
        <v>2452.9237928666362</v>
      </c>
      <c r="BD374" s="175">
        <f t="shared" si="256"/>
        <v>54655.206363836682</v>
      </c>
      <c r="BE374" s="188"/>
      <c r="BF374" s="177" t="str">
        <f t="shared" si="223"/>
        <v/>
      </c>
      <c r="BG374" s="178" t="str">
        <f t="shared" si="257"/>
        <v/>
      </c>
      <c r="BH374" s="179" t="str">
        <f t="shared" si="239"/>
        <v/>
      </c>
      <c r="BI374" s="180">
        <f t="shared" si="258"/>
        <v>30</v>
      </c>
      <c r="BJ374" s="181">
        <f t="shared" si="262"/>
        <v>95.949038744128288</v>
      </c>
      <c r="BK374" s="182">
        <f t="shared" si="259"/>
        <v>1.6999999999999999E-3</v>
      </c>
    </row>
    <row r="375" spans="1:63" x14ac:dyDescent="0.25">
      <c r="A375" s="7">
        <f t="shared" si="240"/>
        <v>25</v>
      </c>
      <c r="B375" s="7">
        <f t="shared" si="241"/>
        <v>75</v>
      </c>
      <c r="C375" s="115">
        <f t="shared" si="242"/>
        <v>57011</v>
      </c>
      <c r="D375" s="2">
        <f t="shared" si="225"/>
        <v>3.4482758620689655E-2</v>
      </c>
      <c r="E375" s="169">
        <f t="shared" si="243"/>
        <v>361</v>
      </c>
      <c r="F375" s="165">
        <f t="shared" si="244"/>
        <v>456.65275809106521</v>
      </c>
      <c r="G375" s="170">
        <f t="shared" si="260"/>
        <v>1884.6622884081614</v>
      </c>
      <c r="H375" s="164" t="str">
        <f t="shared" si="263"/>
        <v>🏎</v>
      </c>
      <c r="I375" s="171" t="str">
        <f t="shared" si="226"/>
        <v>🚖</v>
      </c>
      <c r="J375" s="172">
        <f t="shared" si="227"/>
        <v>1791.748437589639</v>
      </c>
      <c r="K375" s="173">
        <f t="shared" si="228"/>
        <v>0.73392757733540082</v>
      </c>
      <c r="L375" s="174">
        <f t="shared" si="229"/>
        <v>2441.3150464992268</v>
      </c>
      <c r="M375" s="175">
        <f t="shared" si="245"/>
        <v>52863.457926247043</v>
      </c>
      <c r="N375" s="15"/>
      <c r="O375" s="37" t="str">
        <f t="shared" si="222"/>
        <v/>
      </c>
      <c r="P375" s="62" t="str">
        <f t="shared" si="246"/>
        <v/>
      </c>
      <c r="Q375" s="16" t="str">
        <f t="shared" si="230"/>
        <v/>
      </c>
      <c r="R375" s="60">
        <f t="shared" si="247"/>
        <v>29</v>
      </c>
      <c r="S375" s="98">
        <f t="shared" si="248"/>
        <v>92.913850818522349</v>
      </c>
      <c r="T375" s="21">
        <f t="shared" si="249"/>
        <v>1.6999999999999999E-3</v>
      </c>
      <c r="AA375" s="14">
        <f t="shared" si="231"/>
        <v>-2441.3150464992268</v>
      </c>
      <c r="AH375" s="6">
        <f t="shared" si="232"/>
        <v>4</v>
      </c>
      <c r="AI375" s="6">
        <f t="shared" si="233"/>
        <v>11</v>
      </c>
      <c r="AJ375" s="12">
        <f t="shared" si="234"/>
        <v>31</v>
      </c>
      <c r="AK375" s="72">
        <f t="shared" si="224"/>
        <v>29</v>
      </c>
      <c r="AR375">
        <f t="shared" si="250"/>
        <v>25</v>
      </c>
      <c r="AS375">
        <f t="shared" si="251"/>
        <v>75</v>
      </c>
      <c r="AT375" s="183">
        <f t="shared" si="252"/>
        <v>57011</v>
      </c>
      <c r="AU375" s="2">
        <f t="shared" si="253"/>
        <v>3.4482758620689655E-2</v>
      </c>
      <c r="AV375" s="169">
        <f t="shared" si="254"/>
        <v>361</v>
      </c>
      <c r="AW375" s="165">
        <f t="shared" si="255"/>
        <v>456.65275809106521</v>
      </c>
      <c r="AX375" s="170">
        <f t="shared" si="261"/>
        <v>1884.6622884081614</v>
      </c>
      <c r="AY375" s="164" t="str">
        <f t="shared" si="264"/>
        <v>🏎</v>
      </c>
      <c r="AZ375" s="171" t="str">
        <f t="shared" si="235"/>
        <v>🚖</v>
      </c>
      <c r="BA375" s="172">
        <f t="shared" si="236"/>
        <v>1791.748437589639</v>
      </c>
      <c r="BB375" s="173">
        <f t="shared" si="237"/>
        <v>0.73392757733540082</v>
      </c>
      <c r="BC375" s="174">
        <f t="shared" si="238"/>
        <v>2441.3150464992268</v>
      </c>
      <c r="BD375" s="175">
        <f t="shared" si="256"/>
        <v>52863.457926247043</v>
      </c>
      <c r="BE375" s="188"/>
      <c r="BF375" s="177" t="str">
        <f t="shared" si="223"/>
        <v/>
      </c>
      <c r="BG375" s="178" t="str">
        <f t="shared" si="257"/>
        <v/>
      </c>
      <c r="BH375" s="179" t="str">
        <f t="shared" si="239"/>
        <v/>
      </c>
      <c r="BI375" s="180">
        <f t="shared" si="258"/>
        <v>29</v>
      </c>
      <c r="BJ375" s="181">
        <f t="shared" si="262"/>
        <v>92.913850818522349</v>
      </c>
      <c r="BK375" s="182">
        <f t="shared" si="259"/>
        <v>1.6999999999999999E-3</v>
      </c>
    </row>
    <row r="376" spans="1:63" x14ac:dyDescent="0.25">
      <c r="A376" s="7">
        <f t="shared" si="240"/>
        <v>25</v>
      </c>
      <c r="B376" s="7">
        <f t="shared" si="241"/>
        <v>75</v>
      </c>
      <c r="C376" s="115">
        <f t="shared" si="242"/>
        <v>57040</v>
      </c>
      <c r="D376" s="2">
        <f t="shared" si="225"/>
        <v>3.5714285714285712E-2</v>
      </c>
      <c r="E376" s="169">
        <f t="shared" si="243"/>
        <v>362</v>
      </c>
      <c r="F376" s="165">
        <f t="shared" si="244"/>
        <v>441.68242094909363</v>
      </c>
      <c r="G376" s="170">
        <f t="shared" si="260"/>
        <v>1887.9806402231086</v>
      </c>
      <c r="H376" s="164" t="str">
        <f t="shared" si="263"/>
        <v>🏎</v>
      </c>
      <c r="I376" s="171" t="str">
        <f t="shared" si="226"/>
        <v>🚖</v>
      </c>
      <c r="J376" s="172">
        <f t="shared" si="227"/>
        <v>1798.1127617484885</v>
      </c>
      <c r="K376" s="173">
        <f t="shared" si="228"/>
        <v>0.74006671562145776</v>
      </c>
      <c r="L376" s="174">
        <f t="shared" si="229"/>
        <v>2429.6630611722021</v>
      </c>
      <c r="M376" s="175">
        <f t="shared" si="245"/>
        <v>51065.345164498554</v>
      </c>
      <c r="N376" s="15"/>
      <c r="O376" s="37" t="str">
        <f t="shared" si="222"/>
        <v/>
      </c>
      <c r="P376" s="62" t="str">
        <f t="shared" si="246"/>
        <v/>
      </c>
      <c r="Q376" s="16" t="str">
        <f t="shared" si="230"/>
        <v/>
      </c>
      <c r="R376" s="60">
        <f t="shared" si="247"/>
        <v>28</v>
      </c>
      <c r="S376" s="98">
        <f t="shared" si="248"/>
        <v>89.867878474619971</v>
      </c>
      <c r="T376" s="21">
        <f t="shared" si="249"/>
        <v>1.6999999999999999E-3</v>
      </c>
      <c r="AA376" s="14">
        <f t="shared" si="231"/>
        <v>-2429.6630611722021</v>
      </c>
      <c r="AH376" s="6">
        <f t="shared" si="232"/>
        <v>4</v>
      </c>
      <c r="AI376" s="6">
        <f t="shared" si="233"/>
        <v>11</v>
      </c>
      <c r="AJ376" s="12">
        <f t="shared" si="234"/>
        <v>31</v>
      </c>
      <c r="AK376" s="72">
        <f t="shared" si="224"/>
        <v>31</v>
      </c>
      <c r="AR376">
        <f t="shared" si="250"/>
        <v>25</v>
      </c>
      <c r="AS376">
        <f t="shared" si="251"/>
        <v>75</v>
      </c>
      <c r="AT376" s="183">
        <f t="shared" si="252"/>
        <v>57040</v>
      </c>
      <c r="AU376" s="2">
        <f t="shared" si="253"/>
        <v>3.5714285714285712E-2</v>
      </c>
      <c r="AV376" s="169">
        <f t="shared" si="254"/>
        <v>362</v>
      </c>
      <c r="AW376" s="165">
        <f t="shared" si="255"/>
        <v>441.68242094909363</v>
      </c>
      <c r="AX376" s="170">
        <f t="shared" si="261"/>
        <v>1887.9806402231086</v>
      </c>
      <c r="AY376" s="164" t="str">
        <f t="shared" si="264"/>
        <v>🏎</v>
      </c>
      <c r="AZ376" s="171" t="str">
        <f t="shared" si="235"/>
        <v>🚖</v>
      </c>
      <c r="BA376" s="172">
        <f t="shared" si="236"/>
        <v>1798.1127617484885</v>
      </c>
      <c r="BB376" s="173">
        <f t="shared" si="237"/>
        <v>0.74006671562145776</v>
      </c>
      <c r="BC376" s="174">
        <f t="shared" si="238"/>
        <v>2429.6630611722021</v>
      </c>
      <c r="BD376" s="175">
        <f t="shared" si="256"/>
        <v>51065.345164498554</v>
      </c>
      <c r="BE376" s="188"/>
      <c r="BF376" s="177" t="str">
        <f t="shared" si="223"/>
        <v/>
      </c>
      <c r="BG376" s="178" t="str">
        <f t="shared" si="257"/>
        <v/>
      </c>
      <c r="BH376" s="179" t="str">
        <f t="shared" si="239"/>
        <v/>
      </c>
      <c r="BI376" s="180">
        <f t="shared" si="258"/>
        <v>28</v>
      </c>
      <c r="BJ376" s="181">
        <f t="shared" si="262"/>
        <v>89.867878474619971</v>
      </c>
      <c r="BK376" s="182">
        <f t="shared" si="259"/>
        <v>1.6999999999999999E-3</v>
      </c>
    </row>
    <row r="377" spans="1:63" x14ac:dyDescent="0.25">
      <c r="A377" s="7">
        <f t="shared" si="240"/>
        <v>25</v>
      </c>
      <c r="B377" s="7">
        <f t="shared" si="241"/>
        <v>75</v>
      </c>
      <c r="C377" s="115">
        <f t="shared" si="242"/>
        <v>57071</v>
      </c>
      <c r="D377" s="2">
        <f t="shared" si="225"/>
        <v>3.7037037037037035E-2</v>
      </c>
      <c r="E377" s="169">
        <f t="shared" si="243"/>
        <v>363</v>
      </c>
      <c r="F377" s="165">
        <f t="shared" si="244"/>
        <v>426.65890888795371</v>
      </c>
      <c r="G377" s="170">
        <f t="shared" si="260"/>
        <v>1891.3090801666131</v>
      </c>
      <c r="H377" s="164" t="str">
        <f t="shared" si="263"/>
        <v>🏎</v>
      </c>
      <c r="I377" s="171" t="str">
        <f t="shared" si="226"/>
        <v>🚖</v>
      </c>
      <c r="J377" s="172">
        <f t="shared" si="227"/>
        <v>1804.4979933869656</v>
      </c>
      <c r="K377" s="173">
        <f t="shared" si="228"/>
        <v>0.74628696556588003</v>
      </c>
      <c r="L377" s="174">
        <f t="shared" si="229"/>
        <v>2417.9679890545667</v>
      </c>
      <c r="M377" s="175">
        <f t="shared" si="245"/>
        <v>49260.847171111593</v>
      </c>
      <c r="N377" s="15"/>
      <c r="O377" s="37" t="str">
        <f t="shared" si="222"/>
        <v/>
      </c>
      <c r="P377" s="62" t="str">
        <f t="shared" si="246"/>
        <v/>
      </c>
      <c r="Q377" s="16" t="str">
        <f t="shared" si="230"/>
        <v/>
      </c>
      <c r="R377" s="60">
        <f t="shared" si="247"/>
        <v>27</v>
      </c>
      <c r="S377" s="98">
        <f t="shared" si="248"/>
        <v>86.811086779647539</v>
      </c>
      <c r="T377" s="21">
        <f t="shared" si="249"/>
        <v>1.6999999999999999E-3</v>
      </c>
      <c r="AA377" s="14">
        <f t="shared" si="231"/>
        <v>-2417.9679890545667</v>
      </c>
      <c r="AH377" s="6">
        <f t="shared" si="232"/>
        <v>4</v>
      </c>
      <c r="AI377" s="6">
        <f t="shared" si="233"/>
        <v>11</v>
      </c>
      <c r="AJ377" s="12">
        <f t="shared" si="234"/>
        <v>31</v>
      </c>
      <c r="AK377" s="72">
        <f t="shared" si="224"/>
        <v>30</v>
      </c>
      <c r="AR377">
        <f t="shared" si="250"/>
        <v>25</v>
      </c>
      <c r="AS377">
        <f t="shared" si="251"/>
        <v>75</v>
      </c>
      <c r="AT377" s="183">
        <f t="shared" si="252"/>
        <v>57071</v>
      </c>
      <c r="AU377" s="2">
        <f t="shared" si="253"/>
        <v>3.7037037037037035E-2</v>
      </c>
      <c r="AV377" s="169">
        <f t="shared" si="254"/>
        <v>363</v>
      </c>
      <c r="AW377" s="165">
        <f t="shared" si="255"/>
        <v>426.65890888795371</v>
      </c>
      <c r="AX377" s="170">
        <f t="shared" si="261"/>
        <v>1891.3090801666131</v>
      </c>
      <c r="AY377" s="164" t="str">
        <f t="shared" si="264"/>
        <v>🏎</v>
      </c>
      <c r="AZ377" s="171" t="str">
        <f t="shared" si="235"/>
        <v>🚖</v>
      </c>
      <c r="BA377" s="172">
        <f t="shared" si="236"/>
        <v>1804.4979933869656</v>
      </c>
      <c r="BB377" s="173">
        <f t="shared" si="237"/>
        <v>0.74628696556588003</v>
      </c>
      <c r="BC377" s="174">
        <f t="shared" si="238"/>
        <v>2417.9679890545667</v>
      </c>
      <c r="BD377" s="175">
        <f t="shared" si="256"/>
        <v>49260.847171111593</v>
      </c>
      <c r="BE377" s="188"/>
      <c r="BF377" s="177" t="str">
        <f t="shared" si="223"/>
        <v/>
      </c>
      <c r="BG377" s="178" t="str">
        <f t="shared" si="257"/>
        <v/>
      </c>
      <c r="BH377" s="179" t="str">
        <f t="shared" si="239"/>
        <v/>
      </c>
      <c r="BI377" s="180">
        <f t="shared" si="258"/>
        <v>27</v>
      </c>
      <c r="BJ377" s="181">
        <f t="shared" si="262"/>
        <v>86.811086779647539</v>
      </c>
      <c r="BK377" s="182">
        <f t="shared" si="259"/>
        <v>1.6999999999999999E-3</v>
      </c>
    </row>
    <row r="378" spans="1:63" x14ac:dyDescent="0.25">
      <c r="A378" s="7">
        <f t="shared" si="240"/>
        <v>25</v>
      </c>
      <c r="B378" s="7">
        <f t="shared" si="241"/>
        <v>75</v>
      </c>
      <c r="C378" s="115">
        <f t="shared" si="242"/>
        <v>57101</v>
      </c>
      <c r="D378" s="2">
        <f t="shared" si="225"/>
        <v>3.8461538461538457E-2</v>
      </c>
      <c r="E378" s="169">
        <f t="shared" si="243"/>
        <v>364</v>
      </c>
      <c r="F378" s="165">
        <f t="shared" si="244"/>
        <v>411.58204722239833</v>
      </c>
      <c r="G378" s="170">
        <f t="shared" si="260"/>
        <v>1894.6479681196765</v>
      </c>
      <c r="H378" s="164" t="str">
        <f t="shared" si="263"/>
        <v>🏎</v>
      </c>
      <c r="I378" s="171" t="str">
        <f t="shared" si="226"/>
        <v>🚁</v>
      </c>
      <c r="J378" s="172">
        <f t="shared" si="227"/>
        <v>1810.9045279287868</v>
      </c>
      <c r="K378" s="173">
        <f t="shared" si="228"/>
        <v>0.75258995041309251</v>
      </c>
      <c r="L378" s="174">
        <f t="shared" si="229"/>
        <v>2406.2300153420747</v>
      </c>
      <c r="M378" s="175">
        <f t="shared" si="245"/>
        <v>47449.942643182803</v>
      </c>
      <c r="N378" s="15"/>
      <c r="O378" s="37" t="str">
        <f t="shared" si="222"/>
        <v/>
      </c>
      <c r="P378" s="62" t="str">
        <f t="shared" si="246"/>
        <v/>
      </c>
      <c r="Q378" s="16" t="str">
        <f t="shared" si="230"/>
        <v/>
      </c>
      <c r="R378" s="60">
        <f t="shared" si="247"/>
        <v>26</v>
      </c>
      <c r="S378" s="98">
        <f t="shared" si="248"/>
        <v>83.7434401908897</v>
      </c>
      <c r="T378" s="21">
        <f t="shared" si="249"/>
        <v>1.6999999999999999E-3</v>
      </c>
      <c r="AA378" s="14">
        <f t="shared" si="231"/>
        <v>-2406.2300153420747</v>
      </c>
      <c r="AH378" s="6">
        <f t="shared" si="232"/>
        <v>4</v>
      </c>
      <c r="AI378" s="6">
        <f t="shared" si="233"/>
        <v>11</v>
      </c>
      <c r="AJ378" s="12">
        <f t="shared" si="234"/>
        <v>31</v>
      </c>
      <c r="AK378" s="72">
        <f t="shared" si="224"/>
        <v>31</v>
      </c>
      <c r="AR378">
        <f t="shared" si="250"/>
        <v>25</v>
      </c>
      <c r="AS378">
        <f t="shared" si="251"/>
        <v>75</v>
      </c>
      <c r="AT378" s="183">
        <f t="shared" si="252"/>
        <v>57101</v>
      </c>
      <c r="AU378" s="2">
        <f t="shared" si="253"/>
        <v>3.8461538461538457E-2</v>
      </c>
      <c r="AV378" s="169">
        <f t="shared" si="254"/>
        <v>364</v>
      </c>
      <c r="AW378" s="165">
        <f t="shared" si="255"/>
        <v>411.58204722239833</v>
      </c>
      <c r="AX378" s="170">
        <f t="shared" si="261"/>
        <v>1894.6479681196765</v>
      </c>
      <c r="AY378" s="164" t="str">
        <f t="shared" si="264"/>
        <v>🏎</v>
      </c>
      <c r="AZ378" s="171" t="str">
        <f t="shared" si="235"/>
        <v>🚁</v>
      </c>
      <c r="BA378" s="172">
        <f t="shared" si="236"/>
        <v>1810.9045279287868</v>
      </c>
      <c r="BB378" s="173">
        <f t="shared" si="237"/>
        <v>0.75258995041309251</v>
      </c>
      <c r="BC378" s="174">
        <f t="shared" si="238"/>
        <v>2406.2300153420747</v>
      </c>
      <c r="BD378" s="175">
        <f t="shared" si="256"/>
        <v>47449.942643182803</v>
      </c>
      <c r="BE378" s="188"/>
      <c r="BF378" s="177" t="str">
        <f t="shared" si="223"/>
        <v/>
      </c>
      <c r="BG378" s="178" t="str">
        <f t="shared" si="257"/>
        <v/>
      </c>
      <c r="BH378" s="179" t="str">
        <f t="shared" si="239"/>
        <v/>
      </c>
      <c r="BI378" s="180">
        <f t="shared" si="258"/>
        <v>26</v>
      </c>
      <c r="BJ378" s="181">
        <f t="shared" si="262"/>
        <v>83.7434401908897</v>
      </c>
      <c r="BK378" s="182">
        <f t="shared" si="259"/>
        <v>1.6999999999999999E-3</v>
      </c>
    </row>
    <row r="379" spans="1:63" x14ac:dyDescent="0.25">
      <c r="A379" s="7">
        <f t="shared" si="240"/>
        <v>25</v>
      </c>
      <c r="B379" s="7">
        <f t="shared" si="241"/>
        <v>75</v>
      </c>
      <c r="C379" s="115">
        <f t="shared" si="242"/>
        <v>57132</v>
      </c>
      <c r="D379" s="2">
        <f t="shared" si="225"/>
        <v>0.04</v>
      </c>
      <c r="E379" s="169">
        <f t="shared" si="243"/>
        <v>365</v>
      </c>
      <c r="F379" s="165">
        <f t="shared" si="244"/>
        <v>396.4516579633534</v>
      </c>
      <c r="G379" s="170">
        <f t="shared" si="260"/>
        <v>1897.9977057273122</v>
      </c>
      <c r="H379" s="164" t="str">
        <f t="shared" si="263"/>
        <v>🏎</v>
      </c>
      <c r="I379" s="171" t="str">
        <f t="shared" si="226"/>
        <v>🚁</v>
      </c>
      <c r="J379" s="172">
        <f t="shared" si="227"/>
        <v>1817.3328032339014</v>
      </c>
      <c r="K379" s="173">
        <f t="shared" si="228"/>
        <v>0.75897733766763387</v>
      </c>
      <c r="L379" s="174">
        <f t="shared" si="229"/>
        <v>2394.4493636906655</v>
      </c>
      <c r="M379" s="175">
        <f t="shared" si="245"/>
        <v>45632.609839948898</v>
      </c>
      <c r="N379" s="15"/>
      <c r="O379" s="37" t="str">
        <f t="shared" si="222"/>
        <v/>
      </c>
      <c r="P379" s="62" t="str">
        <f t="shared" si="246"/>
        <v/>
      </c>
      <c r="Q379" s="16" t="str">
        <f t="shared" si="230"/>
        <v/>
      </c>
      <c r="R379" s="60">
        <f t="shared" si="247"/>
        <v>25</v>
      </c>
      <c r="S379" s="98">
        <f t="shared" si="248"/>
        <v>80.664902493410764</v>
      </c>
      <c r="T379" s="21">
        <f t="shared" si="249"/>
        <v>1.6999999999999999E-3</v>
      </c>
      <c r="AA379" s="14">
        <f t="shared" si="231"/>
        <v>-2394.4493636906655</v>
      </c>
      <c r="AH379" s="6">
        <f t="shared" si="232"/>
        <v>4</v>
      </c>
      <c r="AI379" s="6">
        <f t="shared" si="233"/>
        <v>11</v>
      </c>
      <c r="AJ379" s="12">
        <f t="shared" si="234"/>
        <v>31</v>
      </c>
      <c r="AK379" s="72">
        <f t="shared" si="224"/>
        <v>30</v>
      </c>
      <c r="AR379">
        <f t="shared" si="250"/>
        <v>25</v>
      </c>
      <c r="AS379">
        <f t="shared" si="251"/>
        <v>75</v>
      </c>
      <c r="AT379" s="183">
        <f t="shared" si="252"/>
        <v>57132</v>
      </c>
      <c r="AU379" s="2">
        <f t="shared" si="253"/>
        <v>0.04</v>
      </c>
      <c r="AV379" s="169">
        <f t="shared" si="254"/>
        <v>365</v>
      </c>
      <c r="AW379" s="165">
        <f t="shared" si="255"/>
        <v>396.4516579633534</v>
      </c>
      <c r="AX379" s="170">
        <f t="shared" si="261"/>
        <v>1897.9977057273122</v>
      </c>
      <c r="AY379" s="164" t="str">
        <f t="shared" si="264"/>
        <v>🏎</v>
      </c>
      <c r="AZ379" s="171" t="str">
        <f t="shared" si="235"/>
        <v>🚁</v>
      </c>
      <c r="BA379" s="172">
        <f t="shared" si="236"/>
        <v>1817.3328032339014</v>
      </c>
      <c r="BB379" s="173">
        <f t="shared" si="237"/>
        <v>0.75897733766763387</v>
      </c>
      <c r="BC379" s="174">
        <f t="shared" si="238"/>
        <v>2394.4493636906655</v>
      </c>
      <c r="BD379" s="175">
        <f t="shared" si="256"/>
        <v>45632.609839948898</v>
      </c>
      <c r="BE379" s="188"/>
      <c r="BF379" s="177" t="str">
        <f t="shared" si="223"/>
        <v/>
      </c>
      <c r="BG379" s="178" t="str">
        <f t="shared" si="257"/>
        <v/>
      </c>
      <c r="BH379" s="179" t="str">
        <f t="shared" si="239"/>
        <v/>
      </c>
      <c r="BI379" s="180">
        <f t="shared" si="258"/>
        <v>25</v>
      </c>
      <c r="BJ379" s="181">
        <f t="shared" si="262"/>
        <v>80.664902493410764</v>
      </c>
      <c r="BK379" s="182">
        <f t="shared" si="259"/>
        <v>1.6999999999999999E-3</v>
      </c>
    </row>
    <row r="380" spans="1:63" x14ac:dyDescent="0.25">
      <c r="A380" s="7">
        <f t="shared" si="240"/>
        <v>25</v>
      </c>
      <c r="B380" s="7">
        <f t="shared" si="241"/>
        <v>75</v>
      </c>
      <c r="C380" s="115">
        <f t="shared" si="242"/>
        <v>57162</v>
      </c>
      <c r="D380" s="2">
        <f t="shared" si="225"/>
        <v>4.1666666666666664E-2</v>
      </c>
      <c r="E380" s="169">
        <f t="shared" si="243"/>
        <v>366</v>
      </c>
      <c r="F380" s="165">
        <f t="shared" si="244"/>
        <v>381.26755946335692</v>
      </c>
      <c r="G380" s="170">
        <f t="shared" si="260"/>
        <v>1901.3587433312041</v>
      </c>
      <c r="H380" s="164" t="str">
        <f t="shared" si="263"/>
        <v>🏎</v>
      </c>
      <c r="I380" s="171" t="str">
        <f t="shared" si="226"/>
        <v>🚁</v>
      </c>
      <c r="J380" s="172">
        <f t="shared" si="227"/>
        <v>1823.7833066032911</v>
      </c>
      <c r="K380" s="173">
        <f t="shared" si="228"/>
        <v>0.76545084072319358</v>
      </c>
      <c r="L380" s="174">
        <f t="shared" si="229"/>
        <v>2382.6263027945611</v>
      </c>
      <c r="M380" s="175">
        <f t="shared" si="245"/>
        <v>43808.826533345607</v>
      </c>
      <c r="N380" s="15"/>
      <c r="O380" s="37" t="str">
        <f t="shared" si="222"/>
        <v/>
      </c>
      <c r="P380" s="62" t="str">
        <f t="shared" si="246"/>
        <v/>
      </c>
      <c r="Q380" s="16" t="str">
        <f t="shared" si="230"/>
        <v/>
      </c>
      <c r="R380" s="60">
        <f t="shared" si="247"/>
        <v>24</v>
      </c>
      <c r="S380" s="98">
        <f t="shared" si="248"/>
        <v>77.575436727913129</v>
      </c>
      <c r="T380" s="21">
        <f t="shared" si="249"/>
        <v>1.6999999999999999E-3</v>
      </c>
      <c r="AA380" s="14">
        <f t="shared" si="231"/>
        <v>-2382.6263027945611</v>
      </c>
      <c r="AH380" s="6">
        <f t="shared" si="232"/>
        <v>4</v>
      </c>
      <c r="AI380" s="6">
        <f t="shared" si="233"/>
        <v>11</v>
      </c>
      <c r="AJ380" s="12">
        <f t="shared" si="234"/>
        <v>31</v>
      </c>
      <c r="AK380" s="72">
        <f t="shared" si="224"/>
        <v>31</v>
      </c>
      <c r="AR380">
        <f t="shared" si="250"/>
        <v>25</v>
      </c>
      <c r="AS380">
        <f t="shared" si="251"/>
        <v>75</v>
      </c>
      <c r="AT380" s="183">
        <f t="shared" si="252"/>
        <v>57162</v>
      </c>
      <c r="AU380" s="2">
        <f t="shared" si="253"/>
        <v>4.1666666666666664E-2</v>
      </c>
      <c r="AV380" s="169">
        <f t="shared" si="254"/>
        <v>366</v>
      </c>
      <c r="AW380" s="165">
        <f t="shared" si="255"/>
        <v>381.26755946335692</v>
      </c>
      <c r="AX380" s="170">
        <f t="shared" si="261"/>
        <v>1901.3587433312041</v>
      </c>
      <c r="AY380" s="164" t="str">
        <f t="shared" si="264"/>
        <v>🏎</v>
      </c>
      <c r="AZ380" s="171" t="str">
        <f t="shared" si="235"/>
        <v>🚁</v>
      </c>
      <c r="BA380" s="172">
        <f t="shared" si="236"/>
        <v>1823.7833066032911</v>
      </c>
      <c r="BB380" s="173">
        <f t="shared" si="237"/>
        <v>0.76545084072319358</v>
      </c>
      <c r="BC380" s="174">
        <f t="shared" si="238"/>
        <v>2382.6263027945611</v>
      </c>
      <c r="BD380" s="175">
        <f t="shared" si="256"/>
        <v>43808.826533345607</v>
      </c>
      <c r="BE380" s="188"/>
      <c r="BF380" s="177" t="str">
        <f t="shared" si="223"/>
        <v/>
      </c>
      <c r="BG380" s="178" t="str">
        <f t="shared" si="257"/>
        <v/>
      </c>
      <c r="BH380" s="179" t="str">
        <f t="shared" si="239"/>
        <v/>
      </c>
      <c r="BI380" s="180">
        <f t="shared" si="258"/>
        <v>24</v>
      </c>
      <c r="BJ380" s="181">
        <f t="shared" si="262"/>
        <v>77.575436727913129</v>
      </c>
      <c r="BK380" s="182">
        <f t="shared" si="259"/>
        <v>1.6999999999999999E-3</v>
      </c>
    </row>
    <row r="381" spans="1:63" x14ac:dyDescent="0.25">
      <c r="A381" s="7">
        <f t="shared" si="240"/>
        <v>25</v>
      </c>
      <c r="B381" s="7">
        <f t="shared" si="241"/>
        <v>75</v>
      </c>
      <c r="C381" s="115">
        <f t="shared" si="242"/>
        <v>57193</v>
      </c>
      <c r="D381" s="2">
        <f t="shared" si="225"/>
        <v>4.3478260869565216E-2</v>
      </c>
      <c r="E381" s="169">
        <f t="shared" si="243"/>
        <v>367</v>
      </c>
      <c r="F381" s="165">
        <f t="shared" si="244"/>
        <v>366.02956600347142</v>
      </c>
      <c r="G381" s="170">
        <f t="shared" si="260"/>
        <v>1904.7315884063307</v>
      </c>
      <c r="H381" s="164" t="str">
        <f t="shared" si="263"/>
        <v>🏎</v>
      </c>
      <c r="I381" s="171" t="str">
        <f t="shared" si="226"/>
        <v>🚁</v>
      </c>
      <c r="J381" s="172">
        <f t="shared" si="227"/>
        <v>1830.2565832996431</v>
      </c>
      <c r="K381" s="173">
        <f t="shared" si="228"/>
        <v>0.77201222058798369</v>
      </c>
      <c r="L381" s="174">
        <f t="shared" si="229"/>
        <v>2370.7611544098022</v>
      </c>
      <c r="M381" s="175">
        <f t="shared" si="245"/>
        <v>41978.569950045967</v>
      </c>
      <c r="N381" s="15"/>
      <c r="O381" s="37" t="str">
        <f t="shared" si="222"/>
        <v/>
      </c>
      <c r="P381" s="62" t="str">
        <f t="shared" si="246"/>
        <v/>
      </c>
      <c r="Q381" s="16" t="str">
        <f t="shared" si="230"/>
        <v/>
      </c>
      <c r="R381" s="60">
        <f t="shared" si="247"/>
        <v>23</v>
      </c>
      <c r="S381" s="98">
        <f t="shared" si="248"/>
        <v>74.475005106687533</v>
      </c>
      <c r="T381" s="21">
        <f t="shared" si="249"/>
        <v>1.6999999999999999E-3</v>
      </c>
      <c r="AA381" s="14">
        <f t="shared" si="231"/>
        <v>-2370.7611544098022</v>
      </c>
      <c r="AH381" s="6">
        <f t="shared" si="232"/>
        <v>4</v>
      </c>
      <c r="AI381" s="6">
        <f t="shared" si="233"/>
        <v>11</v>
      </c>
      <c r="AJ381" s="12">
        <f t="shared" si="234"/>
        <v>31</v>
      </c>
      <c r="AK381" s="72">
        <f t="shared" si="224"/>
        <v>31</v>
      </c>
      <c r="AR381">
        <f t="shared" si="250"/>
        <v>25</v>
      </c>
      <c r="AS381">
        <f t="shared" si="251"/>
        <v>75</v>
      </c>
      <c r="AT381" s="183">
        <f t="shared" si="252"/>
        <v>57193</v>
      </c>
      <c r="AU381" s="2">
        <f t="shared" si="253"/>
        <v>4.3478260869565216E-2</v>
      </c>
      <c r="AV381" s="169">
        <f t="shared" si="254"/>
        <v>367</v>
      </c>
      <c r="AW381" s="165">
        <f t="shared" si="255"/>
        <v>366.02956600347142</v>
      </c>
      <c r="AX381" s="170">
        <f t="shared" si="261"/>
        <v>1904.7315884063307</v>
      </c>
      <c r="AY381" s="164" t="str">
        <f t="shared" si="264"/>
        <v>🏎</v>
      </c>
      <c r="AZ381" s="171" t="str">
        <f t="shared" si="235"/>
        <v>🚁</v>
      </c>
      <c r="BA381" s="172">
        <f t="shared" si="236"/>
        <v>1830.2565832996431</v>
      </c>
      <c r="BB381" s="173">
        <f t="shared" si="237"/>
        <v>0.77201222058798369</v>
      </c>
      <c r="BC381" s="174">
        <f t="shared" si="238"/>
        <v>2370.7611544098022</v>
      </c>
      <c r="BD381" s="175">
        <f t="shared" si="256"/>
        <v>41978.569950045967</v>
      </c>
      <c r="BE381" s="188"/>
      <c r="BF381" s="177" t="str">
        <f t="shared" si="223"/>
        <v/>
      </c>
      <c r="BG381" s="178" t="str">
        <f t="shared" si="257"/>
        <v/>
      </c>
      <c r="BH381" s="179" t="str">
        <f t="shared" si="239"/>
        <v/>
      </c>
      <c r="BI381" s="180">
        <f t="shared" si="258"/>
        <v>23</v>
      </c>
      <c r="BJ381" s="181">
        <f t="shared" si="262"/>
        <v>74.475005106687533</v>
      </c>
      <c r="BK381" s="182">
        <f t="shared" si="259"/>
        <v>1.6999999999999999E-3</v>
      </c>
    </row>
    <row r="382" spans="1:63" x14ac:dyDescent="0.25">
      <c r="A382" s="7">
        <f t="shared" si="240"/>
        <v>25</v>
      </c>
      <c r="B382" s="7">
        <f t="shared" si="241"/>
        <v>75</v>
      </c>
      <c r="C382" s="115">
        <f t="shared" si="242"/>
        <v>57224</v>
      </c>
      <c r="D382" s="2">
        <f t="shared" si="225"/>
        <v>4.5454545454545456E-2</v>
      </c>
      <c r="E382" s="169">
        <f t="shared" si="243"/>
        <v>368</v>
      </c>
      <c r="F382" s="165">
        <f t="shared" si="244"/>
        <v>350.73748730900468</v>
      </c>
      <c r="G382" s="170">
        <f t="shared" si="260"/>
        <v>1908.1168159111803</v>
      </c>
      <c r="H382" s="164" t="str">
        <f t="shared" si="263"/>
        <v>🏎</v>
      </c>
      <c r="I382" s="171" t="str">
        <f t="shared" si="226"/>
        <v>🚁</v>
      </c>
      <c r="J382" s="172">
        <f t="shared" si="227"/>
        <v>1836.7532469961022</v>
      </c>
      <c r="K382" s="173">
        <f t="shared" si="228"/>
        <v>0.77866328771923821</v>
      </c>
      <c r="L382" s="174">
        <f t="shared" si="229"/>
        <v>2358.8543032201851</v>
      </c>
      <c r="M382" s="175">
        <f t="shared" si="245"/>
        <v>40141.816703049866</v>
      </c>
      <c r="N382" s="15"/>
      <c r="O382" s="37" t="str">
        <f t="shared" si="222"/>
        <v/>
      </c>
      <c r="P382" s="62" t="str">
        <f t="shared" si="246"/>
        <v/>
      </c>
      <c r="Q382" s="16" t="str">
        <f t="shared" si="230"/>
        <v/>
      </c>
      <c r="R382" s="60">
        <f t="shared" si="247"/>
        <v>22</v>
      </c>
      <c r="S382" s="98">
        <f t="shared" si="248"/>
        <v>71.363568915078133</v>
      </c>
      <c r="T382" s="21">
        <f t="shared" si="249"/>
        <v>1.6999999999999999E-3</v>
      </c>
      <c r="AA382" s="14">
        <f t="shared" si="231"/>
        <v>-2358.8543032201851</v>
      </c>
      <c r="AH382" s="6">
        <f t="shared" si="232"/>
        <v>4</v>
      </c>
      <c r="AI382" s="6">
        <f t="shared" si="233"/>
        <v>11</v>
      </c>
      <c r="AJ382" s="12">
        <f t="shared" si="234"/>
        <v>31</v>
      </c>
      <c r="AK382" s="72">
        <f t="shared" si="224"/>
        <v>30</v>
      </c>
      <c r="AR382">
        <f t="shared" si="250"/>
        <v>25</v>
      </c>
      <c r="AS382">
        <f t="shared" si="251"/>
        <v>75</v>
      </c>
      <c r="AT382" s="183">
        <f t="shared" si="252"/>
        <v>57224</v>
      </c>
      <c r="AU382" s="2">
        <f t="shared" si="253"/>
        <v>4.5454545454545456E-2</v>
      </c>
      <c r="AV382" s="169">
        <f t="shared" si="254"/>
        <v>368</v>
      </c>
      <c r="AW382" s="165">
        <f t="shared" si="255"/>
        <v>350.73748730900468</v>
      </c>
      <c r="AX382" s="170">
        <f t="shared" si="261"/>
        <v>1908.1168159111803</v>
      </c>
      <c r="AY382" s="164" t="str">
        <f t="shared" si="264"/>
        <v>🏎</v>
      </c>
      <c r="AZ382" s="171" t="str">
        <f t="shared" si="235"/>
        <v>🚁</v>
      </c>
      <c r="BA382" s="172">
        <f t="shared" si="236"/>
        <v>1836.7532469961022</v>
      </c>
      <c r="BB382" s="173">
        <f t="shared" si="237"/>
        <v>0.77866328771923821</v>
      </c>
      <c r="BC382" s="174">
        <f t="shared" si="238"/>
        <v>2358.8543032201851</v>
      </c>
      <c r="BD382" s="175">
        <f t="shared" si="256"/>
        <v>40141.816703049866</v>
      </c>
      <c r="BE382" s="188"/>
      <c r="BF382" s="177" t="str">
        <f t="shared" si="223"/>
        <v/>
      </c>
      <c r="BG382" s="178" t="str">
        <f t="shared" si="257"/>
        <v/>
      </c>
      <c r="BH382" s="179" t="str">
        <f t="shared" si="239"/>
        <v/>
      </c>
      <c r="BI382" s="180">
        <f t="shared" si="258"/>
        <v>22</v>
      </c>
      <c r="BJ382" s="181">
        <f t="shared" si="262"/>
        <v>71.363568915078133</v>
      </c>
      <c r="BK382" s="182">
        <f t="shared" si="259"/>
        <v>1.6999999999999999E-3</v>
      </c>
    </row>
    <row r="383" spans="1:63" x14ac:dyDescent="0.25">
      <c r="A383" s="7">
        <f t="shared" si="240"/>
        <v>25</v>
      </c>
      <c r="B383" s="7">
        <f t="shared" si="241"/>
        <v>75</v>
      </c>
      <c r="C383" s="115">
        <f t="shared" si="242"/>
        <v>57254</v>
      </c>
      <c r="D383" s="2">
        <f t="shared" si="225"/>
        <v>4.7619047619047616E-2</v>
      </c>
      <c r="E383" s="169">
        <f t="shared" si="243"/>
        <v>369</v>
      </c>
      <c r="F383" s="165">
        <f t="shared" si="244"/>
        <v>335.39112797792978</v>
      </c>
      <c r="G383" s="170">
        <f t="shared" si="260"/>
        <v>1911.5150810976127</v>
      </c>
      <c r="H383" s="164" t="str">
        <f t="shared" si="263"/>
        <v>🏎</v>
      </c>
      <c r="I383" s="171" t="str">
        <f t="shared" si="226"/>
        <v>🚁</v>
      </c>
      <c r="J383" s="172">
        <f t="shared" si="227"/>
        <v>1843.2739927024279</v>
      </c>
      <c r="K383" s="173">
        <f t="shared" si="228"/>
        <v>0.78540590398305787</v>
      </c>
      <c r="L383" s="174">
        <f t="shared" si="229"/>
        <v>2346.9062090755424</v>
      </c>
      <c r="M383" s="175">
        <f t="shared" si="245"/>
        <v>38298.542710347436</v>
      </c>
      <c r="N383" s="15"/>
      <c r="O383" s="37" t="str">
        <f t="shared" si="222"/>
        <v/>
      </c>
      <c r="P383" s="62" t="str">
        <f t="shared" si="246"/>
        <v/>
      </c>
      <c r="Q383" s="16" t="str">
        <f t="shared" si="230"/>
        <v/>
      </c>
      <c r="R383" s="60">
        <f t="shared" si="247"/>
        <v>21</v>
      </c>
      <c r="S383" s="98">
        <f t="shared" si="248"/>
        <v>68.241088395184775</v>
      </c>
      <c r="T383" s="21">
        <f t="shared" si="249"/>
        <v>1.6999999999999999E-3</v>
      </c>
      <c r="AA383" s="14">
        <f t="shared" si="231"/>
        <v>-2346.9062090755424</v>
      </c>
      <c r="AH383" s="6">
        <f t="shared" si="232"/>
        <v>4</v>
      </c>
      <c r="AI383" s="6">
        <f t="shared" si="233"/>
        <v>11</v>
      </c>
      <c r="AJ383" s="12">
        <f t="shared" si="234"/>
        <v>31</v>
      </c>
      <c r="AK383" s="72">
        <f t="shared" si="224"/>
        <v>31</v>
      </c>
      <c r="AR383">
        <f t="shared" si="250"/>
        <v>25</v>
      </c>
      <c r="AS383">
        <f t="shared" si="251"/>
        <v>75</v>
      </c>
      <c r="AT383" s="183">
        <f t="shared" si="252"/>
        <v>57254</v>
      </c>
      <c r="AU383" s="2">
        <f t="shared" si="253"/>
        <v>4.7619047619047616E-2</v>
      </c>
      <c r="AV383" s="169">
        <f t="shared" si="254"/>
        <v>369</v>
      </c>
      <c r="AW383" s="165">
        <f t="shared" si="255"/>
        <v>335.39112797792978</v>
      </c>
      <c r="AX383" s="170">
        <f t="shared" si="261"/>
        <v>1911.5150810976127</v>
      </c>
      <c r="AY383" s="164" t="str">
        <f t="shared" si="264"/>
        <v>🏎</v>
      </c>
      <c r="AZ383" s="171" t="str">
        <f t="shared" si="235"/>
        <v>🚁</v>
      </c>
      <c r="BA383" s="172">
        <f t="shared" si="236"/>
        <v>1843.2739927024279</v>
      </c>
      <c r="BB383" s="173">
        <f t="shared" si="237"/>
        <v>0.78540590398305787</v>
      </c>
      <c r="BC383" s="174">
        <f t="shared" si="238"/>
        <v>2346.9062090755424</v>
      </c>
      <c r="BD383" s="175">
        <f t="shared" si="256"/>
        <v>38298.542710347436</v>
      </c>
      <c r="BE383" s="188"/>
      <c r="BF383" s="177" t="str">
        <f t="shared" si="223"/>
        <v/>
      </c>
      <c r="BG383" s="178" t="str">
        <f t="shared" si="257"/>
        <v/>
      </c>
      <c r="BH383" s="179" t="str">
        <f t="shared" si="239"/>
        <v/>
      </c>
      <c r="BI383" s="180">
        <f t="shared" si="258"/>
        <v>21</v>
      </c>
      <c r="BJ383" s="181">
        <f t="shared" si="262"/>
        <v>68.241088395184775</v>
      </c>
      <c r="BK383" s="182">
        <f t="shared" si="259"/>
        <v>1.6999999999999999E-3</v>
      </c>
    </row>
    <row r="384" spans="1:63" x14ac:dyDescent="0.25">
      <c r="A384" s="7">
        <f t="shared" si="240"/>
        <v>25</v>
      </c>
      <c r="B384" s="7">
        <f t="shared" si="241"/>
        <v>75</v>
      </c>
      <c r="C384" s="115">
        <f t="shared" si="242"/>
        <v>57285</v>
      </c>
      <c r="D384" s="2">
        <f t="shared" si="225"/>
        <v>0.05</v>
      </c>
      <c r="E384" s="169">
        <f t="shared" si="243"/>
        <v>370</v>
      </c>
      <c r="F384" s="165">
        <f t="shared" si="244"/>
        <v>319.9902868013051</v>
      </c>
      <c r="G384" s="170">
        <f t="shared" si="260"/>
        <v>1914.9271355173719</v>
      </c>
      <c r="H384" s="164" t="str">
        <f t="shared" si="263"/>
        <v>🏎</v>
      </c>
      <c r="I384" s="171" t="str">
        <f t="shared" si="226"/>
        <v>🚁</v>
      </c>
      <c r="J384" s="172">
        <f t="shared" si="227"/>
        <v>1849.8196129097812</v>
      </c>
      <c r="K384" s="173">
        <f t="shared" si="228"/>
        <v>0.7922419847605694</v>
      </c>
      <c r="L384" s="174">
        <f t="shared" si="229"/>
        <v>2334.9174223186769</v>
      </c>
      <c r="M384" s="175">
        <f t="shared" si="245"/>
        <v>36448.723097437658</v>
      </c>
      <c r="N384" s="15"/>
      <c r="O384" s="37" t="str">
        <f t="shared" si="222"/>
        <v/>
      </c>
      <c r="P384" s="62" t="str">
        <f t="shared" si="246"/>
        <v/>
      </c>
      <c r="Q384" s="16" t="str">
        <f t="shared" si="230"/>
        <v/>
      </c>
      <c r="R384" s="60">
        <f t="shared" si="247"/>
        <v>20</v>
      </c>
      <c r="S384" s="98">
        <f t="shared" si="248"/>
        <v>65.107522607590639</v>
      </c>
      <c r="T384" s="21">
        <f t="shared" si="249"/>
        <v>1.6999999999999999E-3</v>
      </c>
      <c r="AA384" s="14">
        <f t="shared" si="231"/>
        <v>-2334.9174223186769</v>
      </c>
      <c r="AH384" s="6">
        <f t="shared" si="232"/>
        <v>4</v>
      </c>
      <c r="AI384" s="6">
        <f t="shared" si="233"/>
        <v>11</v>
      </c>
      <c r="AJ384" s="12">
        <f t="shared" si="234"/>
        <v>31</v>
      </c>
      <c r="AK384" s="72">
        <f t="shared" si="224"/>
        <v>30</v>
      </c>
      <c r="AR384">
        <f t="shared" si="250"/>
        <v>25</v>
      </c>
      <c r="AS384">
        <f t="shared" si="251"/>
        <v>75</v>
      </c>
      <c r="AT384" s="183">
        <f t="shared" si="252"/>
        <v>57285</v>
      </c>
      <c r="AU384" s="2">
        <f t="shared" si="253"/>
        <v>0.05</v>
      </c>
      <c r="AV384" s="169">
        <f t="shared" si="254"/>
        <v>370</v>
      </c>
      <c r="AW384" s="165">
        <f t="shared" si="255"/>
        <v>319.9902868013051</v>
      </c>
      <c r="AX384" s="170">
        <f t="shared" si="261"/>
        <v>1914.9271355173719</v>
      </c>
      <c r="AY384" s="164" t="str">
        <f t="shared" si="264"/>
        <v>🏎</v>
      </c>
      <c r="AZ384" s="171" t="str">
        <f t="shared" si="235"/>
        <v>🚁</v>
      </c>
      <c r="BA384" s="172">
        <f t="shared" si="236"/>
        <v>1849.8196129097812</v>
      </c>
      <c r="BB384" s="173">
        <f t="shared" si="237"/>
        <v>0.7922419847605694</v>
      </c>
      <c r="BC384" s="174">
        <f t="shared" si="238"/>
        <v>2334.9174223186769</v>
      </c>
      <c r="BD384" s="175">
        <f t="shared" si="256"/>
        <v>36448.723097437658</v>
      </c>
      <c r="BE384" s="188"/>
      <c r="BF384" s="177" t="str">
        <f t="shared" si="223"/>
        <v/>
      </c>
      <c r="BG384" s="178" t="str">
        <f t="shared" si="257"/>
        <v/>
      </c>
      <c r="BH384" s="179" t="str">
        <f t="shared" si="239"/>
        <v/>
      </c>
      <c r="BI384" s="180">
        <f t="shared" si="258"/>
        <v>20</v>
      </c>
      <c r="BJ384" s="181">
        <f t="shared" si="262"/>
        <v>65.107522607590639</v>
      </c>
      <c r="BK384" s="182">
        <f t="shared" si="259"/>
        <v>1.6999999999999999E-3</v>
      </c>
    </row>
    <row r="385" spans="1:63" x14ac:dyDescent="0.25">
      <c r="A385" s="7">
        <f t="shared" si="240"/>
        <v>25</v>
      </c>
      <c r="B385" s="7">
        <f t="shared" si="241"/>
        <v>75</v>
      </c>
      <c r="C385" s="115">
        <f t="shared" si="242"/>
        <v>57315</v>
      </c>
      <c r="D385" s="2">
        <f t="shared" si="225"/>
        <v>5.2631578947368425E-2</v>
      </c>
      <c r="E385" s="169">
        <f t="shared" si="243"/>
        <v>371</v>
      </c>
      <c r="F385" s="165">
        <f t="shared" si="244"/>
        <v>304.53475594880211</v>
      </c>
      <c r="G385" s="170">
        <f t="shared" si="260"/>
        <v>1918.3538472335611</v>
      </c>
      <c r="H385" s="164" t="str">
        <f t="shared" si="263"/>
        <v>🏎</v>
      </c>
      <c r="I385" s="171" t="str">
        <f t="shared" si="226"/>
        <v>🚁</v>
      </c>
      <c r="J385" s="172">
        <f t="shared" si="227"/>
        <v>1856.3910179679169</v>
      </c>
      <c r="K385" s="173">
        <f t="shared" si="228"/>
        <v>0.79917350122802133</v>
      </c>
      <c r="L385" s="174">
        <f t="shared" si="229"/>
        <v>2322.8886031823631</v>
      </c>
      <c r="M385" s="175">
        <f t="shared" si="245"/>
        <v>34592.332079469736</v>
      </c>
      <c r="N385" s="15"/>
      <c r="O385" s="37" t="str">
        <f t="shared" si="222"/>
        <v/>
      </c>
      <c r="P385" s="62" t="str">
        <f t="shared" si="246"/>
        <v/>
      </c>
      <c r="Q385" s="16" t="str">
        <f t="shared" si="230"/>
        <v/>
      </c>
      <c r="R385" s="60">
        <f t="shared" si="247"/>
        <v>19</v>
      </c>
      <c r="S385" s="98">
        <f t="shared" si="248"/>
        <v>61.962829265644018</v>
      </c>
      <c r="T385" s="21">
        <f t="shared" si="249"/>
        <v>1.6999999999999999E-3</v>
      </c>
      <c r="AA385" s="14">
        <f t="shared" si="231"/>
        <v>-2322.8886031823631</v>
      </c>
      <c r="AH385" s="6">
        <f t="shared" si="232"/>
        <v>4</v>
      </c>
      <c r="AI385" s="6">
        <f t="shared" si="233"/>
        <v>11</v>
      </c>
      <c r="AJ385" s="12">
        <f t="shared" si="234"/>
        <v>31</v>
      </c>
      <c r="AK385" s="72">
        <f t="shared" si="224"/>
        <v>31</v>
      </c>
      <c r="AR385">
        <f t="shared" si="250"/>
        <v>25</v>
      </c>
      <c r="AS385">
        <f t="shared" si="251"/>
        <v>75</v>
      </c>
      <c r="AT385" s="183">
        <f t="shared" si="252"/>
        <v>57315</v>
      </c>
      <c r="AU385" s="2">
        <f t="shared" si="253"/>
        <v>5.2631578947368425E-2</v>
      </c>
      <c r="AV385" s="169">
        <f t="shared" si="254"/>
        <v>371</v>
      </c>
      <c r="AW385" s="165">
        <f t="shared" si="255"/>
        <v>304.53475594880211</v>
      </c>
      <c r="AX385" s="170">
        <f t="shared" si="261"/>
        <v>1918.3538472335611</v>
      </c>
      <c r="AY385" s="164" t="str">
        <f t="shared" si="264"/>
        <v>🏎</v>
      </c>
      <c r="AZ385" s="171" t="str">
        <f t="shared" si="235"/>
        <v>🚁</v>
      </c>
      <c r="BA385" s="172">
        <f t="shared" si="236"/>
        <v>1856.3910179679169</v>
      </c>
      <c r="BB385" s="173">
        <f t="shared" si="237"/>
        <v>0.79917350122802133</v>
      </c>
      <c r="BC385" s="174">
        <f t="shared" si="238"/>
        <v>2322.8886031823631</v>
      </c>
      <c r="BD385" s="175">
        <f t="shared" si="256"/>
        <v>34592.332079469736</v>
      </c>
      <c r="BE385" s="188"/>
      <c r="BF385" s="177" t="str">
        <f t="shared" si="223"/>
        <v/>
      </c>
      <c r="BG385" s="178" t="str">
        <f t="shared" si="257"/>
        <v/>
      </c>
      <c r="BH385" s="179" t="str">
        <f t="shared" si="239"/>
        <v/>
      </c>
      <c r="BI385" s="180">
        <f t="shared" si="258"/>
        <v>19</v>
      </c>
      <c r="BJ385" s="181">
        <f t="shared" si="262"/>
        <v>61.962829265644018</v>
      </c>
      <c r="BK385" s="182">
        <f t="shared" si="259"/>
        <v>1.6999999999999999E-3</v>
      </c>
    </row>
    <row r="386" spans="1:63" x14ac:dyDescent="0.25">
      <c r="A386" s="7">
        <f t="shared" si="240"/>
        <v>25</v>
      </c>
      <c r="B386" s="7">
        <f t="shared" si="241"/>
        <v>75</v>
      </c>
      <c r="C386" s="115">
        <f t="shared" si="242"/>
        <v>57346</v>
      </c>
      <c r="D386" s="2">
        <f t="shared" si="225"/>
        <v>5.5555555555555559E-2</v>
      </c>
      <c r="E386" s="169">
        <f t="shared" si="243"/>
        <v>372</v>
      </c>
      <c r="F386" s="165">
        <f t="shared" si="244"/>
        <v>289.02431998397805</v>
      </c>
      <c r="G386" s="170">
        <f t="shared" si="260"/>
        <v>1921.7962266372076</v>
      </c>
      <c r="H386" s="164" t="str">
        <f t="shared" si="263"/>
        <v>🏎</v>
      </c>
      <c r="I386" s="171" t="str">
        <f t="shared" si="226"/>
        <v>🚁</v>
      </c>
      <c r="J386" s="172">
        <f t="shared" si="227"/>
        <v>1862.989262102109</v>
      </c>
      <c r="K386" s="173">
        <f t="shared" si="228"/>
        <v>0.80620248284797258</v>
      </c>
      <c r="L386" s="174">
        <f t="shared" si="229"/>
        <v>2310.8205466211857</v>
      </c>
      <c r="M386" s="175">
        <f t="shared" si="245"/>
        <v>32729.342817367626</v>
      </c>
      <c r="N386" s="15"/>
      <c r="O386" s="37" t="str">
        <f t="shared" si="222"/>
        <v/>
      </c>
      <c r="P386" s="62" t="str">
        <f t="shared" si="246"/>
        <v/>
      </c>
      <c r="Q386" s="16" t="str">
        <f t="shared" si="230"/>
        <v/>
      </c>
      <c r="R386" s="60">
        <f t="shared" si="247"/>
        <v>18</v>
      </c>
      <c r="S386" s="98">
        <f t="shared" si="248"/>
        <v>58.806964535098544</v>
      </c>
      <c r="T386" s="21">
        <f t="shared" si="249"/>
        <v>1.6999999999999999E-3</v>
      </c>
      <c r="AA386" s="14">
        <f t="shared" si="231"/>
        <v>-2310.8205466211857</v>
      </c>
      <c r="AH386" s="6">
        <f t="shared" si="232"/>
        <v>4</v>
      </c>
      <c r="AI386" s="6">
        <f t="shared" si="233"/>
        <v>11</v>
      </c>
      <c r="AJ386" s="12">
        <f t="shared" si="234"/>
        <v>31</v>
      </c>
      <c r="AK386" s="72">
        <f t="shared" si="224"/>
        <v>31</v>
      </c>
      <c r="AR386">
        <f t="shared" si="250"/>
        <v>25</v>
      </c>
      <c r="AS386">
        <f t="shared" si="251"/>
        <v>75</v>
      </c>
      <c r="AT386" s="183">
        <f t="shared" si="252"/>
        <v>57346</v>
      </c>
      <c r="AU386" s="2">
        <f t="shared" si="253"/>
        <v>5.5555555555555559E-2</v>
      </c>
      <c r="AV386" s="169">
        <f t="shared" si="254"/>
        <v>372</v>
      </c>
      <c r="AW386" s="165">
        <f t="shared" si="255"/>
        <v>289.02431998397805</v>
      </c>
      <c r="AX386" s="170">
        <f t="shared" si="261"/>
        <v>1921.7962266372076</v>
      </c>
      <c r="AY386" s="164" t="str">
        <f t="shared" si="264"/>
        <v>🏎</v>
      </c>
      <c r="AZ386" s="171" t="str">
        <f t="shared" si="235"/>
        <v>🚁</v>
      </c>
      <c r="BA386" s="172">
        <f t="shared" si="236"/>
        <v>1862.989262102109</v>
      </c>
      <c r="BB386" s="173">
        <f t="shared" si="237"/>
        <v>0.80620248284797258</v>
      </c>
      <c r="BC386" s="174">
        <f t="shared" si="238"/>
        <v>2310.8205466211857</v>
      </c>
      <c r="BD386" s="175">
        <f t="shared" si="256"/>
        <v>32729.342817367626</v>
      </c>
      <c r="BE386" s="188"/>
      <c r="BF386" s="177" t="str">
        <f t="shared" si="223"/>
        <v/>
      </c>
      <c r="BG386" s="178" t="str">
        <f t="shared" si="257"/>
        <v/>
      </c>
      <c r="BH386" s="179" t="str">
        <f t="shared" si="239"/>
        <v/>
      </c>
      <c r="BI386" s="180">
        <f t="shared" si="258"/>
        <v>18</v>
      </c>
      <c r="BJ386" s="181">
        <f t="shared" si="262"/>
        <v>58.806964535098544</v>
      </c>
      <c r="BK386" s="182">
        <f t="shared" si="259"/>
        <v>1.6999999999999999E-3</v>
      </c>
    </row>
    <row r="387" spans="1:63" x14ac:dyDescent="0.25">
      <c r="A387" s="7">
        <f t="shared" si="240"/>
        <v>25</v>
      </c>
      <c r="B387" s="7">
        <f t="shared" si="241"/>
        <v>75</v>
      </c>
      <c r="C387" s="115">
        <f t="shared" si="242"/>
        <v>57377</v>
      </c>
      <c r="D387" s="2">
        <f t="shared" si="225"/>
        <v>5.8823529411764705E-2</v>
      </c>
      <c r="E387" s="169">
        <f t="shared" si="243"/>
        <v>373</v>
      </c>
      <c r="F387" s="165">
        <f t="shared" si="244"/>
        <v>273.45875466217427</v>
      </c>
      <c r="G387" s="170">
        <f t="shared" si="260"/>
        <v>1925.2554598451545</v>
      </c>
      <c r="H387" s="164" t="str">
        <f t="shared" si="263"/>
        <v>🏎</v>
      </c>
      <c r="I387" s="171" t="str">
        <f t="shared" si="226"/>
        <v>🚁</v>
      </c>
      <c r="J387" s="172">
        <f t="shared" si="227"/>
        <v>1869.6155770556295</v>
      </c>
      <c r="K387" s="173">
        <f t="shared" si="228"/>
        <v>0.81333102012262715</v>
      </c>
      <c r="L387" s="174">
        <f t="shared" si="229"/>
        <v>2298.714214507329</v>
      </c>
      <c r="M387" s="175">
        <f t="shared" si="245"/>
        <v>30859.727240311997</v>
      </c>
      <c r="N387" s="15"/>
      <c r="O387" s="37" t="str">
        <f t="shared" si="222"/>
        <v/>
      </c>
      <c r="P387" s="62" t="str">
        <f t="shared" si="246"/>
        <v/>
      </c>
      <c r="Q387" s="16" t="str">
        <f t="shared" si="230"/>
        <v/>
      </c>
      <c r="R387" s="60">
        <f t="shared" si="247"/>
        <v>17</v>
      </c>
      <c r="S387" s="98">
        <f t="shared" si="248"/>
        <v>55.639882789524961</v>
      </c>
      <c r="T387" s="21">
        <f t="shared" si="249"/>
        <v>1.6999999999999999E-3</v>
      </c>
      <c r="AA387" s="14">
        <f t="shared" si="231"/>
        <v>-2298.714214507329</v>
      </c>
      <c r="AH387" s="6">
        <f t="shared" si="232"/>
        <v>4</v>
      </c>
      <c r="AI387" s="6">
        <f t="shared" si="233"/>
        <v>11</v>
      </c>
      <c r="AJ387" s="12">
        <f t="shared" si="234"/>
        <v>32</v>
      </c>
      <c r="AK387" s="72">
        <f t="shared" si="224"/>
        <v>28</v>
      </c>
      <c r="AR387">
        <f t="shared" si="250"/>
        <v>25</v>
      </c>
      <c r="AS387">
        <f t="shared" si="251"/>
        <v>75</v>
      </c>
      <c r="AT387" s="183">
        <f t="shared" si="252"/>
        <v>57377</v>
      </c>
      <c r="AU387" s="2">
        <f t="shared" si="253"/>
        <v>5.8823529411764705E-2</v>
      </c>
      <c r="AV387" s="169">
        <f t="shared" si="254"/>
        <v>373</v>
      </c>
      <c r="AW387" s="165">
        <f t="shared" si="255"/>
        <v>273.45875466217427</v>
      </c>
      <c r="AX387" s="170">
        <f t="shared" si="261"/>
        <v>1925.2554598451545</v>
      </c>
      <c r="AY387" s="164" t="str">
        <f t="shared" si="264"/>
        <v>🏎</v>
      </c>
      <c r="AZ387" s="171" t="str">
        <f t="shared" si="235"/>
        <v>🚁</v>
      </c>
      <c r="BA387" s="172">
        <f t="shared" si="236"/>
        <v>1869.6155770556295</v>
      </c>
      <c r="BB387" s="173">
        <f t="shared" si="237"/>
        <v>0.81333102012262715</v>
      </c>
      <c r="BC387" s="174">
        <f t="shared" si="238"/>
        <v>2298.714214507329</v>
      </c>
      <c r="BD387" s="175">
        <f t="shared" si="256"/>
        <v>30859.727240311997</v>
      </c>
      <c r="BE387" s="188"/>
      <c r="BF387" s="177" t="str">
        <f t="shared" si="223"/>
        <v/>
      </c>
      <c r="BG387" s="178" t="str">
        <f t="shared" si="257"/>
        <v/>
      </c>
      <c r="BH387" s="179" t="str">
        <f t="shared" si="239"/>
        <v/>
      </c>
      <c r="BI387" s="180">
        <f t="shared" si="258"/>
        <v>17</v>
      </c>
      <c r="BJ387" s="181">
        <f t="shared" si="262"/>
        <v>55.639882789524961</v>
      </c>
      <c r="BK387" s="182">
        <f t="shared" si="259"/>
        <v>1.6999999999999999E-3</v>
      </c>
    </row>
    <row r="388" spans="1:63" x14ac:dyDescent="0.25">
      <c r="A388" s="7">
        <f t="shared" si="240"/>
        <v>25</v>
      </c>
      <c r="B388" s="7">
        <f t="shared" si="241"/>
        <v>75</v>
      </c>
      <c r="C388" s="115">
        <f t="shared" si="242"/>
        <v>57405</v>
      </c>
      <c r="D388" s="2">
        <f t="shared" si="225"/>
        <v>6.25E-2</v>
      </c>
      <c r="E388" s="169">
        <f t="shared" si="243"/>
        <v>374</v>
      </c>
      <c r="F388" s="165">
        <f t="shared" si="244"/>
        <v>257.83782544732497</v>
      </c>
      <c r="G388" s="170">
        <f t="shared" si="260"/>
        <v>1928.7329525194998</v>
      </c>
      <c r="H388" s="164" t="str">
        <f t="shared" si="263"/>
        <v>🏎</v>
      </c>
      <c r="I388" s="171" t="str">
        <f t="shared" si="226"/>
        <v>🚁</v>
      </c>
      <c r="J388" s="172">
        <f t="shared" si="227"/>
        <v>1876.2714162109694</v>
      </c>
      <c r="K388" s="173">
        <f t="shared" si="228"/>
        <v>0.82056126768107929</v>
      </c>
      <c r="L388" s="174">
        <f t="shared" si="229"/>
        <v>2286.5707779668246</v>
      </c>
      <c r="M388" s="175">
        <f t="shared" si="245"/>
        <v>28983.455824101027</v>
      </c>
      <c r="N388" s="15"/>
      <c r="O388" s="37" t="str">
        <f t="shared" si="222"/>
        <v/>
      </c>
      <c r="P388" s="62" t="str">
        <f t="shared" si="246"/>
        <v/>
      </c>
      <c r="Q388" s="16" t="str">
        <f t="shared" si="230"/>
        <v/>
      </c>
      <c r="R388" s="60">
        <f t="shared" si="247"/>
        <v>16</v>
      </c>
      <c r="S388" s="98">
        <f t="shared" si="248"/>
        <v>52.461536308530391</v>
      </c>
      <c r="T388" s="21">
        <f t="shared" si="249"/>
        <v>1.6999999999999999E-3</v>
      </c>
      <c r="AA388" s="14">
        <f t="shared" si="231"/>
        <v>-2286.5707779668246</v>
      </c>
      <c r="AH388" s="6">
        <f t="shared" si="232"/>
        <v>4</v>
      </c>
      <c r="AI388" s="6">
        <f t="shared" si="233"/>
        <v>11</v>
      </c>
      <c r="AJ388" s="12">
        <f t="shared" si="234"/>
        <v>32</v>
      </c>
      <c r="AK388" s="72">
        <f t="shared" si="224"/>
        <v>31</v>
      </c>
      <c r="AR388">
        <f t="shared" si="250"/>
        <v>25</v>
      </c>
      <c r="AS388">
        <f t="shared" si="251"/>
        <v>75</v>
      </c>
      <c r="AT388" s="183">
        <f t="shared" si="252"/>
        <v>57405</v>
      </c>
      <c r="AU388" s="2">
        <f t="shared" si="253"/>
        <v>6.25E-2</v>
      </c>
      <c r="AV388" s="169">
        <f t="shared" si="254"/>
        <v>374</v>
      </c>
      <c r="AW388" s="165">
        <f t="shared" si="255"/>
        <v>257.83782544732497</v>
      </c>
      <c r="AX388" s="170">
        <f t="shared" si="261"/>
        <v>1928.7329525194998</v>
      </c>
      <c r="AY388" s="164" t="str">
        <f t="shared" si="264"/>
        <v>🏎</v>
      </c>
      <c r="AZ388" s="171" t="str">
        <f t="shared" si="235"/>
        <v>🚁</v>
      </c>
      <c r="BA388" s="172">
        <f t="shared" si="236"/>
        <v>1876.2714162109694</v>
      </c>
      <c r="BB388" s="173">
        <f t="shared" si="237"/>
        <v>0.82056126768107929</v>
      </c>
      <c r="BC388" s="174">
        <f t="shared" si="238"/>
        <v>2286.5707779668246</v>
      </c>
      <c r="BD388" s="175">
        <f t="shared" si="256"/>
        <v>28983.455824101027</v>
      </c>
      <c r="BE388" s="188"/>
      <c r="BF388" s="177" t="str">
        <f t="shared" si="223"/>
        <v/>
      </c>
      <c r="BG388" s="178" t="str">
        <f t="shared" si="257"/>
        <v/>
      </c>
      <c r="BH388" s="179" t="str">
        <f t="shared" si="239"/>
        <v/>
      </c>
      <c r="BI388" s="180">
        <f t="shared" si="258"/>
        <v>16</v>
      </c>
      <c r="BJ388" s="181">
        <f t="shared" si="262"/>
        <v>52.461536308530391</v>
      </c>
      <c r="BK388" s="182">
        <f t="shared" si="259"/>
        <v>1.6999999999999999E-3</v>
      </c>
    </row>
    <row r="389" spans="1:63" x14ac:dyDescent="0.25">
      <c r="A389" s="7">
        <f t="shared" si="240"/>
        <v>25</v>
      </c>
      <c r="B389" s="7">
        <f t="shared" si="241"/>
        <v>75</v>
      </c>
      <c r="C389" s="115">
        <f t="shared" si="242"/>
        <v>57436</v>
      </c>
      <c r="D389" s="2">
        <f t="shared" si="225"/>
        <v>6.6666666666666666E-2</v>
      </c>
      <c r="E389" s="169">
        <f t="shared" si="243"/>
        <v>375</v>
      </c>
      <c r="F389" s="165">
        <f t="shared" si="244"/>
        <v>242.16128566012765</v>
      </c>
      <c r="G389" s="170">
        <f t="shared" si="260"/>
        <v>1932.2303882734018</v>
      </c>
      <c r="H389" s="164" t="str">
        <f t="shared" si="263"/>
        <v>🏎</v>
      </c>
      <c r="I389" s="171" t="str">
        <f t="shared" si="226"/>
        <v>🚁</v>
      </c>
      <c r="J389" s="172">
        <f t="shared" si="227"/>
        <v>1882.9585133724299</v>
      </c>
      <c r="K389" s="173">
        <f t="shared" si="228"/>
        <v>0.82789544780379831</v>
      </c>
      <c r="L389" s="174">
        <f t="shared" si="229"/>
        <v>2274.3916739335295</v>
      </c>
      <c r="M389" s="175">
        <f t="shared" si="245"/>
        <v>27100.497310728599</v>
      </c>
      <c r="N389" s="15"/>
      <c r="O389" s="37" t="str">
        <f t="shared" si="222"/>
        <v/>
      </c>
      <c r="P389" s="62" t="str">
        <f t="shared" si="246"/>
        <v/>
      </c>
      <c r="Q389" s="16" t="str">
        <f t="shared" si="230"/>
        <v/>
      </c>
      <c r="R389" s="60">
        <f t="shared" si="247"/>
        <v>15</v>
      </c>
      <c r="S389" s="98">
        <f t="shared" si="248"/>
        <v>49.271874900971746</v>
      </c>
      <c r="T389" s="21">
        <f t="shared" si="249"/>
        <v>1.6999999999999999E-3</v>
      </c>
      <c r="AA389" s="14">
        <f t="shared" si="231"/>
        <v>-2274.3916739335295</v>
      </c>
      <c r="AH389" s="6">
        <f t="shared" si="232"/>
        <v>4</v>
      </c>
      <c r="AI389" s="6">
        <f t="shared" si="233"/>
        <v>11</v>
      </c>
      <c r="AJ389" s="12">
        <f t="shared" si="234"/>
        <v>32</v>
      </c>
      <c r="AK389" s="72">
        <f t="shared" si="224"/>
        <v>30</v>
      </c>
      <c r="AR389">
        <f t="shared" si="250"/>
        <v>25</v>
      </c>
      <c r="AS389">
        <f t="shared" si="251"/>
        <v>75</v>
      </c>
      <c r="AT389" s="183">
        <f t="shared" si="252"/>
        <v>57436</v>
      </c>
      <c r="AU389" s="2">
        <f t="shared" si="253"/>
        <v>6.6666666666666666E-2</v>
      </c>
      <c r="AV389" s="169">
        <f t="shared" si="254"/>
        <v>375</v>
      </c>
      <c r="AW389" s="165">
        <f t="shared" si="255"/>
        <v>242.16128566012765</v>
      </c>
      <c r="AX389" s="170">
        <f t="shared" si="261"/>
        <v>1932.2303882734018</v>
      </c>
      <c r="AY389" s="164" t="str">
        <f t="shared" si="264"/>
        <v>🏎</v>
      </c>
      <c r="AZ389" s="171" t="str">
        <f t="shared" si="235"/>
        <v>🚁</v>
      </c>
      <c r="BA389" s="172">
        <f t="shared" si="236"/>
        <v>1882.9585133724299</v>
      </c>
      <c r="BB389" s="173">
        <f t="shared" si="237"/>
        <v>0.82789544780379831</v>
      </c>
      <c r="BC389" s="174">
        <f t="shared" si="238"/>
        <v>2274.3916739335295</v>
      </c>
      <c r="BD389" s="175">
        <f t="shared" si="256"/>
        <v>27100.497310728599</v>
      </c>
      <c r="BE389" s="188"/>
      <c r="BF389" s="177" t="str">
        <f t="shared" si="223"/>
        <v/>
      </c>
      <c r="BG389" s="178" t="str">
        <f t="shared" si="257"/>
        <v/>
      </c>
      <c r="BH389" s="179" t="str">
        <f t="shared" si="239"/>
        <v/>
      </c>
      <c r="BI389" s="180">
        <f t="shared" si="258"/>
        <v>15</v>
      </c>
      <c r="BJ389" s="181">
        <f t="shared" si="262"/>
        <v>49.271874900971746</v>
      </c>
      <c r="BK389" s="182">
        <f t="shared" si="259"/>
        <v>1.6999999999999999E-3</v>
      </c>
    </row>
    <row r="390" spans="1:63" x14ac:dyDescent="0.25">
      <c r="A390" s="7">
        <f t="shared" si="240"/>
        <v>25</v>
      </c>
      <c r="B390" s="7">
        <f t="shared" si="241"/>
        <v>75</v>
      </c>
      <c r="C390" s="115">
        <f t="shared" si="242"/>
        <v>57466</v>
      </c>
      <c r="D390" s="2">
        <f t="shared" si="225"/>
        <v>7.1428571428571425E-2</v>
      </c>
      <c r="E390" s="169">
        <f t="shared" si="243"/>
        <v>376</v>
      </c>
      <c r="F390" s="165">
        <f t="shared" si="244"/>
        <v>226.42887413507469</v>
      </c>
      <c r="G390" s="170">
        <f t="shared" si="260"/>
        <v>1935.7498079091856</v>
      </c>
      <c r="H390" s="164" t="str">
        <f t="shared" si="263"/>
        <v>🏎</v>
      </c>
      <c r="I390" s="171" t="str">
        <f t="shared" si="226"/>
        <v>🚁</v>
      </c>
      <c r="J390" s="172">
        <f t="shared" si="227"/>
        <v>1889.6789624809471</v>
      </c>
      <c r="K390" s="173">
        <f t="shared" si="228"/>
        <v>0.83533585453705328</v>
      </c>
      <c r="L390" s="174">
        <f t="shared" si="229"/>
        <v>2262.1786820442603</v>
      </c>
      <c r="M390" s="175">
        <f t="shared" si="245"/>
        <v>25210.818348247652</v>
      </c>
      <c r="N390" s="15"/>
      <c r="O390" s="37" t="str">
        <f t="shared" si="222"/>
        <v/>
      </c>
      <c r="P390" s="62" t="str">
        <f t="shared" si="246"/>
        <v/>
      </c>
      <c r="Q390" s="16" t="str">
        <f t="shared" si="230"/>
        <v/>
      </c>
      <c r="R390" s="60">
        <f t="shared" si="247"/>
        <v>14</v>
      </c>
      <c r="S390" s="98">
        <f t="shared" si="248"/>
        <v>46.070845428238613</v>
      </c>
      <c r="T390" s="21">
        <f t="shared" si="249"/>
        <v>1.6999999999999999E-3</v>
      </c>
      <c r="AA390" s="14">
        <f t="shared" si="231"/>
        <v>-2262.1786820442603</v>
      </c>
      <c r="AH390" s="6">
        <f t="shared" si="232"/>
        <v>4</v>
      </c>
      <c r="AI390" s="6">
        <f t="shared" si="233"/>
        <v>11</v>
      </c>
      <c r="AJ390" s="12">
        <f t="shared" si="234"/>
        <v>32</v>
      </c>
      <c r="AK390" s="72">
        <f t="shared" si="224"/>
        <v>31</v>
      </c>
      <c r="AR390">
        <f t="shared" si="250"/>
        <v>25</v>
      </c>
      <c r="AS390">
        <f t="shared" si="251"/>
        <v>75</v>
      </c>
      <c r="AT390" s="183">
        <f t="shared" si="252"/>
        <v>57466</v>
      </c>
      <c r="AU390" s="2">
        <f t="shared" si="253"/>
        <v>7.1428571428571425E-2</v>
      </c>
      <c r="AV390" s="169">
        <f t="shared" si="254"/>
        <v>376</v>
      </c>
      <c r="AW390" s="165">
        <f t="shared" si="255"/>
        <v>226.42887413507469</v>
      </c>
      <c r="AX390" s="170">
        <f t="shared" si="261"/>
        <v>1935.7498079091856</v>
      </c>
      <c r="AY390" s="164" t="str">
        <f t="shared" si="264"/>
        <v>🏎</v>
      </c>
      <c r="AZ390" s="171" t="str">
        <f t="shared" si="235"/>
        <v>🚁</v>
      </c>
      <c r="BA390" s="172">
        <f t="shared" si="236"/>
        <v>1889.6789624809471</v>
      </c>
      <c r="BB390" s="173">
        <f t="shared" si="237"/>
        <v>0.83533585453705328</v>
      </c>
      <c r="BC390" s="174">
        <f t="shared" si="238"/>
        <v>2262.1786820442603</v>
      </c>
      <c r="BD390" s="175">
        <f t="shared" si="256"/>
        <v>25210.818348247652</v>
      </c>
      <c r="BE390" s="188"/>
      <c r="BF390" s="177" t="str">
        <f t="shared" si="223"/>
        <v/>
      </c>
      <c r="BG390" s="178" t="str">
        <f t="shared" si="257"/>
        <v/>
      </c>
      <c r="BH390" s="179" t="str">
        <f t="shared" si="239"/>
        <v/>
      </c>
      <c r="BI390" s="180">
        <f t="shared" si="258"/>
        <v>14</v>
      </c>
      <c r="BJ390" s="181">
        <f t="shared" si="262"/>
        <v>46.070845428238613</v>
      </c>
      <c r="BK390" s="182">
        <f t="shared" si="259"/>
        <v>1.6999999999999999E-3</v>
      </c>
    </row>
    <row r="391" spans="1:63" x14ac:dyDescent="0.25">
      <c r="A391" s="7">
        <f t="shared" si="240"/>
        <v>25</v>
      </c>
      <c r="B391" s="7">
        <f t="shared" si="241"/>
        <v>75</v>
      </c>
      <c r="C391" s="115">
        <f t="shared" si="242"/>
        <v>57497</v>
      </c>
      <c r="D391" s="2">
        <f t="shared" si="225"/>
        <v>7.6923076923076927E-2</v>
      </c>
      <c r="E391" s="169">
        <f t="shared" si="243"/>
        <v>377</v>
      </c>
      <c r="F391" s="165">
        <f t="shared" si="244"/>
        <v>210.64031221145615</v>
      </c>
      <c r="G391" s="170">
        <f t="shared" si="260"/>
        <v>1939.2937190959733</v>
      </c>
      <c r="H391" s="164" t="str">
        <f t="shared" si="263"/>
        <v>🏎</v>
      </c>
      <c r="I391" s="171" t="str">
        <f t="shared" si="226"/>
        <v>🚁</v>
      </c>
      <c r="J391" s="172">
        <f t="shared" si="227"/>
        <v>1896.4353279039524</v>
      </c>
      <c r="K391" s="173">
        <f t="shared" si="228"/>
        <v>0.84288485862936169</v>
      </c>
      <c r="L391" s="174">
        <f t="shared" si="229"/>
        <v>2249.9340313074294</v>
      </c>
      <c r="M391" s="175">
        <f t="shared" si="245"/>
        <v>23314.383020343699</v>
      </c>
      <c r="N391" s="15"/>
      <c r="O391" s="37" t="str">
        <f t="shared" si="222"/>
        <v/>
      </c>
      <c r="P391" s="62" t="str">
        <f t="shared" si="246"/>
        <v/>
      </c>
      <c r="Q391" s="16" t="str">
        <f t="shared" si="230"/>
        <v/>
      </c>
      <c r="R391" s="60">
        <f t="shared" si="247"/>
        <v>13</v>
      </c>
      <c r="S391" s="98">
        <f t="shared" si="248"/>
        <v>42.85839119202101</v>
      </c>
      <c r="T391" s="21">
        <f t="shared" si="249"/>
        <v>1.6999999999999999E-3</v>
      </c>
      <c r="AA391" s="14">
        <f t="shared" si="231"/>
        <v>-2249.9340313074294</v>
      </c>
      <c r="AH391" s="6">
        <f t="shared" si="232"/>
        <v>4</v>
      </c>
      <c r="AI391" s="6">
        <f t="shared" si="233"/>
        <v>11</v>
      </c>
      <c r="AJ391" s="12">
        <f t="shared" si="234"/>
        <v>32</v>
      </c>
      <c r="AK391" s="72">
        <f t="shared" si="224"/>
        <v>30</v>
      </c>
      <c r="AR391">
        <f t="shared" si="250"/>
        <v>25</v>
      </c>
      <c r="AS391">
        <f t="shared" si="251"/>
        <v>75</v>
      </c>
      <c r="AT391" s="183">
        <f t="shared" si="252"/>
        <v>57497</v>
      </c>
      <c r="AU391" s="2">
        <f t="shared" si="253"/>
        <v>7.6923076923076927E-2</v>
      </c>
      <c r="AV391" s="169">
        <f t="shared" si="254"/>
        <v>377</v>
      </c>
      <c r="AW391" s="165">
        <f t="shared" si="255"/>
        <v>210.64031221145615</v>
      </c>
      <c r="AX391" s="170">
        <f t="shared" si="261"/>
        <v>1939.2937190959733</v>
      </c>
      <c r="AY391" s="164" t="str">
        <f t="shared" si="264"/>
        <v>🏎</v>
      </c>
      <c r="AZ391" s="171" t="str">
        <f t="shared" si="235"/>
        <v>🚁</v>
      </c>
      <c r="BA391" s="172">
        <f t="shared" si="236"/>
        <v>1896.4353279039524</v>
      </c>
      <c r="BB391" s="173">
        <f t="shared" si="237"/>
        <v>0.84288485862936169</v>
      </c>
      <c r="BC391" s="174">
        <f t="shared" si="238"/>
        <v>2249.9340313074294</v>
      </c>
      <c r="BD391" s="175">
        <f t="shared" si="256"/>
        <v>23314.383020343699</v>
      </c>
      <c r="BE391" s="188"/>
      <c r="BF391" s="177" t="str">
        <f t="shared" si="223"/>
        <v/>
      </c>
      <c r="BG391" s="178" t="str">
        <f t="shared" si="257"/>
        <v/>
      </c>
      <c r="BH391" s="179" t="str">
        <f t="shared" si="239"/>
        <v/>
      </c>
      <c r="BI391" s="180">
        <f t="shared" si="258"/>
        <v>13</v>
      </c>
      <c r="BJ391" s="181">
        <f t="shared" si="262"/>
        <v>42.85839119202101</v>
      </c>
      <c r="BK391" s="182">
        <f t="shared" si="259"/>
        <v>1.6999999999999999E-3</v>
      </c>
    </row>
    <row r="392" spans="1:63" x14ac:dyDescent="0.25">
      <c r="A392" s="7">
        <f t="shared" si="240"/>
        <v>25</v>
      </c>
      <c r="B392" s="7">
        <f t="shared" si="241"/>
        <v>75</v>
      </c>
      <c r="C392" s="115">
        <f t="shared" si="242"/>
        <v>57527</v>
      </c>
      <c r="D392" s="2">
        <f t="shared" si="225"/>
        <v>8.3333333333333329E-2</v>
      </c>
      <c r="E392" s="169">
        <f t="shared" si="243"/>
        <v>378</v>
      </c>
      <c r="F392" s="165">
        <f t="shared" si="244"/>
        <v>194.79529980287282</v>
      </c>
      <c r="G392" s="170">
        <f t="shared" si="260"/>
        <v>1942.8652516953082</v>
      </c>
      <c r="H392" s="164" t="str">
        <f t="shared" si="263"/>
        <v>🏎</v>
      </c>
      <c r="I392" s="171" t="str">
        <f t="shared" si="226"/>
        <v>🚁</v>
      </c>
      <c r="J392" s="172">
        <f t="shared" si="227"/>
        <v>1903.230800560724</v>
      </c>
      <c r="K392" s="173">
        <f t="shared" si="228"/>
        <v>0.85054491365388452</v>
      </c>
      <c r="L392" s="174">
        <f t="shared" si="229"/>
        <v>2237.6605514981811</v>
      </c>
      <c r="M392" s="175">
        <f t="shared" si="245"/>
        <v>21411.152219782976</v>
      </c>
      <c r="N392" s="15"/>
      <c r="O392" s="37" t="str">
        <f t="shared" si="222"/>
        <v/>
      </c>
      <c r="P392" s="62" t="str">
        <f t="shared" si="246"/>
        <v/>
      </c>
      <c r="Q392" s="16" t="str">
        <f t="shared" si="230"/>
        <v/>
      </c>
      <c r="R392" s="60">
        <f t="shared" si="247"/>
        <v>12</v>
      </c>
      <c r="S392" s="98">
        <f t="shared" si="248"/>
        <v>39.634451134584289</v>
      </c>
      <c r="T392" s="21">
        <f t="shared" si="249"/>
        <v>1.6999999999999999E-3</v>
      </c>
      <c r="AA392" s="14">
        <f t="shared" si="231"/>
        <v>-2237.6605514981811</v>
      </c>
      <c r="AH392" s="6">
        <f t="shared" si="232"/>
        <v>4</v>
      </c>
      <c r="AI392" s="6">
        <f t="shared" si="233"/>
        <v>11</v>
      </c>
      <c r="AJ392" s="12">
        <f t="shared" si="234"/>
        <v>32</v>
      </c>
      <c r="AK392" s="72">
        <f t="shared" si="224"/>
        <v>31</v>
      </c>
      <c r="AR392">
        <f t="shared" si="250"/>
        <v>25</v>
      </c>
      <c r="AS392">
        <f t="shared" si="251"/>
        <v>75</v>
      </c>
      <c r="AT392" s="183">
        <f t="shared" si="252"/>
        <v>57527</v>
      </c>
      <c r="AU392" s="2">
        <f t="shared" si="253"/>
        <v>8.3333333333333329E-2</v>
      </c>
      <c r="AV392" s="169">
        <f t="shared" si="254"/>
        <v>378</v>
      </c>
      <c r="AW392" s="165">
        <f t="shared" si="255"/>
        <v>194.79529980287282</v>
      </c>
      <c r="AX392" s="170">
        <f t="shared" si="261"/>
        <v>1942.8652516953082</v>
      </c>
      <c r="AY392" s="164" t="str">
        <f t="shared" si="264"/>
        <v>🏎</v>
      </c>
      <c r="AZ392" s="171" t="str">
        <f t="shared" si="235"/>
        <v>🚁</v>
      </c>
      <c r="BA392" s="172">
        <f t="shared" si="236"/>
        <v>1903.230800560724</v>
      </c>
      <c r="BB392" s="173">
        <f t="shared" si="237"/>
        <v>0.85054491365388452</v>
      </c>
      <c r="BC392" s="174">
        <f t="shared" si="238"/>
        <v>2237.6605514981811</v>
      </c>
      <c r="BD392" s="175">
        <f t="shared" si="256"/>
        <v>21411.152219782976</v>
      </c>
      <c r="BE392" s="188"/>
      <c r="BF392" s="177" t="str">
        <f t="shared" si="223"/>
        <v/>
      </c>
      <c r="BG392" s="178" t="str">
        <f t="shared" si="257"/>
        <v/>
      </c>
      <c r="BH392" s="179" t="str">
        <f t="shared" si="239"/>
        <v/>
      </c>
      <c r="BI392" s="180">
        <f t="shared" si="258"/>
        <v>12</v>
      </c>
      <c r="BJ392" s="181">
        <f t="shared" si="262"/>
        <v>39.634451134584289</v>
      </c>
      <c r="BK392" s="182">
        <f t="shared" si="259"/>
        <v>1.6999999999999999E-3</v>
      </c>
    </row>
    <row r="393" spans="1:63" x14ac:dyDescent="0.25">
      <c r="A393" s="7">
        <f t="shared" si="240"/>
        <v>25</v>
      </c>
      <c r="B393" s="7">
        <f t="shared" si="241"/>
        <v>75</v>
      </c>
      <c r="C393" s="115">
        <f t="shared" si="242"/>
        <v>57558</v>
      </c>
      <c r="D393" s="2">
        <f t="shared" si="225"/>
        <v>9.0909090909090912E-2</v>
      </c>
      <c r="E393" s="169">
        <f t="shared" si="243"/>
        <v>379</v>
      </c>
      <c r="F393" s="165">
        <f t="shared" si="244"/>
        <v>178.89351016229833</v>
      </c>
      <c r="G393" s="170">
        <f t="shared" si="260"/>
        <v>1946.4683836166341</v>
      </c>
      <c r="H393" s="164" t="str">
        <f t="shared" si="263"/>
        <v>🏎</v>
      </c>
      <c r="I393" s="171" t="str">
        <f t="shared" si="226"/>
        <v>🚁</v>
      </c>
      <c r="J393" s="172">
        <f t="shared" si="227"/>
        <v>1910.0694248430032</v>
      </c>
      <c r="K393" s="173">
        <f t="shared" si="228"/>
        <v>0.85831856390758776</v>
      </c>
      <c r="L393" s="174">
        <f t="shared" si="229"/>
        <v>2225.3618937789324</v>
      </c>
      <c r="M393" s="175">
        <f t="shared" si="245"/>
        <v>19501.082794939975</v>
      </c>
      <c r="N393" s="15"/>
      <c r="O393" s="37" t="str">
        <f t="shared" si="222"/>
        <v/>
      </c>
      <c r="P393" s="62" t="str">
        <f t="shared" si="246"/>
        <v/>
      </c>
      <c r="Q393" s="16" t="str">
        <f t="shared" si="230"/>
        <v/>
      </c>
      <c r="R393" s="60">
        <f t="shared" si="247"/>
        <v>11</v>
      </c>
      <c r="S393" s="98">
        <f t="shared" si="248"/>
        <v>36.398958773631058</v>
      </c>
      <c r="T393" s="21">
        <f t="shared" si="249"/>
        <v>1.6999999999999999E-3</v>
      </c>
      <c r="AA393" s="14">
        <f t="shared" si="231"/>
        <v>-2225.3618937789324</v>
      </c>
      <c r="AH393" s="6">
        <f t="shared" si="232"/>
        <v>4</v>
      </c>
      <c r="AI393" s="6">
        <f t="shared" si="233"/>
        <v>11</v>
      </c>
      <c r="AJ393" s="12">
        <f t="shared" si="234"/>
        <v>32</v>
      </c>
      <c r="AK393" s="72">
        <f t="shared" si="224"/>
        <v>31</v>
      </c>
      <c r="AR393">
        <f t="shared" si="250"/>
        <v>25</v>
      </c>
      <c r="AS393">
        <f t="shared" si="251"/>
        <v>75</v>
      </c>
      <c r="AT393" s="183">
        <f t="shared" si="252"/>
        <v>57558</v>
      </c>
      <c r="AU393" s="2">
        <f t="shared" si="253"/>
        <v>9.0909090909090912E-2</v>
      </c>
      <c r="AV393" s="169">
        <f t="shared" si="254"/>
        <v>379</v>
      </c>
      <c r="AW393" s="165">
        <f t="shared" si="255"/>
        <v>178.89351016229833</v>
      </c>
      <c r="AX393" s="170">
        <f t="shared" si="261"/>
        <v>1946.4683836166341</v>
      </c>
      <c r="AY393" s="164" t="str">
        <f t="shared" si="264"/>
        <v>🏎</v>
      </c>
      <c r="AZ393" s="171" t="str">
        <f t="shared" si="235"/>
        <v>🚁</v>
      </c>
      <c r="BA393" s="172">
        <f t="shared" si="236"/>
        <v>1910.0694248430032</v>
      </c>
      <c r="BB393" s="173">
        <f t="shared" si="237"/>
        <v>0.85831856390758776</v>
      </c>
      <c r="BC393" s="174">
        <f t="shared" si="238"/>
        <v>2225.3618937789324</v>
      </c>
      <c r="BD393" s="175">
        <f t="shared" si="256"/>
        <v>19501.082794939975</v>
      </c>
      <c r="BE393" s="188"/>
      <c r="BF393" s="177" t="str">
        <f t="shared" si="223"/>
        <v/>
      </c>
      <c r="BG393" s="178" t="str">
        <f t="shared" si="257"/>
        <v/>
      </c>
      <c r="BH393" s="179" t="str">
        <f t="shared" si="239"/>
        <v/>
      </c>
      <c r="BI393" s="180">
        <f t="shared" si="258"/>
        <v>11</v>
      </c>
      <c r="BJ393" s="181">
        <f t="shared" si="262"/>
        <v>36.398958773631058</v>
      </c>
      <c r="BK393" s="182">
        <f t="shared" si="259"/>
        <v>1.6999999999999999E-3</v>
      </c>
    </row>
    <row r="394" spans="1:63" x14ac:dyDescent="0.25">
      <c r="A394" s="7">
        <f t="shared" si="240"/>
        <v>25</v>
      </c>
      <c r="B394" s="7">
        <f t="shared" si="241"/>
        <v>75</v>
      </c>
      <c r="C394" s="115">
        <f t="shared" si="242"/>
        <v>57589</v>
      </c>
      <c r="D394" s="2">
        <f t="shared" si="225"/>
        <v>0.1</v>
      </c>
      <c r="E394" s="169">
        <f t="shared" si="243"/>
        <v>380</v>
      </c>
      <c r="F394" s="165">
        <f t="shared" si="244"/>
        <v>162.93458275118348</v>
      </c>
      <c r="G394" s="170">
        <f t="shared" si="260"/>
        <v>1950.1082794939975</v>
      </c>
      <c r="H394" s="164" t="str">
        <f t="shared" si="263"/>
        <v>🏎</v>
      </c>
      <c r="I394" s="171" t="str">
        <f t="shared" si="226"/>
        <v>🚁</v>
      </c>
      <c r="J394" s="172">
        <f t="shared" si="227"/>
        <v>1916.9564387425996</v>
      </c>
      <c r="K394" s="173">
        <f t="shared" si="228"/>
        <v>0.86620845508514233</v>
      </c>
      <c r="L394" s="174">
        <f t="shared" si="229"/>
        <v>2213.0428622451809</v>
      </c>
      <c r="M394" s="175">
        <f t="shared" si="245"/>
        <v>17584.126356197376</v>
      </c>
      <c r="N394" s="15"/>
      <c r="O394" s="37" t="str">
        <f t="shared" si="222"/>
        <v/>
      </c>
      <c r="P394" s="62" t="str">
        <f t="shared" si="246"/>
        <v/>
      </c>
      <c r="Q394" s="16" t="str">
        <f t="shared" si="230"/>
        <v/>
      </c>
      <c r="R394" s="60">
        <f t="shared" si="247"/>
        <v>10</v>
      </c>
      <c r="S394" s="98">
        <f t="shared" si="248"/>
        <v>33.151840751397955</v>
      </c>
      <c r="T394" s="21">
        <f t="shared" si="249"/>
        <v>1.6999999999999999E-3</v>
      </c>
      <c r="AA394" s="14">
        <f t="shared" si="231"/>
        <v>-2213.0428622451809</v>
      </c>
      <c r="AH394" s="6">
        <f t="shared" si="232"/>
        <v>4</v>
      </c>
      <c r="AI394" s="6">
        <f t="shared" si="233"/>
        <v>11</v>
      </c>
      <c r="AJ394" s="12">
        <f t="shared" si="234"/>
        <v>32</v>
      </c>
      <c r="AK394" s="72">
        <f t="shared" si="224"/>
        <v>30</v>
      </c>
      <c r="AR394">
        <f t="shared" si="250"/>
        <v>25</v>
      </c>
      <c r="AS394">
        <f t="shared" si="251"/>
        <v>75</v>
      </c>
      <c r="AT394" s="183">
        <f t="shared" si="252"/>
        <v>57589</v>
      </c>
      <c r="AU394" s="2">
        <f t="shared" si="253"/>
        <v>0.1</v>
      </c>
      <c r="AV394" s="169">
        <f t="shared" si="254"/>
        <v>380</v>
      </c>
      <c r="AW394" s="165">
        <f t="shared" si="255"/>
        <v>162.93458275118348</v>
      </c>
      <c r="AX394" s="170">
        <f t="shared" si="261"/>
        <v>1950.1082794939975</v>
      </c>
      <c r="AY394" s="164" t="str">
        <f t="shared" si="264"/>
        <v>🏎</v>
      </c>
      <c r="AZ394" s="171" t="str">
        <f t="shared" si="235"/>
        <v>🚁</v>
      </c>
      <c r="BA394" s="172">
        <f t="shared" si="236"/>
        <v>1916.9564387425996</v>
      </c>
      <c r="BB394" s="173">
        <f t="shared" si="237"/>
        <v>0.86620845508514233</v>
      </c>
      <c r="BC394" s="174">
        <f t="shared" si="238"/>
        <v>2213.0428622451809</v>
      </c>
      <c r="BD394" s="175">
        <f t="shared" si="256"/>
        <v>17584.126356197376</v>
      </c>
      <c r="BE394" s="188"/>
      <c r="BF394" s="177" t="str">
        <f t="shared" si="223"/>
        <v/>
      </c>
      <c r="BG394" s="178" t="str">
        <f t="shared" si="257"/>
        <v/>
      </c>
      <c r="BH394" s="179" t="str">
        <f t="shared" si="239"/>
        <v/>
      </c>
      <c r="BI394" s="180">
        <f t="shared" si="258"/>
        <v>10</v>
      </c>
      <c r="BJ394" s="181">
        <f t="shared" si="262"/>
        <v>33.151840751397955</v>
      </c>
      <c r="BK394" s="182">
        <f t="shared" si="259"/>
        <v>1.6999999999999999E-3</v>
      </c>
    </row>
    <row r="395" spans="1:63" x14ac:dyDescent="0.25">
      <c r="A395" s="7">
        <f t="shared" si="240"/>
        <v>25</v>
      </c>
      <c r="B395" s="7">
        <f t="shared" si="241"/>
        <v>75</v>
      </c>
      <c r="C395" s="115">
        <f t="shared" si="242"/>
        <v>57619</v>
      </c>
      <c r="D395" s="2">
        <f t="shared" si="225"/>
        <v>0.1111111111111111</v>
      </c>
      <c r="E395" s="169">
        <f t="shared" si="243"/>
        <v>381</v>
      </c>
      <c r="F395" s="165">
        <f t="shared" si="244"/>
        <v>146.91811326674215</v>
      </c>
      <c r="G395" s="170">
        <f t="shared" si="260"/>
        <v>1953.7918173552639</v>
      </c>
      <c r="H395" s="164" t="str">
        <f t="shared" si="263"/>
        <v>🏎</v>
      </c>
      <c r="I395" s="171" t="str">
        <f t="shared" si="226"/>
        <v>🚁</v>
      </c>
      <c r="J395" s="172">
        <f t="shared" si="227"/>
        <v>1923.8988025497283</v>
      </c>
      <c r="K395" s="173">
        <f t="shared" si="228"/>
        <v>0.87421734949228846</v>
      </c>
      <c r="L395" s="174">
        <f t="shared" si="229"/>
        <v>2200.7099306220061</v>
      </c>
      <c r="M395" s="175">
        <f t="shared" si="245"/>
        <v>15660.227553647646</v>
      </c>
      <c r="N395" s="15"/>
      <c r="O395" s="37" t="str">
        <f t="shared" ref="O395:O434" si="265">IF(AND(N395&lt;&gt;"",N395&lt;R395),"V","")</f>
        <v/>
      </c>
      <c r="P395" s="62" t="str">
        <f t="shared" si="246"/>
        <v/>
      </c>
      <c r="Q395" s="16" t="str">
        <f t="shared" si="230"/>
        <v/>
      </c>
      <c r="R395" s="60">
        <f t="shared" si="247"/>
        <v>9</v>
      </c>
      <c r="S395" s="98">
        <f t="shared" si="248"/>
        <v>29.893014805535536</v>
      </c>
      <c r="T395" s="21">
        <f t="shared" si="249"/>
        <v>1.6999999999999999E-3</v>
      </c>
      <c r="AA395" s="14">
        <f t="shared" si="231"/>
        <v>-2200.7099306220061</v>
      </c>
      <c r="AH395" s="6">
        <f t="shared" si="232"/>
        <v>4</v>
      </c>
      <c r="AI395" s="6">
        <f t="shared" si="233"/>
        <v>11</v>
      </c>
      <c r="AJ395" s="12">
        <f t="shared" si="234"/>
        <v>32</v>
      </c>
      <c r="AK395" s="72">
        <f t="shared" si="224"/>
        <v>31</v>
      </c>
      <c r="AR395">
        <f t="shared" si="250"/>
        <v>25</v>
      </c>
      <c r="AS395">
        <f t="shared" si="251"/>
        <v>75</v>
      </c>
      <c r="AT395" s="183">
        <f t="shared" si="252"/>
        <v>57619</v>
      </c>
      <c r="AU395" s="2">
        <f t="shared" si="253"/>
        <v>0.1111111111111111</v>
      </c>
      <c r="AV395" s="169">
        <f t="shared" si="254"/>
        <v>381</v>
      </c>
      <c r="AW395" s="165">
        <f t="shared" si="255"/>
        <v>146.91811326674215</v>
      </c>
      <c r="AX395" s="170">
        <f t="shared" si="261"/>
        <v>1953.7918173552639</v>
      </c>
      <c r="AY395" s="164" t="str">
        <f t="shared" si="264"/>
        <v>🏎</v>
      </c>
      <c r="AZ395" s="171" t="str">
        <f t="shared" si="235"/>
        <v>🚁</v>
      </c>
      <c r="BA395" s="172">
        <f t="shared" si="236"/>
        <v>1923.8988025497283</v>
      </c>
      <c r="BB395" s="173">
        <f t="shared" si="237"/>
        <v>0.87421734949228846</v>
      </c>
      <c r="BC395" s="174">
        <f t="shared" si="238"/>
        <v>2200.7099306220061</v>
      </c>
      <c r="BD395" s="175">
        <f t="shared" si="256"/>
        <v>15660.227553647646</v>
      </c>
      <c r="BE395" s="188"/>
      <c r="BF395" s="177" t="str">
        <f t="shared" ref="BF395:BF434" si="266">IF(AND(BE395&lt;&gt;"",BE395&lt;BI395),"V","")</f>
        <v/>
      </c>
      <c r="BG395" s="178" t="str">
        <f t="shared" si="257"/>
        <v/>
      </c>
      <c r="BH395" s="179" t="str">
        <f t="shared" si="239"/>
        <v/>
      </c>
      <c r="BI395" s="180">
        <f t="shared" si="258"/>
        <v>9</v>
      </c>
      <c r="BJ395" s="181">
        <f t="shared" si="262"/>
        <v>29.893014805535536</v>
      </c>
      <c r="BK395" s="182">
        <f t="shared" si="259"/>
        <v>1.6999999999999999E-3</v>
      </c>
    </row>
    <row r="396" spans="1:63" x14ac:dyDescent="0.25">
      <c r="A396" s="7">
        <f t="shared" si="240"/>
        <v>25</v>
      </c>
      <c r="B396" s="7">
        <f t="shared" si="241"/>
        <v>75</v>
      </c>
      <c r="C396" s="115">
        <f t="shared" si="242"/>
        <v>57650</v>
      </c>
      <c r="D396" s="2">
        <f t="shared" si="225"/>
        <v>0.125</v>
      </c>
      <c r="E396" s="169">
        <f t="shared" si="243"/>
        <v>382</v>
      </c>
      <c r="F396" s="165">
        <f t="shared" si="244"/>
        <v>130.84363925187981</v>
      </c>
      <c r="G396" s="170">
        <f t="shared" si="260"/>
        <v>1957.5284442059558</v>
      </c>
      <c r="H396" s="164" t="str">
        <f t="shared" si="263"/>
        <v>🏎</v>
      </c>
      <c r="I396" s="171" t="str">
        <f t="shared" si="226"/>
        <v>🚁</v>
      </c>
      <c r="J396" s="172">
        <f t="shared" si="227"/>
        <v>1930.9060573647548</v>
      </c>
      <c r="K396" s="173">
        <f t="shared" si="228"/>
        <v>0.88234814909251624</v>
      </c>
      <c r="L396" s="174">
        <f t="shared" si="229"/>
        <v>2188.3720834578357</v>
      </c>
      <c r="M396" s="175">
        <f t="shared" si="245"/>
        <v>13729.321496282892</v>
      </c>
      <c r="N396" s="15"/>
      <c r="O396" s="37" t="str">
        <f t="shared" si="265"/>
        <v/>
      </c>
      <c r="P396" s="62" t="str">
        <f t="shared" si="246"/>
        <v/>
      </c>
      <c r="Q396" s="16" t="str">
        <f t="shared" si="230"/>
        <v/>
      </c>
      <c r="R396" s="60">
        <f t="shared" si="247"/>
        <v>8</v>
      </c>
      <c r="S396" s="98">
        <f t="shared" si="248"/>
        <v>26.622386841200996</v>
      </c>
      <c r="T396" s="21">
        <f t="shared" si="249"/>
        <v>1.6999999999999999E-3</v>
      </c>
      <c r="AA396" s="14">
        <f t="shared" si="231"/>
        <v>-2188.3720834578357</v>
      </c>
      <c r="AH396" s="6">
        <f t="shared" si="232"/>
        <v>4</v>
      </c>
      <c r="AI396" s="6">
        <f t="shared" si="233"/>
        <v>11</v>
      </c>
      <c r="AJ396" s="12">
        <f t="shared" si="234"/>
        <v>32</v>
      </c>
      <c r="AK396" s="72">
        <f t="shared" si="224"/>
        <v>30</v>
      </c>
      <c r="AR396">
        <f t="shared" si="250"/>
        <v>25</v>
      </c>
      <c r="AS396">
        <f t="shared" si="251"/>
        <v>75</v>
      </c>
      <c r="AT396" s="183">
        <f t="shared" si="252"/>
        <v>57650</v>
      </c>
      <c r="AU396" s="2">
        <f t="shared" si="253"/>
        <v>0.125</v>
      </c>
      <c r="AV396" s="169">
        <f t="shared" si="254"/>
        <v>382</v>
      </c>
      <c r="AW396" s="165">
        <f t="shared" si="255"/>
        <v>130.84363925187981</v>
      </c>
      <c r="AX396" s="170">
        <f t="shared" si="261"/>
        <v>1957.5284442059558</v>
      </c>
      <c r="AY396" s="164" t="str">
        <f t="shared" si="264"/>
        <v>🏎</v>
      </c>
      <c r="AZ396" s="171" t="str">
        <f t="shared" si="235"/>
        <v>🚁</v>
      </c>
      <c r="BA396" s="172">
        <f t="shared" si="236"/>
        <v>1930.9060573647548</v>
      </c>
      <c r="BB396" s="173">
        <f t="shared" si="237"/>
        <v>0.88234814909251624</v>
      </c>
      <c r="BC396" s="174">
        <f t="shared" si="238"/>
        <v>2188.3720834578357</v>
      </c>
      <c r="BD396" s="175">
        <f t="shared" si="256"/>
        <v>13729.321496282892</v>
      </c>
      <c r="BE396" s="188"/>
      <c r="BF396" s="177" t="str">
        <f t="shared" si="266"/>
        <v/>
      </c>
      <c r="BG396" s="178" t="str">
        <f t="shared" si="257"/>
        <v/>
      </c>
      <c r="BH396" s="179" t="str">
        <f t="shared" si="239"/>
        <v/>
      </c>
      <c r="BI396" s="180">
        <f t="shared" si="258"/>
        <v>8</v>
      </c>
      <c r="BJ396" s="181">
        <f t="shared" si="262"/>
        <v>26.622386841200996</v>
      </c>
      <c r="BK396" s="182">
        <f t="shared" si="259"/>
        <v>1.6999999999999999E-3</v>
      </c>
    </row>
    <row r="397" spans="1:63" x14ac:dyDescent="0.25">
      <c r="A397" s="7">
        <f t="shared" si="240"/>
        <v>25</v>
      </c>
      <c r="B397" s="7">
        <f t="shared" si="241"/>
        <v>75</v>
      </c>
      <c r="C397" s="115">
        <f t="shared" si="242"/>
        <v>57680</v>
      </c>
      <c r="D397" s="2">
        <f t="shared" si="225"/>
        <v>0.14285714285714285</v>
      </c>
      <c r="E397" s="169">
        <f t="shared" si="243"/>
        <v>383</v>
      </c>
      <c r="F397" s="165">
        <f t="shared" si="244"/>
        <v>114.71061853212302</v>
      </c>
      <c r="G397" s="170">
        <f t="shared" si="260"/>
        <v>1961.3316423261274</v>
      </c>
      <c r="H397" s="164" t="str">
        <f t="shared" si="263"/>
        <v>🛩</v>
      </c>
      <c r="I397" s="171" t="str">
        <f t="shared" si="226"/>
        <v>🚁</v>
      </c>
      <c r="J397" s="172">
        <f t="shared" si="227"/>
        <v>1937.9917957824464</v>
      </c>
      <c r="K397" s="173">
        <f t="shared" si="228"/>
        <v>0.89060393294847373</v>
      </c>
      <c r="L397" s="174">
        <f t="shared" si="229"/>
        <v>2176.0422608582503</v>
      </c>
      <c r="M397" s="175">
        <f t="shared" si="245"/>
        <v>11791.329700500444</v>
      </c>
      <c r="N397" s="15"/>
      <c r="O397" s="37" t="str">
        <f t="shared" si="265"/>
        <v/>
      </c>
      <c r="P397" s="62" t="str">
        <f t="shared" si="246"/>
        <v/>
      </c>
      <c r="Q397" s="16" t="str">
        <f t="shared" si="230"/>
        <v/>
      </c>
      <c r="R397" s="60">
        <f t="shared" si="247"/>
        <v>7</v>
      </c>
      <c r="S397" s="98">
        <f t="shared" si="248"/>
        <v>23.339846543680913</v>
      </c>
      <c r="T397" s="21">
        <f t="shared" si="249"/>
        <v>1.6999999999999999E-3</v>
      </c>
      <c r="AA397" s="14">
        <f t="shared" si="231"/>
        <v>-2176.0422608582503</v>
      </c>
      <c r="AH397" s="6">
        <f t="shared" si="232"/>
        <v>4</v>
      </c>
      <c r="AI397" s="6">
        <f t="shared" si="233"/>
        <v>11</v>
      </c>
      <c r="AJ397" s="12">
        <f t="shared" si="234"/>
        <v>32</v>
      </c>
      <c r="AK397" s="72">
        <f t="shared" si="224"/>
        <v>31</v>
      </c>
      <c r="AR397">
        <f t="shared" si="250"/>
        <v>25</v>
      </c>
      <c r="AS397">
        <f t="shared" si="251"/>
        <v>75</v>
      </c>
      <c r="AT397" s="183">
        <f t="shared" si="252"/>
        <v>57680</v>
      </c>
      <c r="AU397" s="2">
        <f t="shared" si="253"/>
        <v>0.14285714285714285</v>
      </c>
      <c r="AV397" s="169">
        <f t="shared" si="254"/>
        <v>383</v>
      </c>
      <c r="AW397" s="165">
        <f t="shared" si="255"/>
        <v>114.71061853212302</v>
      </c>
      <c r="AX397" s="170">
        <f t="shared" si="261"/>
        <v>1961.3316423261274</v>
      </c>
      <c r="AY397" s="164" t="str">
        <f t="shared" si="264"/>
        <v>🛩</v>
      </c>
      <c r="AZ397" s="171" t="str">
        <f t="shared" si="235"/>
        <v>🚁</v>
      </c>
      <c r="BA397" s="172">
        <f t="shared" si="236"/>
        <v>1937.9917957824464</v>
      </c>
      <c r="BB397" s="173">
        <f t="shared" si="237"/>
        <v>0.89060393294847373</v>
      </c>
      <c r="BC397" s="174">
        <f t="shared" si="238"/>
        <v>2176.0422608582503</v>
      </c>
      <c r="BD397" s="175">
        <f t="shared" si="256"/>
        <v>11791.329700500444</v>
      </c>
      <c r="BE397" s="188"/>
      <c r="BF397" s="177" t="str">
        <f t="shared" si="266"/>
        <v/>
      </c>
      <c r="BG397" s="178" t="str">
        <f t="shared" si="257"/>
        <v/>
      </c>
      <c r="BH397" s="179" t="str">
        <f t="shared" si="239"/>
        <v/>
      </c>
      <c r="BI397" s="180">
        <f t="shared" si="258"/>
        <v>7</v>
      </c>
      <c r="BJ397" s="181">
        <f t="shared" si="262"/>
        <v>23.339846543680913</v>
      </c>
      <c r="BK397" s="182">
        <f t="shared" si="259"/>
        <v>1.6999999999999999E-3</v>
      </c>
    </row>
    <row r="398" spans="1:63" x14ac:dyDescent="0.25">
      <c r="A398" s="7">
        <f t="shared" si="240"/>
        <v>25</v>
      </c>
      <c r="B398" s="7">
        <f t="shared" si="241"/>
        <v>75</v>
      </c>
      <c r="C398" s="115">
        <f t="shared" si="242"/>
        <v>57711</v>
      </c>
      <c r="D398" s="2">
        <f t="shared" si="225"/>
        <v>0.16666666666666666</v>
      </c>
      <c r="E398" s="169">
        <f t="shared" si="243"/>
        <v>384</v>
      </c>
      <c r="F398" s="165">
        <f t="shared" si="244"/>
        <v>98.518395364752905</v>
      </c>
      <c r="G398" s="170">
        <f t="shared" si="260"/>
        <v>1965.221616750074</v>
      </c>
      <c r="H398" s="164" t="str">
        <f t="shared" si="263"/>
        <v>🛩</v>
      </c>
      <c r="I398" s="171" t="str">
        <f t="shared" si="226"/>
        <v>🚁</v>
      </c>
      <c r="J398" s="172">
        <f t="shared" si="227"/>
        <v>1945.1763562592232</v>
      </c>
      <c r="K398" s="173">
        <f t="shared" si="228"/>
        <v>0.89898802322281746</v>
      </c>
      <c r="L398" s="174">
        <f t="shared" si="229"/>
        <v>2163.7400121148266</v>
      </c>
      <c r="M398" s="175">
        <f t="shared" si="245"/>
        <v>9846.1533442412219</v>
      </c>
      <c r="N398" s="15"/>
      <c r="O398" s="37" t="str">
        <f t="shared" si="265"/>
        <v/>
      </c>
      <c r="P398" s="62" t="str">
        <f t="shared" si="246"/>
        <v/>
      </c>
      <c r="Q398" s="16" t="str">
        <f t="shared" si="230"/>
        <v/>
      </c>
      <c r="R398" s="60">
        <f t="shared" si="247"/>
        <v>6</v>
      </c>
      <c r="S398" s="98">
        <f t="shared" si="248"/>
        <v>20.045260490850755</v>
      </c>
      <c r="T398" s="21">
        <f t="shared" si="249"/>
        <v>1.6999999999999999E-3</v>
      </c>
      <c r="AA398" s="14">
        <f t="shared" si="231"/>
        <v>-2163.7400121148266</v>
      </c>
      <c r="AH398" s="6">
        <f t="shared" si="232"/>
        <v>4</v>
      </c>
      <c r="AI398" s="6">
        <f t="shared" si="233"/>
        <v>11</v>
      </c>
      <c r="AJ398" s="12">
        <f t="shared" si="234"/>
        <v>32</v>
      </c>
      <c r="AK398" s="72">
        <f t="shared" ref="AK398:AK434" si="267">DAY(DATE(YEAR(C398),MONTH(C398)+1,1)-1)</f>
        <v>31</v>
      </c>
      <c r="AR398">
        <f t="shared" si="250"/>
        <v>25</v>
      </c>
      <c r="AS398">
        <f t="shared" si="251"/>
        <v>75</v>
      </c>
      <c r="AT398" s="183">
        <f t="shared" si="252"/>
        <v>57711</v>
      </c>
      <c r="AU398" s="2">
        <f t="shared" si="253"/>
        <v>0.16666666666666666</v>
      </c>
      <c r="AV398" s="169">
        <f t="shared" si="254"/>
        <v>384</v>
      </c>
      <c r="AW398" s="165">
        <f t="shared" si="255"/>
        <v>98.518395364752905</v>
      </c>
      <c r="AX398" s="170">
        <f t="shared" si="261"/>
        <v>1965.221616750074</v>
      </c>
      <c r="AY398" s="164" t="str">
        <f t="shared" si="264"/>
        <v>🛩</v>
      </c>
      <c r="AZ398" s="171" t="str">
        <f t="shared" si="235"/>
        <v>🚁</v>
      </c>
      <c r="BA398" s="172">
        <f t="shared" si="236"/>
        <v>1945.1763562592232</v>
      </c>
      <c r="BB398" s="173">
        <f t="shared" si="237"/>
        <v>0.89898802322281746</v>
      </c>
      <c r="BC398" s="174">
        <f t="shared" si="238"/>
        <v>2163.7400121148266</v>
      </c>
      <c r="BD398" s="175">
        <f t="shared" si="256"/>
        <v>9846.1533442412219</v>
      </c>
      <c r="BE398" s="188"/>
      <c r="BF398" s="177" t="str">
        <f t="shared" si="266"/>
        <v/>
      </c>
      <c r="BG398" s="178" t="str">
        <f t="shared" si="257"/>
        <v/>
      </c>
      <c r="BH398" s="179" t="str">
        <f t="shared" si="239"/>
        <v/>
      </c>
      <c r="BI398" s="180">
        <f t="shared" si="258"/>
        <v>6</v>
      </c>
      <c r="BJ398" s="181">
        <f t="shared" si="262"/>
        <v>20.045260490850755</v>
      </c>
      <c r="BK398" s="182">
        <f t="shared" si="259"/>
        <v>1.6999999999999999E-3</v>
      </c>
    </row>
    <row r="399" spans="1:63" x14ac:dyDescent="0.25">
      <c r="A399" s="7">
        <f t="shared" si="240"/>
        <v>25</v>
      </c>
      <c r="B399" s="7">
        <f t="shared" si="241"/>
        <v>75</v>
      </c>
      <c r="C399" s="115">
        <f t="shared" si="242"/>
        <v>57742</v>
      </c>
      <c r="D399" s="2">
        <f t="shared" ref="D399:D434" si="268">IFERROR(G399/M398,0)</f>
        <v>0.2</v>
      </c>
      <c r="E399" s="169">
        <f t="shared" si="243"/>
        <v>385</v>
      </c>
      <c r="F399" s="165">
        <f t="shared" si="244"/>
        <v>82.266144076080849</v>
      </c>
      <c r="G399" s="170">
        <f t="shared" si="260"/>
        <v>1969.2306688482445</v>
      </c>
      <c r="H399" s="164" t="str">
        <f t="shared" si="263"/>
        <v>🛩</v>
      </c>
      <c r="I399" s="171" t="str">
        <f t="shared" ref="I399:I434" si="269">IFERROR(IF((G399+N399-S399)/L399&lt;0,"🔙",IF((G399+N399-S399)/L399&lt;10%,"🥾",IF((G399+N399-S399)/L399&lt;20%,"🛴",IF((G399+N399-S399)/L399&lt;50%,"🚴‍♂️",IF((G399+N399-S399)/L399&lt;75%,"🚖","🚁"))))),"")</f>
        <v>🚁</v>
      </c>
      <c r="J399" s="172">
        <f t="shared" ref="J399:J434" si="270">G399+N399-S399</f>
        <v>1952.4922081630343</v>
      </c>
      <c r="K399" s="173">
        <f t="shared" ref="K399:K434" si="271">IFERROR(J399/(L399+N399),0)</f>
        <v>0.90750411361715988</v>
      </c>
      <c r="L399" s="174">
        <f t="shared" ref="L399:L434" si="272">G399+F399+A399+B399</f>
        <v>2151.4968129243252</v>
      </c>
      <c r="M399" s="175">
        <f t="shared" si="245"/>
        <v>7893.6611360781881</v>
      </c>
      <c r="N399" s="15"/>
      <c r="O399" s="37" t="str">
        <f t="shared" si="265"/>
        <v/>
      </c>
      <c r="P399" s="62" t="str">
        <f t="shared" si="246"/>
        <v/>
      </c>
      <c r="Q399" s="16" t="str">
        <f t="shared" ref="Q399:Q434" si="273">IF(N399=0,"",IF(N399&gt;M399,"🚫",IF(INT(N399/G399&lt;1),"👍",INT(N399/G399)&amp;"x")))</f>
        <v/>
      </c>
      <c r="R399" s="60">
        <f t="shared" si="247"/>
        <v>5</v>
      </c>
      <c r="S399" s="98">
        <f t="shared" si="248"/>
        <v>16.738460685210075</v>
      </c>
      <c r="T399" s="21">
        <f t="shared" si="249"/>
        <v>1.6999999999999999E-3</v>
      </c>
      <c r="AA399" s="14">
        <f t="shared" ref="AA399:AA434" si="274">-(L399+N399)</f>
        <v>-2151.4968129243252</v>
      </c>
      <c r="AH399" s="6">
        <f t="shared" ref="AH399:AH434" si="275">ROUNDUP(E399/120,0)</f>
        <v>4</v>
      </c>
      <c r="AI399" s="6">
        <f t="shared" ref="AI399:AI434" si="276">ROUNDUP(E399/36,0)</f>
        <v>11</v>
      </c>
      <c r="AJ399" s="12">
        <f t="shared" ref="AJ399:AJ434" si="277">ROUNDUP(E399/12,0)</f>
        <v>33</v>
      </c>
      <c r="AK399" s="72">
        <f t="shared" si="267"/>
        <v>28</v>
      </c>
      <c r="AR399">
        <f t="shared" si="250"/>
        <v>25</v>
      </c>
      <c r="AS399">
        <f t="shared" si="251"/>
        <v>75</v>
      </c>
      <c r="AT399" s="183">
        <f t="shared" si="252"/>
        <v>57742</v>
      </c>
      <c r="AU399" s="2">
        <f t="shared" si="253"/>
        <v>0.2</v>
      </c>
      <c r="AV399" s="169">
        <f t="shared" si="254"/>
        <v>385</v>
      </c>
      <c r="AW399" s="165">
        <f t="shared" si="255"/>
        <v>82.266144076080849</v>
      </c>
      <c r="AX399" s="170">
        <f t="shared" si="261"/>
        <v>1969.2306688482445</v>
      </c>
      <c r="AY399" s="164" t="str">
        <f t="shared" si="264"/>
        <v>🛩</v>
      </c>
      <c r="AZ399" s="171" t="str">
        <f t="shared" ref="AZ399:AZ434" si="278">IFERROR(IF((AX399+BE399-BJ399)/BC399&lt;0,"🔙",IF((AX399+BE399-BJ399)/BC399&lt;10%,"🥾",IF((AX399+BE399-BJ399)/BC399&lt;20%,"🛴",IF((AX399+BE399-BJ399)/BC399&lt;50%,"🚴‍♂️",IF((AX399+BE399-BJ399)/BC399&lt;75%,"🚖","🚁"))))),"")</f>
        <v>🚁</v>
      </c>
      <c r="BA399" s="172">
        <f t="shared" ref="BA399:BA434" si="279">AX399+BE399-BJ399</f>
        <v>1952.4922081630343</v>
      </c>
      <c r="BB399" s="173">
        <f t="shared" ref="BB399:BB434" si="280">IFERROR(BA399/(BC399+BE399),0)</f>
        <v>0.90750411361715988</v>
      </c>
      <c r="BC399" s="174">
        <f t="shared" ref="BC399:BC434" si="281">AX399+AW399+AR399+AS399</f>
        <v>2151.4968129243252</v>
      </c>
      <c r="BD399" s="175">
        <f t="shared" si="256"/>
        <v>7893.6611360781881</v>
      </c>
      <c r="BE399" s="188"/>
      <c r="BF399" s="177" t="str">
        <f t="shared" si="266"/>
        <v/>
      </c>
      <c r="BG399" s="178" t="str">
        <f t="shared" si="257"/>
        <v/>
      </c>
      <c r="BH399" s="179" t="str">
        <f t="shared" ref="BH399:BH434" si="282">IF(BE399=0,"",IF(BE399&gt;BD399,"🚫",IF(INT(BE399/AX399&lt;1),"👍",INT(BE399/AX399)&amp;"x")))</f>
        <v/>
      </c>
      <c r="BI399" s="180">
        <f t="shared" si="258"/>
        <v>5</v>
      </c>
      <c r="BJ399" s="181">
        <f t="shared" si="262"/>
        <v>16.738460685210075</v>
      </c>
      <c r="BK399" s="182">
        <f t="shared" si="259"/>
        <v>1.6999999999999999E-3</v>
      </c>
    </row>
    <row r="400" spans="1:63" x14ac:dyDescent="0.25">
      <c r="A400" s="7">
        <f t="shared" ref="A400:A434" si="283">IF(INT(F400)&gt;0,A399,0)</f>
        <v>25</v>
      </c>
      <c r="B400" s="7">
        <f t="shared" ref="B400:B434" si="284">IF(F400&gt;0.1,B399,0)</f>
        <v>75</v>
      </c>
      <c r="C400" s="115">
        <f t="shared" ref="C400:C434" si="285">DATE(YEAR(C399),MONTH(C399)+1,1)</f>
        <v>57770</v>
      </c>
      <c r="D400" s="2">
        <f t="shared" si="268"/>
        <v>0.25</v>
      </c>
      <c r="E400" s="169">
        <f t="shared" ref="E400:E434" si="286">E399+1</f>
        <v>386</v>
      </c>
      <c r="F400" s="165">
        <f t="shared" ref="F400:F434" si="287">IF(OR(M399&lt;1,N399&gt;M399),0,(M399-N399)*IF(D$11&lt;&gt;"BB",$E$7,(1+$D$7)^(AK399/365)-1))</f>
        <v>65.952767705794017</v>
      </c>
      <c r="G400" s="170">
        <f t="shared" si="260"/>
        <v>1973.415284019547</v>
      </c>
      <c r="H400" s="164" t="str">
        <f t="shared" si="263"/>
        <v>🛩</v>
      </c>
      <c r="I400" s="171" t="str">
        <f t="shared" si="269"/>
        <v>🚁</v>
      </c>
      <c r="J400" s="172">
        <f t="shared" si="270"/>
        <v>1959.9960600882141</v>
      </c>
      <c r="K400" s="173">
        <f t="shared" si="271"/>
        <v>0.91615655310339494</v>
      </c>
      <c r="L400" s="174">
        <f t="shared" si="272"/>
        <v>2139.368051725341</v>
      </c>
      <c r="M400" s="175">
        <f t="shared" ref="M400:M434" si="288">IF(R400=0,0,MAX(0,M399-G400+S400-N399))</f>
        <v>5933.665075989974</v>
      </c>
      <c r="N400" s="15"/>
      <c r="O400" s="37" t="str">
        <f t="shared" si="265"/>
        <v/>
      </c>
      <c r="P400" s="62" t="str">
        <f t="shared" ref="P400:P434" si="289">IF(N399=0,"",(L399-L400)/N399)</f>
        <v/>
      </c>
      <c r="Q400" s="16" t="str">
        <f t="shared" si="273"/>
        <v/>
      </c>
      <c r="R400" s="60">
        <f t="shared" ref="R400:R434" si="290">IF(M399=0,0,IF(OR(N399=0,O399="V"),R399-1,IF(OR(D$11="BRADESCO",D$11="BB"),R399-ROUNDDOWN(N399/(M399/R399),0)-1,ROUNDUP((M399-N399+S399-(M399/R399))/(L399-F400-A400-B400),0)+1)))</f>
        <v>4</v>
      </c>
      <c r="S400" s="98">
        <f t="shared" ref="S400:S434" si="291">M399*$T400</f>
        <v>13.419223931332919</v>
      </c>
      <c r="T400" s="21">
        <f t="shared" ref="T400:T434" si="292">IF(M399&gt;0,T399,0)</f>
        <v>1.6999999999999999E-3</v>
      </c>
      <c r="AA400" s="14">
        <f t="shared" si="274"/>
        <v>-2139.368051725341</v>
      </c>
      <c r="AH400" s="6">
        <f t="shared" si="275"/>
        <v>4</v>
      </c>
      <c r="AI400" s="6">
        <f t="shared" si="276"/>
        <v>11</v>
      </c>
      <c r="AJ400" s="12">
        <f t="shared" si="277"/>
        <v>33</v>
      </c>
      <c r="AK400" s="72">
        <f t="shared" si="267"/>
        <v>31</v>
      </c>
      <c r="AR400">
        <f t="shared" ref="AR400:AR434" si="293">IF(INT(AW400)&gt;0,AR399,0)</f>
        <v>25</v>
      </c>
      <c r="AS400">
        <f t="shared" ref="AS400:AS434" si="294">IF(AW400&gt;0.1,AS399,0)</f>
        <v>75</v>
      </c>
      <c r="AT400" s="183">
        <f t="shared" ref="AT400:AT434" si="295">DATE(YEAR(AT399),MONTH(AT399)+1,1)</f>
        <v>57770</v>
      </c>
      <c r="AU400" s="2">
        <f t="shared" ref="AU400:AU434" si="296">IFERROR(AX400/BD399,0)</f>
        <v>0.25</v>
      </c>
      <c r="AV400" s="169">
        <f t="shared" ref="AV400:AV434" si="297">AV399+1</f>
        <v>386</v>
      </c>
      <c r="AW400" s="165">
        <f t="shared" ref="AW400:AW434" si="298">IF(OR(BD399&lt;1,BE399&gt;BD399),0,(BD399-BE399)*IF(AU$11&lt;&gt;"BB",$E$7,(1+$D$7)^(BY399/365)-1))</f>
        <v>65.952767705794017</v>
      </c>
      <c r="AX400" s="170">
        <f t="shared" si="261"/>
        <v>1973.415284019547</v>
      </c>
      <c r="AY400" s="164" t="str">
        <f t="shared" si="264"/>
        <v>🛩</v>
      </c>
      <c r="AZ400" s="171" t="str">
        <f t="shared" si="278"/>
        <v>🚁</v>
      </c>
      <c r="BA400" s="172">
        <f t="shared" si="279"/>
        <v>1959.9960600882141</v>
      </c>
      <c r="BB400" s="173">
        <f t="shared" si="280"/>
        <v>0.91615655310339494</v>
      </c>
      <c r="BC400" s="174">
        <f t="shared" si="281"/>
        <v>2139.368051725341</v>
      </c>
      <c r="BD400" s="175">
        <f t="shared" ref="BD400:BD434" si="299">IF(BI400=0,0,MAX(0,BD399-AX400+BJ400-BE399))</f>
        <v>5933.665075989974</v>
      </c>
      <c r="BE400" s="188"/>
      <c r="BF400" s="177" t="str">
        <f t="shared" si="266"/>
        <v/>
      </c>
      <c r="BG400" s="178" t="str">
        <f t="shared" ref="BG400:BG434" si="300">IF(BE399=0,"",(BC399-BC400)/BE399)</f>
        <v/>
      </c>
      <c r="BH400" s="179" t="str">
        <f t="shared" si="282"/>
        <v/>
      </c>
      <c r="BI400" s="180">
        <f t="shared" ref="BI400:BI434" si="301">IF(BD399=0,0,IF(OR(BE399=0,BF399="V"),BI399-1,IF(OR(AU$11="BRADESCO",AU$11="BB"),BI399-ROUNDDOWN(BE399/(BD399/BI399),0)-1,ROUNDUP((BD399-BE399+BJ399-(BD399/BI399))/(BC399-AW400-AR400-AS400),0)+1)))</f>
        <v>4</v>
      </c>
      <c r="BJ400" s="181">
        <f t="shared" si="262"/>
        <v>13.419223931332919</v>
      </c>
      <c r="BK400" s="182">
        <f t="shared" ref="BK400:BK434" si="302">IF(BD399&gt;0,BK399,0)</f>
        <v>1.6999999999999999E-3</v>
      </c>
    </row>
    <row r="401" spans="1:63" x14ac:dyDescent="0.25">
      <c r="A401" s="7">
        <f t="shared" si="283"/>
        <v>25</v>
      </c>
      <c r="B401" s="7">
        <f t="shared" si="284"/>
        <v>75</v>
      </c>
      <c r="C401" s="115">
        <f t="shared" si="285"/>
        <v>57801</v>
      </c>
      <c r="D401" s="2">
        <f t="shared" si="268"/>
        <v>0.33333333333333331</v>
      </c>
      <c r="E401" s="169">
        <f t="shared" si="286"/>
        <v>387</v>
      </c>
      <c r="F401" s="165">
        <f t="shared" si="287"/>
        <v>49.576695484445366</v>
      </c>
      <c r="G401" s="170">
        <f t="shared" ref="G401:G434" si="303">IF(R401=0,0,IF(M400&lt;1,0,IF(AND(AND(((M400-N400)/R401)&lt;G400,O400&lt;&gt;"V"),D$11&lt;&gt;"BRADESCO"),G400,  (M400-N400)/R401)))</f>
        <v>1977.8883586633247</v>
      </c>
      <c r="H401" s="164" t="str">
        <f t="shared" si="263"/>
        <v>🛩</v>
      </c>
      <c r="I401" s="171" t="str">
        <f t="shared" si="269"/>
        <v>🚁</v>
      </c>
      <c r="J401" s="172">
        <f t="shared" si="270"/>
        <v>1967.8011280341416</v>
      </c>
      <c r="K401" s="173">
        <f t="shared" si="271"/>
        <v>0.92495109341404091</v>
      </c>
      <c r="L401" s="174">
        <f t="shared" si="272"/>
        <v>2127.4650541477699</v>
      </c>
      <c r="M401" s="175">
        <f t="shared" si="288"/>
        <v>3965.8639479558324</v>
      </c>
      <c r="N401" s="15"/>
      <c r="O401" s="37" t="str">
        <f t="shared" si="265"/>
        <v/>
      </c>
      <c r="P401" s="62" t="str">
        <f t="shared" si="289"/>
        <v/>
      </c>
      <c r="Q401" s="16" t="str">
        <f t="shared" si="273"/>
        <v/>
      </c>
      <c r="R401" s="60">
        <f t="shared" si="290"/>
        <v>3</v>
      </c>
      <c r="S401" s="98">
        <f t="shared" si="291"/>
        <v>10.087230629182955</v>
      </c>
      <c r="T401" s="21">
        <f t="shared" si="292"/>
        <v>1.6999999999999999E-3</v>
      </c>
      <c r="AA401" s="14">
        <f t="shared" si="274"/>
        <v>-2127.4650541477699</v>
      </c>
      <c r="AH401" s="6">
        <f t="shared" si="275"/>
        <v>4</v>
      </c>
      <c r="AI401" s="6">
        <f t="shared" si="276"/>
        <v>11</v>
      </c>
      <c r="AJ401" s="12">
        <f t="shared" si="277"/>
        <v>33</v>
      </c>
      <c r="AK401" s="72">
        <f t="shared" si="267"/>
        <v>30</v>
      </c>
      <c r="AR401">
        <f t="shared" si="293"/>
        <v>25</v>
      </c>
      <c r="AS401">
        <f t="shared" si="294"/>
        <v>75</v>
      </c>
      <c r="AT401" s="183">
        <f t="shared" si="295"/>
        <v>57801</v>
      </c>
      <c r="AU401" s="2">
        <f t="shared" si="296"/>
        <v>0.33333333333333331</v>
      </c>
      <c r="AV401" s="169">
        <f t="shared" si="297"/>
        <v>387</v>
      </c>
      <c r="AW401" s="165">
        <f t="shared" si="298"/>
        <v>49.576695484445366</v>
      </c>
      <c r="AX401" s="170">
        <f t="shared" ref="AX401:AX434" si="304">IF(BI401=0,0,IF(BD400&lt;1,0,IF(AND(AND(((BD400-BE400)/BI401)&lt;AX400,BF400&lt;&gt;"V"),AU$11&lt;&gt;"BRADESCO"),AX400,  (BD400-BE400)/BI401)))</f>
        <v>1977.8883586633247</v>
      </c>
      <c r="AY401" s="164" t="str">
        <f t="shared" si="264"/>
        <v>🛩</v>
      </c>
      <c r="AZ401" s="171" t="str">
        <f t="shared" si="278"/>
        <v>🚁</v>
      </c>
      <c r="BA401" s="172">
        <f t="shared" si="279"/>
        <v>1967.8011280341416</v>
      </c>
      <c r="BB401" s="173">
        <f t="shared" si="280"/>
        <v>0.92495109341404091</v>
      </c>
      <c r="BC401" s="174">
        <f t="shared" si="281"/>
        <v>2127.4650541477699</v>
      </c>
      <c r="BD401" s="175">
        <f t="shared" si="299"/>
        <v>3965.8639479558324</v>
      </c>
      <c r="BE401" s="188"/>
      <c r="BF401" s="177" t="str">
        <f t="shared" si="266"/>
        <v/>
      </c>
      <c r="BG401" s="178" t="str">
        <f t="shared" si="300"/>
        <v/>
      </c>
      <c r="BH401" s="179" t="str">
        <f t="shared" si="282"/>
        <v/>
      </c>
      <c r="BI401" s="180">
        <f t="shared" si="301"/>
        <v>3</v>
      </c>
      <c r="BJ401" s="181">
        <f t="shared" ref="BJ401:BJ434" si="305">BD400*$BK400</f>
        <v>10.087230629182955</v>
      </c>
      <c r="BK401" s="182">
        <f t="shared" si="302"/>
        <v>1.6999999999999999E-3</v>
      </c>
    </row>
    <row r="402" spans="1:63" x14ac:dyDescent="0.25">
      <c r="A402" s="7">
        <f t="shared" si="283"/>
        <v>25</v>
      </c>
      <c r="B402" s="7">
        <f t="shared" si="284"/>
        <v>75</v>
      </c>
      <c r="C402" s="115">
        <f t="shared" si="285"/>
        <v>57831</v>
      </c>
      <c r="D402" s="2">
        <f t="shared" si="268"/>
        <v>0.5</v>
      </c>
      <c r="E402" s="169">
        <f t="shared" si="286"/>
        <v>388</v>
      </c>
      <c r="F402" s="165">
        <f t="shared" si="287"/>
        <v>33.135410705287136</v>
      </c>
      <c r="G402" s="170">
        <f t="shared" si="303"/>
        <v>1982.9319739779162</v>
      </c>
      <c r="H402" s="164" t="str">
        <f t="shared" si="263"/>
        <v>🛩</v>
      </c>
      <c r="I402" s="171" t="str">
        <f t="shared" si="269"/>
        <v>🚁</v>
      </c>
      <c r="J402" s="172">
        <f t="shared" si="270"/>
        <v>1976.1900052663914</v>
      </c>
      <c r="K402" s="173">
        <f t="shared" si="271"/>
        <v>0.93389748340280154</v>
      </c>
      <c r="L402" s="174">
        <f t="shared" si="272"/>
        <v>2116.0673846832033</v>
      </c>
      <c r="M402" s="175">
        <f t="shared" si="288"/>
        <v>1989.673942689441</v>
      </c>
      <c r="N402" s="15"/>
      <c r="O402" s="37" t="str">
        <f t="shared" si="265"/>
        <v/>
      </c>
      <c r="P402" s="62" t="str">
        <f t="shared" si="289"/>
        <v/>
      </c>
      <c r="Q402" s="16" t="str">
        <f t="shared" si="273"/>
        <v/>
      </c>
      <c r="R402" s="60">
        <f t="shared" si="290"/>
        <v>2</v>
      </c>
      <c r="S402" s="98">
        <f t="shared" si="291"/>
        <v>6.7419687115249145</v>
      </c>
      <c r="T402" s="21">
        <f t="shared" si="292"/>
        <v>1.6999999999999999E-3</v>
      </c>
      <c r="AA402" s="14">
        <f t="shared" si="274"/>
        <v>-2116.0673846832033</v>
      </c>
      <c r="AH402" s="6">
        <f t="shared" si="275"/>
        <v>4</v>
      </c>
      <c r="AI402" s="6">
        <f t="shared" si="276"/>
        <v>11</v>
      </c>
      <c r="AJ402" s="12">
        <f t="shared" si="277"/>
        <v>33</v>
      </c>
      <c r="AK402" s="72">
        <f t="shared" si="267"/>
        <v>31</v>
      </c>
      <c r="AR402">
        <f t="shared" si="293"/>
        <v>25</v>
      </c>
      <c r="AS402">
        <f t="shared" si="294"/>
        <v>75</v>
      </c>
      <c r="AT402" s="183">
        <f t="shared" si="295"/>
        <v>57831</v>
      </c>
      <c r="AU402" s="2">
        <f t="shared" si="296"/>
        <v>0.5</v>
      </c>
      <c r="AV402" s="169">
        <f t="shared" si="297"/>
        <v>388</v>
      </c>
      <c r="AW402" s="165">
        <f t="shared" si="298"/>
        <v>33.135410705287136</v>
      </c>
      <c r="AX402" s="170">
        <f t="shared" si="304"/>
        <v>1982.9319739779162</v>
      </c>
      <c r="AY402" s="164" t="str">
        <f t="shared" si="264"/>
        <v>🛩</v>
      </c>
      <c r="AZ402" s="171" t="str">
        <f t="shared" si="278"/>
        <v>🚁</v>
      </c>
      <c r="BA402" s="172">
        <f t="shared" si="279"/>
        <v>1976.1900052663914</v>
      </c>
      <c r="BB402" s="173">
        <f t="shared" si="280"/>
        <v>0.93389748340280154</v>
      </c>
      <c r="BC402" s="174">
        <f t="shared" si="281"/>
        <v>2116.0673846832033</v>
      </c>
      <c r="BD402" s="175">
        <f t="shared" si="299"/>
        <v>1989.673942689441</v>
      </c>
      <c r="BE402" s="188"/>
      <c r="BF402" s="177" t="str">
        <f t="shared" si="266"/>
        <v/>
      </c>
      <c r="BG402" s="178" t="str">
        <f t="shared" si="300"/>
        <v/>
      </c>
      <c r="BH402" s="179" t="str">
        <f t="shared" si="282"/>
        <v/>
      </c>
      <c r="BI402" s="180">
        <f t="shared" si="301"/>
        <v>2</v>
      </c>
      <c r="BJ402" s="181">
        <f t="shared" si="305"/>
        <v>6.7419687115249145</v>
      </c>
      <c r="BK402" s="182">
        <f t="shared" si="302"/>
        <v>1.6999999999999999E-3</v>
      </c>
    </row>
    <row r="403" spans="1:63" x14ac:dyDescent="0.25">
      <c r="A403" s="7">
        <f t="shared" si="283"/>
        <v>25</v>
      </c>
      <c r="B403" s="7">
        <f t="shared" si="284"/>
        <v>75</v>
      </c>
      <c r="C403" s="115">
        <f t="shared" si="285"/>
        <v>57862</v>
      </c>
      <c r="D403" s="2">
        <f t="shared" si="268"/>
        <v>1</v>
      </c>
      <c r="E403" s="169">
        <f t="shared" si="286"/>
        <v>389</v>
      </c>
      <c r="F403" s="165">
        <f t="shared" si="287"/>
        <v>16.624035550842553</v>
      </c>
      <c r="G403" s="170">
        <f t="shared" si="303"/>
        <v>1989.673942689441</v>
      </c>
      <c r="H403" s="164" t="str">
        <f t="shared" si="263"/>
        <v>🛩</v>
      </c>
      <c r="I403" s="171" t="str">
        <f t="shared" si="269"/>
        <v>🚁</v>
      </c>
      <c r="J403" s="172">
        <f t="shared" si="270"/>
        <v>1986.2914969868689</v>
      </c>
      <c r="K403" s="173">
        <f t="shared" si="271"/>
        <v>0.94302492691291728</v>
      </c>
      <c r="L403" s="174">
        <f t="shared" si="272"/>
        <v>2106.2979782402836</v>
      </c>
      <c r="M403" s="175">
        <f t="shared" si="288"/>
        <v>3.3824457025720496</v>
      </c>
      <c r="N403" s="15"/>
      <c r="O403" s="37" t="str">
        <f t="shared" si="265"/>
        <v/>
      </c>
      <c r="P403" s="62" t="str">
        <f t="shared" si="289"/>
        <v/>
      </c>
      <c r="Q403" s="16" t="str">
        <f t="shared" si="273"/>
        <v/>
      </c>
      <c r="R403" s="60">
        <f t="shared" si="290"/>
        <v>1</v>
      </c>
      <c r="S403" s="98">
        <f t="shared" si="291"/>
        <v>3.3824457025720496</v>
      </c>
      <c r="T403" s="21">
        <f t="shared" si="292"/>
        <v>1.6999999999999999E-3</v>
      </c>
      <c r="AA403" s="14">
        <f t="shared" si="274"/>
        <v>-2106.2979782402836</v>
      </c>
      <c r="AH403" s="6">
        <f t="shared" si="275"/>
        <v>4</v>
      </c>
      <c r="AI403" s="6">
        <f t="shared" si="276"/>
        <v>11</v>
      </c>
      <c r="AJ403" s="12">
        <f t="shared" si="277"/>
        <v>33</v>
      </c>
      <c r="AK403" s="72">
        <f t="shared" si="267"/>
        <v>30</v>
      </c>
      <c r="AR403">
        <f t="shared" si="293"/>
        <v>25</v>
      </c>
      <c r="AS403">
        <f t="shared" si="294"/>
        <v>75</v>
      </c>
      <c r="AT403" s="183">
        <f t="shared" si="295"/>
        <v>57862</v>
      </c>
      <c r="AU403" s="2">
        <f t="shared" si="296"/>
        <v>1</v>
      </c>
      <c r="AV403" s="169">
        <f t="shared" si="297"/>
        <v>389</v>
      </c>
      <c r="AW403" s="165">
        <f t="shared" si="298"/>
        <v>16.624035550842553</v>
      </c>
      <c r="AX403" s="170">
        <f t="shared" si="304"/>
        <v>1989.673942689441</v>
      </c>
      <c r="AY403" s="164" t="str">
        <f t="shared" si="264"/>
        <v>🛩</v>
      </c>
      <c r="AZ403" s="171" t="str">
        <f t="shared" si="278"/>
        <v>🚁</v>
      </c>
      <c r="BA403" s="172">
        <f t="shared" si="279"/>
        <v>1986.2914969868689</v>
      </c>
      <c r="BB403" s="173">
        <f t="shared" si="280"/>
        <v>0.94302492691291728</v>
      </c>
      <c r="BC403" s="174">
        <f t="shared" si="281"/>
        <v>2106.2979782402836</v>
      </c>
      <c r="BD403" s="175">
        <f t="shared" si="299"/>
        <v>3.3824457025720496</v>
      </c>
      <c r="BE403" s="188"/>
      <c r="BF403" s="177" t="str">
        <f t="shared" si="266"/>
        <v/>
      </c>
      <c r="BG403" s="178" t="str">
        <f t="shared" si="300"/>
        <v/>
      </c>
      <c r="BH403" s="179" t="str">
        <f t="shared" si="282"/>
        <v/>
      </c>
      <c r="BI403" s="180">
        <f t="shared" si="301"/>
        <v>1</v>
      </c>
      <c r="BJ403" s="181">
        <f t="shared" si="305"/>
        <v>3.3824457025720496</v>
      </c>
      <c r="BK403" s="182">
        <f t="shared" si="302"/>
        <v>1.6999999999999999E-3</v>
      </c>
    </row>
    <row r="404" spans="1:63" x14ac:dyDescent="0.25">
      <c r="A404" s="7">
        <f t="shared" si="283"/>
        <v>0</v>
      </c>
      <c r="B404" s="7">
        <f t="shared" si="284"/>
        <v>0</v>
      </c>
      <c r="C404" s="115">
        <f t="shared" si="285"/>
        <v>57892</v>
      </c>
      <c r="D404" s="2">
        <f t="shared" si="268"/>
        <v>0</v>
      </c>
      <c r="E404" s="169">
        <f t="shared" si="286"/>
        <v>390</v>
      </c>
      <c r="F404" s="165">
        <f t="shared" si="287"/>
        <v>2.826086043643234E-2</v>
      </c>
      <c r="G404" s="170">
        <f t="shared" si="303"/>
        <v>0</v>
      </c>
      <c r="H404" s="164" t="str">
        <f t="shared" si="263"/>
        <v/>
      </c>
      <c r="I404" s="171" t="str">
        <f t="shared" si="269"/>
        <v>🔙</v>
      </c>
      <c r="J404" s="172">
        <f t="shared" si="270"/>
        <v>-5.7501576943724837E-3</v>
      </c>
      <c r="K404" s="173">
        <f t="shared" si="271"/>
        <v>-0.20346718413993148</v>
      </c>
      <c r="L404" s="174">
        <f t="shared" si="272"/>
        <v>2.826086043643234E-2</v>
      </c>
      <c r="M404" s="175">
        <f t="shared" si="288"/>
        <v>0</v>
      </c>
      <c r="N404" s="15"/>
      <c r="O404" s="37" t="str">
        <f t="shared" si="265"/>
        <v/>
      </c>
      <c r="P404" s="62" t="str">
        <f t="shared" si="289"/>
        <v/>
      </c>
      <c r="Q404" s="16" t="str">
        <f t="shared" si="273"/>
        <v/>
      </c>
      <c r="R404" s="60">
        <f t="shared" si="290"/>
        <v>0</v>
      </c>
      <c r="S404" s="98">
        <f t="shared" si="291"/>
        <v>5.7501576943724837E-3</v>
      </c>
      <c r="T404" s="21">
        <f t="shared" si="292"/>
        <v>1.6999999999999999E-3</v>
      </c>
      <c r="AA404" s="14">
        <f t="shared" si="274"/>
        <v>-2.826086043643234E-2</v>
      </c>
      <c r="AH404" s="6">
        <f t="shared" si="275"/>
        <v>4</v>
      </c>
      <c r="AI404" s="6">
        <f t="shared" si="276"/>
        <v>11</v>
      </c>
      <c r="AJ404" s="12">
        <f t="shared" si="277"/>
        <v>33</v>
      </c>
      <c r="AK404" s="72">
        <f t="shared" si="267"/>
        <v>31</v>
      </c>
      <c r="AR404">
        <f t="shared" si="293"/>
        <v>0</v>
      </c>
      <c r="AS404">
        <f t="shared" si="294"/>
        <v>0</v>
      </c>
      <c r="AT404" s="183">
        <f t="shared" si="295"/>
        <v>57892</v>
      </c>
      <c r="AU404" s="2">
        <f t="shared" si="296"/>
        <v>0</v>
      </c>
      <c r="AV404" s="169">
        <f t="shared" si="297"/>
        <v>390</v>
      </c>
      <c r="AW404" s="165">
        <f t="shared" si="298"/>
        <v>2.826086043643234E-2</v>
      </c>
      <c r="AX404" s="170">
        <f t="shared" si="304"/>
        <v>0</v>
      </c>
      <c r="AY404" s="164" t="str">
        <f t="shared" si="264"/>
        <v/>
      </c>
      <c r="AZ404" s="171" t="str">
        <f t="shared" si="278"/>
        <v>🔙</v>
      </c>
      <c r="BA404" s="172">
        <f t="shared" si="279"/>
        <v>-5.7501576943724837E-3</v>
      </c>
      <c r="BB404" s="173">
        <f t="shared" si="280"/>
        <v>-0.20346718413993148</v>
      </c>
      <c r="BC404" s="174">
        <f t="shared" si="281"/>
        <v>2.826086043643234E-2</v>
      </c>
      <c r="BD404" s="175">
        <f t="shared" si="299"/>
        <v>0</v>
      </c>
      <c r="BE404" s="188"/>
      <c r="BF404" s="177" t="str">
        <f t="shared" si="266"/>
        <v/>
      </c>
      <c r="BG404" s="178" t="str">
        <f t="shared" si="300"/>
        <v/>
      </c>
      <c r="BH404" s="179" t="str">
        <f t="shared" si="282"/>
        <v/>
      </c>
      <c r="BI404" s="180">
        <f t="shared" si="301"/>
        <v>0</v>
      </c>
      <c r="BJ404" s="181">
        <f t="shared" si="305"/>
        <v>5.7501576943724837E-3</v>
      </c>
      <c r="BK404" s="182">
        <f t="shared" si="302"/>
        <v>1.6999999999999999E-3</v>
      </c>
    </row>
    <row r="405" spans="1:63" x14ac:dyDescent="0.25">
      <c r="A405" s="7">
        <f t="shared" si="283"/>
        <v>0</v>
      </c>
      <c r="B405" s="7">
        <f t="shared" si="284"/>
        <v>0</v>
      </c>
      <c r="C405" s="115">
        <f t="shared" si="285"/>
        <v>57923</v>
      </c>
      <c r="D405" s="2">
        <f t="shared" si="268"/>
        <v>0</v>
      </c>
      <c r="E405" s="169">
        <f t="shared" si="286"/>
        <v>391</v>
      </c>
      <c r="F405" s="165">
        <f t="shared" si="287"/>
        <v>0</v>
      </c>
      <c r="G405" s="170">
        <f t="shared" si="303"/>
        <v>0</v>
      </c>
      <c r="H405" s="164" t="str">
        <f t="shared" si="263"/>
        <v/>
      </c>
      <c r="I405" s="171" t="str">
        <f t="shared" si="269"/>
        <v/>
      </c>
      <c r="J405" s="172">
        <f t="shared" si="270"/>
        <v>0</v>
      </c>
      <c r="K405" s="173">
        <f t="shared" si="271"/>
        <v>0</v>
      </c>
      <c r="L405" s="174">
        <f t="shared" si="272"/>
        <v>0</v>
      </c>
      <c r="M405" s="175">
        <f t="shared" si="288"/>
        <v>0</v>
      </c>
      <c r="N405" s="15"/>
      <c r="O405" s="37" t="str">
        <f t="shared" si="265"/>
        <v/>
      </c>
      <c r="P405" s="62" t="str">
        <f t="shared" si="289"/>
        <v/>
      </c>
      <c r="Q405" s="16" t="str">
        <f t="shared" si="273"/>
        <v/>
      </c>
      <c r="R405" s="60">
        <f t="shared" si="290"/>
        <v>0</v>
      </c>
      <c r="S405" s="98">
        <f t="shared" si="291"/>
        <v>0</v>
      </c>
      <c r="T405" s="21">
        <f t="shared" si="292"/>
        <v>0</v>
      </c>
      <c r="AA405" s="14">
        <f t="shared" si="274"/>
        <v>0</v>
      </c>
      <c r="AH405" s="6">
        <f t="shared" si="275"/>
        <v>4</v>
      </c>
      <c r="AI405" s="6">
        <f t="shared" si="276"/>
        <v>11</v>
      </c>
      <c r="AJ405" s="12">
        <f t="shared" si="277"/>
        <v>33</v>
      </c>
      <c r="AK405" s="72">
        <f t="shared" si="267"/>
        <v>31</v>
      </c>
      <c r="AR405">
        <f t="shared" si="293"/>
        <v>0</v>
      </c>
      <c r="AS405">
        <f t="shared" si="294"/>
        <v>0</v>
      </c>
      <c r="AT405" s="183">
        <f t="shared" si="295"/>
        <v>57923</v>
      </c>
      <c r="AU405" s="2">
        <f t="shared" si="296"/>
        <v>0</v>
      </c>
      <c r="AV405" s="169">
        <f t="shared" si="297"/>
        <v>391</v>
      </c>
      <c r="AW405" s="165">
        <f t="shared" si="298"/>
        <v>0</v>
      </c>
      <c r="AX405" s="170">
        <f t="shared" si="304"/>
        <v>0</v>
      </c>
      <c r="AY405" s="164" t="str">
        <f t="shared" si="264"/>
        <v/>
      </c>
      <c r="AZ405" s="171" t="str">
        <f t="shared" si="278"/>
        <v/>
      </c>
      <c r="BA405" s="172">
        <f t="shared" si="279"/>
        <v>0</v>
      </c>
      <c r="BB405" s="173">
        <f t="shared" si="280"/>
        <v>0</v>
      </c>
      <c r="BC405" s="174">
        <f t="shared" si="281"/>
        <v>0</v>
      </c>
      <c r="BD405" s="175">
        <f t="shared" si="299"/>
        <v>0</v>
      </c>
      <c r="BE405" s="188"/>
      <c r="BF405" s="177" t="str">
        <f t="shared" si="266"/>
        <v/>
      </c>
      <c r="BG405" s="178" t="str">
        <f t="shared" si="300"/>
        <v/>
      </c>
      <c r="BH405" s="179" t="str">
        <f t="shared" si="282"/>
        <v/>
      </c>
      <c r="BI405" s="180">
        <f t="shared" si="301"/>
        <v>0</v>
      </c>
      <c r="BJ405" s="181">
        <f t="shared" si="305"/>
        <v>0</v>
      </c>
      <c r="BK405" s="182">
        <f t="shared" si="302"/>
        <v>0</v>
      </c>
    </row>
    <row r="406" spans="1:63" x14ac:dyDescent="0.25">
      <c r="A406" s="7">
        <f t="shared" si="283"/>
        <v>0</v>
      </c>
      <c r="B406" s="7">
        <f t="shared" si="284"/>
        <v>0</v>
      </c>
      <c r="C406" s="115">
        <f t="shared" si="285"/>
        <v>57954</v>
      </c>
      <c r="D406" s="2">
        <f t="shared" si="268"/>
        <v>0</v>
      </c>
      <c r="E406" s="169">
        <f t="shared" si="286"/>
        <v>392</v>
      </c>
      <c r="F406" s="165">
        <f t="shared" si="287"/>
        <v>0</v>
      </c>
      <c r="G406" s="170">
        <f t="shared" si="303"/>
        <v>0</v>
      </c>
      <c r="H406" s="164" t="str">
        <f t="shared" si="263"/>
        <v/>
      </c>
      <c r="I406" s="171" t="str">
        <f t="shared" si="269"/>
        <v/>
      </c>
      <c r="J406" s="172">
        <f t="shared" si="270"/>
        <v>0</v>
      </c>
      <c r="K406" s="173">
        <f t="shared" si="271"/>
        <v>0</v>
      </c>
      <c r="L406" s="174">
        <f t="shared" si="272"/>
        <v>0</v>
      </c>
      <c r="M406" s="175">
        <f t="shared" si="288"/>
        <v>0</v>
      </c>
      <c r="N406" s="15"/>
      <c r="O406" s="37" t="str">
        <f t="shared" si="265"/>
        <v/>
      </c>
      <c r="P406" s="62" t="str">
        <f t="shared" si="289"/>
        <v/>
      </c>
      <c r="Q406" s="16" t="str">
        <f t="shared" si="273"/>
        <v/>
      </c>
      <c r="R406" s="60">
        <f t="shared" si="290"/>
        <v>0</v>
      </c>
      <c r="S406" s="98">
        <f t="shared" si="291"/>
        <v>0</v>
      </c>
      <c r="T406" s="21">
        <f t="shared" si="292"/>
        <v>0</v>
      </c>
      <c r="AA406" s="14">
        <f t="shared" si="274"/>
        <v>0</v>
      </c>
      <c r="AH406" s="6">
        <f t="shared" si="275"/>
        <v>4</v>
      </c>
      <c r="AI406" s="6">
        <f t="shared" si="276"/>
        <v>11</v>
      </c>
      <c r="AJ406" s="12">
        <f t="shared" si="277"/>
        <v>33</v>
      </c>
      <c r="AK406" s="72">
        <f t="shared" si="267"/>
        <v>30</v>
      </c>
      <c r="AR406">
        <f t="shared" si="293"/>
        <v>0</v>
      </c>
      <c r="AS406">
        <f t="shared" si="294"/>
        <v>0</v>
      </c>
      <c r="AT406" s="183">
        <f t="shared" si="295"/>
        <v>57954</v>
      </c>
      <c r="AU406" s="2">
        <f t="shared" si="296"/>
        <v>0</v>
      </c>
      <c r="AV406" s="169">
        <f t="shared" si="297"/>
        <v>392</v>
      </c>
      <c r="AW406" s="165">
        <f t="shared" si="298"/>
        <v>0</v>
      </c>
      <c r="AX406" s="170">
        <f t="shared" si="304"/>
        <v>0</v>
      </c>
      <c r="AY406" s="164" t="str">
        <f t="shared" si="264"/>
        <v/>
      </c>
      <c r="AZ406" s="171" t="str">
        <f t="shared" si="278"/>
        <v/>
      </c>
      <c r="BA406" s="172">
        <f t="shared" si="279"/>
        <v>0</v>
      </c>
      <c r="BB406" s="173">
        <f t="shared" si="280"/>
        <v>0</v>
      </c>
      <c r="BC406" s="174">
        <f t="shared" si="281"/>
        <v>0</v>
      </c>
      <c r="BD406" s="175">
        <f t="shared" si="299"/>
        <v>0</v>
      </c>
      <c r="BE406" s="188"/>
      <c r="BF406" s="177" t="str">
        <f t="shared" si="266"/>
        <v/>
      </c>
      <c r="BG406" s="178" t="str">
        <f t="shared" si="300"/>
        <v/>
      </c>
      <c r="BH406" s="179" t="str">
        <f t="shared" si="282"/>
        <v/>
      </c>
      <c r="BI406" s="180">
        <f t="shared" si="301"/>
        <v>0</v>
      </c>
      <c r="BJ406" s="181">
        <f t="shared" si="305"/>
        <v>0</v>
      </c>
      <c r="BK406" s="182">
        <f t="shared" si="302"/>
        <v>0</v>
      </c>
    </row>
    <row r="407" spans="1:63" x14ac:dyDescent="0.25">
      <c r="A407" s="7">
        <f t="shared" si="283"/>
        <v>0</v>
      </c>
      <c r="B407" s="7">
        <f t="shared" si="284"/>
        <v>0</v>
      </c>
      <c r="C407" s="115">
        <f t="shared" si="285"/>
        <v>57984</v>
      </c>
      <c r="D407" s="2">
        <f t="shared" si="268"/>
        <v>0</v>
      </c>
      <c r="E407" s="169">
        <f t="shared" si="286"/>
        <v>393</v>
      </c>
      <c r="F407" s="165">
        <f t="shared" si="287"/>
        <v>0</v>
      </c>
      <c r="G407" s="170">
        <f t="shared" si="303"/>
        <v>0</v>
      </c>
      <c r="H407" s="164" t="str">
        <f t="shared" si="263"/>
        <v/>
      </c>
      <c r="I407" s="171" t="str">
        <f t="shared" si="269"/>
        <v/>
      </c>
      <c r="J407" s="172">
        <f t="shared" si="270"/>
        <v>0</v>
      </c>
      <c r="K407" s="173">
        <f t="shared" si="271"/>
        <v>0</v>
      </c>
      <c r="L407" s="174">
        <f t="shared" si="272"/>
        <v>0</v>
      </c>
      <c r="M407" s="175">
        <f t="shared" si="288"/>
        <v>0</v>
      </c>
      <c r="N407" s="15"/>
      <c r="O407" s="37" t="str">
        <f t="shared" si="265"/>
        <v/>
      </c>
      <c r="P407" s="62" t="str">
        <f t="shared" si="289"/>
        <v/>
      </c>
      <c r="Q407" s="16" t="str">
        <f t="shared" si="273"/>
        <v/>
      </c>
      <c r="R407" s="60">
        <f t="shared" si="290"/>
        <v>0</v>
      </c>
      <c r="S407" s="98">
        <f t="shared" si="291"/>
        <v>0</v>
      </c>
      <c r="T407" s="21">
        <f t="shared" si="292"/>
        <v>0</v>
      </c>
      <c r="AA407" s="14">
        <f t="shared" si="274"/>
        <v>0</v>
      </c>
      <c r="AH407" s="6">
        <f t="shared" si="275"/>
        <v>4</v>
      </c>
      <c r="AI407" s="6">
        <f t="shared" si="276"/>
        <v>11</v>
      </c>
      <c r="AJ407" s="12">
        <f t="shared" si="277"/>
        <v>33</v>
      </c>
      <c r="AK407" s="72">
        <f t="shared" si="267"/>
        <v>31</v>
      </c>
      <c r="AR407">
        <f t="shared" si="293"/>
        <v>0</v>
      </c>
      <c r="AS407">
        <f t="shared" si="294"/>
        <v>0</v>
      </c>
      <c r="AT407" s="183">
        <f t="shared" si="295"/>
        <v>57984</v>
      </c>
      <c r="AU407" s="2">
        <f t="shared" si="296"/>
        <v>0</v>
      </c>
      <c r="AV407" s="169">
        <f t="shared" si="297"/>
        <v>393</v>
      </c>
      <c r="AW407" s="165">
        <f t="shared" si="298"/>
        <v>0</v>
      </c>
      <c r="AX407" s="170">
        <f t="shared" si="304"/>
        <v>0</v>
      </c>
      <c r="AY407" s="164" t="str">
        <f t="shared" si="264"/>
        <v/>
      </c>
      <c r="AZ407" s="171" t="str">
        <f t="shared" si="278"/>
        <v/>
      </c>
      <c r="BA407" s="172">
        <f t="shared" si="279"/>
        <v>0</v>
      </c>
      <c r="BB407" s="173">
        <f t="shared" si="280"/>
        <v>0</v>
      </c>
      <c r="BC407" s="174">
        <f t="shared" si="281"/>
        <v>0</v>
      </c>
      <c r="BD407" s="175">
        <f t="shared" si="299"/>
        <v>0</v>
      </c>
      <c r="BE407" s="188"/>
      <c r="BF407" s="177" t="str">
        <f t="shared" si="266"/>
        <v/>
      </c>
      <c r="BG407" s="178" t="str">
        <f t="shared" si="300"/>
        <v/>
      </c>
      <c r="BH407" s="179" t="str">
        <f t="shared" si="282"/>
        <v/>
      </c>
      <c r="BI407" s="180">
        <f t="shared" si="301"/>
        <v>0</v>
      </c>
      <c r="BJ407" s="181">
        <f t="shared" si="305"/>
        <v>0</v>
      </c>
      <c r="BK407" s="182">
        <f t="shared" si="302"/>
        <v>0</v>
      </c>
    </row>
    <row r="408" spans="1:63" x14ac:dyDescent="0.25">
      <c r="A408" s="7">
        <f t="shared" si="283"/>
        <v>0</v>
      </c>
      <c r="B408" s="7">
        <f t="shared" si="284"/>
        <v>0</v>
      </c>
      <c r="C408" s="115">
        <f t="shared" si="285"/>
        <v>58015</v>
      </c>
      <c r="D408" s="2">
        <f t="shared" si="268"/>
        <v>0</v>
      </c>
      <c r="E408" s="169">
        <f t="shared" si="286"/>
        <v>394</v>
      </c>
      <c r="F408" s="165">
        <f t="shared" si="287"/>
        <v>0</v>
      </c>
      <c r="G408" s="170">
        <f t="shared" si="303"/>
        <v>0</v>
      </c>
      <c r="H408" s="164" t="str">
        <f t="shared" si="263"/>
        <v/>
      </c>
      <c r="I408" s="171" t="str">
        <f t="shared" si="269"/>
        <v/>
      </c>
      <c r="J408" s="172">
        <f t="shared" si="270"/>
        <v>0</v>
      </c>
      <c r="K408" s="173">
        <f t="shared" si="271"/>
        <v>0</v>
      </c>
      <c r="L408" s="174">
        <f t="shared" si="272"/>
        <v>0</v>
      </c>
      <c r="M408" s="175">
        <f t="shared" si="288"/>
        <v>0</v>
      </c>
      <c r="N408" s="15"/>
      <c r="O408" s="37" t="str">
        <f t="shared" si="265"/>
        <v/>
      </c>
      <c r="P408" s="62" t="str">
        <f t="shared" si="289"/>
        <v/>
      </c>
      <c r="Q408" s="16" t="str">
        <f t="shared" si="273"/>
        <v/>
      </c>
      <c r="R408" s="60">
        <f t="shared" si="290"/>
        <v>0</v>
      </c>
      <c r="S408" s="98">
        <f t="shared" si="291"/>
        <v>0</v>
      </c>
      <c r="T408" s="21">
        <f t="shared" si="292"/>
        <v>0</v>
      </c>
      <c r="AA408" s="14">
        <f t="shared" si="274"/>
        <v>0</v>
      </c>
      <c r="AH408" s="6">
        <f t="shared" si="275"/>
        <v>4</v>
      </c>
      <c r="AI408" s="6">
        <f t="shared" si="276"/>
        <v>11</v>
      </c>
      <c r="AJ408" s="12">
        <f t="shared" si="277"/>
        <v>33</v>
      </c>
      <c r="AK408" s="72">
        <f t="shared" si="267"/>
        <v>30</v>
      </c>
      <c r="AR408">
        <f t="shared" si="293"/>
        <v>0</v>
      </c>
      <c r="AS408">
        <f t="shared" si="294"/>
        <v>0</v>
      </c>
      <c r="AT408" s="183">
        <f t="shared" si="295"/>
        <v>58015</v>
      </c>
      <c r="AU408" s="2">
        <f t="shared" si="296"/>
        <v>0</v>
      </c>
      <c r="AV408" s="169">
        <f t="shared" si="297"/>
        <v>394</v>
      </c>
      <c r="AW408" s="165">
        <f t="shared" si="298"/>
        <v>0</v>
      </c>
      <c r="AX408" s="170">
        <f t="shared" si="304"/>
        <v>0</v>
      </c>
      <c r="AY408" s="164" t="str">
        <f t="shared" si="264"/>
        <v/>
      </c>
      <c r="AZ408" s="171" t="str">
        <f t="shared" si="278"/>
        <v/>
      </c>
      <c r="BA408" s="172">
        <f t="shared" si="279"/>
        <v>0</v>
      </c>
      <c r="BB408" s="173">
        <f t="shared" si="280"/>
        <v>0</v>
      </c>
      <c r="BC408" s="174">
        <f t="shared" si="281"/>
        <v>0</v>
      </c>
      <c r="BD408" s="175">
        <f t="shared" si="299"/>
        <v>0</v>
      </c>
      <c r="BE408" s="188"/>
      <c r="BF408" s="177" t="str">
        <f t="shared" si="266"/>
        <v/>
      </c>
      <c r="BG408" s="178" t="str">
        <f t="shared" si="300"/>
        <v/>
      </c>
      <c r="BH408" s="179" t="str">
        <f t="shared" si="282"/>
        <v/>
      </c>
      <c r="BI408" s="180">
        <f t="shared" si="301"/>
        <v>0</v>
      </c>
      <c r="BJ408" s="181">
        <f t="shared" si="305"/>
        <v>0</v>
      </c>
      <c r="BK408" s="182">
        <f t="shared" si="302"/>
        <v>0</v>
      </c>
    </row>
    <row r="409" spans="1:63" x14ac:dyDescent="0.25">
      <c r="A409" s="7">
        <f t="shared" si="283"/>
        <v>0</v>
      </c>
      <c r="B409" s="7">
        <f t="shared" si="284"/>
        <v>0</v>
      </c>
      <c r="C409" s="115">
        <f t="shared" si="285"/>
        <v>58045</v>
      </c>
      <c r="D409" s="2">
        <f t="shared" si="268"/>
        <v>0</v>
      </c>
      <c r="E409" s="169">
        <f t="shared" si="286"/>
        <v>395</v>
      </c>
      <c r="F409" s="165">
        <f t="shared" si="287"/>
        <v>0</v>
      </c>
      <c r="G409" s="170">
        <f t="shared" si="303"/>
        <v>0</v>
      </c>
      <c r="H409" s="164" t="str">
        <f t="shared" si="263"/>
        <v/>
      </c>
      <c r="I409" s="171" t="str">
        <f t="shared" si="269"/>
        <v/>
      </c>
      <c r="J409" s="172">
        <f t="shared" si="270"/>
        <v>0</v>
      </c>
      <c r="K409" s="173">
        <f t="shared" si="271"/>
        <v>0</v>
      </c>
      <c r="L409" s="174">
        <f t="shared" si="272"/>
        <v>0</v>
      </c>
      <c r="M409" s="175">
        <f t="shared" si="288"/>
        <v>0</v>
      </c>
      <c r="N409" s="15"/>
      <c r="O409" s="37" t="str">
        <f t="shared" si="265"/>
        <v/>
      </c>
      <c r="P409" s="62" t="str">
        <f t="shared" si="289"/>
        <v/>
      </c>
      <c r="Q409" s="16" t="str">
        <f t="shared" si="273"/>
        <v/>
      </c>
      <c r="R409" s="60">
        <f t="shared" si="290"/>
        <v>0</v>
      </c>
      <c r="S409" s="98">
        <f t="shared" si="291"/>
        <v>0</v>
      </c>
      <c r="T409" s="21">
        <f t="shared" si="292"/>
        <v>0</v>
      </c>
      <c r="AA409" s="14">
        <f t="shared" si="274"/>
        <v>0</v>
      </c>
      <c r="AH409" s="6">
        <f t="shared" si="275"/>
        <v>4</v>
      </c>
      <c r="AI409" s="6">
        <f t="shared" si="276"/>
        <v>11</v>
      </c>
      <c r="AJ409" s="12">
        <f t="shared" si="277"/>
        <v>33</v>
      </c>
      <c r="AK409" s="72">
        <f t="shared" si="267"/>
        <v>31</v>
      </c>
      <c r="AR409">
        <f t="shared" si="293"/>
        <v>0</v>
      </c>
      <c r="AS409">
        <f t="shared" si="294"/>
        <v>0</v>
      </c>
      <c r="AT409" s="183">
        <f t="shared" si="295"/>
        <v>58045</v>
      </c>
      <c r="AU409" s="2">
        <f t="shared" si="296"/>
        <v>0</v>
      </c>
      <c r="AV409" s="169">
        <f t="shared" si="297"/>
        <v>395</v>
      </c>
      <c r="AW409" s="165">
        <f t="shared" si="298"/>
        <v>0</v>
      </c>
      <c r="AX409" s="170">
        <f t="shared" si="304"/>
        <v>0</v>
      </c>
      <c r="AY409" s="164" t="str">
        <f t="shared" si="264"/>
        <v/>
      </c>
      <c r="AZ409" s="171" t="str">
        <f t="shared" si="278"/>
        <v/>
      </c>
      <c r="BA409" s="172">
        <f t="shared" si="279"/>
        <v>0</v>
      </c>
      <c r="BB409" s="173">
        <f t="shared" si="280"/>
        <v>0</v>
      </c>
      <c r="BC409" s="174">
        <f t="shared" si="281"/>
        <v>0</v>
      </c>
      <c r="BD409" s="175">
        <f t="shared" si="299"/>
        <v>0</v>
      </c>
      <c r="BE409" s="188"/>
      <c r="BF409" s="177" t="str">
        <f t="shared" si="266"/>
        <v/>
      </c>
      <c r="BG409" s="178" t="str">
        <f t="shared" si="300"/>
        <v/>
      </c>
      <c r="BH409" s="179" t="str">
        <f t="shared" si="282"/>
        <v/>
      </c>
      <c r="BI409" s="180">
        <f t="shared" si="301"/>
        <v>0</v>
      </c>
      <c r="BJ409" s="181">
        <f t="shared" si="305"/>
        <v>0</v>
      </c>
      <c r="BK409" s="182">
        <f t="shared" si="302"/>
        <v>0</v>
      </c>
    </row>
    <row r="410" spans="1:63" x14ac:dyDescent="0.25">
      <c r="A410" s="7">
        <f t="shared" si="283"/>
        <v>0</v>
      </c>
      <c r="B410" s="7">
        <f t="shared" si="284"/>
        <v>0</v>
      </c>
      <c r="C410" s="115">
        <f t="shared" si="285"/>
        <v>58076</v>
      </c>
      <c r="D410" s="2">
        <f t="shared" si="268"/>
        <v>0</v>
      </c>
      <c r="E410" s="169">
        <f t="shared" si="286"/>
        <v>396</v>
      </c>
      <c r="F410" s="165">
        <f t="shared" si="287"/>
        <v>0</v>
      </c>
      <c r="G410" s="170">
        <f t="shared" si="303"/>
        <v>0</v>
      </c>
      <c r="H410" s="164" t="str">
        <f t="shared" ref="H410:H434" si="306">IF(OR(G410=0,L410&lt;1),"",IF(G410/L410&gt;90%,"🛩",IF(G410/L410&gt;70%,"🏎",IF(G410/L410&gt;50%,"🚙",IF(G410/L410&gt;30%,"🛵",IF(G410/L410&gt;15%,"🐢","⚓️"))))))</f>
        <v/>
      </c>
      <c r="I410" s="171" t="str">
        <f t="shared" si="269"/>
        <v/>
      </c>
      <c r="J410" s="172">
        <f t="shared" si="270"/>
        <v>0</v>
      </c>
      <c r="K410" s="173">
        <f t="shared" si="271"/>
        <v>0</v>
      </c>
      <c r="L410" s="174">
        <f t="shared" si="272"/>
        <v>0</v>
      </c>
      <c r="M410" s="175">
        <f t="shared" si="288"/>
        <v>0</v>
      </c>
      <c r="N410" s="15"/>
      <c r="O410" s="37" t="str">
        <f t="shared" si="265"/>
        <v/>
      </c>
      <c r="P410" s="62" t="str">
        <f t="shared" si="289"/>
        <v/>
      </c>
      <c r="Q410" s="16" t="str">
        <f t="shared" si="273"/>
        <v/>
      </c>
      <c r="R410" s="60">
        <f t="shared" si="290"/>
        <v>0</v>
      </c>
      <c r="S410" s="98">
        <f t="shared" si="291"/>
        <v>0</v>
      </c>
      <c r="T410" s="21">
        <f t="shared" si="292"/>
        <v>0</v>
      </c>
      <c r="AA410" s="14">
        <f t="shared" si="274"/>
        <v>0</v>
      </c>
      <c r="AH410" s="6">
        <f t="shared" si="275"/>
        <v>4</v>
      </c>
      <c r="AI410" s="6">
        <f t="shared" si="276"/>
        <v>11</v>
      </c>
      <c r="AJ410" s="12">
        <f t="shared" si="277"/>
        <v>33</v>
      </c>
      <c r="AK410" s="72">
        <f t="shared" si="267"/>
        <v>31</v>
      </c>
      <c r="AR410">
        <f t="shared" si="293"/>
        <v>0</v>
      </c>
      <c r="AS410">
        <f t="shared" si="294"/>
        <v>0</v>
      </c>
      <c r="AT410" s="183">
        <f t="shared" si="295"/>
        <v>58076</v>
      </c>
      <c r="AU410" s="2">
        <f t="shared" si="296"/>
        <v>0</v>
      </c>
      <c r="AV410" s="169">
        <f t="shared" si="297"/>
        <v>396</v>
      </c>
      <c r="AW410" s="165">
        <f t="shared" si="298"/>
        <v>0</v>
      </c>
      <c r="AX410" s="170">
        <f t="shared" si="304"/>
        <v>0</v>
      </c>
      <c r="AY410" s="164" t="str">
        <f t="shared" ref="AY410:AY434" si="307">IF(OR(AX410=0,BC410&lt;1),"",IF(AX410/BC410&gt;90%,"🛩",IF(AX410/BC410&gt;70%,"🏎",IF(AX410/BC410&gt;50%,"🚙",IF(AX410/BC410&gt;30%,"🛵",IF(AX410/BC410&gt;15%,"🐢","⚓️"))))))</f>
        <v/>
      </c>
      <c r="AZ410" s="171" t="str">
        <f t="shared" si="278"/>
        <v/>
      </c>
      <c r="BA410" s="172">
        <f t="shared" si="279"/>
        <v>0</v>
      </c>
      <c r="BB410" s="173">
        <f t="shared" si="280"/>
        <v>0</v>
      </c>
      <c r="BC410" s="174">
        <f t="shared" si="281"/>
        <v>0</v>
      </c>
      <c r="BD410" s="175">
        <f t="shared" si="299"/>
        <v>0</v>
      </c>
      <c r="BE410" s="188"/>
      <c r="BF410" s="177" t="str">
        <f t="shared" si="266"/>
        <v/>
      </c>
      <c r="BG410" s="178" t="str">
        <f t="shared" si="300"/>
        <v/>
      </c>
      <c r="BH410" s="179" t="str">
        <f t="shared" si="282"/>
        <v/>
      </c>
      <c r="BI410" s="180">
        <f t="shared" si="301"/>
        <v>0</v>
      </c>
      <c r="BJ410" s="181">
        <f t="shared" si="305"/>
        <v>0</v>
      </c>
      <c r="BK410" s="182">
        <f t="shared" si="302"/>
        <v>0</v>
      </c>
    </row>
    <row r="411" spans="1:63" x14ac:dyDescent="0.25">
      <c r="A411" s="7">
        <f t="shared" si="283"/>
        <v>0</v>
      </c>
      <c r="B411" s="7">
        <f t="shared" si="284"/>
        <v>0</v>
      </c>
      <c r="C411" s="115">
        <f t="shared" si="285"/>
        <v>58107</v>
      </c>
      <c r="D411" s="2">
        <f t="shared" si="268"/>
        <v>0</v>
      </c>
      <c r="E411" s="169">
        <f t="shared" si="286"/>
        <v>397</v>
      </c>
      <c r="F411" s="165">
        <f t="shared" si="287"/>
        <v>0</v>
      </c>
      <c r="G411" s="170">
        <f t="shared" si="303"/>
        <v>0</v>
      </c>
      <c r="H411" s="164" t="str">
        <f t="shared" si="306"/>
        <v/>
      </c>
      <c r="I411" s="171" t="str">
        <f t="shared" si="269"/>
        <v/>
      </c>
      <c r="J411" s="172">
        <f t="shared" si="270"/>
        <v>0</v>
      </c>
      <c r="K411" s="173">
        <f t="shared" si="271"/>
        <v>0</v>
      </c>
      <c r="L411" s="174">
        <f t="shared" si="272"/>
        <v>0</v>
      </c>
      <c r="M411" s="175">
        <f t="shared" si="288"/>
        <v>0</v>
      </c>
      <c r="N411" s="15"/>
      <c r="O411" s="37" t="str">
        <f t="shared" si="265"/>
        <v/>
      </c>
      <c r="P411" s="62" t="str">
        <f t="shared" si="289"/>
        <v/>
      </c>
      <c r="Q411" s="16" t="str">
        <f t="shared" si="273"/>
        <v/>
      </c>
      <c r="R411" s="60">
        <f t="shared" si="290"/>
        <v>0</v>
      </c>
      <c r="S411" s="98">
        <f t="shared" si="291"/>
        <v>0</v>
      </c>
      <c r="T411" s="21">
        <f t="shared" si="292"/>
        <v>0</v>
      </c>
      <c r="AA411" s="14">
        <f t="shared" si="274"/>
        <v>0</v>
      </c>
      <c r="AH411" s="6">
        <f t="shared" si="275"/>
        <v>4</v>
      </c>
      <c r="AI411" s="6">
        <f t="shared" si="276"/>
        <v>12</v>
      </c>
      <c r="AJ411" s="12">
        <f t="shared" si="277"/>
        <v>34</v>
      </c>
      <c r="AK411" s="72">
        <f t="shared" si="267"/>
        <v>28</v>
      </c>
      <c r="AR411">
        <f t="shared" si="293"/>
        <v>0</v>
      </c>
      <c r="AS411">
        <f t="shared" si="294"/>
        <v>0</v>
      </c>
      <c r="AT411" s="183">
        <f t="shared" si="295"/>
        <v>58107</v>
      </c>
      <c r="AU411" s="2">
        <f t="shared" si="296"/>
        <v>0</v>
      </c>
      <c r="AV411" s="169">
        <f t="shared" si="297"/>
        <v>397</v>
      </c>
      <c r="AW411" s="165">
        <f t="shared" si="298"/>
        <v>0</v>
      </c>
      <c r="AX411" s="170">
        <f t="shared" si="304"/>
        <v>0</v>
      </c>
      <c r="AY411" s="164" t="str">
        <f t="shared" si="307"/>
        <v/>
      </c>
      <c r="AZ411" s="171" t="str">
        <f t="shared" si="278"/>
        <v/>
      </c>
      <c r="BA411" s="172">
        <f t="shared" si="279"/>
        <v>0</v>
      </c>
      <c r="BB411" s="173">
        <f t="shared" si="280"/>
        <v>0</v>
      </c>
      <c r="BC411" s="174">
        <f t="shared" si="281"/>
        <v>0</v>
      </c>
      <c r="BD411" s="175">
        <f t="shared" si="299"/>
        <v>0</v>
      </c>
      <c r="BE411" s="188"/>
      <c r="BF411" s="177" t="str">
        <f t="shared" si="266"/>
        <v/>
      </c>
      <c r="BG411" s="178" t="str">
        <f t="shared" si="300"/>
        <v/>
      </c>
      <c r="BH411" s="179" t="str">
        <f t="shared" si="282"/>
        <v/>
      </c>
      <c r="BI411" s="180">
        <f t="shared" si="301"/>
        <v>0</v>
      </c>
      <c r="BJ411" s="181">
        <f t="shared" si="305"/>
        <v>0</v>
      </c>
      <c r="BK411" s="182">
        <f t="shared" si="302"/>
        <v>0</v>
      </c>
    </row>
    <row r="412" spans="1:63" x14ac:dyDescent="0.25">
      <c r="A412" s="7">
        <f t="shared" si="283"/>
        <v>0</v>
      </c>
      <c r="B412" s="7">
        <f t="shared" si="284"/>
        <v>0</v>
      </c>
      <c r="C412" s="115">
        <f t="shared" si="285"/>
        <v>58135</v>
      </c>
      <c r="D412" s="2">
        <f t="shared" si="268"/>
        <v>0</v>
      </c>
      <c r="E412" s="169">
        <f t="shared" si="286"/>
        <v>398</v>
      </c>
      <c r="F412" s="165">
        <f t="shared" si="287"/>
        <v>0</v>
      </c>
      <c r="G412" s="170">
        <f t="shared" si="303"/>
        <v>0</v>
      </c>
      <c r="H412" s="164" t="str">
        <f t="shared" si="306"/>
        <v/>
      </c>
      <c r="I412" s="171" t="str">
        <f t="shared" si="269"/>
        <v/>
      </c>
      <c r="J412" s="172">
        <f t="shared" si="270"/>
        <v>0</v>
      </c>
      <c r="K412" s="173">
        <f t="shared" si="271"/>
        <v>0</v>
      </c>
      <c r="L412" s="174">
        <f t="shared" si="272"/>
        <v>0</v>
      </c>
      <c r="M412" s="175">
        <f t="shared" si="288"/>
        <v>0</v>
      </c>
      <c r="N412" s="15"/>
      <c r="O412" s="37" t="str">
        <f t="shared" si="265"/>
        <v/>
      </c>
      <c r="P412" s="62" t="str">
        <f t="shared" si="289"/>
        <v/>
      </c>
      <c r="Q412" s="16" t="str">
        <f t="shared" si="273"/>
        <v/>
      </c>
      <c r="R412" s="60">
        <f t="shared" si="290"/>
        <v>0</v>
      </c>
      <c r="S412" s="98">
        <f t="shared" si="291"/>
        <v>0</v>
      </c>
      <c r="T412" s="21">
        <f t="shared" si="292"/>
        <v>0</v>
      </c>
      <c r="AA412" s="14">
        <f t="shared" si="274"/>
        <v>0</v>
      </c>
      <c r="AH412" s="6">
        <f t="shared" si="275"/>
        <v>4</v>
      </c>
      <c r="AI412" s="6">
        <f t="shared" si="276"/>
        <v>12</v>
      </c>
      <c r="AJ412" s="12">
        <f t="shared" si="277"/>
        <v>34</v>
      </c>
      <c r="AK412" s="72">
        <f t="shared" si="267"/>
        <v>31</v>
      </c>
      <c r="AR412">
        <f t="shared" si="293"/>
        <v>0</v>
      </c>
      <c r="AS412">
        <f t="shared" si="294"/>
        <v>0</v>
      </c>
      <c r="AT412" s="183">
        <f t="shared" si="295"/>
        <v>58135</v>
      </c>
      <c r="AU412" s="2">
        <f t="shared" si="296"/>
        <v>0</v>
      </c>
      <c r="AV412" s="169">
        <f t="shared" si="297"/>
        <v>398</v>
      </c>
      <c r="AW412" s="165">
        <f t="shared" si="298"/>
        <v>0</v>
      </c>
      <c r="AX412" s="170">
        <f t="shared" si="304"/>
        <v>0</v>
      </c>
      <c r="AY412" s="164" t="str">
        <f t="shared" si="307"/>
        <v/>
      </c>
      <c r="AZ412" s="171" t="str">
        <f t="shared" si="278"/>
        <v/>
      </c>
      <c r="BA412" s="172">
        <f t="shared" si="279"/>
        <v>0</v>
      </c>
      <c r="BB412" s="173">
        <f t="shared" si="280"/>
        <v>0</v>
      </c>
      <c r="BC412" s="174">
        <f t="shared" si="281"/>
        <v>0</v>
      </c>
      <c r="BD412" s="175">
        <f t="shared" si="299"/>
        <v>0</v>
      </c>
      <c r="BE412" s="188"/>
      <c r="BF412" s="177" t="str">
        <f t="shared" si="266"/>
        <v/>
      </c>
      <c r="BG412" s="178" t="str">
        <f t="shared" si="300"/>
        <v/>
      </c>
      <c r="BH412" s="179" t="str">
        <f t="shared" si="282"/>
        <v/>
      </c>
      <c r="BI412" s="180">
        <f t="shared" si="301"/>
        <v>0</v>
      </c>
      <c r="BJ412" s="181">
        <f t="shared" si="305"/>
        <v>0</v>
      </c>
      <c r="BK412" s="182">
        <f t="shared" si="302"/>
        <v>0</v>
      </c>
    </row>
    <row r="413" spans="1:63" x14ac:dyDescent="0.25">
      <c r="A413" s="7">
        <f t="shared" si="283"/>
        <v>0</v>
      </c>
      <c r="B413" s="7">
        <f t="shared" si="284"/>
        <v>0</v>
      </c>
      <c r="C413" s="115">
        <f t="shared" si="285"/>
        <v>58166</v>
      </c>
      <c r="D413" s="2">
        <f t="shared" si="268"/>
        <v>0</v>
      </c>
      <c r="E413" s="169">
        <f t="shared" si="286"/>
        <v>399</v>
      </c>
      <c r="F413" s="165">
        <f t="shared" si="287"/>
        <v>0</v>
      </c>
      <c r="G413" s="170">
        <f t="shared" si="303"/>
        <v>0</v>
      </c>
      <c r="H413" s="164" t="str">
        <f t="shared" si="306"/>
        <v/>
      </c>
      <c r="I413" s="171" t="str">
        <f t="shared" si="269"/>
        <v/>
      </c>
      <c r="J413" s="172">
        <f t="shared" si="270"/>
        <v>0</v>
      </c>
      <c r="K413" s="173">
        <f t="shared" si="271"/>
        <v>0</v>
      </c>
      <c r="L413" s="174">
        <f t="shared" si="272"/>
        <v>0</v>
      </c>
      <c r="M413" s="175">
        <f t="shared" si="288"/>
        <v>0</v>
      </c>
      <c r="N413" s="15"/>
      <c r="O413" s="37" t="str">
        <f t="shared" si="265"/>
        <v/>
      </c>
      <c r="P413" s="62" t="str">
        <f t="shared" si="289"/>
        <v/>
      </c>
      <c r="Q413" s="16" t="str">
        <f t="shared" si="273"/>
        <v/>
      </c>
      <c r="R413" s="60">
        <f t="shared" si="290"/>
        <v>0</v>
      </c>
      <c r="S413" s="98">
        <f t="shared" si="291"/>
        <v>0</v>
      </c>
      <c r="T413" s="21">
        <f t="shared" si="292"/>
        <v>0</v>
      </c>
      <c r="AA413" s="14">
        <f t="shared" si="274"/>
        <v>0</v>
      </c>
      <c r="AH413" s="6">
        <f t="shared" si="275"/>
        <v>4</v>
      </c>
      <c r="AI413" s="6">
        <f t="shared" si="276"/>
        <v>12</v>
      </c>
      <c r="AJ413" s="12">
        <f t="shared" si="277"/>
        <v>34</v>
      </c>
      <c r="AK413" s="72">
        <f t="shared" si="267"/>
        <v>30</v>
      </c>
      <c r="AR413">
        <f t="shared" si="293"/>
        <v>0</v>
      </c>
      <c r="AS413">
        <f t="shared" si="294"/>
        <v>0</v>
      </c>
      <c r="AT413" s="183">
        <f t="shared" si="295"/>
        <v>58166</v>
      </c>
      <c r="AU413" s="2">
        <f t="shared" si="296"/>
        <v>0</v>
      </c>
      <c r="AV413" s="169">
        <f t="shared" si="297"/>
        <v>399</v>
      </c>
      <c r="AW413" s="165">
        <f t="shared" si="298"/>
        <v>0</v>
      </c>
      <c r="AX413" s="170">
        <f t="shared" si="304"/>
        <v>0</v>
      </c>
      <c r="AY413" s="164" t="str">
        <f t="shared" si="307"/>
        <v/>
      </c>
      <c r="AZ413" s="171" t="str">
        <f t="shared" si="278"/>
        <v/>
      </c>
      <c r="BA413" s="172">
        <f t="shared" si="279"/>
        <v>0</v>
      </c>
      <c r="BB413" s="173">
        <f t="shared" si="280"/>
        <v>0</v>
      </c>
      <c r="BC413" s="174">
        <f t="shared" si="281"/>
        <v>0</v>
      </c>
      <c r="BD413" s="175">
        <f t="shared" si="299"/>
        <v>0</v>
      </c>
      <c r="BE413" s="188"/>
      <c r="BF413" s="177" t="str">
        <f t="shared" si="266"/>
        <v/>
      </c>
      <c r="BG413" s="178" t="str">
        <f t="shared" si="300"/>
        <v/>
      </c>
      <c r="BH413" s="179" t="str">
        <f t="shared" si="282"/>
        <v/>
      </c>
      <c r="BI413" s="180">
        <f t="shared" si="301"/>
        <v>0</v>
      </c>
      <c r="BJ413" s="181">
        <f t="shared" si="305"/>
        <v>0</v>
      </c>
      <c r="BK413" s="182">
        <f t="shared" si="302"/>
        <v>0</v>
      </c>
    </row>
    <row r="414" spans="1:63" x14ac:dyDescent="0.25">
      <c r="A414" s="7">
        <f t="shared" si="283"/>
        <v>0</v>
      </c>
      <c r="B414" s="7">
        <f t="shared" si="284"/>
        <v>0</v>
      </c>
      <c r="C414" s="115">
        <f t="shared" si="285"/>
        <v>58196</v>
      </c>
      <c r="D414" s="2">
        <f t="shared" si="268"/>
        <v>0</v>
      </c>
      <c r="E414" s="169">
        <f t="shared" si="286"/>
        <v>400</v>
      </c>
      <c r="F414" s="165">
        <f t="shared" si="287"/>
        <v>0</v>
      </c>
      <c r="G414" s="170">
        <f t="shared" si="303"/>
        <v>0</v>
      </c>
      <c r="H414" s="164" t="str">
        <f t="shared" si="306"/>
        <v/>
      </c>
      <c r="I414" s="171" t="str">
        <f t="shared" si="269"/>
        <v/>
      </c>
      <c r="J414" s="172">
        <f t="shared" si="270"/>
        <v>0</v>
      </c>
      <c r="K414" s="173">
        <f t="shared" si="271"/>
        <v>0</v>
      </c>
      <c r="L414" s="174">
        <f t="shared" si="272"/>
        <v>0</v>
      </c>
      <c r="M414" s="175">
        <f t="shared" si="288"/>
        <v>0</v>
      </c>
      <c r="N414" s="15"/>
      <c r="O414" s="37" t="str">
        <f t="shared" si="265"/>
        <v/>
      </c>
      <c r="P414" s="62" t="str">
        <f t="shared" si="289"/>
        <v/>
      </c>
      <c r="Q414" s="16" t="str">
        <f t="shared" si="273"/>
        <v/>
      </c>
      <c r="R414" s="60">
        <f t="shared" si="290"/>
        <v>0</v>
      </c>
      <c r="S414" s="98">
        <f t="shared" si="291"/>
        <v>0</v>
      </c>
      <c r="T414" s="21">
        <f t="shared" si="292"/>
        <v>0</v>
      </c>
      <c r="AA414" s="14">
        <f t="shared" si="274"/>
        <v>0</v>
      </c>
      <c r="AH414" s="6">
        <f t="shared" si="275"/>
        <v>4</v>
      </c>
      <c r="AI414" s="6">
        <f t="shared" si="276"/>
        <v>12</v>
      </c>
      <c r="AJ414" s="12">
        <f t="shared" si="277"/>
        <v>34</v>
      </c>
      <c r="AK414" s="72">
        <f t="shared" si="267"/>
        <v>31</v>
      </c>
      <c r="AR414">
        <f t="shared" si="293"/>
        <v>0</v>
      </c>
      <c r="AS414">
        <f t="shared" si="294"/>
        <v>0</v>
      </c>
      <c r="AT414" s="183">
        <f t="shared" si="295"/>
        <v>58196</v>
      </c>
      <c r="AU414" s="2">
        <f t="shared" si="296"/>
        <v>0</v>
      </c>
      <c r="AV414" s="169">
        <f t="shared" si="297"/>
        <v>400</v>
      </c>
      <c r="AW414" s="165">
        <f t="shared" si="298"/>
        <v>0</v>
      </c>
      <c r="AX414" s="170">
        <f t="shared" si="304"/>
        <v>0</v>
      </c>
      <c r="AY414" s="164" t="str">
        <f t="shared" si="307"/>
        <v/>
      </c>
      <c r="AZ414" s="171" t="str">
        <f t="shared" si="278"/>
        <v/>
      </c>
      <c r="BA414" s="172">
        <f t="shared" si="279"/>
        <v>0</v>
      </c>
      <c r="BB414" s="173">
        <f t="shared" si="280"/>
        <v>0</v>
      </c>
      <c r="BC414" s="174">
        <f t="shared" si="281"/>
        <v>0</v>
      </c>
      <c r="BD414" s="175">
        <f t="shared" si="299"/>
        <v>0</v>
      </c>
      <c r="BE414" s="188"/>
      <c r="BF414" s="177" t="str">
        <f t="shared" si="266"/>
        <v/>
      </c>
      <c r="BG414" s="178" t="str">
        <f t="shared" si="300"/>
        <v/>
      </c>
      <c r="BH414" s="179" t="str">
        <f t="shared" si="282"/>
        <v/>
      </c>
      <c r="BI414" s="180">
        <f t="shared" si="301"/>
        <v>0</v>
      </c>
      <c r="BJ414" s="181">
        <f t="shared" si="305"/>
        <v>0</v>
      </c>
      <c r="BK414" s="182">
        <f t="shared" si="302"/>
        <v>0</v>
      </c>
    </row>
    <row r="415" spans="1:63" x14ac:dyDescent="0.25">
      <c r="A415" s="7">
        <f t="shared" si="283"/>
        <v>0</v>
      </c>
      <c r="B415" s="7">
        <f t="shared" si="284"/>
        <v>0</v>
      </c>
      <c r="C415" s="115">
        <f t="shared" si="285"/>
        <v>58227</v>
      </c>
      <c r="D415" s="2">
        <f t="shared" si="268"/>
        <v>0</v>
      </c>
      <c r="E415" s="169">
        <f t="shared" si="286"/>
        <v>401</v>
      </c>
      <c r="F415" s="165">
        <f t="shared" si="287"/>
        <v>0</v>
      </c>
      <c r="G415" s="170">
        <f t="shared" si="303"/>
        <v>0</v>
      </c>
      <c r="H415" s="164" t="str">
        <f t="shared" si="306"/>
        <v/>
      </c>
      <c r="I415" s="171" t="str">
        <f t="shared" si="269"/>
        <v/>
      </c>
      <c r="J415" s="172">
        <f t="shared" si="270"/>
        <v>0</v>
      </c>
      <c r="K415" s="173">
        <f t="shared" si="271"/>
        <v>0</v>
      </c>
      <c r="L415" s="174">
        <f t="shared" si="272"/>
        <v>0</v>
      </c>
      <c r="M415" s="175">
        <f t="shared" si="288"/>
        <v>0</v>
      </c>
      <c r="N415" s="15"/>
      <c r="O415" s="37" t="str">
        <f t="shared" si="265"/>
        <v/>
      </c>
      <c r="P415" s="62" t="str">
        <f t="shared" si="289"/>
        <v/>
      </c>
      <c r="Q415" s="16" t="str">
        <f t="shared" si="273"/>
        <v/>
      </c>
      <c r="R415" s="60">
        <f t="shared" si="290"/>
        <v>0</v>
      </c>
      <c r="S415" s="98">
        <f t="shared" si="291"/>
        <v>0</v>
      </c>
      <c r="T415" s="21">
        <f t="shared" si="292"/>
        <v>0</v>
      </c>
      <c r="AA415" s="14">
        <f t="shared" si="274"/>
        <v>0</v>
      </c>
      <c r="AH415" s="6">
        <f t="shared" si="275"/>
        <v>4</v>
      </c>
      <c r="AI415" s="6">
        <f t="shared" si="276"/>
        <v>12</v>
      </c>
      <c r="AJ415" s="12">
        <f t="shared" si="277"/>
        <v>34</v>
      </c>
      <c r="AK415" s="72">
        <f t="shared" si="267"/>
        <v>30</v>
      </c>
      <c r="AR415">
        <f t="shared" si="293"/>
        <v>0</v>
      </c>
      <c r="AS415">
        <f t="shared" si="294"/>
        <v>0</v>
      </c>
      <c r="AT415" s="183">
        <f t="shared" si="295"/>
        <v>58227</v>
      </c>
      <c r="AU415" s="2">
        <f t="shared" si="296"/>
        <v>0</v>
      </c>
      <c r="AV415" s="169">
        <f t="shared" si="297"/>
        <v>401</v>
      </c>
      <c r="AW415" s="165">
        <f t="shared" si="298"/>
        <v>0</v>
      </c>
      <c r="AX415" s="170">
        <f t="shared" si="304"/>
        <v>0</v>
      </c>
      <c r="AY415" s="164" t="str">
        <f t="shared" si="307"/>
        <v/>
      </c>
      <c r="AZ415" s="171" t="str">
        <f t="shared" si="278"/>
        <v/>
      </c>
      <c r="BA415" s="172">
        <f t="shared" si="279"/>
        <v>0</v>
      </c>
      <c r="BB415" s="173">
        <f t="shared" si="280"/>
        <v>0</v>
      </c>
      <c r="BC415" s="174">
        <f t="shared" si="281"/>
        <v>0</v>
      </c>
      <c r="BD415" s="175">
        <f t="shared" si="299"/>
        <v>0</v>
      </c>
      <c r="BE415" s="188"/>
      <c r="BF415" s="177" t="str">
        <f t="shared" si="266"/>
        <v/>
      </c>
      <c r="BG415" s="178" t="str">
        <f t="shared" si="300"/>
        <v/>
      </c>
      <c r="BH415" s="179" t="str">
        <f t="shared" si="282"/>
        <v/>
      </c>
      <c r="BI415" s="180">
        <f t="shared" si="301"/>
        <v>0</v>
      </c>
      <c r="BJ415" s="181">
        <f t="shared" si="305"/>
        <v>0</v>
      </c>
      <c r="BK415" s="182">
        <f t="shared" si="302"/>
        <v>0</v>
      </c>
    </row>
    <row r="416" spans="1:63" x14ac:dyDescent="0.25">
      <c r="A416" s="7">
        <f t="shared" si="283"/>
        <v>0</v>
      </c>
      <c r="B416" s="7">
        <f t="shared" si="284"/>
        <v>0</v>
      </c>
      <c r="C416" s="115">
        <f t="shared" si="285"/>
        <v>58257</v>
      </c>
      <c r="D416" s="2">
        <f t="shared" si="268"/>
        <v>0</v>
      </c>
      <c r="E416" s="169">
        <f t="shared" si="286"/>
        <v>402</v>
      </c>
      <c r="F416" s="165">
        <f t="shared" si="287"/>
        <v>0</v>
      </c>
      <c r="G416" s="170">
        <f t="shared" si="303"/>
        <v>0</v>
      </c>
      <c r="H416" s="164" t="str">
        <f t="shared" si="306"/>
        <v/>
      </c>
      <c r="I416" s="171" t="str">
        <f t="shared" si="269"/>
        <v/>
      </c>
      <c r="J416" s="172">
        <f t="shared" si="270"/>
        <v>0</v>
      </c>
      <c r="K416" s="173">
        <f t="shared" si="271"/>
        <v>0</v>
      </c>
      <c r="L416" s="174">
        <f t="shared" si="272"/>
        <v>0</v>
      </c>
      <c r="M416" s="175">
        <f t="shared" si="288"/>
        <v>0</v>
      </c>
      <c r="N416" s="15"/>
      <c r="O416" s="37" t="str">
        <f t="shared" si="265"/>
        <v/>
      </c>
      <c r="P416" s="62" t="str">
        <f t="shared" si="289"/>
        <v/>
      </c>
      <c r="Q416" s="16" t="str">
        <f t="shared" si="273"/>
        <v/>
      </c>
      <c r="R416" s="60">
        <f t="shared" si="290"/>
        <v>0</v>
      </c>
      <c r="S416" s="98">
        <f t="shared" si="291"/>
        <v>0</v>
      </c>
      <c r="T416" s="21">
        <f t="shared" si="292"/>
        <v>0</v>
      </c>
      <c r="AA416" s="14">
        <f t="shared" si="274"/>
        <v>0</v>
      </c>
      <c r="AH416" s="6">
        <f t="shared" si="275"/>
        <v>4</v>
      </c>
      <c r="AI416" s="6">
        <f t="shared" si="276"/>
        <v>12</v>
      </c>
      <c r="AJ416" s="12">
        <f t="shared" si="277"/>
        <v>34</v>
      </c>
      <c r="AK416" s="72">
        <f t="shared" si="267"/>
        <v>31</v>
      </c>
      <c r="AR416">
        <f t="shared" si="293"/>
        <v>0</v>
      </c>
      <c r="AS416">
        <f t="shared" si="294"/>
        <v>0</v>
      </c>
      <c r="AT416" s="183">
        <f t="shared" si="295"/>
        <v>58257</v>
      </c>
      <c r="AU416" s="2">
        <f t="shared" si="296"/>
        <v>0</v>
      </c>
      <c r="AV416" s="169">
        <f t="shared" si="297"/>
        <v>402</v>
      </c>
      <c r="AW416" s="165">
        <f t="shared" si="298"/>
        <v>0</v>
      </c>
      <c r="AX416" s="170">
        <f t="shared" si="304"/>
        <v>0</v>
      </c>
      <c r="AY416" s="164" t="str">
        <f t="shared" si="307"/>
        <v/>
      </c>
      <c r="AZ416" s="171" t="str">
        <f t="shared" si="278"/>
        <v/>
      </c>
      <c r="BA416" s="172">
        <f t="shared" si="279"/>
        <v>0</v>
      </c>
      <c r="BB416" s="173">
        <f t="shared" si="280"/>
        <v>0</v>
      </c>
      <c r="BC416" s="174">
        <f t="shared" si="281"/>
        <v>0</v>
      </c>
      <c r="BD416" s="175">
        <f t="shared" si="299"/>
        <v>0</v>
      </c>
      <c r="BE416" s="188"/>
      <c r="BF416" s="177" t="str">
        <f t="shared" si="266"/>
        <v/>
      </c>
      <c r="BG416" s="178" t="str">
        <f t="shared" si="300"/>
        <v/>
      </c>
      <c r="BH416" s="179" t="str">
        <f t="shared" si="282"/>
        <v/>
      </c>
      <c r="BI416" s="180">
        <f t="shared" si="301"/>
        <v>0</v>
      </c>
      <c r="BJ416" s="181">
        <f t="shared" si="305"/>
        <v>0</v>
      </c>
      <c r="BK416" s="182">
        <f t="shared" si="302"/>
        <v>0</v>
      </c>
    </row>
    <row r="417" spans="1:63" x14ac:dyDescent="0.25">
      <c r="A417" s="7">
        <f t="shared" si="283"/>
        <v>0</v>
      </c>
      <c r="B417" s="7">
        <f t="shared" si="284"/>
        <v>0</v>
      </c>
      <c r="C417" s="115">
        <f t="shared" si="285"/>
        <v>58288</v>
      </c>
      <c r="D417" s="2">
        <f t="shared" si="268"/>
        <v>0</v>
      </c>
      <c r="E417" s="169">
        <f t="shared" si="286"/>
        <v>403</v>
      </c>
      <c r="F417" s="165">
        <f t="shared" si="287"/>
        <v>0</v>
      </c>
      <c r="G417" s="170">
        <f t="shared" si="303"/>
        <v>0</v>
      </c>
      <c r="H417" s="164" t="str">
        <f t="shared" si="306"/>
        <v/>
      </c>
      <c r="I417" s="171" t="str">
        <f t="shared" si="269"/>
        <v/>
      </c>
      <c r="J417" s="172">
        <f t="shared" si="270"/>
        <v>0</v>
      </c>
      <c r="K417" s="173">
        <f t="shared" si="271"/>
        <v>0</v>
      </c>
      <c r="L417" s="174">
        <f t="shared" si="272"/>
        <v>0</v>
      </c>
      <c r="M417" s="175">
        <f t="shared" si="288"/>
        <v>0</v>
      </c>
      <c r="N417" s="15"/>
      <c r="O417" s="37" t="str">
        <f t="shared" si="265"/>
        <v/>
      </c>
      <c r="P417" s="62" t="str">
        <f t="shared" si="289"/>
        <v/>
      </c>
      <c r="Q417" s="16" t="str">
        <f t="shared" si="273"/>
        <v/>
      </c>
      <c r="R417" s="60">
        <f t="shared" si="290"/>
        <v>0</v>
      </c>
      <c r="S417" s="98">
        <f t="shared" si="291"/>
        <v>0</v>
      </c>
      <c r="T417" s="21">
        <f t="shared" si="292"/>
        <v>0</v>
      </c>
      <c r="AA417" s="14">
        <f t="shared" si="274"/>
        <v>0</v>
      </c>
      <c r="AH417" s="6">
        <f t="shared" si="275"/>
        <v>4</v>
      </c>
      <c r="AI417" s="6">
        <f t="shared" si="276"/>
        <v>12</v>
      </c>
      <c r="AJ417" s="12">
        <f t="shared" si="277"/>
        <v>34</v>
      </c>
      <c r="AK417" s="72">
        <f t="shared" si="267"/>
        <v>31</v>
      </c>
      <c r="AR417">
        <f t="shared" si="293"/>
        <v>0</v>
      </c>
      <c r="AS417">
        <f t="shared" si="294"/>
        <v>0</v>
      </c>
      <c r="AT417" s="183">
        <f t="shared" si="295"/>
        <v>58288</v>
      </c>
      <c r="AU417" s="2">
        <f t="shared" si="296"/>
        <v>0</v>
      </c>
      <c r="AV417" s="169">
        <f t="shared" si="297"/>
        <v>403</v>
      </c>
      <c r="AW417" s="165">
        <f t="shared" si="298"/>
        <v>0</v>
      </c>
      <c r="AX417" s="170">
        <f t="shared" si="304"/>
        <v>0</v>
      </c>
      <c r="AY417" s="164" t="str">
        <f t="shared" si="307"/>
        <v/>
      </c>
      <c r="AZ417" s="171" t="str">
        <f t="shared" si="278"/>
        <v/>
      </c>
      <c r="BA417" s="172">
        <f t="shared" si="279"/>
        <v>0</v>
      </c>
      <c r="BB417" s="173">
        <f t="shared" si="280"/>
        <v>0</v>
      </c>
      <c r="BC417" s="174">
        <f t="shared" si="281"/>
        <v>0</v>
      </c>
      <c r="BD417" s="175">
        <f t="shared" si="299"/>
        <v>0</v>
      </c>
      <c r="BE417" s="188"/>
      <c r="BF417" s="177" t="str">
        <f t="shared" si="266"/>
        <v/>
      </c>
      <c r="BG417" s="178" t="str">
        <f t="shared" si="300"/>
        <v/>
      </c>
      <c r="BH417" s="179" t="str">
        <f t="shared" si="282"/>
        <v/>
      </c>
      <c r="BI417" s="180">
        <f t="shared" si="301"/>
        <v>0</v>
      </c>
      <c r="BJ417" s="181">
        <f t="shared" si="305"/>
        <v>0</v>
      </c>
      <c r="BK417" s="182">
        <f t="shared" si="302"/>
        <v>0</v>
      </c>
    </row>
    <row r="418" spans="1:63" x14ac:dyDescent="0.25">
      <c r="A418" s="7">
        <f t="shared" si="283"/>
        <v>0</v>
      </c>
      <c r="B418" s="7">
        <f t="shared" si="284"/>
        <v>0</v>
      </c>
      <c r="C418" s="115">
        <f t="shared" si="285"/>
        <v>58319</v>
      </c>
      <c r="D418" s="2">
        <f t="shared" si="268"/>
        <v>0</v>
      </c>
      <c r="E418" s="169">
        <f t="shared" si="286"/>
        <v>404</v>
      </c>
      <c r="F418" s="165">
        <f t="shared" si="287"/>
        <v>0</v>
      </c>
      <c r="G418" s="170">
        <f t="shared" si="303"/>
        <v>0</v>
      </c>
      <c r="H418" s="164" t="str">
        <f t="shared" si="306"/>
        <v/>
      </c>
      <c r="I418" s="171" t="str">
        <f t="shared" si="269"/>
        <v/>
      </c>
      <c r="J418" s="172">
        <f t="shared" si="270"/>
        <v>0</v>
      </c>
      <c r="K418" s="173">
        <f t="shared" si="271"/>
        <v>0</v>
      </c>
      <c r="L418" s="174">
        <f t="shared" si="272"/>
        <v>0</v>
      </c>
      <c r="M418" s="175">
        <f t="shared" si="288"/>
        <v>0</v>
      </c>
      <c r="N418" s="15"/>
      <c r="O418" s="37" t="str">
        <f t="shared" si="265"/>
        <v/>
      </c>
      <c r="P418" s="62" t="str">
        <f t="shared" si="289"/>
        <v/>
      </c>
      <c r="Q418" s="16" t="str">
        <f t="shared" si="273"/>
        <v/>
      </c>
      <c r="R418" s="60">
        <f t="shared" si="290"/>
        <v>0</v>
      </c>
      <c r="S418" s="98">
        <f t="shared" si="291"/>
        <v>0</v>
      </c>
      <c r="T418" s="21">
        <f t="shared" si="292"/>
        <v>0</v>
      </c>
      <c r="AA418" s="14">
        <f t="shared" si="274"/>
        <v>0</v>
      </c>
      <c r="AH418" s="6">
        <f t="shared" si="275"/>
        <v>4</v>
      </c>
      <c r="AI418" s="6">
        <f t="shared" si="276"/>
        <v>12</v>
      </c>
      <c r="AJ418" s="12">
        <f t="shared" si="277"/>
        <v>34</v>
      </c>
      <c r="AK418" s="72">
        <f t="shared" si="267"/>
        <v>30</v>
      </c>
      <c r="AR418">
        <f t="shared" si="293"/>
        <v>0</v>
      </c>
      <c r="AS418">
        <f t="shared" si="294"/>
        <v>0</v>
      </c>
      <c r="AT418" s="183">
        <f t="shared" si="295"/>
        <v>58319</v>
      </c>
      <c r="AU418" s="2">
        <f t="shared" si="296"/>
        <v>0</v>
      </c>
      <c r="AV418" s="169">
        <f t="shared" si="297"/>
        <v>404</v>
      </c>
      <c r="AW418" s="165">
        <f t="shared" si="298"/>
        <v>0</v>
      </c>
      <c r="AX418" s="170">
        <f t="shared" si="304"/>
        <v>0</v>
      </c>
      <c r="AY418" s="164" t="str">
        <f t="shared" si="307"/>
        <v/>
      </c>
      <c r="AZ418" s="171" t="str">
        <f t="shared" si="278"/>
        <v/>
      </c>
      <c r="BA418" s="172">
        <f t="shared" si="279"/>
        <v>0</v>
      </c>
      <c r="BB418" s="173">
        <f t="shared" si="280"/>
        <v>0</v>
      </c>
      <c r="BC418" s="174">
        <f t="shared" si="281"/>
        <v>0</v>
      </c>
      <c r="BD418" s="175">
        <f t="shared" si="299"/>
        <v>0</v>
      </c>
      <c r="BE418" s="188"/>
      <c r="BF418" s="177" t="str">
        <f t="shared" si="266"/>
        <v/>
      </c>
      <c r="BG418" s="178" t="str">
        <f t="shared" si="300"/>
        <v/>
      </c>
      <c r="BH418" s="179" t="str">
        <f t="shared" si="282"/>
        <v/>
      </c>
      <c r="BI418" s="180">
        <f t="shared" si="301"/>
        <v>0</v>
      </c>
      <c r="BJ418" s="181">
        <f t="shared" si="305"/>
        <v>0</v>
      </c>
      <c r="BK418" s="182">
        <f t="shared" si="302"/>
        <v>0</v>
      </c>
    </row>
    <row r="419" spans="1:63" x14ac:dyDescent="0.25">
      <c r="A419" s="7">
        <f t="shared" si="283"/>
        <v>0</v>
      </c>
      <c r="B419" s="7">
        <f t="shared" si="284"/>
        <v>0</v>
      </c>
      <c r="C419" s="115">
        <f t="shared" si="285"/>
        <v>58349</v>
      </c>
      <c r="D419" s="2">
        <f t="shared" si="268"/>
        <v>0</v>
      </c>
      <c r="E419" s="169">
        <f t="shared" si="286"/>
        <v>405</v>
      </c>
      <c r="F419" s="165">
        <f t="shared" si="287"/>
        <v>0</v>
      </c>
      <c r="G419" s="170">
        <f t="shared" si="303"/>
        <v>0</v>
      </c>
      <c r="H419" s="164" t="str">
        <f t="shared" si="306"/>
        <v/>
      </c>
      <c r="I419" s="171" t="str">
        <f t="shared" si="269"/>
        <v/>
      </c>
      <c r="J419" s="172">
        <f t="shared" si="270"/>
        <v>0</v>
      </c>
      <c r="K419" s="173">
        <f t="shared" si="271"/>
        <v>0</v>
      </c>
      <c r="L419" s="174">
        <f t="shared" si="272"/>
        <v>0</v>
      </c>
      <c r="M419" s="175">
        <f t="shared" si="288"/>
        <v>0</v>
      </c>
      <c r="N419" s="15"/>
      <c r="O419" s="37" t="str">
        <f t="shared" si="265"/>
        <v/>
      </c>
      <c r="P419" s="62" t="str">
        <f t="shared" si="289"/>
        <v/>
      </c>
      <c r="Q419" s="16" t="str">
        <f t="shared" si="273"/>
        <v/>
      </c>
      <c r="R419" s="60">
        <f t="shared" si="290"/>
        <v>0</v>
      </c>
      <c r="S419" s="98">
        <f t="shared" si="291"/>
        <v>0</v>
      </c>
      <c r="T419" s="21">
        <f t="shared" si="292"/>
        <v>0</v>
      </c>
      <c r="AA419" s="14">
        <f t="shared" si="274"/>
        <v>0</v>
      </c>
      <c r="AH419" s="6">
        <f t="shared" si="275"/>
        <v>4</v>
      </c>
      <c r="AI419" s="6">
        <f t="shared" si="276"/>
        <v>12</v>
      </c>
      <c r="AJ419" s="12">
        <f t="shared" si="277"/>
        <v>34</v>
      </c>
      <c r="AK419" s="72">
        <f t="shared" si="267"/>
        <v>31</v>
      </c>
      <c r="AR419">
        <f t="shared" si="293"/>
        <v>0</v>
      </c>
      <c r="AS419">
        <f t="shared" si="294"/>
        <v>0</v>
      </c>
      <c r="AT419" s="183">
        <f t="shared" si="295"/>
        <v>58349</v>
      </c>
      <c r="AU419" s="2">
        <f t="shared" si="296"/>
        <v>0</v>
      </c>
      <c r="AV419" s="169">
        <f t="shared" si="297"/>
        <v>405</v>
      </c>
      <c r="AW419" s="165">
        <f t="shared" si="298"/>
        <v>0</v>
      </c>
      <c r="AX419" s="170">
        <f t="shared" si="304"/>
        <v>0</v>
      </c>
      <c r="AY419" s="164" t="str">
        <f t="shared" si="307"/>
        <v/>
      </c>
      <c r="AZ419" s="171" t="str">
        <f t="shared" si="278"/>
        <v/>
      </c>
      <c r="BA419" s="172">
        <f t="shared" si="279"/>
        <v>0</v>
      </c>
      <c r="BB419" s="173">
        <f t="shared" si="280"/>
        <v>0</v>
      </c>
      <c r="BC419" s="174">
        <f t="shared" si="281"/>
        <v>0</v>
      </c>
      <c r="BD419" s="175">
        <f t="shared" si="299"/>
        <v>0</v>
      </c>
      <c r="BE419" s="188"/>
      <c r="BF419" s="177" t="str">
        <f t="shared" si="266"/>
        <v/>
      </c>
      <c r="BG419" s="178" t="str">
        <f t="shared" si="300"/>
        <v/>
      </c>
      <c r="BH419" s="179" t="str">
        <f t="shared" si="282"/>
        <v/>
      </c>
      <c r="BI419" s="180">
        <f t="shared" si="301"/>
        <v>0</v>
      </c>
      <c r="BJ419" s="181">
        <f t="shared" si="305"/>
        <v>0</v>
      </c>
      <c r="BK419" s="182">
        <f t="shared" si="302"/>
        <v>0</v>
      </c>
    </row>
    <row r="420" spans="1:63" x14ac:dyDescent="0.25">
      <c r="A420" s="7">
        <f t="shared" si="283"/>
        <v>0</v>
      </c>
      <c r="B420" s="7">
        <f t="shared" si="284"/>
        <v>0</v>
      </c>
      <c r="C420" s="115">
        <f t="shared" si="285"/>
        <v>58380</v>
      </c>
      <c r="D420" s="2">
        <f t="shared" si="268"/>
        <v>0</v>
      </c>
      <c r="E420" s="169">
        <f t="shared" si="286"/>
        <v>406</v>
      </c>
      <c r="F420" s="165">
        <f t="shared" si="287"/>
        <v>0</v>
      </c>
      <c r="G420" s="170">
        <f t="shared" si="303"/>
        <v>0</v>
      </c>
      <c r="H420" s="164" t="str">
        <f t="shared" si="306"/>
        <v/>
      </c>
      <c r="I420" s="171" t="str">
        <f t="shared" si="269"/>
        <v/>
      </c>
      <c r="J420" s="172">
        <f t="shared" si="270"/>
        <v>0</v>
      </c>
      <c r="K420" s="173">
        <f t="shared" si="271"/>
        <v>0</v>
      </c>
      <c r="L420" s="174">
        <f t="shared" si="272"/>
        <v>0</v>
      </c>
      <c r="M420" s="175">
        <f t="shared" si="288"/>
        <v>0</v>
      </c>
      <c r="N420" s="15"/>
      <c r="O420" s="37" t="str">
        <f t="shared" si="265"/>
        <v/>
      </c>
      <c r="P420" s="62" t="str">
        <f t="shared" si="289"/>
        <v/>
      </c>
      <c r="Q420" s="16" t="str">
        <f t="shared" si="273"/>
        <v/>
      </c>
      <c r="R420" s="60">
        <f t="shared" si="290"/>
        <v>0</v>
      </c>
      <c r="S420" s="98">
        <f t="shared" si="291"/>
        <v>0</v>
      </c>
      <c r="T420" s="21">
        <f t="shared" si="292"/>
        <v>0</v>
      </c>
      <c r="AA420" s="14">
        <f t="shared" si="274"/>
        <v>0</v>
      </c>
      <c r="AH420" s="6">
        <f t="shared" si="275"/>
        <v>4</v>
      </c>
      <c r="AI420" s="6">
        <f t="shared" si="276"/>
        <v>12</v>
      </c>
      <c r="AJ420" s="12">
        <f t="shared" si="277"/>
        <v>34</v>
      </c>
      <c r="AK420" s="72">
        <f t="shared" si="267"/>
        <v>30</v>
      </c>
      <c r="AR420">
        <f t="shared" si="293"/>
        <v>0</v>
      </c>
      <c r="AS420">
        <f t="shared" si="294"/>
        <v>0</v>
      </c>
      <c r="AT420" s="183">
        <f t="shared" si="295"/>
        <v>58380</v>
      </c>
      <c r="AU420" s="2">
        <f t="shared" si="296"/>
        <v>0</v>
      </c>
      <c r="AV420" s="169">
        <f t="shared" si="297"/>
        <v>406</v>
      </c>
      <c r="AW420" s="165">
        <f t="shared" si="298"/>
        <v>0</v>
      </c>
      <c r="AX420" s="170">
        <f t="shared" si="304"/>
        <v>0</v>
      </c>
      <c r="AY420" s="164" t="str">
        <f t="shared" si="307"/>
        <v/>
      </c>
      <c r="AZ420" s="171" t="str">
        <f t="shared" si="278"/>
        <v/>
      </c>
      <c r="BA420" s="172">
        <f t="shared" si="279"/>
        <v>0</v>
      </c>
      <c r="BB420" s="173">
        <f t="shared" si="280"/>
        <v>0</v>
      </c>
      <c r="BC420" s="174">
        <f t="shared" si="281"/>
        <v>0</v>
      </c>
      <c r="BD420" s="175">
        <f t="shared" si="299"/>
        <v>0</v>
      </c>
      <c r="BE420" s="188"/>
      <c r="BF420" s="177" t="str">
        <f t="shared" si="266"/>
        <v/>
      </c>
      <c r="BG420" s="178" t="str">
        <f t="shared" si="300"/>
        <v/>
      </c>
      <c r="BH420" s="179" t="str">
        <f t="shared" si="282"/>
        <v/>
      </c>
      <c r="BI420" s="180">
        <f t="shared" si="301"/>
        <v>0</v>
      </c>
      <c r="BJ420" s="181">
        <f t="shared" si="305"/>
        <v>0</v>
      </c>
      <c r="BK420" s="182">
        <f t="shared" si="302"/>
        <v>0</v>
      </c>
    </row>
    <row r="421" spans="1:63" x14ac:dyDescent="0.25">
      <c r="A421" s="7">
        <f t="shared" si="283"/>
        <v>0</v>
      </c>
      <c r="B421" s="7">
        <f t="shared" si="284"/>
        <v>0</v>
      </c>
      <c r="C421" s="115">
        <f t="shared" si="285"/>
        <v>58410</v>
      </c>
      <c r="D421" s="2">
        <f t="shared" si="268"/>
        <v>0</v>
      </c>
      <c r="E421" s="169">
        <f t="shared" si="286"/>
        <v>407</v>
      </c>
      <c r="F421" s="165">
        <f t="shared" si="287"/>
        <v>0</v>
      </c>
      <c r="G421" s="170">
        <f t="shared" si="303"/>
        <v>0</v>
      </c>
      <c r="H421" s="164" t="str">
        <f t="shared" si="306"/>
        <v/>
      </c>
      <c r="I421" s="171" t="str">
        <f t="shared" si="269"/>
        <v/>
      </c>
      <c r="J421" s="172">
        <f t="shared" si="270"/>
        <v>0</v>
      </c>
      <c r="K421" s="173">
        <f t="shared" si="271"/>
        <v>0</v>
      </c>
      <c r="L421" s="174">
        <f t="shared" si="272"/>
        <v>0</v>
      </c>
      <c r="M421" s="175">
        <f t="shared" si="288"/>
        <v>0</v>
      </c>
      <c r="N421" s="15"/>
      <c r="O421" s="37" t="str">
        <f t="shared" si="265"/>
        <v/>
      </c>
      <c r="P421" s="62" t="str">
        <f t="shared" si="289"/>
        <v/>
      </c>
      <c r="Q421" s="16" t="str">
        <f t="shared" si="273"/>
        <v/>
      </c>
      <c r="R421" s="60">
        <f t="shared" si="290"/>
        <v>0</v>
      </c>
      <c r="S421" s="98">
        <f t="shared" si="291"/>
        <v>0</v>
      </c>
      <c r="T421" s="21">
        <f t="shared" si="292"/>
        <v>0</v>
      </c>
      <c r="AA421" s="14">
        <f t="shared" si="274"/>
        <v>0</v>
      </c>
      <c r="AH421" s="6">
        <f t="shared" si="275"/>
        <v>4</v>
      </c>
      <c r="AI421" s="6">
        <f t="shared" si="276"/>
        <v>12</v>
      </c>
      <c r="AJ421" s="12">
        <f t="shared" si="277"/>
        <v>34</v>
      </c>
      <c r="AK421" s="72">
        <f t="shared" si="267"/>
        <v>31</v>
      </c>
      <c r="AR421">
        <f t="shared" si="293"/>
        <v>0</v>
      </c>
      <c r="AS421">
        <f t="shared" si="294"/>
        <v>0</v>
      </c>
      <c r="AT421" s="183">
        <f t="shared" si="295"/>
        <v>58410</v>
      </c>
      <c r="AU421" s="2">
        <f t="shared" si="296"/>
        <v>0</v>
      </c>
      <c r="AV421" s="169">
        <f t="shared" si="297"/>
        <v>407</v>
      </c>
      <c r="AW421" s="165">
        <f t="shared" si="298"/>
        <v>0</v>
      </c>
      <c r="AX421" s="170">
        <f t="shared" si="304"/>
        <v>0</v>
      </c>
      <c r="AY421" s="164" t="str">
        <f t="shared" si="307"/>
        <v/>
      </c>
      <c r="AZ421" s="171" t="str">
        <f t="shared" si="278"/>
        <v/>
      </c>
      <c r="BA421" s="172">
        <f t="shared" si="279"/>
        <v>0</v>
      </c>
      <c r="BB421" s="173">
        <f t="shared" si="280"/>
        <v>0</v>
      </c>
      <c r="BC421" s="174">
        <f t="shared" si="281"/>
        <v>0</v>
      </c>
      <c r="BD421" s="175">
        <f t="shared" si="299"/>
        <v>0</v>
      </c>
      <c r="BE421" s="188"/>
      <c r="BF421" s="177" t="str">
        <f t="shared" si="266"/>
        <v/>
      </c>
      <c r="BG421" s="178" t="str">
        <f t="shared" si="300"/>
        <v/>
      </c>
      <c r="BH421" s="179" t="str">
        <f t="shared" si="282"/>
        <v/>
      </c>
      <c r="BI421" s="180">
        <f t="shared" si="301"/>
        <v>0</v>
      </c>
      <c r="BJ421" s="181">
        <f t="shared" si="305"/>
        <v>0</v>
      </c>
      <c r="BK421" s="182">
        <f t="shared" si="302"/>
        <v>0</v>
      </c>
    </row>
    <row r="422" spans="1:63" x14ac:dyDescent="0.25">
      <c r="A422" s="7">
        <f t="shared" si="283"/>
        <v>0</v>
      </c>
      <c r="B422" s="7">
        <f t="shared" si="284"/>
        <v>0</v>
      </c>
      <c r="C422" s="115">
        <f t="shared" si="285"/>
        <v>58441</v>
      </c>
      <c r="D422" s="2">
        <f t="shared" si="268"/>
        <v>0</v>
      </c>
      <c r="E422" s="169">
        <f t="shared" si="286"/>
        <v>408</v>
      </c>
      <c r="F422" s="165">
        <f t="shared" si="287"/>
        <v>0</v>
      </c>
      <c r="G422" s="170">
        <f t="shared" si="303"/>
        <v>0</v>
      </c>
      <c r="H422" s="164" t="str">
        <f t="shared" si="306"/>
        <v/>
      </c>
      <c r="I422" s="171" t="str">
        <f t="shared" si="269"/>
        <v/>
      </c>
      <c r="J422" s="172">
        <f t="shared" si="270"/>
        <v>0</v>
      </c>
      <c r="K422" s="173">
        <f t="shared" si="271"/>
        <v>0</v>
      </c>
      <c r="L422" s="174">
        <f t="shared" si="272"/>
        <v>0</v>
      </c>
      <c r="M422" s="175">
        <f t="shared" si="288"/>
        <v>0</v>
      </c>
      <c r="N422" s="15"/>
      <c r="O422" s="37" t="str">
        <f t="shared" si="265"/>
        <v/>
      </c>
      <c r="P422" s="62" t="str">
        <f t="shared" si="289"/>
        <v/>
      </c>
      <c r="Q422" s="16" t="str">
        <f t="shared" si="273"/>
        <v/>
      </c>
      <c r="R422" s="60">
        <f t="shared" si="290"/>
        <v>0</v>
      </c>
      <c r="S422" s="98">
        <f t="shared" si="291"/>
        <v>0</v>
      </c>
      <c r="T422" s="21">
        <f t="shared" si="292"/>
        <v>0</v>
      </c>
      <c r="AA422" s="14">
        <f t="shared" si="274"/>
        <v>0</v>
      </c>
      <c r="AH422" s="6">
        <f t="shared" si="275"/>
        <v>4</v>
      </c>
      <c r="AI422" s="6">
        <f t="shared" si="276"/>
        <v>12</v>
      </c>
      <c r="AJ422" s="12">
        <f t="shared" si="277"/>
        <v>34</v>
      </c>
      <c r="AK422" s="72">
        <f t="shared" si="267"/>
        <v>31</v>
      </c>
      <c r="AR422">
        <f t="shared" si="293"/>
        <v>0</v>
      </c>
      <c r="AS422">
        <f t="shared" si="294"/>
        <v>0</v>
      </c>
      <c r="AT422" s="183">
        <f t="shared" si="295"/>
        <v>58441</v>
      </c>
      <c r="AU422" s="2">
        <f t="shared" si="296"/>
        <v>0</v>
      </c>
      <c r="AV422" s="169">
        <f t="shared" si="297"/>
        <v>408</v>
      </c>
      <c r="AW422" s="165">
        <f t="shared" si="298"/>
        <v>0</v>
      </c>
      <c r="AX422" s="170">
        <f t="shared" si="304"/>
        <v>0</v>
      </c>
      <c r="AY422" s="164" t="str">
        <f t="shared" si="307"/>
        <v/>
      </c>
      <c r="AZ422" s="171" t="str">
        <f t="shared" si="278"/>
        <v/>
      </c>
      <c r="BA422" s="172">
        <f t="shared" si="279"/>
        <v>0</v>
      </c>
      <c r="BB422" s="173">
        <f t="shared" si="280"/>
        <v>0</v>
      </c>
      <c r="BC422" s="174">
        <f t="shared" si="281"/>
        <v>0</v>
      </c>
      <c r="BD422" s="175">
        <f t="shared" si="299"/>
        <v>0</v>
      </c>
      <c r="BE422" s="188"/>
      <c r="BF422" s="177" t="str">
        <f t="shared" si="266"/>
        <v/>
      </c>
      <c r="BG422" s="178" t="str">
        <f t="shared" si="300"/>
        <v/>
      </c>
      <c r="BH422" s="179" t="str">
        <f t="shared" si="282"/>
        <v/>
      </c>
      <c r="BI422" s="180">
        <f t="shared" si="301"/>
        <v>0</v>
      </c>
      <c r="BJ422" s="181">
        <f t="shared" si="305"/>
        <v>0</v>
      </c>
      <c r="BK422" s="182">
        <f t="shared" si="302"/>
        <v>0</v>
      </c>
    </row>
    <row r="423" spans="1:63" x14ac:dyDescent="0.25">
      <c r="A423" s="7">
        <f t="shared" si="283"/>
        <v>0</v>
      </c>
      <c r="B423" s="7">
        <f t="shared" si="284"/>
        <v>0</v>
      </c>
      <c r="C423" s="115">
        <f t="shared" si="285"/>
        <v>58472</v>
      </c>
      <c r="D423" s="2">
        <f t="shared" si="268"/>
        <v>0</v>
      </c>
      <c r="E423" s="169">
        <f t="shared" si="286"/>
        <v>409</v>
      </c>
      <c r="F423" s="165">
        <f t="shared" si="287"/>
        <v>0</v>
      </c>
      <c r="G423" s="170">
        <f t="shared" si="303"/>
        <v>0</v>
      </c>
      <c r="H423" s="164" t="str">
        <f t="shared" si="306"/>
        <v/>
      </c>
      <c r="I423" s="171" t="str">
        <f t="shared" si="269"/>
        <v/>
      </c>
      <c r="J423" s="172">
        <f t="shared" si="270"/>
        <v>0</v>
      </c>
      <c r="K423" s="173">
        <f t="shared" si="271"/>
        <v>0</v>
      </c>
      <c r="L423" s="174">
        <f t="shared" si="272"/>
        <v>0</v>
      </c>
      <c r="M423" s="175">
        <f t="shared" si="288"/>
        <v>0</v>
      </c>
      <c r="N423" s="15"/>
      <c r="O423" s="37" t="str">
        <f t="shared" si="265"/>
        <v/>
      </c>
      <c r="P423" s="62" t="str">
        <f t="shared" si="289"/>
        <v/>
      </c>
      <c r="Q423" s="16" t="str">
        <f t="shared" si="273"/>
        <v/>
      </c>
      <c r="R423" s="60">
        <f t="shared" si="290"/>
        <v>0</v>
      </c>
      <c r="S423" s="98">
        <f t="shared" si="291"/>
        <v>0</v>
      </c>
      <c r="T423" s="21">
        <f t="shared" si="292"/>
        <v>0</v>
      </c>
      <c r="AA423" s="14">
        <f t="shared" si="274"/>
        <v>0</v>
      </c>
      <c r="AH423" s="6">
        <f t="shared" si="275"/>
        <v>4</v>
      </c>
      <c r="AI423" s="6">
        <f t="shared" si="276"/>
        <v>12</v>
      </c>
      <c r="AJ423" s="12">
        <f t="shared" si="277"/>
        <v>35</v>
      </c>
      <c r="AK423" s="72">
        <f t="shared" si="267"/>
        <v>29</v>
      </c>
      <c r="AR423">
        <f t="shared" si="293"/>
        <v>0</v>
      </c>
      <c r="AS423">
        <f t="shared" si="294"/>
        <v>0</v>
      </c>
      <c r="AT423" s="183">
        <f t="shared" si="295"/>
        <v>58472</v>
      </c>
      <c r="AU423" s="2">
        <f t="shared" si="296"/>
        <v>0</v>
      </c>
      <c r="AV423" s="169">
        <f t="shared" si="297"/>
        <v>409</v>
      </c>
      <c r="AW423" s="165">
        <f t="shared" si="298"/>
        <v>0</v>
      </c>
      <c r="AX423" s="170">
        <f t="shared" si="304"/>
        <v>0</v>
      </c>
      <c r="AY423" s="164" t="str">
        <f t="shared" si="307"/>
        <v/>
      </c>
      <c r="AZ423" s="171" t="str">
        <f t="shared" si="278"/>
        <v/>
      </c>
      <c r="BA423" s="172">
        <f t="shared" si="279"/>
        <v>0</v>
      </c>
      <c r="BB423" s="173">
        <f t="shared" si="280"/>
        <v>0</v>
      </c>
      <c r="BC423" s="174">
        <f t="shared" si="281"/>
        <v>0</v>
      </c>
      <c r="BD423" s="175">
        <f t="shared" si="299"/>
        <v>0</v>
      </c>
      <c r="BE423" s="188"/>
      <c r="BF423" s="177" t="str">
        <f t="shared" si="266"/>
        <v/>
      </c>
      <c r="BG423" s="178" t="str">
        <f t="shared" si="300"/>
        <v/>
      </c>
      <c r="BH423" s="179" t="str">
        <f t="shared" si="282"/>
        <v/>
      </c>
      <c r="BI423" s="180">
        <f t="shared" si="301"/>
        <v>0</v>
      </c>
      <c r="BJ423" s="181">
        <f t="shared" si="305"/>
        <v>0</v>
      </c>
      <c r="BK423" s="182">
        <f t="shared" si="302"/>
        <v>0</v>
      </c>
    </row>
    <row r="424" spans="1:63" x14ac:dyDescent="0.25">
      <c r="A424" s="7">
        <f t="shared" si="283"/>
        <v>0</v>
      </c>
      <c r="B424" s="7">
        <f t="shared" si="284"/>
        <v>0</v>
      </c>
      <c r="C424" s="115">
        <f t="shared" si="285"/>
        <v>58501</v>
      </c>
      <c r="D424" s="2">
        <f t="shared" si="268"/>
        <v>0</v>
      </c>
      <c r="E424" s="169">
        <f t="shared" si="286"/>
        <v>410</v>
      </c>
      <c r="F424" s="165">
        <f t="shared" si="287"/>
        <v>0</v>
      </c>
      <c r="G424" s="170">
        <f t="shared" si="303"/>
        <v>0</v>
      </c>
      <c r="H424" s="164" t="str">
        <f t="shared" si="306"/>
        <v/>
      </c>
      <c r="I424" s="171" t="str">
        <f t="shared" si="269"/>
        <v/>
      </c>
      <c r="J424" s="172">
        <f t="shared" si="270"/>
        <v>0</v>
      </c>
      <c r="K424" s="173">
        <f t="shared" si="271"/>
        <v>0</v>
      </c>
      <c r="L424" s="174">
        <f t="shared" si="272"/>
        <v>0</v>
      </c>
      <c r="M424" s="175">
        <f t="shared" si="288"/>
        <v>0</v>
      </c>
      <c r="N424" s="15"/>
      <c r="O424" s="37" t="str">
        <f t="shared" si="265"/>
        <v/>
      </c>
      <c r="P424" s="62" t="str">
        <f t="shared" si="289"/>
        <v/>
      </c>
      <c r="Q424" s="16" t="str">
        <f t="shared" si="273"/>
        <v/>
      </c>
      <c r="R424" s="60">
        <f t="shared" si="290"/>
        <v>0</v>
      </c>
      <c r="S424" s="98">
        <f t="shared" si="291"/>
        <v>0</v>
      </c>
      <c r="T424" s="21">
        <f t="shared" si="292"/>
        <v>0</v>
      </c>
      <c r="AA424" s="14">
        <f t="shared" si="274"/>
        <v>0</v>
      </c>
      <c r="AH424" s="6">
        <f t="shared" si="275"/>
        <v>4</v>
      </c>
      <c r="AI424" s="6">
        <f t="shared" si="276"/>
        <v>12</v>
      </c>
      <c r="AJ424" s="12">
        <f t="shared" si="277"/>
        <v>35</v>
      </c>
      <c r="AK424" s="72">
        <f t="shared" si="267"/>
        <v>31</v>
      </c>
      <c r="AR424">
        <f t="shared" si="293"/>
        <v>0</v>
      </c>
      <c r="AS424">
        <f t="shared" si="294"/>
        <v>0</v>
      </c>
      <c r="AT424" s="183">
        <f t="shared" si="295"/>
        <v>58501</v>
      </c>
      <c r="AU424" s="2">
        <f t="shared" si="296"/>
        <v>0</v>
      </c>
      <c r="AV424" s="169">
        <f t="shared" si="297"/>
        <v>410</v>
      </c>
      <c r="AW424" s="165">
        <f t="shared" si="298"/>
        <v>0</v>
      </c>
      <c r="AX424" s="170">
        <f t="shared" si="304"/>
        <v>0</v>
      </c>
      <c r="AY424" s="164" t="str">
        <f t="shared" si="307"/>
        <v/>
      </c>
      <c r="AZ424" s="171" t="str">
        <f t="shared" si="278"/>
        <v/>
      </c>
      <c r="BA424" s="172">
        <f t="shared" si="279"/>
        <v>0</v>
      </c>
      <c r="BB424" s="173">
        <f t="shared" si="280"/>
        <v>0</v>
      </c>
      <c r="BC424" s="174">
        <f t="shared" si="281"/>
        <v>0</v>
      </c>
      <c r="BD424" s="175">
        <f t="shared" si="299"/>
        <v>0</v>
      </c>
      <c r="BE424" s="188"/>
      <c r="BF424" s="177" t="str">
        <f t="shared" si="266"/>
        <v/>
      </c>
      <c r="BG424" s="178" t="str">
        <f t="shared" si="300"/>
        <v/>
      </c>
      <c r="BH424" s="179" t="str">
        <f t="shared" si="282"/>
        <v/>
      </c>
      <c r="BI424" s="180">
        <f t="shared" si="301"/>
        <v>0</v>
      </c>
      <c r="BJ424" s="181">
        <f t="shared" si="305"/>
        <v>0</v>
      </c>
      <c r="BK424" s="182">
        <f t="shared" si="302"/>
        <v>0</v>
      </c>
    </row>
    <row r="425" spans="1:63" x14ac:dyDescent="0.25">
      <c r="A425" s="7">
        <f t="shared" si="283"/>
        <v>0</v>
      </c>
      <c r="B425" s="7">
        <f t="shared" si="284"/>
        <v>0</v>
      </c>
      <c r="C425" s="115">
        <f t="shared" si="285"/>
        <v>58532</v>
      </c>
      <c r="D425" s="2">
        <f t="shared" si="268"/>
        <v>0</v>
      </c>
      <c r="E425" s="169">
        <f t="shared" si="286"/>
        <v>411</v>
      </c>
      <c r="F425" s="165">
        <f t="shared" si="287"/>
        <v>0</v>
      </c>
      <c r="G425" s="170">
        <f t="shared" si="303"/>
        <v>0</v>
      </c>
      <c r="H425" s="164" t="str">
        <f t="shared" si="306"/>
        <v/>
      </c>
      <c r="I425" s="171" t="str">
        <f t="shared" si="269"/>
        <v/>
      </c>
      <c r="J425" s="172">
        <f t="shared" si="270"/>
        <v>0</v>
      </c>
      <c r="K425" s="173">
        <f t="shared" si="271"/>
        <v>0</v>
      </c>
      <c r="L425" s="174">
        <f t="shared" si="272"/>
        <v>0</v>
      </c>
      <c r="M425" s="175">
        <f t="shared" si="288"/>
        <v>0</v>
      </c>
      <c r="N425" s="15"/>
      <c r="O425" s="37" t="str">
        <f t="shared" si="265"/>
        <v/>
      </c>
      <c r="P425" s="62" t="str">
        <f t="shared" si="289"/>
        <v/>
      </c>
      <c r="Q425" s="16" t="str">
        <f t="shared" si="273"/>
        <v/>
      </c>
      <c r="R425" s="60">
        <f t="shared" si="290"/>
        <v>0</v>
      </c>
      <c r="S425" s="98">
        <f t="shared" si="291"/>
        <v>0</v>
      </c>
      <c r="T425" s="21">
        <f t="shared" si="292"/>
        <v>0</v>
      </c>
      <c r="AA425" s="14">
        <f t="shared" si="274"/>
        <v>0</v>
      </c>
      <c r="AH425" s="6">
        <f t="shared" si="275"/>
        <v>4</v>
      </c>
      <c r="AI425" s="6">
        <f t="shared" si="276"/>
        <v>12</v>
      </c>
      <c r="AJ425" s="12">
        <f t="shared" si="277"/>
        <v>35</v>
      </c>
      <c r="AK425" s="72">
        <f t="shared" si="267"/>
        <v>30</v>
      </c>
      <c r="AR425">
        <f t="shared" si="293"/>
        <v>0</v>
      </c>
      <c r="AS425">
        <f t="shared" si="294"/>
        <v>0</v>
      </c>
      <c r="AT425" s="183">
        <f t="shared" si="295"/>
        <v>58532</v>
      </c>
      <c r="AU425" s="2">
        <f t="shared" si="296"/>
        <v>0</v>
      </c>
      <c r="AV425" s="169">
        <f t="shared" si="297"/>
        <v>411</v>
      </c>
      <c r="AW425" s="165">
        <f t="shared" si="298"/>
        <v>0</v>
      </c>
      <c r="AX425" s="170">
        <f t="shared" si="304"/>
        <v>0</v>
      </c>
      <c r="AY425" s="164" t="str">
        <f t="shared" si="307"/>
        <v/>
      </c>
      <c r="AZ425" s="171" t="str">
        <f t="shared" si="278"/>
        <v/>
      </c>
      <c r="BA425" s="172">
        <f t="shared" si="279"/>
        <v>0</v>
      </c>
      <c r="BB425" s="173">
        <f t="shared" si="280"/>
        <v>0</v>
      </c>
      <c r="BC425" s="174">
        <f t="shared" si="281"/>
        <v>0</v>
      </c>
      <c r="BD425" s="175">
        <f t="shared" si="299"/>
        <v>0</v>
      </c>
      <c r="BE425" s="188"/>
      <c r="BF425" s="177" t="str">
        <f t="shared" si="266"/>
        <v/>
      </c>
      <c r="BG425" s="178" t="str">
        <f t="shared" si="300"/>
        <v/>
      </c>
      <c r="BH425" s="179" t="str">
        <f t="shared" si="282"/>
        <v/>
      </c>
      <c r="BI425" s="180">
        <f t="shared" si="301"/>
        <v>0</v>
      </c>
      <c r="BJ425" s="181">
        <f t="shared" si="305"/>
        <v>0</v>
      </c>
      <c r="BK425" s="182">
        <f t="shared" si="302"/>
        <v>0</v>
      </c>
    </row>
    <row r="426" spans="1:63" x14ac:dyDescent="0.25">
      <c r="A426" s="7">
        <f t="shared" si="283"/>
        <v>0</v>
      </c>
      <c r="B426" s="7">
        <f t="shared" si="284"/>
        <v>0</v>
      </c>
      <c r="C426" s="115">
        <f t="shared" si="285"/>
        <v>58562</v>
      </c>
      <c r="D426" s="2">
        <f t="shared" si="268"/>
        <v>0</v>
      </c>
      <c r="E426" s="169">
        <f t="shared" si="286"/>
        <v>412</v>
      </c>
      <c r="F426" s="165">
        <f t="shared" si="287"/>
        <v>0</v>
      </c>
      <c r="G426" s="170">
        <f t="shared" si="303"/>
        <v>0</v>
      </c>
      <c r="H426" s="164" t="str">
        <f t="shared" si="306"/>
        <v/>
      </c>
      <c r="I426" s="171" t="str">
        <f t="shared" si="269"/>
        <v/>
      </c>
      <c r="J426" s="172">
        <f t="shared" si="270"/>
        <v>0</v>
      </c>
      <c r="K426" s="173">
        <f t="shared" si="271"/>
        <v>0</v>
      </c>
      <c r="L426" s="174">
        <f t="shared" si="272"/>
        <v>0</v>
      </c>
      <c r="M426" s="175">
        <f t="shared" si="288"/>
        <v>0</v>
      </c>
      <c r="N426" s="15"/>
      <c r="O426" s="37" t="str">
        <f t="shared" si="265"/>
        <v/>
      </c>
      <c r="P426" s="62" t="str">
        <f t="shared" si="289"/>
        <v/>
      </c>
      <c r="Q426" s="16" t="str">
        <f t="shared" si="273"/>
        <v/>
      </c>
      <c r="R426" s="60">
        <f t="shared" si="290"/>
        <v>0</v>
      </c>
      <c r="S426" s="98">
        <f t="shared" si="291"/>
        <v>0</v>
      </c>
      <c r="T426" s="21">
        <f t="shared" si="292"/>
        <v>0</v>
      </c>
      <c r="AA426" s="14">
        <f t="shared" si="274"/>
        <v>0</v>
      </c>
      <c r="AH426" s="6">
        <f t="shared" si="275"/>
        <v>4</v>
      </c>
      <c r="AI426" s="6">
        <f t="shared" si="276"/>
        <v>12</v>
      </c>
      <c r="AJ426" s="12">
        <f t="shared" si="277"/>
        <v>35</v>
      </c>
      <c r="AK426" s="72">
        <f t="shared" si="267"/>
        <v>31</v>
      </c>
      <c r="AR426">
        <f t="shared" si="293"/>
        <v>0</v>
      </c>
      <c r="AS426">
        <f t="shared" si="294"/>
        <v>0</v>
      </c>
      <c r="AT426" s="183">
        <f t="shared" si="295"/>
        <v>58562</v>
      </c>
      <c r="AU426" s="2">
        <f t="shared" si="296"/>
        <v>0</v>
      </c>
      <c r="AV426" s="169">
        <f t="shared" si="297"/>
        <v>412</v>
      </c>
      <c r="AW426" s="165">
        <f t="shared" si="298"/>
        <v>0</v>
      </c>
      <c r="AX426" s="170">
        <f t="shared" si="304"/>
        <v>0</v>
      </c>
      <c r="AY426" s="164" t="str">
        <f t="shared" si="307"/>
        <v/>
      </c>
      <c r="AZ426" s="171" t="str">
        <f t="shared" si="278"/>
        <v/>
      </c>
      <c r="BA426" s="172">
        <f t="shared" si="279"/>
        <v>0</v>
      </c>
      <c r="BB426" s="173">
        <f t="shared" si="280"/>
        <v>0</v>
      </c>
      <c r="BC426" s="174">
        <f t="shared" si="281"/>
        <v>0</v>
      </c>
      <c r="BD426" s="175">
        <f t="shared" si="299"/>
        <v>0</v>
      </c>
      <c r="BE426" s="188"/>
      <c r="BF426" s="177" t="str">
        <f t="shared" si="266"/>
        <v/>
      </c>
      <c r="BG426" s="178" t="str">
        <f t="shared" si="300"/>
        <v/>
      </c>
      <c r="BH426" s="179" t="str">
        <f t="shared" si="282"/>
        <v/>
      </c>
      <c r="BI426" s="180">
        <f t="shared" si="301"/>
        <v>0</v>
      </c>
      <c r="BJ426" s="181">
        <f t="shared" si="305"/>
        <v>0</v>
      </c>
      <c r="BK426" s="182">
        <f t="shared" si="302"/>
        <v>0</v>
      </c>
    </row>
    <row r="427" spans="1:63" x14ac:dyDescent="0.25">
      <c r="A427" s="7">
        <f t="shared" si="283"/>
        <v>0</v>
      </c>
      <c r="B427" s="7">
        <f t="shared" si="284"/>
        <v>0</v>
      </c>
      <c r="C427" s="115">
        <f t="shared" si="285"/>
        <v>58593</v>
      </c>
      <c r="D427" s="2">
        <f t="shared" si="268"/>
        <v>0</v>
      </c>
      <c r="E427" s="169">
        <f t="shared" si="286"/>
        <v>413</v>
      </c>
      <c r="F427" s="165">
        <f t="shared" si="287"/>
        <v>0</v>
      </c>
      <c r="G427" s="170">
        <f t="shared" si="303"/>
        <v>0</v>
      </c>
      <c r="H427" s="164" t="str">
        <f t="shared" si="306"/>
        <v/>
      </c>
      <c r="I427" s="171" t="str">
        <f t="shared" si="269"/>
        <v/>
      </c>
      <c r="J427" s="172">
        <f t="shared" si="270"/>
        <v>0</v>
      </c>
      <c r="K427" s="173">
        <f t="shared" si="271"/>
        <v>0</v>
      </c>
      <c r="L427" s="174">
        <f t="shared" si="272"/>
        <v>0</v>
      </c>
      <c r="M427" s="175">
        <f t="shared" si="288"/>
        <v>0</v>
      </c>
      <c r="N427" s="15"/>
      <c r="O427" s="37" t="str">
        <f t="shared" si="265"/>
        <v/>
      </c>
      <c r="P427" s="62" t="str">
        <f t="shared" si="289"/>
        <v/>
      </c>
      <c r="Q427" s="16" t="str">
        <f t="shared" si="273"/>
        <v/>
      </c>
      <c r="R427" s="60">
        <f t="shared" si="290"/>
        <v>0</v>
      </c>
      <c r="S427" s="98">
        <f t="shared" si="291"/>
        <v>0</v>
      </c>
      <c r="T427" s="21">
        <f t="shared" si="292"/>
        <v>0</v>
      </c>
      <c r="AA427" s="14">
        <f t="shared" si="274"/>
        <v>0</v>
      </c>
      <c r="AH427" s="6">
        <f t="shared" si="275"/>
        <v>4</v>
      </c>
      <c r="AI427" s="6">
        <f t="shared" si="276"/>
        <v>12</v>
      </c>
      <c r="AJ427" s="12">
        <f t="shared" si="277"/>
        <v>35</v>
      </c>
      <c r="AK427" s="72">
        <f t="shared" si="267"/>
        <v>30</v>
      </c>
      <c r="AR427">
        <f t="shared" si="293"/>
        <v>0</v>
      </c>
      <c r="AS427">
        <f t="shared" si="294"/>
        <v>0</v>
      </c>
      <c r="AT427" s="183">
        <f t="shared" si="295"/>
        <v>58593</v>
      </c>
      <c r="AU427" s="2">
        <f t="shared" si="296"/>
        <v>0</v>
      </c>
      <c r="AV427" s="169">
        <f t="shared" si="297"/>
        <v>413</v>
      </c>
      <c r="AW427" s="165">
        <f t="shared" si="298"/>
        <v>0</v>
      </c>
      <c r="AX427" s="170">
        <f t="shared" si="304"/>
        <v>0</v>
      </c>
      <c r="AY427" s="164" t="str">
        <f t="shared" si="307"/>
        <v/>
      </c>
      <c r="AZ427" s="171" t="str">
        <f t="shared" si="278"/>
        <v/>
      </c>
      <c r="BA427" s="172">
        <f t="shared" si="279"/>
        <v>0</v>
      </c>
      <c r="BB427" s="173">
        <f t="shared" si="280"/>
        <v>0</v>
      </c>
      <c r="BC427" s="174">
        <f t="shared" si="281"/>
        <v>0</v>
      </c>
      <c r="BD427" s="175">
        <f t="shared" si="299"/>
        <v>0</v>
      </c>
      <c r="BE427" s="188"/>
      <c r="BF427" s="177" t="str">
        <f t="shared" si="266"/>
        <v/>
      </c>
      <c r="BG427" s="178" t="str">
        <f t="shared" si="300"/>
        <v/>
      </c>
      <c r="BH427" s="179" t="str">
        <f t="shared" si="282"/>
        <v/>
      </c>
      <c r="BI427" s="180">
        <f t="shared" si="301"/>
        <v>0</v>
      </c>
      <c r="BJ427" s="181">
        <f t="shared" si="305"/>
        <v>0</v>
      </c>
      <c r="BK427" s="182">
        <f t="shared" si="302"/>
        <v>0</v>
      </c>
    </row>
    <row r="428" spans="1:63" x14ac:dyDescent="0.25">
      <c r="A428" s="7">
        <f t="shared" si="283"/>
        <v>0</v>
      </c>
      <c r="B428" s="7">
        <f t="shared" si="284"/>
        <v>0</v>
      </c>
      <c r="C428" s="115">
        <f t="shared" si="285"/>
        <v>58623</v>
      </c>
      <c r="D428" s="2">
        <f t="shared" si="268"/>
        <v>0</v>
      </c>
      <c r="E428" s="169">
        <f t="shared" si="286"/>
        <v>414</v>
      </c>
      <c r="F428" s="165">
        <f t="shared" si="287"/>
        <v>0</v>
      </c>
      <c r="G428" s="170">
        <f t="shared" si="303"/>
        <v>0</v>
      </c>
      <c r="H428" s="164" t="str">
        <f t="shared" si="306"/>
        <v/>
      </c>
      <c r="I428" s="171" t="str">
        <f t="shared" si="269"/>
        <v/>
      </c>
      <c r="J428" s="172">
        <f t="shared" si="270"/>
        <v>0</v>
      </c>
      <c r="K428" s="173">
        <f t="shared" si="271"/>
        <v>0</v>
      </c>
      <c r="L428" s="174">
        <f t="shared" si="272"/>
        <v>0</v>
      </c>
      <c r="M428" s="175">
        <f t="shared" si="288"/>
        <v>0</v>
      </c>
      <c r="N428" s="15"/>
      <c r="O428" s="37" t="str">
        <f t="shared" si="265"/>
        <v/>
      </c>
      <c r="P428" s="62" t="str">
        <f t="shared" si="289"/>
        <v/>
      </c>
      <c r="Q428" s="16" t="str">
        <f t="shared" si="273"/>
        <v/>
      </c>
      <c r="R428" s="60">
        <f t="shared" si="290"/>
        <v>0</v>
      </c>
      <c r="S428" s="98">
        <f t="shared" si="291"/>
        <v>0</v>
      </c>
      <c r="T428" s="21">
        <f t="shared" si="292"/>
        <v>0</v>
      </c>
      <c r="AA428" s="14">
        <f t="shared" si="274"/>
        <v>0</v>
      </c>
      <c r="AH428" s="6">
        <f t="shared" si="275"/>
        <v>4</v>
      </c>
      <c r="AI428" s="6">
        <f t="shared" si="276"/>
        <v>12</v>
      </c>
      <c r="AJ428" s="12">
        <f t="shared" si="277"/>
        <v>35</v>
      </c>
      <c r="AK428" s="72">
        <f t="shared" si="267"/>
        <v>31</v>
      </c>
      <c r="AR428">
        <f t="shared" si="293"/>
        <v>0</v>
      </c>
      <c r="AS428">
        <f t="shared" si="294"/>
        <v>0</v>
      </c>
      <c r="AT428" s="183">
        <f t="shared" si="295"/>
        <v>58623</v>
      </c>
      <c r="AU428" s="2">
        <f t="shared" si="296"/>
        <v>0</v>
      </c>
      <c r="AV428" s="169">
        <f t="shared" si="297"/>
        <v>414</v>
      </c>
      <c r="AW428" s="165">
        <f t="shared" si="298"/>
        <v>0</v>
      </c>
      <c r="AX428" s="170">
        <f t="shared" si="304"/>
        <v>0</v>
      </c>
      <c r="AY428" s="164" t="str">
        <f t="shared" si="307"/>
        <v/>
      </c>
      <c r="AZ428" s="171" t="str">
        <f t="shared" si="278"/>
        <v/>
      </c>
      <c r="BA428" s="172">
        <f t="shared" si="279"/>
        <v>0</v>
      </c>
      <c r="BB428" s="173">
        <f t="shared" si="280"/>
        <v>0</v>
      </c>
      <c r="BC428" s="174">
        <f t="shared" si="281"/>
        <v>0</v>
      </c>
      <c r="BD428" s="175">
        <f t="shared" si="299"/>
        <v>0</v>
      </c>
      <c r="BE428" s="188"/>
      <c r="BF428" s="177" t="str">
        <f t="shared" si="266"/>
        <v/>
      </c>
      <c r="BG428" s="178" t="str">
        <f t="shared" si="300"/>
        <v/>
      </c>
      <c r="BH428" s="179" t="str">
        <f t="shared" si="282"/>
        <v/>
      </c>
      <c r="BI428" s="180">
        <f t="shared" si="301"/>
        <v>0</v>
      </c>
      <c r="BJ428" s="181">
        <f t="shared" si="305"/>
        <v>0</v>
      </c>
      <c r="BK428" s="182">
        <f t="shared" si="302"/>
        <v>0</v>
      </c>
    </row>
    <row r="429" spans="1:63" x14ac:dyDescent="0.25">
      <c r="A429" s="7">
        <f t="shared" si="283"/>
        <v>0</v>
      </c>
      <c r="B429" s="7">
        <f t="shared" si="284"/>
        <v>0</v>
      </c>
      <c r="C429" s="115">
        <f t="shared" si="285"/>
        <v>58654</v>
      </c>
      <c r="D429" s="2">
        <f t="shared" si="268"/>
        <v>0</v>
      </c>
      <c r="E429" s="169">
        <f t="shared" si="286"/>
        <v>415</v>
      </c>
      <c r="F429" s="165">
        <f t="shared" si="287"/>
        <v>0</v>
      </c>
      <c r="G429" s="170">
        <f t="shared" si="303"/>
        <v>0</v>
      </c>
      <c r="H429" s="164" t="str">
        <f t="shared" si="306"/>
        <v/>
      </c>
      <c r="I429" s="171" t="str">
        <f t="shared" si="269"/>
        <v/>
      </c>
      <c r="J429" s="172">
        <f t="shared" si="270"/>
        <v>0</v>
      </c>
      <c r="K429" s="173">
        <f t="shared" si="271"/>
        <v>0</v>
      </c>
      <c r="L429" s="174">
        <f t="shared" si="272"/>
        <v>0</v>
      </c>
      <c r="M429" s="175">
        <f t="shared" si="288"/>
        <v>0</v>
      </c>
      <c r="N429" s="15"/>
      <c r="O429" s="37" t="str">
        <f t="shared" si="265"/>
        <v/>
      </c>
      <c r="P429" s="62" t="str">
        <f t="shared" si="289"/>
        <v/>
      </c>
      <c r="Q429" s="16" t="str">
        <f t="shared" si="273"/>
        <v/>
      </c>
      <c r="R429" s="60">
        <f t="shared" si="290"/>
        <v>0</v>
      </c>
      <c r="S429" s="98">
        <f t="shared" si="291"/>
        <v>0</v>
      </c>
      <c r="T429" s="21">
        <f t="shared" si="292"/>
        <v>0</v>
      </c>
      <c r="AA429" s="14">
        <f t="shared" si="274"/>
        <v>0</v>
      </c>
      <c r="AH429" s="6">
        <f t="shared" si="275"/>
        <v>4</v>
      </c>
      <c r="AI429" s="6">
        <f t="shared" si="276"/>
        <v>12</v>
      </c>
      <c r="AJ429" s="12">
        <f t="shared" si="277"/>
        <v>35</v>
      </c>
      <c r="AK429" s="72">
        <f t="shared" si="267"/>
        <v>31</v>
      </c>
      <c r="AR429">
        <f t="shared" si="293"/>
        <v>0</v>
      </c>
      <c r="AS429">
        <f t="shared" si="294"/>
        <v>0</v>
      </c>
      <c r="AT429" s="183">
        <f t="shared" si="295"/>
        <v>58654</v>
      </c>
      <c r="AU429" s="2">
        <f t="shared" si="296"/>
        <v>0</v>
      </c>
      <c r="AV429" s="169">
        <f t="shared" si="297"/>
        <v>415</v>
      </c>
      <c r="AW429" s="165">
        <f t="shared" si="298"/>
        <v>0</v>
      </c>
      <c r="AX429" s="170">
        <f t="shared" si="304"/>
        <v>0</v>
      </c>
      <c r="AY429" s="164" t="str">
        <f t="shared" si="307"/>
        <v/>
      </c>
      <c r="AZ429" s="171" t="str">
        <f t="shared" si="278"/>
        <v/>
      </c>
      <c r="BA429" s="172">
        <f t="shared" si="279"/>
        <v>0</v>
      </c>
      <c r="BB429" s="173">
        <f t="shared" si="280"/>
        <v>0</v>
      </c>
      <c r="BC429" s="174">
        <f t="shared" si="281"/>
        <v>0</v>
      </c>
      <c r="BD429" s="175">
        <f t="shared" si="299"/>
        <v>0</v>
      </c>
      <c r="BE429" s="188"/>
      <c r="BF429" s="177" t="str">
        <f t="shared" si="266"/>
        <v/>
      </c>
      <c r="BG429" s="178" t="str">
        <f t="shared" si="300"/>
        <v/>
      </c>
      <c r="BH429" s="179" t="str">
        <f t="shared" si="282"/>
        <v/>
      </c>
      <c r="BI429" s="180">
        <f t="shared" si="301"/>
        <v>0</v>
      </c>
      <c r="BJ429" s="181">
        <f t="shared" si="305"/>
        <v>0</v>
      </c>
      <c r="BK429" s="182">
        <f t="shared" si="302"/>
        <v>0</v>
      </c>
    </row>
    <row r="430" spans="1:63" x14ac:dyDescent="0.25">
      <c r="A430" s="7">
        <f t="shared" si="283"/>
        <v>0</v>
      </c>
      <c r="B430" s="7">
        <f t="shared" si="284"/>
        <v>0</v>
      </c>
      <c r="C430" s="115">
        <f t="shared" si="285"/>
        <v>58685</v>
      </c>
      <c r="D430" s="2">
        <f t="shared" si="268"/>
        <v>0</v>
      </c>
      <c r="E430" s="169">
        <f t="shared" si="286"/>
        <v>416</v>
      </c>
      <c r="F430" s="165">
        <f t="shared" si="287"/>
        <v>0</v>
      </c>
      <c r="G430" s="170">
        <f t="shared" si="303"/>
        <v>0</v>
      </c>
      <c r="H430" s="164" t="str">
        <f t="shared" si="306"/>
        <v/>
      </c>
      <c r="I430" s="171" t="str">
        <f t="shared" si="269"/>
        <v/>
      </c>
      <c r="J430" s="172">
        <f t="shared" si="270"/>
        <v>0</v>
      </c>
      <c r="K430" s="173">
        <f t="shared" si="271"/>
        <v>0</v>
      </c>
      <c r="L430" s="174">
        <f t="shared" si="272"/>
        <v>0</v>
      </c>
      <c r="M430" s="175">
        <f t="shared" si="288"/>
        <v>0</v>
      </c>
      <c r="N430" s="15"/>
      <c r="O430" s="37" t="str">
        <f t="shared" si="265"/>
        <v/>
      </c>
      <c r="P430" s="62" t="str">
        <f t="shared" si="289"/>
        <v/>
      </c>
      <c r="Q430" s="16" t="str">
        <f t="shared" si="273"/>
        <v/>
      </c>
      <c r="R430" s="60">
        <f t="shared" si="290"/>
        <v>0</v>
      </c>
      <c r="S430" s="98">
        <f t="shared" si="291"/>
        <v>0</v>
      </c>
      <c r="T430" s="21">
        <f t="shared" si="292"/>
        <v>0</v>
      </c>
      <c r="AA430" s="14">
        <f t="shared" si="274"/>
        <v>0</v>
      </c>
      <c r="AH430" s="6">
        <f t="shared" si="275"/>
        <v>4</v>
      </c>
      <c r="AI430" s="6">
        <f t="shared" si="276"/>
        <v>12</v>
      </c>
      <c r="AJ430" s="12">
        <f t="shared" si="277"/>
        <v>35</v>
      </c>
      <c r="AK430" s="72">
        <f t="shared" si="267"/>
        <v>30</v>
      </c>
      <c r="AR430">
        <f t="shared" si="293"/>
        <v>0</v>
      </c>
      <c r="AS430">
        <f t="shared" si="294"/>
        <v>0</v>
      </c>
      <c r="AT430" s="183">
        <f t="shared" si="295"/>
        <v>58685</v>
      </c>
      <c r="AU430" s="2">
        <f t="shared" si="296"/>
        <v>0</v>
      </c>
      <c r="AV430" s="169">
        <f t="shared" si="297"/>
        <v>416</v>
      </c>
      <c r="AW430" s="165">
        <f t="shared" si="298"/>
        <v>0</v>
      </c>
      <c r="AX430" s="170">
        <f t="shared" si="304"/>
        <v>0</v>
      </c>
      <c r="AY430" s="164" t="str">
        <f t="shared" si="307"/>
        <v/>
      </c>
      <c r="AZ430" s="171" t="str">
        <f t="shared" si="278"/>
        <v/>
      </c>
      <c r="BA430" s="172">
        <f t="shared" si="279"/>
        <v>0</v>
      </c>
      <c r="BB430" s="173">
        <f t="shared" si="280"/>
        <v>0</v>
      </c>
      <c r="BC430" s="174">
        <f t="shared" si="281"/>
        <v>0</v>
      </c>
      <c r="BD430" s="175">
        <f t="shared" si="299"/>
        <v>0</v>
      </c>
      <c r="BE430" s="188"/>
      <c r="BF430" s="177" t="str">
        <f t="shared" si="266"/>
        <v/>
      </c>
      <c r="BG430" s="178" t="str">
        <f t="shared" si="300"/>
        <v/>
      </c>
      <c r="BH430" s="179" t="str">
        <f t="shared" si="282"/>
        <v/>
      </c>
      <c r="BI430" s="180">
        <f t="shared" si="301"/>
        <v>0</v>
      </c>
      <c r="BJ430" s="181">
        <f t="shared" si="305"/>
        <v>0</v>
      </c>
      <c r="BK430" s="182">
        <f t="shared" si="302"/>
        <v>0</v>
      </c>
    </row>
    <row r="431" spans="1:63" x14ac:dyDescent="0.25">
      <c r="A431" s="7">
        <f t="shared" si="283"/>
        <v>0</v>
      </c>
      <c r="B431" s="7">
        <f t="shared" si="284"/>
        <v>0</v>
      </c>
      <c r="C431" s="115">
        <f t="shared" si="285"/>
        <v>58715</v>
      </c>
      <c r="D431" s="2">
        <f t="shared" si="268"/>
        <v>0</v>
      </c>
      <c r="E431" s="169">
        <f t="shared" si="286"/>
        <v>417</v>
      </c>
      <c r="F431" s="165">
        <f t="shared" si="287"/>
        <v>0</v>
      </c>
      <c r="G431" s="170">
        <f t="shared" si="303"/>
        <v>0</v>
      </c>
      <c r="H431" s="164" t="str">
        <f t="shared" si="306"/>
        <v/>
      </c>
      <c r="I431" s="171" t="str">
        <f t="shared" si="269"/>
        <v/>
      </c>
      <c r="J431" s="172">
        <f t="shared" si="270"/>
        <v>0</v>
      </c>
      <c r="K431" s="173">
        <f t="shared" si="271"/>
        <v>0</v>
      </c>
      <c r="L431" s="174">
        <f t="shared" si="272"/>
        <v>0</v>
      </c>
      <c r="M431" s="175">
        <f t="shared" si="288"/>
        <v>0</v>
      </c>
      <c r="N431" s="15"/>
      <c r="O431" s="37" t="str">
        <f t="shared" si="265"/>
        <v/>
      </c>
      <c r="P431" s="62" t="str">
        <f t="shared" si="289"/>
        <v/>
      </c>
      <c r="Q431" s="16" t="str">
        <f t="shared" si="273"/>
        <v/>
      </c>
      <c r="R431" s="60">
        <f t="shared" si="290"/>
        <v>0</v>
      </c>
      <c r="S431" s="98">
        <f t="shared" si="291"/>
        <v>0</v>
      </c>
      <c r="T431" s="21">
        <f t="shared" si="292"/>
        <v>0</v>
      </c>
      <c r="AA431" s="14">
        <f t="shared" si="274"/>
        <v>0</v>
      </c>
      <c r="AH431" s="6">
        <f t="shared" si="275"/>
        <v>4</v>
      </c>
      <c r="AI431" s="6">
        <f t="shared" si="276"/>
        <v>12</v>
      </c>
      <c r="AJ431" s="12">
        <f t="shared" si="277"/>
        <v>35</v>
      </c>
      <c r="AK431" s="72">
        <f t="shared" si="267"/>
        <v>31</v>
      </c>
      <c r="AR431">
        <f t="shared" si="293"/>
        <v>0</v>
      </c>
      <c r="AS431">
        <f t="shared" si="294"/>
        <v>0</v>
      </c>
      <c r="AT431" s="183">
        <f t="shared" si="295"/>
        <v>58715</v>
      </c>
      <c r="AU431" s="2">
        <f t="shared" si="296"/>
        <v>0</v>
      </c>
      <c r="AV431" s="169">
        <f t="shared" si="297"/>
        <v>417</v>
      </c>
      <c r="AW431" s="165">
        <f t="shared" si="298"/>
        <v>0</v>
      </c>
      <c r="AX431" s="170">
        <f t="shared" si="304"/>
        <v>0</v>
      </c>
      <c r="AY431" s="164" t="str">
        <f t="shared" si="307"/>
        <v/>
      </c>
      <c r="AZ431" s="171" t="str">
        <f t="shared" si="278"/>
        <v/>
      </c>
      <c r="BA431" s="172">
        <f t="shared" si="279"/>
        <v>0</v>
      </c>
      <c r="BB431" s="173">
        <f t="shared" si="280"/>
        <v>0</v>
      </c>
      <c r="BC431" s="174">
        <f t="shared" si="281"/>
        <v>0</v>
      </c>
      <c r="BD431" s="175">
        <f t="shared" si="299"/>
        <v>0</v>
      </c>
      <c r="BE431" s="188"/>
      <c r="BF431" s="177" t="str">
        <f t="shared" si="266"/>
        <v/>
      </c>
      <c r="BG431" s="178" t="str">
        <f t="shared" si="300"/>
        <v/>
      </c>
      <c r="BH431" s="179" t="str">
        <f t="shared" si="282"/>
        <v/>
      </c>
      <c r="BI431" s="180">
        <f t="shared" si="301"/>
        <v>0</v>
      </c>
      <c r="BJ431" s="181">
        <f t="shared" si="305"/>
        <v>0</v>
      </c>
      <c r="BK431" s="182">
        <f t="shared" si="302"/>
        <v>0</v>
      </c>
    </row>
    <row r="432" spans="1:63" x14ac:dyDescent="0.25">
      <c r="A432" s="7">
        <f t="shared" si="283"/>
        <v>0</v>
      </c>
      <c r="B432" s="7">
        <f t="shared" si="284"/>
        <v>0</v>
      </c>
      <c r="C432" s="115">
        <f t="shared" si="285"/>
        <v>58746</v>
      </c>
      <c r="D432" s="2">
        <f t="shared" si="268"/>
        <v>0</v>
      </c>
      <c r="E432" s="169">
        <f t="shared" si="286"/>
        <v>418</v>
      </c>
      <c r="F432" s="165">
        <f t="shared" si="287"/>
        <v>0</v>
      </c>
      <c r="G432" s="170">
        <f t="shared" si="303"/>
        <v>0</v>
      </c>
      <c r="H432" s="164" t="str">
        <f t="shared" si="306"/>
        <v/>
      </c>
      <c r="I432" s="171" t="str">
        <f t="shared" si="269"/>
        <v/>
      </c>
      <c r="J432" s="172">
        <f t="shared" si="270"/>
        <v>0</v>
      </c>
      <c r="K432" s="173">
        <f t="shared" si="271"/>
        <v>0</v>
      </c>
      <c r="L432" s="174">
        <f t="shared" si="272"/>
        <v>0</v>
      </c>
      <c r="M432" s="175">
        <f t="shared" si="288"/>
        <v>0</v>
      </c>
      <c r="N432" s="15"/>
      <c r="O432" s="37" t="str">
        <f t="shared" si="265"/>
        <v/>
      </c>
      <c r="P432" s="62" t="str">
        <f t="shared" si="289"/>
        <v/>
      </c>
      <c r="Q432" s="16" t="str">
        <f t="shared" si="273"/>
        <v/>
      </c>
      <c r="R432" s="60">
        <f t="shared" si="290"/>
        <v>0</v>
      </c>
      <c r="S432" s="98">
        <f t="shared" si="291"/>
        <v>0</v>
      </c>
      <c r="T432" s="21">
        <f t="shared" si="292"/>
        <v>0</v>
      </c>
      <c r="AA432" s="14">
        <f t="shared" si="274"/>
        <v>0</v>
      </c>
      <c r="AH432" s="6">
        <f t="shared" si="275"/>
        <v>4</v>
      </c>
      <c r="AI432" s="6">
        <f t="shared" si="276"/>
        <v>12</v>
      </c>
      <c r="AJ432" s="12">
        <f t="shared" si="277"/>
        <v>35</v>
      </c>
      <c r="AK432" s="72">
        <f t="shared" si="267"/>
        <v>30</v>
      </c>
      <c r="AR432">
        <f t="shared" si="293"/>
        <v>0</v>
      </c>
      <c r="AS432">
        <f t="shared" si="294"/>
        <v>0</v>
      </c>
      <c r="AT432" s="183">
        <f t="shared" si="295"/>
        <v>58746</v>
      </c>
      <c r="AU432" s="2">
        <f t="shared" si="296"/>
        <v>0</v>
      </c>
      <c r="AV432" s="169">
        <f t="shared" si="297"/>
        <v>418</v>
      </c>
      <c r="AW432" s="165">
        <f t="shared" si="298"/>
        <v>0</v>
      </c>
      <c r="AX432" s="170">
        <f t="shared" si="304"/>
        <v>0</v>
      </c>
      <c r="AY432" s="164" t="str">
        <f t="shared" si="307"/>
        <v/>
      </c>
      <c r="AZ432" s="171" t="str">
        <f t="shared" si="278"/>
        <v/>
      </c>
      <c r="BA432" s="172">
        <f t="shared" si="279"/>
        <v>0</v>
      </c>
      <c r="BB432" s="173">
        <f t="shared" si="280"/>
        <v>0</v>
      </c>
      <c r="BC432" s="174">
        <f t="shared" si="281"/>
        <v>0</v>
      </c>
      <c r="BD432" s="175">
        <f t="shared" si="299"/>
        <v>0</v>
      </c>
      <c r="BE432" s="188"/>
      <c r="BF432" s="177" t="str">
        <f t="shared" si="266"/>
        <v/>
      </c>
      <c r="BG432" s="178" t="str">
        <f t="shared" si="300"/>
        <v/>
      </c>
      <c r="BH432" s="179" t="str">
        <f t="shared" si="282"/>
        <v/>
      </c>
      <c r="BI432" s="180">
        <f t="shared" si="301"/>
        <v>0</v>
      </c>
      <c r="BJ432" s="181">
        <f t="shared" si="305"/>
        <v>0</v>
      </c>
      <c r="BK432" s="182">
        <f t="shared" si="302"/>
        <v>0</v>
      </c>
    </row>
    <row r="433" spans="1:63" x14ac:dyDescent="0.25">
      <c r="A433" s="7">
        <f t="shared" si="283"/>
        <v>0</v>
      </c>
      <c r="B433" s="7">
        <f t="shared" si="284"/>
        <v>0</v>
      </c>
      <c r="C433" s="115">
        <f t="shared" si="285"/>
        <v>58776</v>
      </c>
      <c r="D433" s="2">
        <f t="shared" si="268"/>
        <v>0</v>
      </c>
      <c r="E433" s="169">
        <f t="shared" si="286"/>
        <v>419</v>
      </c>
      <c r="F433" s="165">
        <f t="shared" si="287"/>
        <v>0</v>
      </c>
      <c r="G433" s="170">
        <f t="shared" si="303"/>
        <v>0</v>
      </c>
      <c r="H433" s="164" t="str">
        <f t="shared" si="306"/>
        <v/>
      </c>
      <c r="I433" s="171" t="str">
        <f t="shared" si="269"/>
        <v/>
      </c>
      <c r="J433" s="172">
        <f t="shared" si="270"/>
        <v>0</v>
      </c>
      <c r="K433" s="173">
        <f t="shared" si="271"/>
        <v>0</v>
      </c>
      <c r="L433" s="174">
        <f t="shared" si="272"/>
        <v>0</v>
      </c>
      <c r="M433" s="175">
        <f t="shared" si="288"/>
        <v>0</v>
      </c>
      <c r="N433" s="15"/>
      <c r="O433" s="37" t="str">
        <f t="shared" si="265"/>
        <v/>
      </c>
      <c r="P433" s="62" t="str">
        <f t="shared" si="289"/>
        <v/>
      </c>
      <c r="Q433" s="16" t="str">
        <f t="shared" si="273"/>
        <v/>
      </c>
      <c r="R433" s="60">
        <f t="shared" si="290"/>
        <v>0</v>
      </c>
      <c r="S433" s="98">
        <f t="shared" si="291"/>
        <v>0</v>
      </c>
      <c r="T433" s="21">
        <f t="shared" si="292"/>
        <v>0</v>
      </c>
      <c r="AA433" s="14">
        <f t="shared" si="274"/>
        <v>0</v>
      </c>
      <c r="AH433" s="6">
        <f t="shared" si="275"/>
        <v>4</v>
      </c>
      <c r="AI433" s="6">
        <f t="shared" si="276"/>
        <v>12</v>
      </c>
      <c r="AJ433" s="12">
        <f t="shared" si="277"/>
        <v>35</v>
      </c>
      <c r="AK433" s="72">
        <f t="shared" si="267"/>
        <v>31</v>
      </c>
      <c r="AR433">
        <f t="shared" si="293"/>
        <v>0</v>
      </c>
      <c r="AS433">
        <f t="shared" si="294"/>
        <v>0</v>
      </c>
      <c r="AT433" s="183">
        <f t="shared" si="295"/>
        <v>58776</v>
      </c>
      <c r="AU433" s="2">
        <f t="shared" si="296"/>
        <v>0</v>
      </c>
      <c r="AV433" s="169">
        <f t="shared" si="297"/>
        <v>419</v>
      </c>
      <c r="AW433" s="165">
        <f t="shared" si="298"/>
        <v>0</v>
      </c>
      <c r="AX433" s="170">
        <f t="shared" si="304"/>
        <v>0</v>
      </c>
      <c r="AY433" s="164" t="str">
        <f t="shared" si="307"/>
        <v/>
      </c>
      <c r="AZ433" s="171" t="str">
        <f t="shared" si="278"/>
        <v/>
      </c>
      <c r="BA433" s="172">
        <f t="shared" si="279"/>
        <v>0</v>
      </c>
      <c r="BB433" s="173">
        <f t="shared" si="280"/>
        <v>0</v>
      </c>
      <c r="BC433" s="174">
        <f t="shared" si="281"/>
        <v>0</v>
      </c>
      <c r="BD433" s="175">
        <f t="shared" si="299"/>
        <v>0</v>
      </c>
      <c r="BE433" s="188"/>
      <c r="BF433" s="177" t="str">
        <f t="shared" si="266"/>
        <v/>
      </c>
      <c r="BG433" s="178" t="str">
        <f t="shared" si="300"/>
        <v/>
      </c>
      <c r="BH433" s="179" t="str">
        <f t="shared" si="282"/>
        <v/>
      </c>
      <c r="BI433" s="180">
        <f t="shared" si="301"/>
        <v>0</v>
      </c>
      <c r="BJ433" s="181">
        <f t="shared" si="305"/>
        <v>0</v>
      </c>
      <c r="BK433" s="182">
        <f t="shared" si="302"/>
        <v>0</v>
      </c>
    </row>
    <row r="434" spans="1:63" x14ac:dyDescent="0.25">
      <c r="A434" s="7">
        <f t="shared" si="283"/>
        <v>0</v>
      </c>
      <c r="B434" s="7">
        <f t="shared" si="284"/>
        <v>0</v>
      </c>
      <c r="C434" s="115">
        <f t="shared" si="285"/>
        <v>58807</v>
      </c>
      <c r="D434" s="2">
        <f t="shared" si="268"/>
        <v>0</v>
      </c>
      <c r="E434" s="169">
        <f t="shared" si="286"/>
        <v>420</v>
      </c>
      <c r="F434" s="165">
        <f t="shared" si="287"/>
        <v>0</v>
      </c>
      <c r="G434" s="170">
        <f t="shared" si="303"/>
        <v>0</v>
      </c>
      <c r="H434" s="164" t="str">
        <f t="shared" si="306"/>
        <v/>
      </c>
      <c r="I434" s="171" t="str">
        <f t="shared" si="269"/>
        <v/>
      </c>
      <c r="J434" s="172">
        <f t="shared" si="270"/>
        <v>0</v>
      </c>
      <c r="K434" s="173">
        <f t="shared" si="271"/>
        <v>0</v>
      </c>
      <c r="L434" s="174">
        <f t="shared" si="272"/>
        <v>0</v>
      </c>
      <c r="M434" s="175">
        <f t="shared" si="288"/>
        <v>0</v>
      </c>
      <c r="N434" s="15"/>
      <c r="O434" s="37" t="str">
        <f t="shared" si="265"/>
        <v/>
      </c>
      <c r="P434" s="62" t="str">
        <f t="shared" si="289"/>
        <v/>
      </c>
      <c r="Q434" s="16" t="str">
        <f t="shared" si="273"/>
        <v/>
      </c>
      <c r="R434" s="60">
        <f t="shared" si="290"/>
        <v>0</v>
      </c>
      <c r="S434" s="98">
        <f t="shared" si="291"/>
        <v>0</v>
      </c>
      <c r="T434" s="21">
        <f t="shared" si="292"/>
        <v>0</v>
      </c>
      <c r="AA434" s="14">
        <f t="shared" si="274"/>
        <v>0</v>
      </c>
      <c r="AH434" s="6">
        <f t="shared" si="275"/>
        <v>4</v>
      </c>
      <c r="AI434" s="6">
        <f t="shared" si="276"/>
        <v>12</v>
      </c>
      <c r="AJ434" s="12">
        <f t="shared" si="277"/>
        <v>35</v>
      </c>
      <c r="AK434" s="72">
        <f t="shared" si="267"/>
        <v>31</v>
      </c>
      <c r="AR434">
        <f t="shared" si="293"/>
        <v>0</v>
      </c>
      <c r="AS434">
        <f t="shared" si="294"/>
        <v>0</v>
      </c>
      <c r="AT434" s="183">
        <f t="shared" si="295"/>
        <v>58807</v>
      </c>
      <c r="AU434" s="2">
        <f t="shared" si="296"/>
        <v>0</v>
      </c>
      <c r="AV434" s="169">
        <f t="shared" si="297"/>
        <v>420</v>
      </c>
      <c r="AW434" s="165">
        <f t="shared" si="298"/>
        <v>0</v>
      </c>
      <c r="AX434" s="170">
        <f t="shared" si="304"/>
        <v>0</v>
      </c>
      <c r="AY434" s="164" t="str">
        <f t="shared" si="307"/>
        <v/>
      </c>
      <c r="AZ434" s="171" t="str">
        <f t="shared" si="278"/>
        <v/>
      </c>
      <c r="BA434" s="172">
        <f t="shared" si="279"/>
        <v>0</v>
      </c>
      <c r="BB434" s="173">
        <f t="shared" si="280"/>
        <v>0</v>
      </c>
      <c r="BC434" s="174">
        <f t="shared" si="281"/>
        <v>0</v>
      </c>
      <c r="BD434" s="175">
        <f t="shared" si="299"/>
        <v>0</v>
      </c>
      <c r="BE434" s="188"/>
      <c r="BF434" s="177" t="str">
        <f t="shared" si="266"/>
        <v/>
      </c>
      <c r="BG434" s="178" t="str">
        <f t="shared" si="300"/>
        <v/>
      </c>
      <c r="BH434" s="179" t="str">
        <f t="shared" si="282"/>
        <v/>
      </c>
      <c r="BI434" s="180">
        <f t="shared" si="301"/>
        <v>0</v>
      </c>
      <c r="BJ434" s="181">
        <f t="shared" si="305"/>
        <v>0</v>
      </c>
      <c r="BK434" s="182">
        <f t="shared" si="302"/>
        <v>0</v>
      </c>
    </row>
  </sheetData>
  <sheetProtection algorithmName="SHA-512" hashValue="9PgaadhFt1ZcfepIv3IHyxWp/X7cx1qDOGKr0HSGv6MwuvvxlzKvXVTmzS2FqBdxn7AWOi4CIHX3STcXk2mEQg==" saltValue="GHMc/TiCEgh7cQIwOnYxVg==" spinCount="100000" sheet="1" formatCells="0" formatColumns="0" formatRows="0" insertColumns="0" insertRows="0" sort="0" autoFilter="0" pivotTables="0"/>
  <dataConsolidate/>
  <mergeCells count="17">
    <mergeCell ref="Q12:Q13"/>
    <mergeCell ref="H7:I7"/>
    <mergeCell ref="H8:I8"/>
    <mergeCell ref="H10:I10"/>
    <mergeCell ref="H9:I9"/>
    <mergeCell ref="AS6:AU6"/>
    <mergeCell ref="AW6:AZ6"/>
    <mergeCell ref="BD6:BE6"/>
    <mergeCell ref="AY7:AZ7"/>
    <mergeCell ref="B6:D6"/>
    <mergeCell ref="M6:N6"/>
    <mergeCell ref="F6:I6"/>
    <mergeCell ref="AY8:AZ8"/>
    <mergeCell ref="AY9:AZ9"/>
    <mergeCell ref="AY10:AZ10"/>
    <mergeCell ref="BH12:BH13"/>
    <mergeCell ref="AY5:AZ5"/>
  </mergeCells>
  <conditionalFormatting sqref="E15:E434">
    <cfRule type="expression" dxfId="5" priority="7" stopIfTrue="1">
      <formula>#REF!&lt;#REF!</formula>
    </cfRule>
  </conditionalFormatting>
  <conditionalFormatting sqref="F15:F434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{BE698845-AB7B-254A-9642-63213D9114EF}</x14:id>
        </ext>
      </extLst>
    </cfRule>
  </conditionalFormatting>
  <conditionalFormatting sqref="F15:M434">
    <cfRule type="expression" dxfId="4" priority="450" stopIfTrue="1">
      <formula>$D15&lt;$D$9</formula>
    </cfRule>
  </conditionalFormatting>
  <conditionalFormatting sqref="G15:G434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{FAE5ADBA-563C-D640-A814-33916B20EE27}</x14:id>
        </ext>
      </extLst>
    </cfRule>
  </conditionalFormatting>
  <conditionalFormatting sqref="O15:P434">
    <cfRule type="containsText" dxfId="3" priority="66" operator="containsText" text="V">
      <formula>NOT(ISERROR(SEARCH("V",O15)))</formula>
    </cfRule>
  </conditionalFormatting>
  <conditionalFormatting sqref="AV15:AV434">
    <cfRule type="expression" dxfId="2" priority="1" stopIfTrue="1">
      <formula>#REF!&lt;#REF!</formula>
    </cfRule>
  </conditionalFormatting>
  <conditionalFormatting sqref="AW15:AW43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{6795B18E-6403-2A43-B541-D6D17B5AB0AF}</x14:id>
        </ext>
      </extLst>
    </cfRule>
  </conditionalFormatting>
  <conditionalFormatting sqref="AW15:BD434">
    <cfRule type="expression" dxfId="1" priority="5" stopIfTrue="1">
      <formula>$D15&lt;$D$9</formula>
    </cfRule>
  </conditionalFormatting>
  <conditionalFormatting sqref="AX15:AX43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{2014DCEE-B77A-1B4E-BC80-3876189292D7}</x14:id>
        </ext>
      </extLst>
    </cfRule>
  </conditionalFormatting>
  <conditionalFormatting sqref="BF15:BG434">
    <cfRule type="containsText" dxfId="0" priority="2" operator="containsText" text="V">
      <formula>NOT(ISERROR(SEARCH("V",BF15)))</formula>
    </cfRule>
  </conditionalFormatting>
  <hyperlinks>
    <hyperlink ref="AD4" r:id="rId1" xr:uid="{47A43217-7D05-F24C-8480-0EF04551F5B5}"/>
  </hyperlinks>
  <pageMargins left="0.511811024" right="0.511811024" top="0.78740157499999996" bottom="0.78740157499999996" header="0.31496062000000002" footer="0.31496062000000002"/>
  <pageSetup paperSize="9" orientation="portrait" horizontalDpi="0" verticalDpi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98845-AB7B-254A-9642-63213D911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F15:F434</xm:sqref>
        </x14:conditionalFormatting>
        <x14:conditionalFormatting xmlns:xm="http://schemas.microsoft.com/office/excel/2006/main">
          <x14:cfRule type="dataBar" id="{FAE5ADBA-563C-D640-A814-33916B20E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G15:G434</xm:sqref>
        </x14:conditionalFormatting>
        <x14:conditionalFormatting xmlns:xm="http://schemas.microsoft.com/office/excel/2006/main">
          <x14:cfRule type="dataBar" id="{6795B18E-6403-2A43-B541-D6D17B5AB0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AW15:AW434</xm:sqref>
        </x14:conditionalFormatting>
        <x14:conditionalFormatting xmlns:xm="http://schemas.microsoft.com/office/excel/2006/main">
          <x14:cfRule type="dataBar" id="{2014DCEE-B77A-1B4E-BC80-38761892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AX15:AX434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727976C-032A-1E4B-8863-9F3BF6DD3356}">
          <x14:formula1>
            <xm:f>Configurações!$A$1:$A$6</xm:f>
          </x14:formula1>
          <xm:sqref>D11 AU11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2CE1-E0B6-E642-9275-41C4A7DFA45F}">
  <dimension ref="B2:L60"/>
  <sheetViews>
    <sheetView showGridLines="0" zoomScale="130" zoomScaleNormal="130" workbookViewId="0">
      <selection activeCell="L6" sqref="L6"/>
    </sheetView>
  </sheetViews>
  <sheetFormatPr baseColWidth="10" defaultColWidth="10.83203125" defaultRowHeight="16" x14ac:dyDescent="0.2"/>
  <cols>
    <col min="1" max="1" width="9.33203125" customWidth="1"/>
    <col min="2" max="2" width="7.5" customWidth="1"/>
    <col min="3" max="3" width="15.6640625" customWidth="1"/>
    <col min="4" max="4" width="15.83203125" customWidth="1"/>
    <col min="5" max="5" width="16" customWidth="1"/>
    <col min="6" max="6" width="16.5" customWidth="1"/>
    <col min="7" max="7" width="18.1640625" customWidth="1"/>
    <col min="8" max="8" width="15.6640625" customWidth="1"/>
    <col min="9" max="9" width="14.1640625" customWidth="1"/>
    <col min="10" max="10" width="16.5" customWidth="1"/>
  </cols>
  <sheetData>
    <row r="2" spans="2:12" ht="21" x14ac:dyDescent="0.25">
      <c r="C2" s="41" t="s">
        <v>48</v>
      </c>
      <c r="G2" s="55" t="s">
        <v>47</v>
      </c>
      <c r="H2" s="45">
        <f>'BASE SAC @amigodopairico'!D8</f>
        <v>396000</v>
      </c>
      <c r="I2" s="55" t="s">
        <v>49</v>
      </c>
      <c r="J2" s="45">
        <f>'BASE SAC @amigodopairico'!L15</f>
        <v>4426.6365093313671</v>
      </c>
    </row>
    <row r="3" spans="2:12" ht="21" x14ac:dyDescent="0.25">
      <c r="C3" s="41" t="s">
        <v>4</v>
      </c>
      <c r="D3" s="1"/>
      <c r="E3" s="1"/>
      <c r="F3" s="1"/>
      <c r="G3" s="55" t="s">
        <v>11</v>
      </c>
      <c r="H3" s="46">
        <f>'BASE SAC @amigodopairico'!D7</f>
        <v>0.105</v>
      </c>
      <c r="I3" s="2"/>
      <c r="J3" s="1"/>
      <c r="K3" s="1"/>
    </row>
    <row r="4" spans="2:12" x14ac:dyDescent="0.2">
      <c r="D4" s="1"/>
      <c r="E4" s="1"/>
      <c r="F4" s="1"/>
      <c r="G4" s="5"/>
      <c r="I4" s="38"/>
      <c r="J4" s="1"/>
      <c r="K4" s="1"/>
    </row>
    <row r="5" spans="2:12" x14ac:dyDescent="0.2">
      <c r="B5" s="40" t="s">
        <v>32</v>
      </c>
      <c r="C5" s="40" t="s">
        <v>25</v>
      </c>
      <c r="D5" s="39" t="s">
        <v>44</v>
      </c>
      <c r="E5" s="39" t="s">
        <v>2</v>
      </c>
      <c r="F5" s="39" t="s">
        <v>1</v>
      </c>
      <c r="G5" s="40" t="s">
        <v>45</v>
      </c>
      <c r="H5" s="40" t="s">
        <v>46</v>
      </c>
      <c r="I5" s="39" t="s">
        <v>31</v>
      </c>
      <c r="J5" s="39"/>
      <c r="K5" s="1"/>
    </row>
    <row r="6" spans="2:12" ht="33" customHeight="1" x14ac:dyDescent="0.2">
      <c r="B6" s="57">
        <v>1</v>
      </c>
      <c r="C6" s="53" t="s">
        <v>34</v>
      </c>
      <c r="D6" s="54">
        <f ca="1">SUMIF('BASE SAC @amigodopairico'!$AI$15:$AI$438,"="&amp;$B6,SAC_Parcela)</f>
        <v>158516.65756825381</v>
      </c>
      <c r="E6" s="54">
        <f ca="1">SUMIF('BASE SAC @amigodopairico'!$AI$15:$AI$438,"="&amp;$B6,SAC_Juros)</f>
        <v>117154.2558238159</v>
      </c>
      <c r="F6" s="54">
        <f ca="1">SUMIF('BASE SAC @amigodopairico'!$AI$15:$AI$438,"="&amp;$B6,SAC_Amortizacao)</f>
        <v>37762.401744437957</v>
      </c>
      <c r="G6" s="54">
        <f ca="1">SUMIF('BASE SAC @amigodopairico'!$AI$15:$AI$438,"="&amp;$B6,SAC_QuedaSaldoDevedor)</f>
        <v>13925.355201956963</v>
      </c>
      <c r="H6" s="54">
        <f ca="1">SUMIF('BASE SAC @amigodopairico'!$AI$15:$AI$438,"="&amp;$B6,SAC_Adiantamento)</f>
        <v>0</v>
      </c>
      <c r="I6" s="54">
        <f ca="1">SUMIF('BASE SAC @amigodopairico'!$AI$15:$AI$438,"="&amp;$B6,SAC_PrevisaoAtualizacaoMonetaria)</f>
        <v>23837.046542480995</v>
      </c>
      <c r="J6" s="54"/>
      <c r="K6" s="49">
        <f>IFERROR('BASE SAC @amigodopairico'!D50,0)</f>
        <v>2.8248587570621469E-3</v>
      </c>
      <c r="L6" s="2"/>
    </row>
    <row r="7" spans="2:12" ht="33" customHeight="1" x14ac:dyDescent="0.2">
      <c r="B7" s="57">
        <f>B6+1</f>
        <v>2</v>
      </c>
      <c r="C7" s="53" t="s">
        <v>35</v>
      </c>
      <c r="D7" s="54">
        <f ca="1">SUMIF('BASE SAC @amigodopairico'!$AI$15:$AI$438,"="&amp;$B7,SAC_Parcela)</f>
        <v>156236.97820941391</v>
      </c>
      <c r="E7" s="54">
        <f ca="1">SUMIF('BASE SAC @amigodopairico'!$AI$15:$AI$438,"="&amp;$B7,SAC_Juros)</f>
        <v>112486.45580337875</v>
      </c>
      <c r="F7" s="54">
        <f ca="1">SUMIF('BASE SAC @amigodopairico'!$AI$15:$AI$438,"="&amp;$B7,SAC_Amortizacao)</f>
        <v>40150.522406035154</v>
      </c>
      <c r="G7" s="54">
        <f ca="1">SUMIF('BASE SAC @amigodopairico'!$AI$15:$AI$438,"="&amp;$B7,SAC_QuedaSaldoDevedor)</f>
        <v>17263.219989840829</v>
      </c>
      <c r="H7" s="54">
        <f ca="1">SUMIF('BASE SAC @amigodopairico'!$AI$15:$AI$438,"="&amp;$B7,SAC_Adiantamento)</f>
        <v>0</v>
      </c>
      <c r="I7" s="54">
        <f ca="1">SUMIF('BASE SAC @amigodopairico'!$AI$15:$AI$438,"="&amp;$B7,SAC_PrevisaoAtualizacaoMonetaria)</f>
        <v>22887.302416194336</v>
      </c>
      <c r="J7" s="54"/>
      <c r="K7" s="49">
        <f>IFERROR('BASE SAC @amigodopairico'!D86,0)</f>
        <v>3.1446540880503146E-3</v>
      </c>
      <c r="L7" s="2"/>
    </row>
    <row r="8" spans="2:12" ht="33" customHeight="1" x14ac:dyDescent="0.2">
      <c r="B8" s="57">
        <f t="shared" ref="B8:B14" si="0">B7+1</f>
        <v>3</v>
      </c>
      <c r="C8" s="53" t="s">
        <v>36</v>
      </c>
      <c r="D8" s="54">
        <f ca="1">SUMIF('BASE SAC @amigodopairico'!$AI$15:$AI$438,"="&amp;$B8,SAC_Parcela)</f>
        <v>153052.34371473483</v>
      </c>
      <c r="E8" s="54">
        <f ca="1">SUMIF('BASE SAC @amigodopairico'!$AI$15:$AI$438,"="&amp;$B8,SAC_Juros)</f>
        <v>106761.8292949326</v>
      </c>
      <c r="F8" s="54">
        <f ca="1">SUMIF('BASE SAC @amigodopairico'!$AI$15:$AI$438,"="&amp;$B8,SAC_Amortizacao)</f>
        <v>42690.514419802283</v>
      </c>
      <c r="G8" s="54">
        <f ca="1">SUMIF('BASE SAC @amigodopairico'!$AI$15:$AI$438,"="&amp;$B8,SAC_QuedaSaldoDevedor)</f>
        <v>20967.985639534287</v>
      </c>
      <c r="H8" s="54">
        <f ca="1">SUMIF('BASE SAC @amigodopairico'!$AI$15:$AI$438,"="&amp;$B8,SAC_Adiantamento)</f>
        <v>0</v>
      </c>
      <c r="I8" s="54">
        <f ca="1">SUMIF('BASE SAC @amigodopairico'!$AI$15:$AI$438,"="&amp;$B8,SAC_PrevisaoAtualizacaoMonetaria)</f>
        <v>21722.528780267978</v>
      </c>
      <c r="J8" s="54"/>
      <c r="K8" s="49">
        <f>IFERROR('BASE SAC @amigodopairico'!D122,0)</f>
        <v>3.5460992907801418E-3</v>
      </c>
      <c r="L8" s="2"/>
    </row>
    <row r="9" spans="2:12" ht="33" customHeight="1" x14ac:dyDescent="0.2">
      <c r="B9" s="58">
        <f t="shared" si="0"/>
        <v>4</v>
      </c>
      <c r="C9" s="50" t="s">
        <v>37</v>
      </c>
      <c r="D9" s="51">
        <f ca="1">SUMIF('BASE SAC @amigodopairico'!$AI$15:$AI$438,"="&amp;$B9,SAC_Parcela)</f>
        <v>148857.52830484411</v>
      </c>
      <c r="E9" s="51">
        <f ca="1">SUMIF('BASE SAC @amigodopairico'!$AI$15:$AI$438,"="&amp;$B9,SAC_Juros)</f>
        <v>99865.207087362942</v>
      </c>
      <c r="F9" s="51">
        <f ca="1">SUMIF('BASE SAC @amigodopairico'!$AI$15:$AI$438,"="&amp;$B9,SAC_Amortizacao)</f>
        <v>45392.32121748112</v>
      </c>
      <c r="G9" s="51">
        <f ca="1">SUMIF('BASE SAC @amigodopairico'!$AI$15:$AI$438,"="&amp;$B9,SAC_QuedaSaldoDevedor)</f>
        <v>25073.028737864239</v>
      </c>
      <c r="H9" s="51">
        <f ca="1">SUMIF('BASE SAC @amigodopairico'!$AI$15:$AI$438,"="&amp;$B9,SAC_Adiantamento)</f>
        <v>0</v>
      </c>
      <c r="I9" s="51">
        <f ca="1">SUMIF('BASE SAC @amigodopairico'!$AI$15:$AI$438,"="&amp;$B9,SAC_PrevisaoAtualizacaoMonetaria)</f>
        <v>20319.29247961687</v>
      </c>
      <c r="J9" s="51"/>
      <c r="K9" s="49">
        <f>IFERROR('BASE SAC @amigodopairico'!D158,0)</f>
        <v>4.0650406504065045E-3</v>
      </c>
      <c r="L9" s="2"/>
    </row>
    <row r="10" spans="2:12" ht="33" customHeight="1" x14ac:dyDescent="0.2">
      <c r="B10" s="58">
        <f t="shared" si="0"/>
        <v>5</v>
      </c>
      <c r="C10" s="50" t="s">
        <v>38</v>
      </c>
      <c r="D10" s="51">
        <f ca="1">SUMIF('BASE SAC @amigodopairico'!$AI$15:$AI$438,"="&amp;$B10,SAC_Parcela)</f>
        <v>143537.64086150561</v>
      </c>
      <c r="E10" s="51">
        <f ca="1">SUMIF('BASE SAC @amigodopairico'!$AI$15:$AI$438,"="&amp;$B10,SAC_Juros)</f>
        <v>91670.961317720474</v>
      </c>
      <c r="F10" s="51">
        <f ca="1">SUMIF('BASE SAC @amigodopairico'!$AI$15:$AI$438,"="&amp;$B10,SAC_Amortizacao)</f>
        <v>48266.679543785183</v>
      </c>
      <c r="G10" s="51">
        <f ca="1">SUMIF('BASE SAC @amigodopairico'!$AI$15:$AI$438,"="&amp;$B10,SAC_QuedaSaldoDevedor)</f>
        <v>29614.647177068015</v>
      </c>
      <c r="H10" s="51">
        <f ca="1">SUMIF('BASE SAC @amigodopairico'!$AI$15:$AI$438,"="&amp;$B10,SAC_Adiantamento)</f>
        <v>0</v>
      </c>
      <c r="I10" s="51">
        <f ca="1">SUMIF('BASE SAC @amigodopairico'!$AI$15:$AI$438,"="&amp;$B10,SAC_PrevisaoAtualizacaoMonetaria)</f>
        <v>18652.032366717161</v>
      </c>
      <c r="J10" s="51"/>
      <c r="K10" s="49">
        <f>IFERROR('BASE SAC @amigodopairico'!D194,0)</f>
        <v>4.7619047619047623E-3</v>
      </c>
      <c r="L10" s="2"/>
    </row>
    <row r="11" spans="2:12" ht="33" customHeight="1" x14ac:dyDescent="0.2">
      <c r="B11" s="58">
        <f t="shared" si="0"/>
        <v>6</v>
      </c>
      <c r="C11" s="50" t="s">
        <v>39</v>
      </c>
      <c r="D11" s="51">
        <f ca="1">SUMIF('BASE SAC @amigodopairico'!$AI$15:$AI$438,"="&amp;$B11,SAC_Parcela)</f>
        <v>136967.36392350786</v>
      </c>
      <c r="E11" s="51">
        <f ca="1">SUMIF('BASE SAC @amigodopairico'!$AI$15:$AI$438,"="&amp;$B11,SAC_Juros)</f>
        <v>82042.07745346037</v>
      </c>
      <c r="F11" s="51">
        <f ca="1">SUMIF('BASE SAC @amigodopairico'!$AI$15:$AI$438,"="&amp;$B11,SAC_Amortizacao)</f>
        <v>51325.286470047504</v>
      </c>
      <c r="G11" s="51">
        <f ca="1">SUMIF('BASE SAC @amigodopairico'!$AI$15:$AI$438,"="&amp;$B11,SAC_QuedaSaldoDevedor)</f>
        <v>34632.415989601745</v>
      </c>
      <c r="H11" s="51">
        <f ca="1">SUMIF('BASE SAC @amigodopairico'!$AI$15:$AI$438,"="&amp;$B11,SAC_Adiantamento)</f>
        <v>0</v>
      </c>
      <c r="I11" s="51">
        <f ca="1">SUMIF('BASE SAC @amigodopairico'!$AI$15:$AI$438,"="&amp;$B11,SAC_PrevisaoAtualizacaoMonetaria)</f>
        <v>16692.870480445748</v>
      </c>
      <c r="J11" s="51"/>
      <c r="K11" s="49">
        <f>IFERROR('BASE SAC @amigodopairico'!D230,0)</f>
        <v>5.7471264367816091E-3</v>
      </c>
      <c r="L11" s="2"/>
    </row>
    <row r="12" spans="2:12" ht="33" customHeight="1" x14ac:dyDescent="0.2">
      <c r="B12" s="59">
        <f t="shared" si="0"/>
        <v>7</v>
      </c>
      <c r="C12" s="52" t="s">
        <v>40</v>
      </c>
      <c r="D12" s="61">
        <f ca="1">SUMIF('BASE SAC @amigodopairico'!$AI$15:$AI$438,"="&amp;$B12,SAC_Parcela)</f>
        <v>129010.20111966388</v>
      </c>
      <c r="E12" s="61">
        <f ca="1">SUMIF('BASE SAC @amigodopairico'!$AI$15:$AI$438,"="&amp;$B12,SAC_Juros)</f>
        <v>70829.098692892745</v>
      </c>
      <c r="F12" s="61">
        <f ca="1">SUMIF('BASE SAC @amigodopairico'!$AI$15:$AI$438,"="&amp;$B12,SAC_Amortizacao)</f>
        <v>54581.102426771133</v>
      </c>
      <c r="G12" s="61">
        <f ca="1">SUMIF('BASE SAC @amigodopairico'!$AI$15:$AI$438,"="&amp;$B12,SAC_QuedaSaldoDevedor)</f>
        <v>40169.705160558929</v>
      </c>
      <c r="H12" s="61">
        <f ca="1">SUMIF('BASE SAC @amigodopairico'!$AI$15:$AI$438,"="&amp;$B12,SAC_Adiantamento)</f>
        <v>0</v>
      </c>
      <c r="I12" s="61">
        <f ca="1">SUMIF('BASE SAC @amigodopairico'!$AI$15:$AI$438,"="&amp;$B12,SAC_PrevisaoAtualizacaoMonetaria)</f>
        <v>14411.397266212191</v>
      </c>
      <c r="J12" s="61"/>
      <c r="K12" s="49">
        <f>IFERROR('BASE SAC @amigodopairico'!D266,0)</f>
        <v>7.2463768115942021E-3</v>
      </c>
      <c r="L12" s="2"/>
    </row>
    <row r="13" spans="2:12" ht="33" customHeight="1" x14ac:dyDescent="0.2">
      <c r="B13" s="59">
        <f t="shared" si="0"/>
        <v>8</v>
      </c>
      <c r="C13" s="52" t="s">
        <v>41</v>
      </c>
      <c r="D13" s="61">
        <f ca="1">SUMIF('BASE SAC @amigodopairico'!$AI$15:$AI$438,"="&amp;$B13,SAC_Parcela)</f>
        <v>119517.87349805176</v>
      </c>
      <c r="E13" s="61">
        <f ca="1">SUMIF('BASE SAC @amigodopairico'!$AI$15:$AI$438,"="&amp;$B13,SAC_Juros)</f>
        <v>57868.866587042321</v>
      </c>
      <c r="F13" s="61">
        <f ca="1">SUMIF('BASE SAC @amigodopairico'!$AI$15:$AI$438,"="&amp;$B13,SAC_Amortizacao)</f>
        <v>58049.006911009448</v>
      </c>
      <c r="G13" s="61">
        <f ca="1">SUMIF('BASE SAC @amigodopairico'!$AI$15:$AI$438,"="&amp;$B13,SAC_QuedaSaldoDevedor)</f>
        <v>46274.591577174593</v>
      </c>
      <c r="H13" s="61">
        <f ca="1">SUMIF('BASE SAC @amigodopairico'!$AI$15:$AI$438,"="&amp;$B13,SAC_Adiantamento)</f>
        <v>0</v>
      </c>
      <c r="I13" s="61">
        <f ca="1">SUMIF('BASE SAC @amigodopairico'!$AI$15:$AI$438,"="&amp;$B13,SAC_PrevisaoAtualizacaoMonetaria)</f>
        <v>11774.415333834871</v>
      </c>
      <c r="J13" s="61"/>
      <c r="K13" s="49">
        <f>IFERROR('BASE SAC @amigodopairico'!D302,0)</f>
        <v>9.8039215686274508E-3</v>
      </c>
      <c r="L13" s="2">
        <f t="shared" ref="L13:L17" ca="1" si="1">IF((D13+H13)=0,"",G13/(D13+H13))</f>
        <v>0.38717716624977355</v>
      </c>
    </row>
    <row r="14" spans="2:12" ht="33" customHeight="1" x14ac:dyDescent="0.2">
      <c r="B14" s="59">
        <f t="shared" si="0"/>
        <v>9</v>
      </c>
      <c r="C14" s="52" t="s">
        <v>42</v>
      </c>
      <c r="D14" s="61">
        <f ca="1">SUMIF('BASE SAC @amigodopairico'!$AI$15:$AI$438,"="&amp;$B14,SAC_Parcela)</f>
        <v>108330.45170522986</v>
      </c>
      <c r="E14" s="61">
        <f ca="1">SUMIF('BASE SAC @amigodopairico'!$AI$15:$AI$438,"="&amp;$B14,SAC_Juros)</f>
        <v>42982.845240164839</v>
      </c>
      <c r="F14" s="61">
        <f ca="1">SUMIF('BASE SAC @amigodopairico'!$AI$15:$AI$438,"="&amp;$B14,SAC_Amortizacao)</f>
        <v>61747.606465065037</v>
      </c>
      <c r="G14" s="61">
        <f ca="1">SUMIF('BASE SAC @amigodopairico'!$AI$15:$AI$438,"="&amp;$B14,SAC_QuedaSaldoDevedor)</f>
        <v>53002.007977726222</v>
      </c>
      <c r="H14" s="61">
        <f ca="1">SUMIF('BASE SAC @amigodopairico'!$AI$15:$AI$438,"="&amp;$B14,SAC_Adiantamento)</f>
        <v>0</v>
      </c>
      <c r="I14" s="61">
        <f ca="1">SUMIF('BASE SAC @amigodopairico'!$AI$15:$AI$438,"="&amp;$B14,SAC_PrevisaoAtualizacaoMonetaria)</f>
        <v>8745.5984873388006</v>
      </c>
      <c r="J14" s="61"/>
      <c r="K14" s="49">
        <f>IFERROR('BASE SAC @amigodopairico'!D338,0)</f>
        <v>1.5151515151515152E-2</v>
      </c>
      <c r="L14" s="2">
        <f t="shared" ca="1" si="1"/>
        <v>0.48926231861329389</v>
      </c>
    </row>
    <row r="15" spans="2:12" ht="33" customHeight="1" x14ac:dyDescent="0.2">
      <c r="B15" s="57">
        <v>10</v>
      </c>
      <c r="C15" s="53" t="s">
        <v>43</v>
      </c>
      <c r="D15" s="54">
        <f ca="1">SUMIF('BASE SAC @amigodopairico'!$AI$15:$AI$438,"="&amp;$B15,SAC_Parcela)</f>
        <v>95280.920641346092</v>
      </c>
      <c r="E15" s="54">
        <f ca="1">SUMIF('BASE SAC @amigodopairico'!$AI$15:$AI$438,"="&amp;$B15,SAC_Juros)</f>
        <v>25974.189299435489</v>
      </c>
      <c r="F15" s="54">
        <f ca="1">SUMIF('BASE SAC @amigodopairico'!$AI$15:$AI$438,"="&amp;$B15,SAC_Amortizacao)</f>
        <v>65706.731341910592</v>
      </c>
      <c r="G15" s="54">
        <f ca="1">SUMIF('BASE SAC @amigodopairico'!$AI$15:$AI$438,"="&amp;$B15,SAC_QuedaSaldoDevedor)</f>
        <v>60421.836184836895</v>
      </c>
      <c r="H15" s="54">
        <f ca="1">SUMIF('BASE SAC @amigodopairico'!$AI$15:$AI$438,"="&amp;$B15,SAC_Adiantamento)</f>
        <v>0</v>
      </c>
      <c r="I15" s="54">
        <f ca="1">SUMIF('BASE SAC @amigodopairico'!$AI$15:$AI$438,"="&amp;$B15,SAC_PrevisaoAtualizacaoMonetaria)</f>
        <v>5284.8951570736808</v>
      </c>
      <c r="J15" s="54"/>
      <c r="K15" s="49">
        <f>IFERROR('BASE SAC @amigodopairico'!D338,0)</f>
        <v>1.5151515151515152E-2</v>
      </c>
      <c r="L15" s="2">
        <f t="shared" ref="L15" ca="1" si="2">IF((D15+H15)=0,"",G15/(D15+H15))</f>
        <v>0.63414412642248874</v>
      </c>
    </row>
    <row r="16" spans="2:12" ht="33" customHeight="1" x14ac:dyDescent="0.2">
      <c r="B16" s="57">
        <v>11</v>
      </c>
      <c r="C16" s="53" t="s">
        <v>43</v>
      </c>
      <c r="D16" s="54">
        <f ca="1">SUMIF('BASE SAC @amigodopairico'!$AI$15:$AI$438,"="&amp;$B16,SAC_Parcela)</f>
        <v>65934.842534296986</v>
      </c>
      <c r="E16" s="54">
        <f ca="1">SUMIF('BASE SAC @amigodopairico'!$AI$15:$AI$438,"="&amp;$B16,SAC_Juros)</f>
        <v>6965.7274222326096</v>
      </c>
      <c r="F16" s="54">
        <f ca="1">SUMIF('BASE SAC @amigodopairico'!$AI$15:$AI$438,"="&amp;$B16,SAC_Amortizacao)</f>
        <v>56069.115112064392</v>
      </c>
      <c r="G16" s="54">
        <f ca="1">SUMIF('BASE SAC @amigodopairico'!$AI$15:$AI$438,"="&amp;$B16,SAC_QuedaSaldoDevedor)</f>
        <v>54651.818167976409</v>
      </c>
      <c r="H16" s="54">
        <f ca="1">SUMIF('BASE SAC @amigodopairico'!$AI$15:$AI$438,"="&amp;$B16,SAC_Adiantamento)</f>
        <v>0</v>
      </c>
      <c r="I16" s="54">
        <f ca="1">SUMIF('BASE SAC @amigodopairico'!$AI$15:$AI$438,"="&amp;$B16,SAC_PrevisaoAtualizacaoMonetaria)</f>
        <v>1417.2969440879729</v>
      </c>
      <c r="J16" s="54"/>
      <c r="K16" s="49">
        <f>IFERROR('BASE SAC @amigodopairico'!D339,0)</f>
        <v>1.5384615384615384E-2</v>
      </c>
      <c r="L16" s="2">
        <f t="shared" ref="L16" ca="1" si="3">IF((D16+H16)=0,"",G16/(D16+H16))</f>
        <v>0.82887614601564352</v>
      </c>
    </row>
    <row r="17" spans="2:12" ht="33" customHeight="1" x14ac:dyDescent="0.2">
      <c r="B17" s="57">
        <v>12</v>
      </c>
      <c r="C17" s="53" t="s">
        <v>43</v>
      </c>
      <c r="D17" s="54">
        <f ca="1">SUMIF('BASE SAC @amigodopairico'!$AI$15:$AI$438,"="&amp;$B17,SAC_Parcela)</f>
        <v>0</v>
      </c>
      <c r="E17" s="54">
        <f ca="1">SUMIF('BASE SAC @amigodopairico'!$AI$15:$AI$438,"="&amp;$B17,SAC_Juros)</f>
        <v>0</v>
      </c>
      <c r="F17" s="54">
        <f ca="1">SUMIF('BASE SAC @amigodopairico'!$AI$15:$AI$438,"="&amp;$B17,SAC_Amortizacao)</f>
        <v>0</v>
      </c>
      <c r="G17" s="54">
        <f ca="1">SUMIF('BASE SAC @amigodopairico'!$AI$15:$AI$438,"="&amp;$B17,SAC_QuedaSaldoDevedor)</f>
        <v>0</v>
      </c>
      <c r="H17" s="54">
        <f ca="1">SUMIF('BASE SAC @amigodopairico'!$AI$15:$AI$438,"="&amp;$B17,SAC_Adiantamento)</f>
        <v>0</v>
      </c>
      <c r="I17" s="54">
        <f ca="1">SUMIF('BASE SAC @amigodopairico'!$AI$15:$AI$438,"="&amp;$B17,SAC_PrevisaoAtualizacaoMonetaria)</f>
        <v>0</v>
      </c>
      <c r="J17" s="54"/>
      <c r="K17" s="49">
        <f>IFERROR('BASE SAC @amigodopairico'!D339,0)</f>
        <v>1.5384615384615384E-2</v>
      </c>
      <c r="L17" s="2" t="str">
        <f t="shared" ca="1" si="1"/>
        <v/>
      </c>
    </row>
    <row r="18" spans="2:12" ht="21" x14ac:dyDescent="0.25">
      <c r="D18" s="44"/>
      <c r="E18" s="44"/>
      <c r="F18" s="44"/>
      <c r="G18" s="44"/>
      <c r="H18" s="44"/>
      <c r="I18" s="44"/>
      <c r="J18" s="44"/>
    </row>
    <row r="19" spans="2:12" ht="32" customHeight="1" x14ac:dyDescent="0.2">
      <c r="C19" s="47" t="s">
        <v>33</v>
      </c>
      <c r="D19" s="48">
        <f t="shared" ref="D19:J19" ca="1" si="4">SUM(D6:D17)</f>
        <v>1415242.8020808487</v>
      </c>
      <c r="E19" s="48">
        <f t="shared" ca="1" si="4"/>
        <v>814601.51402243902</v>
      </c>
      <c r="F19" s="48">
        <f t="shared" ca="1" si="4"/>
        <v>561741.28805840982</v>
      </c>
      <c r="G19" s="48">
        <f t="shared" ca="1" si="4"/>
        <v>395996.61180413916</v>
      </c>
      <c r="H19" s="48">
        <f t="shared" ca="1" si="4"/>
        <v>0</v>
      </c>
      <c r="I19" s="48">
        <f t="shared" ca="1" si="4"/>
        <v>165744.67625427063</v>
      </c>
      <c r="J19" s="48">
        <f t="shared" si="4"/>
        <v>0</v>
      </c>
      <c r="K19" s="2">
        <f ca="1">IF((D19+H19)=0,"",G19/(D19+H19))</f>
        <v>0.27980825002035026</v>
      </c>
    </row>
    <row r="20" spans="2:12" ht="21" x14ac:dyDescent="0.25">
      <c r="E20" s="43"/>
    </row>
    <row r="23" spans="2:12" ht="21" x14ac:dyDescent="0.25">
      <c r="C23" s="42" t="s">
        <v>69</v>
      </c>
      <c r="E23" s="43"/>
    </row>
    <row r="24" spans="2:12" ht="21" x14ac:dyDescent="0.25">
      <c r="C24" s="101" cm="1">
        <f t="array" ref="C24:D24">'BASE SAC @amigodopairico'!H10:I10</f>
        <v>853501.51402243937</v>
      </c>
      <c r="D24">
        <v>0</v>
      </c>
      <c r="E24" s="43"/>
    </row>
    <row r="25" spans="2:12" ht="21" x14ac:dyDescent="0.25">
      <c r="C25" s="99"/>
      <c r="E25" s="43"/>
    </row>
    <row r="26" spans="2:12" ht="21" x14ac:dyDescent="0.25">
      <c r="C26" s="200" t="s">
        <v>95</v>
      </c>
      <c r="E26" s="43"/>
    </row>
    <row r="27" spans="2:12" ht="21" x14ac:dyDescent="0.25">
      <c r="C27" s="201">
        <f>'BASE SAC @amigodopairico'!N10</f>
        <v>853501.51402243937</v>
      </c>
      <c r="E27" s="43"/>
    </row>
    <row r="28" spans="2:12" ht="21" x14ac:dyDescent="0.25">
      <c r="C28" s="202"/>
      <c r="E28" s="43"/>
    </row>
    <row r="29" spans="2:12" ht="19" x14ac:dyDescent="0.25">
      <c r="C29" s="200" t="s">
        <v>96</v>
      </c>
      <c r="D29" s="4"/>
    </row>
    <row r="30" spans="2:12" ht="19" x14ac:dyDescent="0.25">
      <c r="C30" s="203">
        <f>'BASE SAC @amigodopairico'!N7</f>
        <v>389</v>
      </c>
    </row>
    <row r="31" spans="2:12" ht="19" x14ac:dyDescent="0.25">
      <c r="C31" s="202"/>
    </row>
    <row r="32" spans="2:12" ht="19" x14ac:dyDescent="0.25">
      <c r="C32" s="203">
        <f>'BASE SAC @amigodopairico'!N8</f>
        <v>0</v>
      </c>
    </row>
    <row r="33" spans="3:10" ht="19" x14ac:dyDescent="0.25">
      <c r="C33" s="200" t="s">
        <v>97</v>
      </c>
    </row>
    <row r="34" spans="3:10" x14ac:dyDescent="0.2">
      <c r="C34" s="204"/>
    </row>
    <row r="36" spans="3:10" ht="24" x14ac:dyDescent="0.3">
      <c r="C36" s="205" t="s">
        <v>98</v>
      </c>
    </row>
    <row r="37" spans="3:10" ht="24" x14ac:dyDescent="0.3">
      <c r="C37" s="206">
        <f>'BASE SAC @amigodopairico'!N11</f>
        <v>0</v>
      </c>
    </row>
    <row r="38" spans="3:10" ht="19" x14ac:dyDescent="0.25">
      <c r="C38" s="101"/>
    </row>
    <row r="39" spans="3:10" ht="19" x14ac:dyDescent="0.25">
      <c r="C39" s="100"/>
    </row>
    <row r="40" spans="3:10" ht="19" x14ac:dyDescent="0.25">
      <c r="C40" s="42"/>
    </row>
    <row r="41" spans="3:10" ht="19" x14ac:dyDescent="0.25">
      <c r="C41" s="101"/>
    </row>
    <row r="42" spans="3:10" x14ac:dyDescent="0.2">
      <c r="C42" s="3"/>
    </row>
    <row r="43" spans="3:10" ht="24" x14ac:dyDescent="0.3">
      <c r="C43" s="1"/>
      <c r="D43" s="56"/>
      <c r="E43" s="43"/>
      <c r="F43" s="1"/>
      <c r="G43" s="1"/>
      <c r="H43" s="1"/>
      <c r="I43" s="1"/>
      <c r="J43" s="1"/>
    </row>
    <row r="44" spans="3:10" x14ac:dyDescent="0.2">
      <c r="C44" s="1"/>
      <c r="D44" s="1"/>
      <c r="E44" s="1"/>
      <c r="F44" s="1"/>
      <c r="G44" s="1"/>
      <c r="H44" s="1"/>
      <c r="I44" s="1"/>
      <c r="J44" s="1"/>
    </row>
    <row r="45" spans="3:10" x14ac:dyDescent="0.2">
      <c r="C45" s="1"/>
      <c r="D45" s="1"/>
      <c r="E45" s="1"/>
      <c r="F45" s="1"/>
      <c r="G45" s="1"/>
      <c r="H45" s="1"/>
      <c r="I45" s="1"/>
      <c r="J45" s="1"/>
    </row>
    <row r="46" spans="3:10" x14ac:dyDescent="0.2">
      <c r="C46" s="1"/>
      <c r="D46" s="1"/>
      <c r="E46" s="1"/>
      <c r="F46" s="1"/>
      <c r="G46" s="1"/>
      <c r="H46" s="1"/>
      <c r="I46" s="1"/>
      <c r="J46" s="1"/>
    </row>
    <row r="47" spans="3:10" x14ac:dyDescent="0.2">
      <c r="C47" s="1"/>
      <c r="D47" s="1"/>
      <c r="E47" s="1"/>
      <c r="F47" s="1"/>
      <c r="G47" s="1"/>
      <c r="H47" s="1"/>
      <c r="I47" s="1"/>
      <c r="J47" s="1"/>
    </row>
    <row r="48" spans="3:10" x14ac:dyDescent="0.2">
      <c r="C48" s="1"/>
      <c r="D48" s="1"/>
      <c r="E48" s="1"/>
      <c r="F48" s="1"/>
      <c r="G48" s="1"/>
      <c r="H48" s="1"/>
      <c r="I48" s="1"/>
      <c r="J48" s="1"/>
    </row>
    <row r="49" spans="3:10" x14ac:dyDescent="0.2">
      <c r="C49" s="1"/>
      <c r="D49" s="1"/>
      <c r="E49" s="1"/>
      <c r="F49" s="1"/>
      <c r="G49" s="1"/>
      <c r="H49" s="1"/>
      <c r="I49" s="1"/>
      <c r="J49" s="1"/>
    </row>
    <row r="50" spans="3:10" x14ac:dyDescent="0.2">
      <c r="C50" s="1"/>
      <c r="D50" s="1"/>
      <c r="E50" s="1"/>
      <c r="F50" s="1"/>
      <c r="G50" s="1"/>
      <c r="H50" s="1"/>
      <c r="I50" s="1"/>
      <c r="J50" s="1"/>
    </row>
    <row r="51" spans="3:10" x14ac:dyDescent="0.2">
      <c r="C51" s="1"/>
      <c r="D51" s="1"/>
      <c r="E51" s="1"/>
      <c r="F51" s="1"/>
      <c r="G51" s="1"/>
      <c r="H51" s="1"/>
      <c r="I51" s="1"/>
      <c r="J51" s="1"/>
    </row>
    <row r="52" spans="3:10" x14ac:dyDescent="0.2">
      <c r="C52" s="1"/>
      <c r="D52" s="1"/>
      <c r="E52" s="1"/>
      <c r="F52" s="1"/>
      <c r="G52" s="1"/>
      <c r="H52" s="1"/>
      <c r="I52" s="1"/>
      <c r="J52" s="1"/>
    </row>
    <row r="53" spans="3:10" x14ac:dyDescent="0.2">
      <c r="C53" s="1"/>
      <c r="D53" s="1"/>
      <c r="E53" s="1"/>
      <c r="F53" s="1"/>
      <c r="G53" s="1"/>
      <c r="H53" s="1"/>
      <c r="I53" s="1"/>
      <c r="J53" s="1"/>
    </row>
    <row r="54" spans="3:10" x14ac:dyDescent="0.2">
      <c r="C54" s="1"/>
      <c r="D54" s="1"/>
      <c r="E54" s="1"/>
      <c r="F54" s="1"/>
      <c r="G54" s="1"/>
      <c r="H54" s="1"/>
      <c r="I54" s="1"/>
      <c r="J54" s="1"/>
    </row>
    <row r="55" spans="3:10" x14ac:dyDescent="0.2">
      <c r="C55" s="1"/>
      <c r="D55" s="1"/>
      <c r="E55" s="1"/>
      <c r="F55" s="1"/>
      <c r="G55" s="1"/>
      <c r="H55" s="1"/>
      <c r="I55" s="1"/>
      <c r="J55" s="1"/>
    </row>
    <row r="56" spans="3:10" x14ac:dyDescent="0.2">
      <c r="C56" s="1"/>
      <c r="D56" s="1"/>
      <c r="E56" s="1"/>
      <c r="F56" s="1"/>
      <c r="G56" s="1"/>
      <c r="H56" s="1"/>
      <c r="I56" s="1"/>
      <c r="J56" s="1"/>
    </row>
    <row r="57" spans="3:10" x14ac:dyDescent="0.2">
      <c r="C57" s="1"/>
      <c r="D57" s="1"/>
      <c r="E57" s="1"/>
      <c r="F57" s="1"/>
      <c r="G57" s="1"/>
      <c r="H57" s="1"/>
      <c r="I57" s="1"/>
      <c r="J57" s="1"/>
    </row>
    <row r="58" spans="3:10" x14ac:dyDescent="0.2">
      <c r="C58" s="1"/>
      <c r="D58" s="1"/>
      <c r="E58" s="1"/>
      <c r="F58" s="1"/>
      <c r="G58" s="1"/>
      <c r="H58" s="1"/>
      <c r="I58" s="1"/>
      <c r="J58" s="1"/>
    </row>
    <row r="59" spans="3:10" x14ac:dyDescent="0.2">
      <c r="C59" s="1"/>
      <c r="D59" s="1"/>
      <c r="E59" s="1"/>
      <c r="F59" s="1"/>
      <c r="G59" s="1"/>
      <c r="H59" s="1"/>
      <c r="I59" s="1"/>
      <c r="J59" s="1"/>
    </row>
    <row r="60" spans="3:10" x14ac:dyDescent="0.2">
      <c r="C60" s="1"/>
      <c r="D60" s="1"/>
      <c r="E60" s="1"/>
      <c r="F60" s="1"/>
      <c r="G60" s="1"/>
      <c r="H60" s="1"/>
      <c r="I60" s="1"/>
      <c r="J60" s="1"/>
    </row>
  </sheetData>
  <conditionalFormatting sqref="E6:E1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{94EBA7FF-1EC6-0B45-ABC0-FC240F9E2394}</x14:id>
        </ext>
      </extLst>
    </cfRule>
  </conditionalFormatting>
  <conditionalFormatting sqref="F6:F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{5D87A55B-54D4-E84F-A85C-B4BDBFF78F76}</x14:id>
        </ext>
      </extLst>
    </cfRule>
  </conditionalFormatting>
  <conditionalFormatting sqref="G6:G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{9A20DB97-3E75-0A42-9C35-3BC4EBDC6D18}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EBA7FF-1EC6-0B45-ABC0-FC240F9E23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E6:E17</xm:sqref>
        </x14:conditionalFormatting>
        <x14:conditionalFormatting xmlns:xm="http://schemas.microsoft.com/office/excel/2006/main">
          <x14:cfRule type="dataBar" id="{5D87A55B-54D4-E84F-A85C-B4BDBFF78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F6:F17</xm:sqref>
        </x14:conditionalFormatting>
        <x14:conditionalFormatting xmlns:xm="http://schemas.microsoft.com/office/excel/2006/main">
          <x14:cfRule type="dataBar" id="{9A20DB97-3E75-0A42-9C35-3BC4EBDC6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152C-FDFF-C049-9FA3-CE38325BB27C}">
  <dimension ref="A1:A6"/>
  <sheetViews>
    <sheetView showGridLines="0" zoomScale="220" zoomScaleNormal="220" workbookViewId="0">
      <selection activeCell="A6" sqref="A6"/>
    </sheetView>
  </sheetViews>
  <sheetFormatPr baseColWidth="10" defaultRowHeight="16" x14ac:dyDescent="0.2"/>
  <cols>
    <col min="1" max="1" width="14" customWidth="1"/>
  </cols>
  <sheetData>
    <row r="1" spans="1:1" x14ac:dyDescent="0.2">
      <c r="A1" t="s">
        <v>55</v>
      </c>
    </row>
    <row r="2" spans="1:1" x14ac:dyDescent="0.2">
      <c r="A2" t="s">
        <v>56</v>
      </c>
    </row>
    <row r="3" spans="1:1" x14ac:dyDescent="0.2">
      <c r="A3" t="s">
        <v>57</v>
      </c>
    </row>
    <row r="4" spans="1:1" x14ac:dyDescent="0.2">
      <c r="A4" t="s">
        <v>58</v>
      </c>
    </row>
    <row r="5" spans="1:1" x14ac:dyDescent="0.2">
      <c r="A5" t="s">
        <v>60</v>
      </c>
    </row>
    <row r="6" spans="1:1" x14ac:dyDescent="0.2">
      <c r="A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10</vt:i4>
      </vt:variant>
    </vt:vector>
  </HeadingPairs>
  <TitlesOfParts>
    <vt:vector size="13" baseType="lpstr">
      <vt:lpstr>BASE SAC @amigodopairico</vt:lpstr>
      <vt:lpstr>Painel de Acompanhamento SAC</vt:lpstr>
      <vt:lpstr>Configurações</vt:lpstr>
      <vt:lpstr>JUROS</vt:lpstr>
      <vt:lpstr>SAC_Adiantamento</vt:lpstr>
      <vt:lpstr>SAC_Amortizacao</vt:lpstr>
      <vt:lpstr>SAC_AtualizacaoMonetaria</vt:lpstr>
      <vt:lpstr>SAC_Juros</vt:lpstr>
      <vt:lpstr>SAC_Parcela</vt:lpstr>
      <vt:lpstr>SAC_PrevisaoAtualizacaoMonetaria</vt:lpstr>
      <vt:lpstr>SAC_QuedaSaldoDevedor</vt:lpstr>
      <vt:lpstr>SAC_Trienio</vt:lpstr>
      <vt:lpstr>SALDO_DEVEDOR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Gonçalves</dc:creator>
  <cp:lastModifiedBy>Ale Gon</cp:lastModifiedBy>
  <dcterms:created xsi:type="dcterms:W3CDTF">2022-03-19T01:24:11Z</dcterms:created>
  <dcterms:modified xsi:type="dcterms:W3CDTF">2026-03-10T20:21:42Z</dcterms:modified>
</cp:coreProperties>
</file>
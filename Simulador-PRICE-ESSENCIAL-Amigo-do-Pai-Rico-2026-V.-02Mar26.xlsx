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/Users/alessandrogon/Downloads/"/>
    </mc:Choice>
  </mc:AlternateContent>
  <xr:revisionPtr revIDLastSave="0" documentId="8_{27B7A07C-4A5A-4E4B-86E3-FDC9AB9701A0}" xr6:coauthVersionLast="47" xr6:coauthVersionMax="47" xr10:uidLastSave="{00000000-0000-0000-0000-000000000000}"/>
  <bookViews>
    <workbookView xWindow="7240" yWindow="16580" windowWidth="29200" windowHeight="18460" xr2:uid="{C9738A85-120F-1C40-A9AB-6FDF8D5FA85A}"/>
  </bookViews>
  <sheets>
    <sheet name="BASE PRICE @amigodopairico" sheetId="1" r:id="rId1"/>
    <sheet name="Painel de Acompanhamento PRICE" sheetId="5" r:id="rId2"/>
    <sheet name="Configurações" sheetId="10" state="hidden" r:id="rId3"/>
  </sheets>
  <definedNames>
    <definedName name="_xlnm._FilterDatabase" localSheetId="2" hidden="1">Configurações!$A$1:$A$6</definedName>
    <definedName name="JUROS">'BASE PRICE @amigodopairico'!#REF!</definedName>
    <definedName name="Price">'BASE PRICE @amigodopairico'!#REF!</definedName>
    <definedName name="Price_Adiantamento">'BASE PRICE @amigodopairico'!$O$15:$O$434</definedName>
    <definedName name="Price_Amortizacao">'BASE PRICE @amigodopairico'!$G$15:$G$434</definedName>
    <definedName name="Price_AtualizacaoMonetaria">'BASE PRICE @amigodopairico'!$R$15:$R$434</definedName>
    <definedName name="Price_Invest">'BASE PRICE @amigodopairico'!#REF!</definedName>
    <definedName name="Price_Juros">'BASE PRICE @amigodopairico'!$F$15:$F$434</definedName>
    <definedName name="Price_Parcela">'BASE PRICE @amigodopairico'!$L$15:$L$434</definedName>
    <definedName name="Price_PrevisaoAtualizacaoMonetaria">'BASE PRICE @amigodopairico'!$R$15:$R$434</definedName>
    <definedName name="Price_QuedaSaldoDevedor">'BASE PRICE @amigodopairico'!$J$15:$J$434</definedName>
    <definedName name="Price_Trienio">'BASE PRICE @amigodopairico'!$A$15:$R$434</definedName>
    <definedName name="Price_Trienio2">'BASE PRICE @amigodopairico'!$A$13:$R$434</definedName>
    <definedName name="Price_ValeCada100">'BASE PRICE @amigodopairico'!#REF!</definedName>
    <definedName name="SAC">'BASE PRICE @amigodopairico'!#REF!</definedName>
    <definedName name="SAC_Adiantamento">'BASE PRICE @amigodopairico'!#REF!</definedName>
    <definedName name="SAC_Amortizacao">'BASE PRICE @amigodopairico'!#REF!</definedName>
    <definedName name="SAC_AtualizacaoMonetaria">'BASE PRICE @amigodopairico'!#REF!</definedName>
    <definedName name="SAC_Investimento">'BASE PRICE @amigodopairico'!#REF!</definedName>
    <definedName name="SAC_Juros">'BASE PRICE @amigodopairico'!#REF!</definedName>
    <definedName name="SAC_Parcela">'BASE PRICE @amigodopairico'!#REF!</definedName>
    <definedName name="SAC_PrevisaoAtualizacaoMonetaria">'BASE PRICE @amigodopairico'!#REF!</definedName>
    <definedName name="SAC_QuedaSaldoDevedor">'BASE PRICE @amigodopairico'!#REF!</definedName>
    <definedName name="SAC_SaidobolsocomPPP">'BASE PRICE @amigodopairico'!#REF!</definedName>
    <definedName name="SAC_Trienio">'BASE PRICE @amigodopairico'!#REF!</definedName>
    <definedName name="SALDO_DEVEDOR">'BASE PRICE @amigodopairico'!#REF!</definedName>
    <definedName name="solver_adj" localSheetId="0" hidden="1">'BASE PRICE @amigodopairico'!$L$15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'BASE PRICE @amigodopairico'!$O$7</definedName>
    <definedName name="solver_pre" localSheetId="0" hidden="1">0.000001</definedName>
    <definedName name="solver_rbv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360</definedName>
    <definedName name="solver_ver" localSheetId="0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5" i="1" l="1"/>
  <c r="V14" i="1"/>
  <c r="AS7" i="1"/>
  <c r="AM9" i="1"/>
  <c r="AM8" i="1"/>
  <c r="AX15" i="1" s="1"/>
  <c r="AM7" i="1"/>
  <c r="AN16" i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32" i="1" s="1"/>
  <c r="AN133" i="1" s="1"/>
  <c r="AN134" i="1" s="1"/>
  <c r="AN135" i="1" s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N164" i="1" s="1"/>
  <c r="AN165" i="1" s="1"/>
  <c r="AN166" i="1" s="1"/>
  <c r="AN167" i="1" s="1"/>
  <c r="AN168" i="1" s="1"/>
  <c r="AN169" i="1" s="1"/>
  <c r="AN170" i="1" s="1"/>
  <c r="AN171" i="1" s="1"/>
  <c r="AN172" i="1" s="1"/>
  <c r="AN173" i="1" s="1"/>
  <c r="AN174" i="1" s="1"/>
  <c r="AN175" i="1" s="1"/>
  <c r="AN176" i="1" s="1"/>
  <c r="AN177" i="1" s="1"/>
  <c r="AN178" i="1" s="1"/>
  <c r="AN179" i="1" s="1"/>
  <c r="AN180" i="1" s="1"/>
  <c r="AN181" i="1" s="1"/>
  <c r="AN182" i="1" s="1"/>
  <c r="AN183" i="1" s="1"/>
  <c r="AN184" i="1" s="1"/>
  <c r="AN185" i="1" s="1"/>
  <c r="AN186" i="1" s="1"/>
  <c r="AN187" i="1" s="1"/>
  <c r="AN188" i="1" s="1"/>
  <c r="AN189" i="1" s="1"/>
  <c r="AN190" i="1" s="1"/>
  <c r="AN191" i="1" s="1"/>
  <c r="AN192" i="1" s="1"/>
  <c r="AN193" i="1" s="1"/>
  <c r="AN194" i="1" s="1"/>
  <c r="AN195" i="1" s="1"/>
  <c r="AN196" i="1" s="1"/>
  <c r="AN197" i="1" s="1"/>
  <c r="AN198" i="1" s="1"/>
  <c r="AN199" i="1" s="1"/>
  <c r="AN200" i="1" s="1"/>
  <c r="AN201" i="1" s="1"/>
  <c r="AN202" i="1" s="1"/>
  <c r="AN203" i="1" s="1"/>
  <c r="AN204" i="1" s="1"/>
  <c r="AN205" i="1" s="1"/>
  <c r="AN206" i="1" s="1"/>
  <c r="AN207" i="1" s="1"/>
  <c r="AN208" i="1" s="1"/>
  <c r="AN209" i="1" s="1"/>
  <c r="AN210" i="1" s="1"/>
  <c r="AN211" i="1" s="1"/>
  <c r="AN212" i="1" s="1"/>
  <c r="AN213" i="1" s="1"/>
  <c r="AN214" i="1" s="1"/>
  <c r="AN215" i="1" s="1"/>
  <c r="AN216" i="1" s="1"/>
  <c r="AN217" i="1" s="1"/>
  <c r="AN218" i="1" s="1"/>
  <c r="AN219" i="1" s="1"/>
  <c r="AN220" i="1" s="1"/>
  <c r="AN221" i="1" s="1"/>
  <c r="AN222" i="1" s="1"/>
  <c r="AN223" i="1" s="1"/>
  <c r="AN224" i="1" s="1"/>
  <c r="AN225" i="1" s="1"/>
  <c r="AN226" i="1" s="1"/>
  <c r="AN227" i="1" s="1"/>
  <c r="AN228" i="1" s="1"/>
  <c r="AN229" i="1" s="1"/>
  <c r="AN230" i="1" s="1"/>
  <c r="AN231" i="1" s="1"/>
  <c r="AN232" i="1" s="1"/>
  <c r="AN233" i="1" s="1"/>
  <c r="AN234" i="1" s="1"/>
  <c r="AN235" i="1" s="1"/>
  <c r="AN236" i="1" s="1"/>
  <c r="AN237" i="1" s="1"/>
  <c r="AN238" i="1" s="1"/>
  <c r="AN239" i="1" s="1"/>
  <c r="AN240" i="1" s="1"/>
  <c r="AN241" i="1" s="1"/>
  <c r="AN242" i="1" s="1"/>
  <c r="AN243" i="1" s="1"/>
  <c r="AN244" i="1" s="1"/>
  <c r="AN245" i="1" s="1"/>
  <c r="AN246" i="1" s="1"/>
  <c r="AN247" i="1" s="1"/>
  <c r="AN248" i="1" s="1"/>
  <c r="AN249" i="1" s="1"/>
  <c r="AN250" i="1" s="1"/>
  <c r="AN251" i="1" s="1"/>
  <c r="AN252" i="1" s="1"/>
  <c r="AN253" i="1" s="1"/>
  <c r="AN254" i="1" s="1"/>
  <c r="AN255" i="1" s="1"/>
  <c r="AN256" i="1" s="1"/>
  <c r="AN257" i="1" s="1"/>
  <c r="AN258" i="1" s="1"/>
  <c r="AN259" i="1" s="1"/>
  <c r="AN260" i="1" s="1"/>
  <c r="AN261" i="1" s="1"/>
  <c r="AN262" i="1" s="1"/>
  <c r="AN263" i="1" s="1"/>
  <c r="AN264" i="1" s="1"/>
  <c r="AN265" i="1" s="1"/>
  <c r="AN266" i="1" s="1"/>
  <c r="AN267" i="1" s="1"/>
  <c r="AN268" i="1" s="1"/>
  <c r="AN269" i="1" s="1"/>
  <c r="AN270" i="1" s="1"/>
  <c r="AN271" i="1" s="1"/>
  <c r="AN272" i="1" s="1"/>
  <c r="AN273" i="1" s="1"/>
  <c r="AN274" i="1" s="1"/>
  <c r="AN275" i="1" s="1"/>
  <c r="AN276" i="1" s="1"/>
  <c r="AN277" i="1" s="1"/>
  <c r="AN278" i="1" s="1"/>
  <c r="AN279" i="1" s="1"/>
  <c r="AN280" i="1" s="1"/>
  <c r="AN281" i="1" s="1"/>
  <c r="AN282" i="1" s="1"/>
  <c r="AN283" i="1" s="1"/>
  <c r="AN284" i="1" s="1"/>
  <c r="AN285" i="1" s="1"/>
  <c r="AN286" i="1" s="1"/>
  <c r="AN287" i="1" s="1"/>
  <c r="AN288" i="1" s="1"/>
  <c r="AN289" i="1" s="1"/>
  <c r="AN290" i="1" s="1"/>
  <c r="AN291" i="1" s="1"/>
  <c r="AN292" i="1" s="1"/>
  <c r="AN293" i="1" s="1"/>
  <c r="AN294" i="1" s="1"/>
  <c r="AN295" i="1" s="1"/>
  <c r="AN296" i="1" s="1"/>
  <c r="AN297" i="1" s="1"/>
  <c r="AN298" i="1" s="1"/>
  <c r="AN299" i="1" s="1"/>
  <c r="AN300" i="1" s="1"/>
  <c r="AN301" i="1" s="1"/>
  <c r="AN302" i="1" s="1"/>
  <c r="AN303" i="1" s="1"/>
  <c r="AN304" i="1" s="1"/>
  <c r="AN305" i="1" s="1"/>
  <c r="AN306" i="1" s="1"/>
  <c r="AN307" i="1" s="1"/>
  <c r="AN308" i="1" s="1"/>
  <c r="AN309" i="1" s="1"/>
  <c r="AN310" i="1" s="1"/>
  <c r="AN311" i="1" s="1"/>
  <c r="AN312" i="1" s="1"/>
  <c r="AN313" i="1" s="1"/>
  <c r="AN314" i="1" s="1"/>
  <c r="AN315" i="1" s="1"/>
  <c r="AN316" i="1" s="1"/>
  <c r="AN317" i="1" s="1"/>
  <c r="AN318" i="1" s="1"/>
  <c r="AN319" i="1" s="1"/>
  <c r="AN320" i="1" s="1"/>
  <c r="AN321" i="1" s="1"/>
  <c r="AN322" i="1" s="1"/>
  <c r="AN323" i="1" s="1"/>
  <c r="AN324" i="1" s="1"/>
  <c r="AN325" i="1" s="1"/>
  <c r="AN326" i="1" s="1"/>
  <c r="AN327" i="1" s="1"/>
  <c r="AN328" i="1" s="1"/>
  <c r="AN329" i="1" s="1"/>
  <c r="AN330" i="1" s="1"/>
  <c r="AN331" i="1" s="1"/>
  <c r="AN332" i="1" s="1"/>
  <c r="AN333" i="1" s="1"/>
  <c r="AN334" i="1" s="1"/>
  <c r="AN335" i="1" s="1"/>
  <c r="AN336" i="1" s="1"/>
  <c r="AN337" i="1" s="1"/>
  <c r="AN338" i="1" s="1"/>
  <c r="AN339" i="1" s="1"/>
  <c r="AN340" i="1" s="1"/>
  <c r="AN341" i="1" s="1"/>
  <c r="AN342" i="1" s="1"/>
  <c r="AN343" i="1" s="1"/>
  <c r="AN344" i="1" s="1"/>
  <c r="AN345" i="1" s="1"/>
  <c r="AN346" i="1" s="1"/>
  <c r="AN347" i="1" s="1"/>
  <c r="AN348" i="1" s="1"/>
  <c r="AN349" i="1" s="1"/>
  <c r="AN350" i="1" s="1"/>
  <c r="AN351" i="1" s="1"/>
  <c r="AN352" i="1" s="1"/>
  <c r="AN353" i="1" s="1"/>
  <c r="AN354" i="1" s="1"/>
  <c r="AN355" i="1" s="1"/>
  <c r="AN356" i="1" s="1"/>
  <c r="AN357" i="1" s="1"/>
  <c r="AN358" i="1" s="1"/>
  <c r="AN359" i="1" s="1"/>
  <c r="AN360" i="1" s="1"/>
  <c r="AN361" i="1" s="1"/>
  <c r="AN362" i="1" s="1"/>
  <c r="AN363" i="1" s="1"/>
  <c r="AN364" i="1" s="1"/>
  <c r="AN365" i="1" s="1"/>
  <c r="AN366" i="1" s="1"/>
  <c r="AN367" i="1" s="1"/>
  <c r="AN368" i="1" s="1"/>
  <c r="AN369" i="1" s="1"/>
  <c r="AN370" i="1" s="1"/>
  <c r="AN371" i="1" s="1"/>
  <c r="AN372" i="1" s="1"/>
  <c r="AN373" i="1" s="1"/>
  <c r="AN374" i="1" s="1"/>
  <c r="AN375" i="1" s="1"/>
  <c r="AN376" i="1" s="1"/>
  <c r="AN377" i="1" s="1"/>
  <c r="AN378" i="1" s="1"/>
  <c r="AN379" i="1" s="1"/>
  <c r="AN380" i="1" s="1"/>
  <c r="AN381" i="1" s="1"/>
  <c r="AN382" i="1" s="1"/>
  <c r="AN383" i="1" s="1"/>
  <c r="AN384" i="1" s="1"/>
  <c r="AN385" i="1" s="1"/>
  <c r="AN386" i="1" s="1"/>
  <c r="AN387" i="1" s="1"/>
  <c r="AN388" i="1" s="1"/>
  <c r="AN389" i="1" s="1"/>
  <c r="AN390" i="1" s="1"/>
  <c r="AN391" i="1" s="1"/>
  <c r="AN392" i="1" s="1"/>
  <c r="AN393" i="1" s="1"/>
  <c r="AN394" i="1" s="1"/>
  <c r="AN395" i="1" s="1"/>
  <c r="AN396" i="1" s="1"/>
  <c r="AN397" i="1" s="1"/>
  <c r="AN398" i="1" s="1"/>
  <c r="AN399" i="1" s="1"/>
  <c r="AN400" i="1" s="1"/>
  <c r="AN401" i="1" s="1"/>
  <c r="AN402" i="1" s="1"/>
  <c r="AN403" i="1" s="1"/>
  <c r="AN404" i="1" s="1"/>
  <c r="AN405" i="1" s="1"/>
  <c r="AN406" i="1" s="1"/>
  <c r="AN407" i="1" s="1"/>
  <c r="AN408" i="1" s="1"/>
  <c r="AN409" i="1" s="1"/>
  <c r="AN410" i="1" s="1"/>
  <c r="AN411" i="1" s="1"/>
  <c r="AN412" i="1" s="1"/>
  <c r="AN413" i="1" s="1"/>
  <c r="AN414" i="1" s="1"/>
  <c r="AN415" i="1" s="1"/>
  <c r="AN416" i="1" s="1"/>
  <c r="AN417" i="1" s="1"/>
  <c r="AN418" i="1" s="1"/>
  <c r="AN419" i="1" s="1"/>
  <c r="AN420" i="1" s="1"/>
  <c r="AN421" i="1" s="1"/>
  <c r="AN422" i="1" s="1"/>
  <c r="AN423" i="1" s="1"/>
  <c r="AN424" i="1" s="1"/>
  <c r="AN425" i="1" s="1"/>
  <c r="AN426" i="1" s="1"/>
  <c r="AN427" i="1" s="1"/>
  <c r="AN428" i="1" s="1"/>
  <c r="AN429" i="1" s="1"/>
  <c r="AN430" i="1" s="1"/>
  <c r="AN431" i="1" s="1"/>
  <c r="AN432" i="1" s="1"/>
  <c r="AN433" i="1" s="1"/>
  <c r="AN434" i="1" s="1"/>
  <c r="AL16" i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L371" i="1" s="1"/>
  <c r="AL372" i="1" s="1"/>
  <c r="AL373" i="1" s="1"/>
  <c r="AL374" i="1" s="1"/>
  <c r="AL375" i="1" s="1"/>
  <c r="AL376" i="1" s="1"/>
  <c r="AL377" i="1" s="1"/>
  <c r="AL378" i="1" s="1"/>
  <c r="AL379" i="1" s="1"/>
  <c r="AL380" i="1" s="1"/>
  <c r="AL381" i="1" s="1"/>
  <c r="AL382" i="1" s="1"/>
  <c r="AL383" i="1" s="1"/>
  <c r="AL384" i="1" s="1"/>
  <c r="AL385" i="1" s="1"/>
  <c r="AL386" i="1" s="1"/>
  <c r="AL387" i="1" s="1"/>
  <c r="AL388" i="1" s="1"/>
  <c r="AL389" i="1" s="1"/>
  <c r="AL390" i="1" s="1"/>
  <c r="AL391" i="1" s="1"/>
  <c r="AL392" i="1" s="1"/>
  <c r="AL393" i="1" s="1"/>
  <c r="AL394" i="1" s="1"/>
  <c r="AL395" i="1" s="1"/>
  <c r="AL396" i="1" s="1"/>
  <c r="AL397" i="1" s="1"/>
  <c r="AL398" i="1" s="1"/>
  <c r="AL399" i="1" s="1"/>
  <c r="AL400" i="1" s="1"/>
  <c r="AL401" i="1" s="1"/>
  <c r="AL402" i="1" s="1"/>
  <c r="AL403" i="1" s="1"/>
  <c r="AL404" i="1" s="1"/>
  <c r="AL405" i="1" s="1"/>
  <c r="AL406" i="1" s="1"/>
  <c r="AL407" i="1" s="1"/>
  <c r="AL408" i="1" s="1"/>
  <c r="AL409" i="1" s="1"/>
  <c r="AL410" i="1" s="1"/>
  <c r="AL411" i="1" s="1"/>
  <c r="AL412" i="1" s="1"/>
  <c r="AL413" i="1" s="1"/>
  <c r="AL414" i="1" s="1"/>
  <c r="AL415" i="1" s="1"/>
  <c r="AL416" i="1" s="1"/>
  <c r="AL417" i="1" s="1"/>
  <c r="AL418" i="1" s="1"/>
  <c r="AL419" i="1" s="1"/>
  <c r="AL420" i="1" s="1"/>
  <c r="AL421" i="1" s="1"/>
  <c r="AL422" i="1" s="1"/>
  <c r="AL423" i="1" s="1"/>
  <c r="AL424" i="1" s="1"/>
  <c r="AL425" i="1" s="1"/>
  <c r="AL426" i="1" s="1"/>
  <c r="AL427" i="1" s="1"/>
  <c r="AL428" i="1" s="1"/>
  <c r="AL429" i="1" s="1"/>
  <c r="AL430" i="1" s="1"/>
  <c r="AL431" i="1" s="1"/>
  <c r="AL432" i="1" s="1"/>
  <c r="AL433" i="1" s="1"/>
  <c r="AU5" i="1"/>
  <c r="E7" i="1"/>
  <c r="AN7" i="1" s="1"/>
  <c r="C16" i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R15" i="1"/>
  <c r="H3" i="5"/>
  <c r="B7" i="5"/>
  <c r="B8" i="5" s="1"/>
  <c r="B9" i="5" s="1"/>
  <c r="B10" i="5" s="1"/>
  <c r="B11" i="5" s="1"/>
  <c r="B12" i="5" s="1"/>
  <c r="B13" i="5" s="1"/>
  <c r="B14" i="5" s="1"/>
  <c r="B15" i="5" s="1"/>
  <c r="AA15" i="1"/>
  <c r="AB15" i="1"/>
  <c r="E16" i="1"/>
  <c r="AC15" i="1"/>
  <c r="H2" i="5"/>
  <c r="AS15" i="1" l="1"/>
  <c r="F15" i="1"/>
  <c r="AO15" i="1"/>
  <c r="E17" i="1"/>
  <c r="L15" i="1"/>
  <c r="AC16" i="1"/>
  <c r="AA16" i="1"/>
  <c r="AB16" i="1"/>
  <c r="AV15" i="1" l="1"/>
  <c r="AP15" i="1"/>
  <c r="E18" i="1"/>
  <c r="AA17" i="1"/>
  <c r="AB17" i="1"/>
  <c r="AC17" i="1"/>
  <c r="P15" i="1"/>
  <c r="G15" i="1"/>
  <c r="Z7" i="1"/>
  <c r="J2" i="5"/>
  <c r="AM15" i="1" l="1"/>
  <c r="AT15" i="1"/>
  <c r="AQ15" i="1"/>
  <c r="AR15" i="1"/>
  <c r="J15" i="1"/>
  <c r="K15" i="1" s="1"/>
  <c r="AA18" i="1"/>
  <c r="AC18" i="1"/>
  <c r="E19" i="1"/>
  <c r="AB18" i="1"/>
  <c r="M15" i="1"/>
  <c r="H15" i="1"/>
  <c r="D15" i="1"/>
  <c r="AO16" i="1" l="1"/>
  <c r="AX16" i="1"/>
  <c r="AJ16" i="1"/>
  <c r="AK16" i="1"/>
  <c r="AC19" i="1"/>
  <c r="AA19" i="1"/>
  <c r="AB19" i="1"/>
  <c r="E20" i="1"/>
  <c r="AS16" i="1" l="1"/>
  <c r="AA20" i="1"/>
  <c r="E21" i="1"/>
  <c r="AC20" i="1"/>
  <c r="AB20" i="1"/>
  <c r="AV16" i="1" l="1"/>
  <c r="AP16" i="1"/>
  <c r="AM16" i="1"/>
  <c r="AB21" i="1"/>
  <c r="E22" i="1"/>
  <c r="AA21" i="1"/>
  <c r="AC21" i="1"/>
  <c r="AQ16" i="1" l="1"/>
  <c r="AT16" i="1"/>
  <c r="AX17" i="1" s="1"/>
  <c r="AR16" i="1"/>
  <c r="AA22" i="1"/>
  <c r="AB22" i="1"/>
  <c r="AC22" i="1"/>
  <c r="E23" i="1"/>
  <c r="AJ17" i="1" l="1"/>
  <c r="AO17" i="1"/>
  <c r="AK17" i="1"/>
  <c r="E24" i="1"/>
  <c r="AC23" i="1"/>
  <c r="AA23" i="1"/>
  <c r="AB23" i="1"/>
  <c r="AS17" i="1" l="1"/>
  <c r="AC24" i="1"/>
  <c r="AB24" i="1"/>
  <c r="AA24" i="1"/>
  <c r="E25" i="1"/>
  <c r="AV17" i="1" l="1"/>
  <c r="AP17" i="1"/>
  <c r="AQ17" i="1" s="1"/>
  <c r="AM17" i="1"/>
  <c r="AR17" i="1"/>
  <c r="AT17" i="1"/>
  <c r="E26" i="1"/>
  <c r="AA25" i="1"/>
  <c r="AB25" i="1"/>
  <c r="AC25" i="1"/>
  <c r="AO18" i="1" l="1"/>
  <c r="AX18" i="1"/>
  <c r="AJ18" i="1"/>
  <c r="AK18" i="1"/>
  <c r="AC26" i="1"/>
  <c r="E27" i="1"/>
  <c r="AB26" i="1"/>
  <c r="AA26" i="1"/>
  <c r="AS18" i="1" l="1"/>
  <c r="E28" i="1"/>
  <c r="AA27" i="1"/>
  <c r="AC27" i="1"/>
  <c r="AB27" i="1"/>
  <c r="AP18" i="1" l="1"/>
  <c r="AV18" i="1"/>
  <c r="AC28" i="1"/>
  <c r="AB28" i="1"/>
  <c r="AA28" i="1"/>
  <c r="E29" i="1"/>
  <c r="AQ18" i="1" l="1"/>
  <c r="AM18" i="1"/>
  <c r="AT18" i="1"/>
  <c r="AR18" i="1"/>
  <c r="E30" i="1"/>
  <c r="AA29" i="1"/>
  <c r="AB29" i="1"/>
  <c r="AC29" i="1"/>
  <c r="AK19" i="1" l="1"/>
  <c r="AJ19" i="1"/>
  <c r="AS19" i="1" s="1"/>
  <c r="AX19" i="1"/>
  <c r="AO19" i="1"/>
  <c r="E31" i="1"/>
  <c r="AB30" i="1"/>
  <c r="AC30" i="1"/>
  <c r="AA30" i="1"/>
  <c r="AV19" i="1" l="1"/>
  <c r="AP19" i="1"/>
  <c r="AT19" i="1"/>
  <c r="AR19" i="1"/>
  <c r="E32" i="1"/>
  <c r="AA31" i="1"/>
  <c r="AB31" i="1"/>
  <c r="AC31" i="1"/>
  <c r="AQ19" i="1" l="1"/>
  <c r="AM19" i="1"/>
  <c r="AO20" i="1"/>
  <c r="AJ20" i="1"/>
  <c r="AX20" i="1"/>
  <c r="AK20" i="1"/>
  <c r="AB32" i="1"/>
  <c r="AC32" i="1"/>
  <c r="E33" i="1"/>
  <c r="AA32" i="1"/>
  <c r="AS20" i="1" l="1"/>
  <c r="AC33" i="1"/>
  <c r="E34" i="1"/>
  <c r="AB33" i="1"/>
  <c r="AA33" i="1"/>
  <c r="AP20" i="1" l="1"/>
  <c r="AQ20" i="1" s="1"/>
  <c r="AV20" i="1"/>
  <c r="E35" i="1"/>
  <c r="AA34" i="1"/>
  <c r="AB34" i="1"/>
  <c r="AC34" i="1"/>
  <c r="AT20" i="1" l="1"/>
  <c r="AM20" i="1"/>
  <c r="AR20" i="1"/>
  <c r="E36" i="1"/>
  <c r="AB35" i="1"/>
  <c r="AA35" i="1"/>
  <c r="AC35" i="1"/>
  <c r="AK21" i="1" l="1"/>
  <c r="AX21" i="1"/>
  <c r="AJ21" i="1"/>
  <c r="AO21" i="1"/>
  <c r="AC36" i="1"/>
  <c r="AB36" i="1"/>
  <c r="AA36" i="1"/>
  <c r="E37" i="1"/>
  <c r="AS21" i="1" l="1"/>
  <c r="AA37" i="1"/>
  <c r="AC37" i="1"/>
  <c r="E38" i="1"/>
  <c r="AB37" i="1"/>
  <c r="AV21" i="1" l="1"/>
  <c r="AP21" i="1"/>
  <c r="AA38" i="1"/>
  <c r="E39" i="1"/>
  <c r="AC38" i="1"/>
  <c r="AB38" i="1"/>
  <c r="AQ21" i="1" l="1"/>
  <c r="AR21" i="1"/>
  <c r="AT21" i="1"/>
  <c r="AM21" i="1"/>
  <c r="AX22" i="1"/>
  <c r="AB39" i="1"/>
  <c r="AC39" i="1"/>
  <c r="E40" i="1"/>
  <c r="AA39" i="1"/>
  <c r="AO22" i="1" l="1"/>
  <c r="AK22" i="1"/>
  <c r="AJ22" i="1"/>
  <c r="AS22" i="1"/>
  <c r="E41" i="1"/>
  <c r="AC40" i="1"/>
  <c r="AA40" i="1"/>
  <c r="AB40" i="1"/>
  <c r="AV22" i="1" l="1"/>
  <c r="AP22" i="1"/>
  <c r="AB41" i="1"/>
  <c r="E42" i="1"/>
  <c r="AC41" i="1"/>
  <c r="AA41" i="1"/>
  <c r="AR22" i="1" l="1"/>
  <c r="AM22" i="1"/>
  <c r="AT22" i="1"/>
  <c r="AQ22" i="1"/>
  <c r="AC42" i="1"/>
  <c r="AA42" i="1"/>
  <c r="AB42" i="1"/>
  <c r="E43" i="1"/>
  <c r="AJ23" i="1" l="1"/>
  <c r="AX23" i="1"/>
  <c r="AK23" i="1"/>
  <c r="AO23" i="1"/>
  <c r="E44" i="1"/>
  <c r="AC43" i="1"/>
  <c r="AA43" i="1"/>
  <c r="AB43" i="1"/>
  <c r="AS23" i="1" l="1"/>
  <c r="AC44" i="1"/>
  <c r="AA44" i="1"/>
  <c r="E45" i="1"/>
  <c r="AB44" i="1"/>
  <c r="AP23" i="1" l="1"/>
  <c r="AV23" i="1"/>
  <c r="AB45" i="1"/>
  <c r="E46" i="1"/>
  <c r="AA45" i="1"/>
  <c r="AC45" i="1"/>
  <c r="AQ23" i="1" l="1"/>
  <c r="AT23" i="1"/>
  <c r="AM23" i="1"/>
  <c r="AR23" i="1"/>
  <c r="AA46" i="1"/>
  <c r="AB46" i="1"/>
  <c r="AC46" i="1"/>
  <c r="E47" i="1"/>
  <c r="AO24" i="1" l="1"/>
  <c r="AJ24" i="1"/>
  <c r="AX24" i="1"/>
  <c r="AK24" i="1"/>
  <c r="AC47" i="1"/>
  <c r="AA47" i="1"/>
  <c r="E48" i="1"/>
  <c r="AB47" i="1"/>
  <c r="AS24" i="1" l="1"/>
  <c r="AB48" i="1"/>
  <c r="AA48" i="1"/>
  <c r="AC48" i="1"/>
  <c r="E49" i="1"/>
  <c r="AV24" i="1" l="1"/>
  <c r="AP24" i="1"/>
  <c r="AA49" i="1"/>
  <c r="AC49" i="1"/>
  <c r="E50" i="1"/>
  <c r="AB49" i="1"/>
  <c r="AR24" i="1" l="1"/>
  <c r="AM24" i="1"/>
  <c r="AQ24" i="1"/>
  <c r="AT24" i="1"/>
  <c r="AC50" i="1"/>
  <c r="AA50" i="1"/>
  <c r="E51" i="1"/>
  <c r="AB50" i="1"/>
  <c r="AK25" i="1" l="1"/>
  <c r="AJ25" i="1"/>
  <c r="AS25" i="1" s="1"/>
  <c r="AX25" i="1"/>
  <c r="AO25" i="1"/>
  <c r="E52" i="1"/>
  <c r="AC51" i="1"/>
  <c r="AB51" i="1"/>
  <c r="AA51" i="1"/>
  <c r="AV25" i="1" l="1"/>
  <c r="AP25" i="1"/>
  <c r="AA52" i="1"/>
  <c r="E53" i="1"/>
  <c r="AB52" i="1"/>
  <c r="AC52" i="1"/>
  <c r="AQ25" i="1" l="1"/>
  <c r="AM25" i="1"/>
  <c r="AT25" i="1"/>
  <c r="AR25" i="1"/>
  <c r="AB53" i="1"/>
  <c r="AA53" i="1"/>
  <c r="AC53" i="1"/>
  <c r="E54" i="1"/>
  <c r="AX26" i="1" l="1"/>
  <c r="AK26" i="1"/>
  <c r="AO26" i="1"/>
  <c r="AJ26" i="1"/>
  <c r="AC54" i="1"/>
  <c r="E55" i="1"/>
  <c r="AB54" i="1"/>
  <c r="AA54" i="1"/>
  <c r="AS26" i="1" l="1"/>
  <c r="AB55" i="1"/>
  <c r="E56" i="1"/>
  <c r="AC55" i="1"/>
  <c r="AA55" i="1"/>
  <c r="AV26" i="1" l="1"/>
  <c r="AP26" i="1"/>
  <c r="AQ26" i="1" s="1"/>
  <c r="AR26" i="1"/>
  <c r="AM26" i="1"/>
  <c r="AT26" i="1"/>
  <c r="E57" i="1"/>
  <c r="AA56" i="1"/>
  <c r="AB56" i="1"/>
  <c r="AC56" i="1"/>
  <c r="AX27" i="1" l="1"/>
  <c r="AJ27" i="1"/>
  <c r="AK27" i="1"/>
  <c r="AO27" i="1"/>
  <c r="AC57" i="1"/>
  <c r="AA57" i="1"/>
  <c r="E58" i="1"/>
  <c r="AB57" i="1"/>
  <c r="AS27" i="1" l="1"/>
  <c r="AC58" i="1"/>
  <c r="AA58" i="1"/>
  <c r="AB58" i="1"/>
  <c r="E59" i="1"/>
  <c r="AP27" i="1" l="1"/>
  <c r="AQ27" i="1" s="1"/>
  <c r="AV27" i="1"/>
  <c r="AB59" i="1"/>
  <c r="AC59" i="1"/>
  <c r="E60" i="1"/>
  <c r="AA59" i="1"/>
  <c r="AT27" i="1" l="1"/>
  <c r="AM27" i="1"/>
  <c r="AR27" i="1"/>
  <c r="AA60" i="1"/>
  <c r="E61" i="1"/>
  <c r="AB60" i="1"/>
  <c r="AC60" i="1"/>
  <c r="AO28" i="1" l="1"/>
  <c r="AK28" i="1"/>
  <c r="AJ28" i="1"/>
  <c r="AS28" i="1" s="1"/>
  <c r="AX28" i="1"/>
  <c r="AB61" i="1"/>
  <c r="E62" i="1"/>
  <c r="AA61" i="1"/>
  <c r="AC61" i="1"/>
  <c r="AP28" i="1" l="1"/>
  <c r="AV28" i="1"/>
  <c r="AC62" i="1"/>
  <c r="AB62" i="1"/>
  <c r="AA62" i="1"/>
  <c r="E63" i="1"/>
  <c r="AQ28" i="1" l="1"/>
  <c r="AT28" i="1"/>
  <c r="AR28" i="1"/>
  <c r="AM28" i="1"/>
  <c r="E64" i="1"/>
  <c r="AA63" i="1"/>
  <c r="AC63" i="1"/>
  <c r="AB63" i="1"/>
  <c r="AO29" i="1" l="1"/>
  <c r="AJ29" i="1"/>
  <c r="AK29" i="1"/>
  <c r="AX29" i="1"/>
  <c r="E65" i="1"/>
  <c r="AA64" i="1"/>
  <c r="AB64" i="1"/>
  <c r="AC64" i="1"/>
  <c r="AS29" i="1" l="1"/>
  <c r="AA65" i="1"/>
  <c r="AB65" i="1"/>
  <c r="E66" i="1"/>
  <c r="AC65" i="1"/>
  <c r="AV29" i="1" l="1"/>
  <c r="AP29" i="1"/>
  <c r="AR29" i="1" s="1"/>
  <c r="AA66" i="1"/>
  <c r="E67" i="1"/>
  <c r="AB66" i="1"/>
  <c r="AC66" i="1"/>
  <c r="AQ29" i="1" l="1"/>
  <c r="AT29" i="1"/>
  <c r="AM29" i="1"/>
  <c r="AA67" i="1"/>
  <c r="AC67" i="1"/>
  <c r="AB67" i="1"/>
  <c r="E68" i="1"/>
  <c r="AJ30" i="1" l="1"/>
  <c r="AX30" i="1"/>
  <c r="AK30" i="1"/>
  <c r="AO30" i="1"/>
  <c r="AC68" i="1"/>
  <c r="AA68" i="1"/>
  <c r="E69" i="1"/>
  <c r="AB68" i="1"/>
  <c r="AS30" i="1" l="1"/>
  <c r="AA69" i="1"/>
  <c r="E70" i="1"/>
  <c r="AB69" i="1"/>
  <c r="AC69" i="1"/>
  <c r="AV30" i="1" l="1"/>
  <c r="AP30" i="1"/>
  <c r="AQ30" i="1" s="1"/>
  <c r="AA70" i="1"/>
  <c r="AC70" i="1"/>
  <c r="E71" i="1"/>
  <c r="AB70" i="1"/>
  <c r="AR30" i="1" l="1"/>
  <c r="AM30" i="1"/>
  <c r="AT30" i="1"/>
  <c r="AA71" i="1"/>
  <c r="AC71" i="1"/>
  <c r="E72" i="1"/>
  <c r="AB71" i="1"/>
  <c r="AJ31" i="1" l="1"/>
  <c r="AO31" i="1"/>
  <c r="AX31" i="1"/>
  <c r="AK31" i="1"/>
  <c r="AB72" i="1"/>
  <c r="AA72" i="1"/>
  <c r="E73" i="1"/>
  <c r="AC73" i="1" s="1"/>
  <c r="AC72" i="1"/>
  <c r="AS31" i="1" l="1"/>
  <c r="AB73" i="1"/>
  <c r="AA73" i="1"/>
  <c r="E74" i="1"/>
  <c r="AV31" i="1" l="1"/>
  <c r="AP31" i="1"/>
  <c r="AQ31" i="1" s="1"/>
  <c r="E75" i="1"/>
  <c r="AC74" i="1"/>
  <c r="AA74" i="1"/>
  <c r="AB74" i="1"/>
  <c r="AR31" i="1" l="1"/>
  <c r="AM31" i="1"/>
  <c r="AT31" i="1"/>
  <c r="AC75" i="1"/>
  <c r="AA75" i="1"/>
  <c r="E76" i="1"/>
  <c r="E77" i="1" s="1"/>
  <c r="AB75" i="1"/>
  <c r="AO32" i="1" l="1"/>
  <c r="AJ32" i="1"/>
  <c r="AK32" i="1"/>
  <c r="AX32" i="1"/>
  <c r="AC76" i="1"/>
  <c r="AB76" i="1"/>
  <c r="AA76" i="1"/>
  <c r="AA77" i="1"/>
  <c r="AB77" i="1"/>
  <c r="E78" i="1"/>
  <c r="AC77" i="1"/>
  <c r="AS32" i="1" l="1"/>
  <c r="AC78" i="1"/>
  <c r="AA78" i="1"/>
  <c r="E79" i="1"/>
  <c r="AB78" i="1"/>
  <c r="AV32" i="1" l="1"/>
  <c r="AP32" i="1"/>
  <c r="AQ32" i="1"/>
  <c r="AC79" i="1"/>
  <c r="AB79" i="1"/>
  <c r="E80" i="1"/>
  <c r="AA79" i="1"/>
  <c r="AR32" i="1" l="1"/>
  <c r="AT32" i="1"/>
  <c r="AM32" i="1"/>
  <c r="AC80" i="1"/>
  <c r="AA80" i="1"/>
  <c r="E81" i="1"/>
  <c r="AB80" i="1"/>
  <c r="AO33" i="1" l="1"/>
  <c r="AJ33" i="1"/>
  <c r="AX33" i="1"/>
  <c r="AK33" i="1"/>
  <c r="AC81" i="1"/>
  <c r="E82" i="1"/>
  <c r="AA81" i="1"/>
  <c r="AB81" i="1"/>
  <c r="AS33" i="1" l="1"/>
  <c r="AC82" i="1"/>
  <c r="AB82" i="1"/>
  <c r="E83" i="1"/>
  <c r="AA82" i="1"/>
  <c r="AP33" i="1" l="1"/>
  <c r="AV33" i="1"/>
  <c r="AC83" i="1"/>
  <c r="AA83" i="1"/>
  <c r="AB83" i="1"/>
  <c r="E84" i="1"/>
  <c r="AR33" i="1" l="1"/>
  <c r="AT33" i="1"/>
  <c r="AM33" i="1"/>
  <c r="AQ33" i="1"/>
  <c r="AK34" i="1"/>
  <c r="AO34" i="1"/>
  <c r="AC84" i="1"/>
  <c r="E85" i="1"/>
  <c r="AA84" i="1"/>
  <c r="AB84" i="1"/>
  <c r="AJ34" i="1" l="1"/>
  <c r="AS34" i="1" s="1"/>
  <c r="AX34" i="1"/>
  <c r="E86" i="1"/>
  <c r="AC85" i="1"/>
  <c r="AB85" i="1"/>
  <c r="AA85" i="1"/>
  <c r="AV34" i="1" l="1"/>
  <c r="AP34" i="1"/>
  <c r="AQ34" i="1"/>
  <c r="AR34" i="1"/>
  <c r="AM34" i="1"/>
  <c r="AT34" i="1"/>
  <c r="AC86" i="1"/>
  <c r="AB86" i="1"/>
  <c r="E87" i="1"/>
  <c r="AA86" i="1"/>
  <c r="AJ35" i="1" l="1"/>
  <c r="AK35" i="1"/>
  <c r="AS35" i="1"/>
  <c r="AX35" i="1"/>
  <c r="AO35" i="1"/>
  <c r="AA87" i="1"/>
  <c r="AB87" i="1"/>
  <c r="E88" i="1"/>
  <c r="AC87" i="1"/>
  <c r="AV35" i="1" l="1"/>
  <c r="AP35" i="1"/>
  <c r="AM35" i="1" s="1"/>
  <c r="AR35" i="1"/>
  <c r="AA88" i="1"/>
  <c r="AC88" i="1"/>
  <c r="AB88" i="1"/>
  <c r="E89" i="1"/>
  <c r="AQ35" i="1" l="1"/>
  <c r="AT35" i="1"/>
  <c r="AO36" i="1"/>
  <c r="AB89" i="1"/>
  <c r="AC89" i="1"/>
  <c r="E90" i="1"/>
  <c r="AA89" i="1"/>
  <c r="AK36" i="1" l="1"/>
  <c r="AJ36" i="1"/>
  <c r="AX36" i="1"/>
  <c r="AS36" i="1"/>
  <c r="AB90" i="1"/>
  <c r="AC90" i="1"/>
  <c r="AA90" i="1"/>
  <c r="E91" i="1"/>
  <c r="AP36" i="1" l="1"/>
  <c r="AQ36" i="1" s="1"/>
  <c r="AV36" i="1"/>
  <c r="E92" i="1"/>
  <c r="AB91" i="1"/>
  <c r="AA91" i="1"/>
  <c r="AC91" i="1"/>
  <c r="AR36" i="1" l="1"/>
  <c r="AT36" i="1"/>
  <c r="AM36" i="1"/>
  <c r="E93" i="1"/>
  <c r="AC92" i="1"/>
  <c r="AA92" i="1"/>
  <c r="AB92" i="1"/>
  <c r="AX37" i="1" l="1"/>
  <c r="AJ37" i="1"/>
  <c r="AK37" i="1"/>
  <c r="AO37" i="1"/>
  <c r="AA93" i="1"/>
  <c r="E94" i="1"/>
  <c r="AC93" i="1"/>
  <c r="AB93" i="1"/>
  <c r="AS37" i="1" l="1"/>
  <c r="AA94" i="1"/>
  <c r="AB94" i="1"/>
  <c r="AC94" i="1"/>
  <c r="E95" i="1"/>
  <c r="AV37" i="1" l="1"/>
  <c r="AP37" i="1"/>
  <c r="AQ37" i="1" s="1"/>
  <c r="AC95" i="1"/>
  <c r="AA95" i="1"/>
  <c r="AB95" i="1"/>
  <c r="E96" i="1"/>
  <c r="AT37" i="1" l="1"/>
  <c r="AM37" i="1"/>
  <c r="AR37" i="1"/>
  <c r="E97" i="1"/>
  <c r="AA96" i="1"/>
  <c r="AB96" i="1"/>
  <c r="AC96" i="1"/>
  <c r="AK38" i="1" l="1"/>
  <c r="AJ38" i="1"/>
  <c r="AX38" i="1"/>
  <c r="AO38" i="1"/>
  <c r="AB97" i="1"/>
  <c r="AC97" i="1"/>
  <c r="E98" i="1"/>
  <c r="AA97" i="1"/>
  <c r="AS38" i="1" l="1"/>
  <c r="AB98" i="1"/>
  <c r="E99" i="1"/>
  <c r="AA98" i="1"/>
  <c r="AC98" i="1"/>
  <c r="AV38" i="1" l="1"/>
  <c r="AP38" i="1"/>
  <c r="AR38" i="1" s="1"/>
  <c r="AT38" i="1"/>
  <c r="AC99" i="1"/>
  <c r="E100" i="1"/>
  <c r="AA99" i="1"/>
  <c r="AB99" i="1"/>
  <c r="AQ38" i="1" l="1"/>
  <c r="AM38" i="1"/>
  <c r="AK39" i="1"/>
  <c r="AO39" i="1"/>
  <c r="AJ39" i="1"/>
  <c r="AX39" i="1"/>
  <c r="AA100" i="1"/>
  <c r="AB100" i="1"/>
  <c r="E101" i="1"/>
  <c r="AC100" i="1"/>
  <c r="AS39" i="1" l="1"/>
  <c r="AB101" i="1"/>
  <c r="AA101" i="1"/>
  <c r="AC101" i="1"/>
  <c r="E102" i="1"/>
  <c r="AP39" i="1" l="1"/>
  <c r="AV39" i="1"/>
  <c r="AB102" i="1"/>
  <c r="AC102" i="1"/>
  <c r="AA102" i="1"/>
  <c r="E103" i="1"/>
  <c r="AM39" i="1" l="1"/>
  <c r="AR39" i="1"/>
  <c r="AT39" i="1"/>
  <c r="AQ39" i="1"/>
  <c r="E104" i="1"/>
  <c r="AC103" i="1"/>
  <c r="AB103" i="1"/>
  <c r="AA103" i="1"/>
  <c r="AX40" i="1" l="1"/>
  <c r="AJ40" i="1"/>
  <c r="AK40" i="1"/>
  <c r="AO40" i="1"/>
  <c r="AB104" i="1"/>
  <c r="AC104" i="1"/>
  <c r="AA104" i="1"/>
  <c r="E105" i="1"/>
  <c r="AS40" i="1" l="1"/>
  <c r="AA105" i="1"/>
  <c r="AC105" i="1"/>
  <c r="AB105" i="1"/>
  <c r="E106" i="1"/>
  <c r="AP40" i="1" l="1"/>
  <c r="AQ40" i="1" s="1"/>
  <c r="AV40" i="1"/>
  <c r="AM40" i="1"/>
  <c r="AT40" i="1"/>
  <c r="AR40" i="1"/>
  <c r="AC106" i="1"/>
  <c r="AA106" i="1"/>
  <c r="E107" i="1"/>
  <c r="AB106" i="1"/>
  <c r="AX41" i="1" l="1"/>
  <c r="AO41" i="1"/>
  <c r="AJ41" i="1"/>
  <c r="AK41" i="1"/>
  <c r="AS41" i="1"/>
  <c r="AC107" i="1"/>
  <c r="AA107" i="1"/>
  <c r="AB107" i="1"/>
  <c r="E108" i="1"/>
  <c r="AV41" i="1" l="1"/>
  <c r="AP41" i="1"/>
  <c r="AB108" i="1"/>
  <c r="E109" i="1"/>
  <c r="AA108" i="1"/>
  <c r="AC108" i="1"/>
  <c r="AQ41" i="1" l="1"/>
  <c r="AR41" i="1"/>
  <c r="AM41" i="1"/>
  <c r="AT41" i="1"/>
  <c r="AC109" i="1"/>
  <c r="AA109" i="1"/>
  <c r="E110" i="1"/>
  <c r="AB109" i="1"/>
  <c r="AO42" i="1" l="1"/>
  <c r="AX42" i="1"/>
  <c r="AK42" i="1"/>
  <c r="AJ42" i="1"/>
  <c r="AA110" i="1"/>
  <c r="AC110" i="1"/>
  <c r="AB110" i="1"/>
  <c r="E111" i="1"/>
  <c r="AS42" i="1" l="1"/>
  <c r="E112" i="1"/>
  <c r="AC111" i="1"/>
  <c r="AB111" i="1"/>
  <c r="AA111" i="1"/>
  <c r="AP42" i="1" l="1"/>
  <c r="AV42" i="1"/>
  <c r="AT42" i="1"/>
  <c r="AR42" i="1"/>
  <c r="AM42" i="1"/>
  <c r="AQ42" i="1"/>
  <c r="E113" i="1"/>
  <c r="AA112" i="1"/>
  <c r="AB112" i="1"/>
  <c r="AC112" i="1"/>
  <c r="AX43" i="1" l="1"/>
  <c r="AK43" i="1"/>
  <c r="AO43" i="1"/>
  <c r="AJ43" i="1"/>
  <c r="AB113" i="1"/>
  <c r="AA113" i="1"/>
  <c r="AC113" i="1"/>
  <c r="E114" i="1"/>
  <c r="AS43" i="1" l="1"/>
  <c r="AB114" i="1"/>
  <c r="AC114" i="1"/>
  <c r="AA114" i="1"/>
  <c r="E115" i="1"/>
  <c r="AV43" i="1" l="1"/>
  <c r="AP43" i="1"/>
  <c r="AQ43" i="1" s="1"/>
  <c r="AT43" i="1"/>
  <c r="AR43" i="1"/>
  <c r="AM43" i="1"/>
  <c r="AA115" i="1"/>
  <c r="AB115" i="1"/>
  <c r="AC115" i="1"/>
  <c r="E116" i="1"/>
  <c r="AK44" i="1" l="1"/>
  <c r="AO44" i="1"/>
  <c r="AJ44" i="1"/>
  <c r="AX44" i="1"/>
  <c r="AA116" i="1"/>
  <c r="AB116" i="1"/>
  <c r="E117" i="1"/>
  <c r="AC116" i="1"/>
  <c r="AS44" i="1" l="1"/>
  <c r="AB117" i="1"/>
  <c r="E118" i="1"/>
  <c r="AA117" i="1"/>
  <c r="AC117" i="1"/>
  <c r="AV44" i="1" l="1"/>
  <c r="AP44" i="1"/>
  <c r="E119" i="1"/>
  <c r="AA118" i="1"/>
  <c r="AC118" i="1"/>
  <c r="AB118" i="1"/>
  <c r="AM44" i="1" l="1"/>
  <c r="AT44" i="1"/>
  <c r="AQ44" i="1"/>
  <c r="AR44" i="1"/>
  <c r="AC119" i="1"/>
  <c r="AB119" i="1"/>
  <c r="E120" i="1"/>
  <c r="AA119" i="1"/>
  <c r="AX45" i="1" l="1"/>
  <c r="AJ45" i="1"/>
  <c r="AK45" i="1"/>
  <c r="AO45" i="1"/>
  <c r="AS45" i="1"/>
  <c r="AC120" i="1"/>
  <c r="AA120" i="1"/>
  <c r="E121" i="1"/>
  <c r="AB120" i="1"/>
  <c r="AP45" i="1" l="1"/>
  <c r="AQ45" i="1" s="1"/>
  <c r="AV45" i="1"/>
  <c r="AA121" i="1"/>
  <c r="AC121" i="1"/>
  <c r="E122" i="1"/>
  <c r="AB121" i="1"/>
  <c r="AM45" i="1" l="1"/>
  <c r="AT45" i="1"/>
  <c r="AR45" i="1"/>
  <c r="AB122" i="1"/>
  <c r="AC122" i="1"/>
  <c r="E123" i="1"/>
  <c r="AA122" i="1"/>
  <c r="AJ46" i="1" l="1"/>
  <c r="AO46" i="1"/>
  <c r="AK46" i="1"/>
  <c r="AX46" i="1"/>
  <c r="AA123" i="1"/>
  <c r="AC123" i="1"/>
  <c r="AB123" i="1"/>
  <c r="E124" i="1"/>
  <c r="AS46" i="1" l="1"/>
  <c r="E125" i="1"/>
  <c r="AC124" i="1"/>
  <c r="AA124" i="1"/>
  <c r="AB124" i="1"/>
  <c r="AP46" i="1" l="1"/>
  <c r="AQ46" i="1" s="1"/>
  <c r="AV46" i="1"/>
  <c r="AA125" i="1"/>
  <c r="AC125" i="1"/>
  <c r="AB125" i="1"/>
  <c r="E126" i="1"/>
  <c r="AR46" i="1" l="1"/>
  <c r="AT46" i="1"/>
  <c r="AM46" i="1"/>
  <c r="E127" i="1"/>
  <c r="AA126" i="1"/>
  <c r="AC126" i="1"/>
  <c r="AB126" i="1"/>
  <c r="AJ47" i="1" l="1"/>
  <c r="AO47" i="1"/>
  <c r="AX47" i="1"/>
  <c r="AK47" i="1"/>
  <c r="AB127" i="1"/>
  <c r="AA127" i="1"/>
  <c r="AC127" i="1"/>
  <c r="E128" i="1"/>
  <c r="AS47" i="1" l="1"/>
  <c r="AB128" i="1"/>
  <c r="AC128" i="1"/>
  <c r="AA128" i="1"/>
  <c r="E129" i="1"/>
  <c r="AV47" i="1" l="1"/>
  <c r="AP47" i="1"/>
  <c r="AC129" i="1"/>
  <c r="AA129" i="1"/>
  <c r="AB129" i="1"/>
  <c r="E130" i="1"/>
  <c r="AR47" i="1" l="1"/>
  <c r="AQ47" i="1"/>
  <c r="AT47" i="1"/>
  <c r="AM47" i="1"/>
  <c r="AA130" i="1"/>
  <c r="E131" i="1"/>
  <c r="AB130" i="1"/>
  <c r="AC130" i="1"/>
  <c r="AX48" i="1" l="1"/>
  <c r="AO48" i="1"/>
  <c r="AJ48" i="1"/>
  <c r="AK48" i="1"/>
  <c r="AS48" i="1" s="1"/>
  <c r="AB131" i="1"/>
  <c r="AA131" i="1"/>
  <c r="AC131" i="1"/>
  <c r="E132" i="1"/>
  <c r="AV48" i="1" l="1"/>
  <c r="AP48" i="1"/>
  <c r="AT48" i="1"/>
  <c r="AM48" i="1"/>
  <c r="AC132" i="1"/>
  <c r="E133" i="1"/>
  <c r="AB132" i="1"/>
  <c r="AA132" i="1"/>
  <c r="AQ48" i="1" l="1"/>
  <c r="AR48" i="1"/>
  <c r="AO49" i="1"/>
  <c r="AX49" i="1"/>
  <c r="AJ49" i="1"/>
  <c r="AK49" i="1"/>
  <c r="E134" i="1"/>
  <c r="AA133" i="1"/>
  <c r="AC133" i="1"/>
  <c r="AB133" i="1"/>
  <c r="AS49" i="1" l="1"/>
  <c r="E135" i="1"/>
  <c r="AB134" i="1"/>
  <c r="AC134" i="1"/>
  <c r="AA134" i="1"/>
  <c r="AP49" i="1" l="1"/>
  <c r="AV49" i="1"/>
  <c r="AA135" i="1"/>
  <c r="AC135" i="1"/>
  <c r="E136" i="1"/>
  <c r="AB135" i="1"/>
  <c r="AQ49" i="1" l="1"/>
  <c r="AT49" i="1"/>
  <c r="AR49" i="1"/>
  <c r="AM49" i="1"/>
  <c r="AC136" i="1"/>
  <c r="AA136" i="1"/>
  <c r="E137" i="1"/>
  <c r="AB136" i="1"/>
  <c r="AO50" i="1" l="1"/>
  <c r="AX50" i="1"/>
  <c r="AK50" i="1"/>
  <c r="AJ50" i="1"/>
  <c r="AA137" i="1"/>
  <c r="AB137" i="1"/>
  <c r="AC137" i="1"/>
  <c r="E138" i="1"/>
  <c r="AS50" i="1" l="1"/>
  <c r="AA138" i="1"/>
  <c r="E139" i="1"/>
  <c r="AB138" i="1"/>
  <c r="AC138" i="1"/>
  <c r="AV50" i="1" l="1"/>
  <c r="AP50" i="1"/>
  <c r="AQ50" i="1"/>
  <c r="AA139" i="1"/>
  <c r="AC139" i="1"/>
  <c r="AB139" i="1"/>
  <c r="E140" i="1"/>
  <c r="AT50" i="1" l="1"/>
  <c r="AM50" i="1"/>
  <c r="AR50" i="1"/>
  <c r="AA140" i="1"/>
  <c r="AC140" i="1"/>
  <c r="E141" i="1"/>
  <c r="AB140" i="1"/>
  <c r="AK51" i="1" l="1"/>
  <c r="AJ51" i="1"/>
  <c r="AX51" i="1"/>
  <c r="AO51" i="1"/>
  <c r="AS51" i="1"/>
  <c r="E142" i="1"/>
  <c r="AA141" i="1"/>
  <c r="AB141" i="1"/>
  <c r="AC141" i="1"/>
  <c r="AV51" i="1" l="1"/>
  <c r="AP51" i="1"/>
  <c r="AM51" i="1" s="1"/>
  <c r="AQ51" i="1"/>
  <c r="AT51" i="1"/>
  <c r="AR51" i="1"/>
  <c r="AC142" i="1"/>
  <c r="E143" i="1"/>
  <c r="AA142" i="1"/>
  <c r="AB142" i="1"/>
  <c r="AK52" i="1" l="1"/>
  <c r="AO52" i="1"/>
  <c r="AJ52" i="1"/>
  <c r="AX52" i="1"/>
  <c r="AB143" i="1"/>
  <c r="AA143" i="1"/>
  <c r="AC143" i="1"/>
  <c r="E144" i="1"/>
  <c r="AS52" i="1" l="1"/>
  <c r="AC144" i="1"/>
  <c r="E145" i="1"/>
  <c r="AA144" i="1"/>
  <c r="AB144" i="1"/>
  <c r="AV52" i="1" l="1"/>
  <c r="AP52" i="1"/>
  <c r="AB145" i="1"/>
  <c r="E146" i="1"/>
  <c r="AA145" i="1"/>
  <c r="AC145" i="1"/>
  <c r="AR52" i="1" l="1"/>
  <c r="AM52" i="1"/>
  <c r="AT52" i="1"/>
  <c r="AQ52" i="1"/>
  <c r="AB146" i="1"/>
  <c r="AC146" i="1"/>
  <c r="AA146" i="1"/>
  <c r="E147" i="1"/>
  <c r="AO53" i="1" l="1"/>
  <c r="AX53" i="1"/>
  <c r="AJ53" i="1"/>
  <c r="AK53" i="1"/>
  <c r="AA147" i="1"/>
  <c r="AB147" i="1"/>
  <c r="AC147" i="1"/>
  <c r="E148" i="1"/>
  <c r="AS53" i="1" l="1"/>
  <c r="AB148" i="1"/>
  <c r="AC148" i="1"/>
  <c r="AA148" i="1"/>
  <c r="E149" i="1"/>
  <c r="AP53" i="1" l="1"/>
  <c r="AV53" i="1"/>
  <c r="AB149" i="1"/>
  <c r="AC149" i="1"/>
  <c r="AA149" i="1"/>
  <c r="E150" i="1"/>
  <c r="AM53" i="1" l="1"/>
  <c r="AT53" i="1"/>
  <c r="AR53" i="1"/>
  <c r="AQ53" i="1"/>
  <c r="E151" i="1"/>
  <c r="AB150" i="1"/>
  <c r="AA150" i="1"/>
  <c r="AC150" i="1"/>
  <c r="AX54" i="1" l="1"/>
  <c r="AO54" i="1"/>
  <c r="AK54" i="1"/>
  <c r="AJ54" i="1"/>
  <c r="AS54" i="1" s="1"/>
  <c r="AC151" i="1"/>
  <c r="AA151" i="1"/>
  <c r="AB151" i="1"/>
  <c r="E152" i="1"/>
  <c r="AV54" i="1" l="1"/>
  <c r="AP54" i="1"/>
  <c r="AA152" i="1"/>
  <c r="AB152" i="1"/>
  <c r="E153" i="1"/>
  <c r="AC152" i="1"/>
  <c r="AQ54" i="1" l="1"/>
  <c r="AR54" i="1"/>
  <c r="AM54" i="1"/>
  <c r="AT54" i="1"/>
  <c r="AX55" i="1"/>
  <c r="AK55" i="1"/>
  <c r="E154" i="1"/>
  <c r="AC153" i="1"/>
  <c r="AA153" i="1"/>
  <c r="AB153" i="1"/>
  <c r="AO55" i="1" l="1"/>
  <c r="AJ55" i="1"/>
  <c r="AS55" i="1" s="1"/>
  <c r="AC154" i="1"/>
  <c r="E155" i="1"/>
  <c r="AB154" i="1"/>
  <c r="AA154" i="1"/>
  <c r="AV55" i="1" l="1"/>
  <c r="AP55" i="1"/>
  <c r="AQ55" i="1" s="1"/>
  <c r="AC155" i="1"/>
  <c r="E156" i="1"/>
  <c r="AA155" i="1"/>
  <c r="AB155" i="1"/>
  <c r="AR55" i="1" l="1"/>
  <c r="AM55" i="1"/>
  <c r="AT55" i="1"/>
  <c r="E157" i="1"/>
  <c r="AA156" i="1"/>
  <c r="AC156" i="1"/>
  <c r="AB156" i="1"/>
  <c r="AJ56" i="1" l="1"/>
  <c r="AO56" i="1"/>
  <c r="AK56" i="1"/>
  <c r="AX56" i="1"/>
  <c r="AC157" i="1"/>
  <c r="E158" i="1"/>
  <c r="AB157" i="1"/>
  <c r="AA157" i="1"/>
  <c r="AS56" i="1" l="1"/>
  <c r="E159" i="1"/>
  <c r="AA158" i="1"/>
  <c r="AC158" i="1"/>
  <c r="AB158" i="1"/>
  <c r="AP56" i="1" l="1"/>
  <c r="AQ56" i="1" s="1"/>
  <c r="AV56" i="1"/>
  <c r="AB159" i="1"/>
  <c r="AA159" i="1"/>
  <c r="AC159" i="1"/>
  <c r="E160" i="1"/>
  <c r="AR56" i="1" l="1"/>
  <c r="AM56" i="1"/>
  <c r="AT56" i="1"/>
  <c r="AB160" i="1"/>
  <c r="AA160" i="1"/>
  <c r="AC160" i="1"/>
  <c r="E161" i="1"/>
  <c r="AX57" i="1" l="1"/>
  <c r="AO57" i="1"/>
  <c r="AK57" i="1"/>
  <c r="AJ57" i="1"/>
  <c r="AS57" i="1" s="1"/>
  <c r="E162" i="1"/>
  <c r="AA161" i="1"/>
  <c r="AB161" i="1"/>
  <c r="AC161" i="1"/>
  <c r="AV57" i="1" l="1"/>
  <c r="AP57" i="1"/>
  <c r="AB162" i="1"/>
  <c r="AA162" i="1"/>
  <c r="AC162" i="1"/>
  <c r="E163" i="1"/>
  <c r="AR57" i="1" l="1"/>
  <c r="AM57" i="1"/>
  <c r="AQ57" i="1"/>
  <c r="AT57" i="1"/>
  <c r="AA163" i="1"/>
  <c r="AC163" i="1"/>
  <c r="E164" i="1"/>
  <c r="AB163" i="1"/>
  <c r="AX58" i="1" l="1"/>
  <c r="AK58" i="1"/>
  <c r="AJ58" i="1"/>
  <c r="AO58" i="1"/>
  <c r="AB164" i="1"/>
  <c r="E165" i="1"/>
  <c r="AC164" i="1"/>
  <c r="AA164" i="1"/>
  <c r="AS58" i="1" l="1"/>
  <c r="E166" i="1"/>
  <c r="AC165" i="1"/>
  <c r="AB165" i="1"/>
  <c r="AA165" i="1"/>
  <c r="AP58" i="1" l="1"/>
  <c r="AV58" i="1"/>
  <c r="AQ58" i="1"/>
  <c r="AB166" i="1"/>
  <c r="E167" i="1"/>
  <c r="AA166" i="1"/>
  <c r="AC166" i="1"/>
  <c r="AM58" i="1" l="1"/>
  <c r="AT58" i="1"/>
  <c r="AR58" i="1"/>
  <c r="AA167" i="1"/>
  <c r="AC167" i="1"/>
  <c r="E168" i="1"/>
  <c r="AB167" i="1"/>
  <c r="AK59" i="1" l="1"/>
  <c r="AJ59" i="1"/>
  <c r="AS59" i="1" s="1"/>
  <c r="AO59" i="1"/>
  <c r="AX59" i="1"/>
  <c r="AC168" i="1"/>
  <c r="AB168" i="1"/>
  <c r="E169" i="1"/>
  <c r="AA168" i="1"/>
  <c r="AV59" i="1" l="1"/>
  <c r="AP59" i="1"/>
  <c r="AB169" i="1"/>
  <c r="E170" i="1"/>
  <c r="AC169" i="1"/>
  <c r="AA169" i="1"/>
  <c r="AQ59" i="1" l="1"/>
  <c r="AR59" i="1"/>
  <c r="AM59" i="1"/>
  <c r="AT59" i="1"/>
  <c r="AB170" i="1"/>
  <c r="AA170" i="1"/>
  <c r="AC170" i="1"/>
  <c r="E171" i="1"/>
  <c r="AK60" i="1" l="1"/>
  <c r="AX60" i="1"/>
  <c r="AJ60" i="1"/>
  <c r="AO60" i="1"/>
  <c r="AC171" i="1"/>
  <c r="AA171" i="1"/>
  <c r="E172" i="1"/>
  <c r="AB171" i="1"/>
  <c r="AS60" i="1" l="1"/>
  <c r="E173" i="1"/>
  <c r="AC172" i="1"/>
  <c r="AA172" i="1"/>
  <c r="AB172" i="1"/>
  <c r="AP60" i="1" l="1"/>
  <c r="AV60" i="1"/>
  <c r="E174" i="1"/>
  <c r="AA173" i="1"/>
  <c r="AB173" i="1"/>
  <c r="AC173" i="1"/>
  <c r="AM60" i="1" l="1"/>
  <c r="AT60" i="1"/>
  <c r="AR60" i="1"/>
  <c r="AQ60" i="1"/>
  <c r="AC174" i="1"/>
  <c r="AA174" i="1"/>
  <c r="AB174" i="1"/>
  <c r="E175" i="1"/>
  <c r="AJ61" i="1" l="1"/>
  <c r="AX61" i="1"/>
  <c r="AO61" i="1"/>
  <c r="AK61" i="1"/>
  <c r="AS61" i="1"/>
  <c r="AC175" i="1"/>
  <c r="AB175" i="1"/>
  <c r="AA175" i="1"/>
  <c r="E176" i="1"/>
  <c r="AP61" i="1" l="1"/>
  <c r="AQ61" i="1" s="1"/>
  <c r="AV61" i="1"/>
  <c r="AM61" i="1"/>
  <c r="AT61" i="1"/>
  <c r="AR61" i="1"/>
  <c r="AC176" i="1"/>
  <c r="AB176" i="1"/>
  <c r="AA176" i="1"/>
  <c r="E177" i="1"/>
  <c r="AX62" i="1" l="1"/>
  <c r="AJ62" i="1"/>
  <c r="AK62" i="1"/>
  <c r="AO62" i="1"/>
  <c r="AB177" i="1"/>
  <c r="AC177" i="1"/>
  <c r="E178" i="1"/>
  <c r="AA177" i="1"/>
  <c r="AS62" i="1" l="1"/>
  <c r="AC178" i="1"/>
  <c r="E179" i="1"/>
  <c r="AA178" i="1"/>
  <c r="AB178" i="1"/>
  <c r="AP62" i="1" l="1"/>
  <c r="AV62" i="1"/>
  <c r="AQ62" i="1"/>
  <c r="E180" i="1"/>
  <c r="AA179" i="1"/>
  <c r="AB179" i="1"/>
  <c r="AC179" i="1"/>
  <c r="AM62" i="1" l="1"/>
  <c r="AT62" i="1"/>
  <c r="AR62" i="1"/>
  <c r="AC180" i="1"/>
  <c r="AA180" i="1"/>
  <c r="AB180" i="1"/>
  <c r="E181" i="1"/>
  <c r="AK63" i="1" l="1"/>
  <c r="AO63" i="1"/>
  <c r="AX63" i="1"/>
  <c r="AJ63" i="1"/>
  <c r="AB181" i="1"/>
  <c r="AA181" i="1"/>
  <c r="E182" i="1"/>
  <c r="AC181" i="1"/>
  <c r="AS63" i="1" l="1"/>
  <c r="AB182" i="1"/>
  <c r="AA182" i="1"/>
  <c r="E183" i="1"/>
  <c r="AC182" i="1"/>
  <c r="AV63" i="1" l="1"/>
  <c r="AP63" i="1"/>
  <c r="AQ63" i="1" s="1"/>
  <c r="AC183" i="1"/>
  <c r="AA183" i="1"/>
  <c r="E184" i="1"/>
  <c r="AB183" i="1"/>
  <c r="AM63" i="1" l="1"/>
  <c r="AR63" i="1"/>
  <c r="AT63" i="1"/>
  <c r="E185" i="1"/>
  <c r="AB184" i="1"/>
  <c r="AC184" i="1"/>
  <c r="AA184" i="1"/>
  <c r="AO64" i="1" l="1"/>
  <c r="AX64" i="1"/>
  <c r="AK64" i="1"/>
  <c r="AJ64" i="1"/>
  <c r="AS64" i="1" s="1"/>
  <c r="AB185" i="1"/>
  <c r="AA185" i="1"/>
  <c r="AC185" i="1"/>
  <c r="E186" i="1"/>
  <c r="AP64" i="1" l="1"/>
  <c r="AV64" i="1"/>
  <c r="AB186" i="1"/>
  <c r="AC186" i="1"/>
  <c r="E187" i="1"/>
  <c r="AA186" i="1"/>
  <c r="AQ64" i="1" l="1"/>
  <c r="AR64" i="1"/>
  <c r="AM64" i="1"/>
  <c r="AT64" i="1"/>
  <c r="AB187" i="1"/>
  <c r="E188" i="1"/>
  <c r="AC187" i="1"/>
  <c r="AA187" i="1"/>
  <c r="AK65" i="1" l="1"/>
  <c r="AJ65" i="1"/>
  <c r="AX65" i="1"/>
  <c r="AO65" i="1"/>
  <c r="E189" i="1"/>
  <c r="AA188" i="1"/>
  <c r="AC188" i="1"/>
  <c r="AB188" i="1"/>
  <c r="AS65" i="1" l="1"/>
  <c r="AC189" i="1"/>
  <c r="AA189" i="1"/>
  <c r="E190" i="1"/>
  <c r="AB189" i="1"/>
  <c r="AP65" i="1" l="1"/>
  <c r="AV65" i="1"/>
  <c r="AB190" i="1"/>
  <c r="AA190" i="1"/>
  <c r="E191" i="1"/>
  <c r="AC190" i="1"/>
  <c r="AQ65" i="1" l="1"/>
  <c r="AR65" i="1"/>
  <c r="AT65" i="1"/>
  <c r="AM65" i="1"/>
  <c r="AC191" i="1"/>
  <c r="E192" i="1"/>
  <c r="AA191" i="1"/>
  <c r="AB191" i="1"/>
  <c r="AO66" i="1" l="1"/>
  <c r="AX66" i="1"/>
  <c r="AJ66" i="1"/>
  <c r="AK66" i="1"/>
  <c r="AA192" i="1"/>
  <c r="AC192" i="1"/>
  <c r="AB192" i="1"/>
  <c r="E193" i="1"/>
  <c r="AS66" i="1" l="1"/>
  <c r="E194" i="1"/>
  <c r="AC193" i="1"/>
  <c r="AB193" i="1"/>
  <c r="AA193" i="1"/>
  <c r="AP66" i="1" l="1"/>
  <c r="AQ66" i="1"/>
  <c r="AV66" i="1"/>
  <c r="E195" i="1"/>
  <c r="AA194" i="1"/>
  <c r="AB194" i="1"/>
  <c r="AC194" i="1"/>
  <c r="AR66" i="1" l="1"/>
  <c r="AT66" i="1"/>
  <c r="AM66" i="1"/>
  <c r="AB195" i="1"/>
  <c r="E196" i="1"/>
  <c r="AA195" i="1"/>
  <c r="AC195" i="1"/>
  <c r="AO67" i="1" l="1"/>
  <c r="AX67" i="1"/>
  <c r="AK67" i="1"/>
  <c r="AS67" i="1"/>
  <c r="AJ67" i="1"/>
  <c r="AB196" i="1"/>
  <c r="E197" i="1"/>
  <c r="AA196" i="1"/>
  <c r="AC196" i="1"/>
  <c r="AP67" i="1" l="1"/>
  <c r="AV67" i="1"/>
  <c r="AA197" i="1"/>
  <c r="E198" i="1"/>
  <c r="AB197" i="1"/>
  <c r="AC197" i="1"/>
  <c r="AQ67" i="1" l="1"/>
  <c r="AR67" i="1"/>
  <c r="AT67" i="1"/>
  <c r="AM67" i="1"/>
  <c r="AA198" i="1"/>
  <c r="AC198" i="1"/>
  <c r="AB198" i="1"/>
  <c r="E199" i="1"/>
  <c r="AK68" i="1" l="1"/>
  <c r="AX68" i="1"/>
  <c r="AJ68" i="1"/>
  <c r="AS68" i="1" s="1"/>
  <c r="AO68" i="1"/>
  <c r="AC199" i="1"/>
  <c r="AB199" i="1"/>
  <c r="AA199" i="1"/>
  <c r="E200" i="1"/>
  <c r="AP68" i="1" l="1"/>
  <c r="AV68" i="1"/>
  <c r="AC200" i="1"/>
  <c r="AB200" i="1"/>
  <c r="E201" i="1"/>
  <c r="AA200" i="1"/>
  <c r="AQ68" i="1" l="1"/>
  <c r="AM68" i="1"/>
  <c r="AR68" i="1"/>
  <c r="AT68" i="1"/>
  <c r="AA201" i="1"/>
  <c r="AB201" i="1"/>
  <c r="E202" i="1"/>
  <c r="AC201" i="1"/>
  <c r="AO69" i="1" l="1"/>
  <c r="AJ69" i="1"/>
  <c r="AX69" i="1"/>
  <c r="AK69" i="1"/>
  <c r="AA202" i="1"/>
  <c r="AB202" i="1"/>
  <c r="AC202" i="1"/>
  <c r="E203" i="1"/>
  <c r="AS69" i="1" l="1"/>
  <c r="AB203" i="1"/>
  <c r="AC203" i="1"/>
  <c r="AA203" i="1"/>
  <c r="E204" i="1"/>
  <c r="AP69" i="1" l="1"/>
  <c r="AV69" i="1"/>
  <c r="AQ69" i="1"/>
  <c r="AB204" i="1"/>
  <c r="AC204" i="1"/>
  <c r="AA204" i="1"/>
  <c r="E205" i="1"/>
  <c r="AR69" i="1" l="1"/>
  <c r="AT69" i="1"/>
  <c r="AM69" i="1"/>
  <c r="AA205" i="1"/>
  <c r="AB205" i="1"/>
  <c r="AC205" i="1"/>
  <c r="E206" i="1"/>
  <c r="AX70" i="1" l="1"/>
  <c r="AJ70" i="1"/>
  <c r="AS70" i="1" s="1"/>
  <c r="AK70" i="1"/>
  <c r="AO70" i="1"/>
  <c r="AB206" i="1"/>
  <c r="AC206" i="1"/>
  <c r="E207" i="1"/>
  <c r="AA206" i="1"/>
  <c r="AP70" i="1" l="1"/>
  <c r="AV70" i="1"/>
  <c r="AA207" i="1"/>
  <c r="E208" i="1"/>
  <c r="AC207" i="1"/>
  <c r="AB207" i="1"/>
  <c r="AQ70" i="1" l="1"/>
  <c r="AT70" i="1"/>
  <c r="AR70" i="1"/>
  <c r="AM70" i="1"/>
  <c r="AA208" i="1"/>
  <c r="AB208" i="1"/>
  <c r="AC208" i="1"/>
  <c r="E209" i="1"/>
  <c r="AX71" i="1" l="1"/>
  <c r="AO71" i="1"/>
  <c r="AK71" i="1"/>
  <c r="AJ71" i="1"/>
  <c r="AS71" i="1" s="1"/>
  <c r="AC209" i="1"/>
  <c r="AB209" i="1"/>
  <c r="AA209" i="1"/>
  <c r="E210" i="1"/>
  <c r="AV71" i="1" l="1"/>
  <c r="AP71" i="1"/>
  <c r="AC210" i="1"/>
  <c r="E211" i="1"/>
  <c r="AB210" i="1"/>
  <c r="AA210" i="1"/>
  <c r="AQ71" i="1" l="1"/>
  <c r="AT71" i="1"/>
  <c r="AR71" i="1"/>
  <c r="AM71" i="1"/>
  <c r="E212" i="1"/>
  <c r="AB211" i="1"/>
  <c r="AA211" i="1"/>
  <c r="AC211" i="1"/>
  <c r="AJ72" i="1" l="1"/>
  <c r="AO72" i="1"/>
  <c r="AK72" i="1"/>
  <c r="AX72" i="1"/>
  <c r="E213" i="1"/>
  <c r="AA212" i="1"/>
  <c r="AB212" i="1"/>
  <c r="AC212" i="1"/>
  <c r="AS72" i="1" l="1"/>
  <c r="AB213" i="1"/>
  <c r="AA213" i="1"/>
  <c r="AC213" i="1"/>
  <c r="E214" i="1"/>
  <c r="AP72" i="1" l="1"/>
  <c r="AV72" i="1"/>
  <c r="AQ72" i="1"/>
  <c r="E215" i="1"/>
  <c r="AB214" i="1"/>
  <c r="AC214" i="1"/>
  <c r="AA214" i="1"/>
  <c r="AR72" i="1" l="1"/>
  <c r="AM72" i="1"/>
  <c r="AT72" i="1"/>
  <c r="AA215" i="1"/>
  <c r="AC215" i="1"/>
  <c r="AB215" i="1"/>
  <c r="E216" i="1"/>
  <c r="AJ73" i="1" l="1"/>
  <c r="AK73" i="1"/>
  <c r="AO73" i="1"/>
  <c r="AX73" i="1"/>
  <c r="AA216" i="1"/>
  <c r="AC216" i="1"/>
  <c r="E217" i="1"/>
  <c r="AB216" i="1"/>
  <c r="AS73" i="1" l="1"/>
  <c r="E218" i="1"/>
  <c r="AA217" i="1"/>
  <c r="AB217" i="1"/>
  <c r="AC217" i="1"/>
  <c r="AP73" i="1" l="1"/>
  <c r="AV73" i="1"/>
  <c r="AQ73" i="1"/>
  <c r="AA218" i="1"/>
  <c r="AB218" i="1"/>
  <c r="AC218" i="1"/>
  <c r="E219" i="1"/>
  <c r="AM73" i="1" l="1"/>
  <c r="AT73" i="1"/>
  <c r="AR73" i="1"/>
  <c r="AC219" i="1"/>
  <c r="AB219" i="1"/>
  <c r="E220" i="1"/>
  <c r="AA219" i="1"/>
  <c r="AK74" i="1" l="1"/>
  <c r="AX74" i="1"/>
  <c r="AO74" i="1"/>
  <c r="AJ74" i="1"/>
  <c r="AA220" i="1"/>
  <c r="AB220" i="1"/>
  <c r="AC220" i="1"/>
  <c r="E221" i="1"/>
  <c r="AS74" i="1" l="1"/>
  <c r="AB221" i="1"/>
  <c r="AA221" i="1"/>
  <c r="AC221" i="1"/>
  <c r="E222" i="1"/>
  <c r="AV74" i="1" l="1"/>
  <c r="AP74" i="1"/>
  <c r="AQ74" i="1" s="1"/>
  <c r="AC222" i="1"/>
  <c r="AB222" i="1"/>
  <c r="AA222" i="1"/>
  <c r="E223" i="1"/>
  <c r="AT74" i="1" l="1"/>
  <c r="AM74" i="1"/>
  <c r="AR74" i="1"/>
  <c r="E224" i="1"/>
  <c r="AA223" i="1"/>
  <c r="AB223" i="1"/>
  <c r="AC223" i="1"/>
  <c r="AK75" i="1" l="1"/>
  <c r="AO75" i="1"/>
  <c r="AJ75" i="1"/>
  <c r="AX75" i="1"/>
  <c r="AS75" i="1"/>
  <c r="AB224" i="1"/>
  <c r="AA224" i="1"/>
  <c r="AC224" i="1"/>
  <c r="E225" i="1"/>
  <c r="AV75" i="1" l="1"/>
  <c r="AP75" i="1"/>
  <c r="E226" i="1"/>
  <c r="AA225" i="1"/>
  <c r="AB225" i="1"/>
  <c r="AC225" i="1"/>
  <c r="AQ75" i="1" l="1"/>
  <c r="AR75" i="1"/>
  <c r="AT75" i="1"/>
  <c r="AM75" i="1"/>
  <c r="AC226" i="1"/>
  <c r="AA226" i="1"/>
  <c r="AB226" i="1"/>
  <c r="E227" i="1"/>
  <c r="AJ76" i="1" l="1"/>
  <c r="AK76" i="1"/>
  <c r="AO76" i="1"/>
  <c r="AX76" i="1"/>
  <c r="AS76" i="1"/>
  <c r="AP76" i="1" s="1"/>
  <c r="AB227" i="1"/>
  <c r="AA227" i="1"/>
  <c r="AC227" i="1"/>
  <c r="E228" i="1"/>
  <c r="AQ76" i="1" l="1"/>
  <c r="AV76" i="1"/>
  <c r="AT76" i="1"/>
  <c r="AM76" i="1"/>
  <c r="AR76" i="1"/>
  <c r="AA228" i="1"/>
  <c r="AC228" i="1"/>
  <c r="AB228" i="1"/>
  <c r="E229" i="1"/>
  <c r="AX77" i="1" l="1"/>
  <c r="AK77" i="1"/>
  <c r="AO77" i="1"/>
  <c r="AJ77" i="1"/>
  <c r="AS77" i="1"/>
  <c r="E230" i="1"/>
  <c r="AC229" i="1"/>
  <c r="AA229" i="1"/>
  <c r="AB229" i="1"/>
  <c r="AV77" i="1" l="1"/>
  <c r="AP77" i="1"/>
  <c r="AB230" i="1"/>
  <c r="E231" i="1"/>
  <c r="AA230" i="1"/>
  <c r="AC230" i="1"/>
  <c r="AQ77" i="1" l="1"/>
  <c r="AR77" i="1"/>
  <c r="AM77" i="1"/>
  <c r="AT77" i="1"/>
  <c r="E232" i="1"/>
  <c r="AA231" i="1"/>
  <c r="AB231" i="1"/>
  <c r="AC231" i="1"/>
  <c r="AO78" i="1" l="1"/>
  <c r="AP78" i="1" s="1"/>
  <c r="AX78" i="1"/>
  <c r="AJ78" i="1"/>
  <c r="AK78" i="1"/>
  <c r="AS78" i="1"/>
  <c r="AV78" i="1" s="1"/>
  <c r="AA232" i="1"/>
  <c r="AC232" i="1"/>
  <c r="E233" i="1"/>
  <c r="AB232" i="1"/>
  <c r="AR78" i="1" l="1"/>
  <c r="AQ78" i="1"/>
  <c r="AM78" i="1"/>
  <c r="AT78" i="1"/>
  <c r="AC233" i="1"/>
  <c r="AA233" i="1"/>
  <c r="E234" i="1"/>
  <c r="AB233" i="1"/>
  <c r="AK79" i="1" l="1"/>
  <c r="AJ79" i="1"/>
  <c r="AO79" i="1"/>
  <c r="AX79" i="1"/>
  <c r="AS79" i="1"/>
  <c r="AA234" i="1"/>
  <c r="E235" i="1"/>
  <c r="AB234" i="1"/>
  <c r="AC234" i="1"/>
  <c r="AP79" i="1" l="1"/>
  <c r="AV79" i="1"/>
  <c r="AC235" i="1"/>
  <c r="E236" i="1"/>
  <c r="AB235" i="1"/>
  <c r="AA235" i="1"/>
  <c r="AT79" i="1" l="1"/>
  <c r="AR79" i="1"/>
  <c r="AM79" i="1"/>
  <c r="AQ79" i="1"/>
  <c r="AB236" i="1"/>
  <c r="AA236" i="1"/>
  <c r="AC236" i="1"/>
  <c r="E237" i="1"/>
  <c r="AO80" i="1" l="1"/>
  <c r="AK80" i="1"/>
  <c r="AJ80" i="1"/>
  <c r="AS80" i="1" s="1"/>
  <c r="AX80" i="1"/>
  <c r="AP80" i="1"/>
  <c r="AQ80" i="1" s="1"/>
  <c r="AV80" i="1"/>
  <c r="E238" i="1"/>
  <c r="AC237" i="1"/>
  <c r="AA237" i="1"/>
  <c r="AB237" i="1"/>
  <c r="AR80" i="1" l="1"/>
  <c r="AT80" i="1"/>
  <c r="AM80" i="1"/>
  <c r="AA238" i="1"/>
  <c r="AB238" i="1"/>
  <c r="E239" i="1"/>
  <c r="AC238" i="1"/>
  <c r="AK81" i="1" l="1"/>
  <c r="AX81" i="1"/>
  <c r="AJ81" i="1"/>
  <c r="AO81" i="1"/>
  <c r="AA239" i="1"/>
  <c r="AB239" i="1"/>
  <c r="E240" i="1"/>
  <c r="AC239" i="1"/>
  <c r="AS81" i="1" l="1"/>
  <c r="AC240" i="1"/>
  <c r="AA240" i="1"/>
  <c r="AB240" i="1"/>
  <c r="E241" i="1"/>
  <c r="AP81" i="1" l="1"/>
  <c r="AV81" i="1"/>
  <c r="AQ81" i="1"/>
  <c r="AB241" i="1"/>
  <c r="AC241" i="1"/>
  <c r="AA241" i="1"/>
  <c r="E242" i="1"/>
  <c r="AM81" i="1" l="1"/>
  <c r="AT81" i="1"/>
  <c r="AR81" i="1"/>
  <c r="E243" i="1"/>
  <c r="AC242" i="1"/>
  <c r="AA242" i="1"/>
  <c r="AB242" i="1"/>
  <c r="AK82" i="1" l="1"/>
  <c r="AJ82" i="1"/>
  <c r="AS82" i="1" s="1"/>
  <c r="AP82" i="1" s="1"/>
  <c r="AO82" i="1"/>
  <c r="AX82" i="1"/>
  <c r="AA243" i="1"/>
  <c r="AB243" i="1"/>
  <c r="E244" i="1"/>
  <c r="AC243" i="1"/>
  <c r="AT82" i="1" l="1"/>
  <c r="AR82" i="1"/>
  <c r="AM82" i="1"/>
  <c r="AQ82" i="1"/>
  <c r="AV82" i="1"/>
  <c r="E245" i="1"/>
  <c r="AB244" i="1"/>
  <c r="AC244" i="1"/>
  <c r="AA244" i="1"/>
  <c r="AO83" i="1" l="1"/>
  <c r="AJ83" i="1"/>
  <c r="AX83" i="1"/>
  <c r="AK83" i="1"/>
  <c r="E246" i="1"/>
  <c r="AB245" i="1"/>
  <c r="AA245" i="1"/>
  <c r="AC245" i="1"/>
  <c r="AS83" i="1" l="1"/>
  <c r="AB246" i="1"/>
  <c r="AA246" i="1"/>
  <c r="E247" i="1"/>
  <c r="AC246" i="1"/>
  <c r="AV83" i="1" l="1"/>
  <c r="AP83" i="1"/>
  <c r="AQ83" i="1" s="1"/>
  <c r="AB247" i="1"/>
  <c r="AC247" i="1"/>
  <c r="AA247" i="1"/>
  <c r="E248" i="1"/>
  <c r="AR83" i="1" l="1"/>
  <c r="AT83" i="1"/>
  <c r="AM83" i="1"/>
  <c r="AA248" i="1"/>
  <c r="E249" i="1"/>
  <c r="AC248" i="1"/>
  <c r="AB248" i="1"/>
  <c r="AX84" i="1" l="1"/>
  <c r="AO84" i="1"/>
  <c r="AK84" i="1"/>
  <c r="AJ84" i="1"/>
  <c r="AS84" i="1" s="1"/>
  <c r="AP84" i="1" s="1"/>
  <c r="AB249" i="1"/>
  <c r="AA249" i="1"/>
  <c r="E250" i="1"/>
  <c r="AC249" i="1"/>
  <c r="AQ84" i="1" l="1"/>
  <c r="AV84" i="1"/>
  <c r="AT84" i="1"/>
  <c r="AM84" i="1"/>
  <c r="AR84" i="1"/>
  <c r="AA250" i="1"/>
  <c r="AB250" i="1"/>
  <c r="AC250" i="1"/>
  <c r="E251" i="1"/>
  <c r="AK85" i="1" l="1"/>
  <c r="AJ85" i="1"/>
  <c r="AS85" i="1" s="1"/>
  <c r="AO85" i="1"/>
  <c r="AX85" i="1"/>
  <c r="AB251" i="1"/>
  <c r="AC251" i="1"/>
  <c r="AA251" i="1"/>
  <c r="E252" i="1"/>
  <c r="AP85" i="1" l="1"/>
  <c r="AV85" i="1"/>
  <c r="AT85" i="1"/>
  <c r="AM85" i="1"/>
  <c r="AB252" i="1"/>
  <c r="E253" i="1"/>
  <c r="AA252" i="1"/>
  <c r="AC252" i="1"/>
  <c r="AQ85" i="1" l="1"/>
  <c r="AR85" i="1"/>
  <c r="AO86" i="1"/>
  <c r="AX86" i="1"/>
  <c r="AJ86" i="1"/>
  <c r="AK86" i="1"/>
  <c r="AB253" i="1"/>
  <c r="AA253" i="1"/>
  <c r="E254" i="1"/>
  <c r="AC253" i="1"/>
  <c r="AS86" i="1" l="1"/>
  <c r="AV86" i="1" s="1"/>
  <c r="AP86" i="1"/>
  <c r="AA254" i="1"/>
  <c r="AB254" i="1"/>
  <c r="AC254" i="1"/>
  <c r="E255" i="1"/>
  <c r="AQ86" i="1" l="1"/>
  <c r="AR86" i="1"/>
  <c r="AM86" i="1"/>
  <c r="AT86" i="1"/>
  <c r="E256" i="1"/>
  <c r="AB255" i="1"/>
  <c r="AC255" i="1"/>
  <c r="AA255" i="1"/>
  <c r="AX87" i="1" l="1"/>
  <c r="AJ87" i="1"/>
  <c r="AO87" i="1"/>
  <c r="AK87" i="1"/>
  <c r="AS87" i="1"/>
  <c r="AB256" i="1"/>
  <c r="AA256" i="1"/>
  <c r="AC256" i="1"/>
  <c r="E257" i="1"/>
  <c r="AV87" i="1" l="1"/>
  <c r="AP87" i="1"/>
  <c r="E258" i="1"/>
  <c r="AC257" i="1"/>
  <c r="AA257" i="1"/>
  <c r="AB257" i="1"/>
  <c r="AQ87" i="1" l="1"/>
  <c r="AT87" i="1"/>
  <c r="AM87" i="1"/>
  <c r="AR87" i="1"/>
  <c r="AC258" i="1"/>
  <c r="AB258" i="1"/>
  <c r="E259" i="1"/>
  <c r="AA258" i="1"/>
  <c r="AK88" i="1" l="1"/>
  <c r="AX88" i="1"/>
  <c r="AO88" i="1"/>
  <c r="AJ88" i="1"/>
  <c r="AS88" i="1" s="1"/>
  <c r="AP88" i="1" s="1"/>
  <c r="E260" i="1"/>
  <c r="AC259" i="1"/>
  <c r="AB259" i="1"/>
  <c r="AA259" i="1"/>
  <c r="AR88" i="1" l="1"/>
  <c r="AM88" i="1"/>
  <c r="AT88" i="1"/>
  <c r="AQ88" i="1"/>
  <c r="AV88" i="1"/>
  <c r="E261" i="1"/>
  <c r="AB260" i="1"/>
  <c r="AC260" i="1"/>
  <c r="AA260" i="1"/>
  <c r="AJ89" i="1" l="1"/>
  <c r="AK89" i="1"/>
  <c r="AO89" i="1"/>
  <c r="AX89" i="1"/>
  <c r="AB261" i="1"/>
  <c r="E262" i="1"/>
  <c r="AA261" i="1"/>
  <c r="AC261" i="1"/>
  <c r="AS89" i="1" l="1"/>
  <c r="AA262" i="1"/>
  <c r="AB262" i="1"/>
  <c r="AC262" i="1"/>
  <c r="E263" i="1"/>
  <c r="AV89" i="1" l="1"/>
  <c r="AP89" i="1"/>
  <c r="AR89" i="1"/>
  <c r="AB263" i="1"/>
  <c r="AC263" i="1"/>
  <c r="AA263" i="1"/>
  <c r="E264" i="1"/>
  <c r="AT89" i="1" l="1"/>
  <c r="AM89" i="1"/>
  <c r="AQ89" i="1"/>
  <c r="E265" i="1"/>
  <c r="AC264" i="1"/>
  <c r="AB264" i="1"/>
  <c r="AA264" i="1"/>
  <c r="AK90" i="1" l="1"/>
  <c r="AO90" i="1"/>
  <c r="AJ90" i="1"/>
  <c r="AS90" i="1" s="1"/>
  <c r="AX90" i="1"/>
  <c r="AA265" i="1"/>
  <c r="AB265" i="1"/>
  <c r="AC265" i="1"/>
  <c r="E266" i="1"/>
  <c r="AP90" i="1" l="1"/>
  <c r="AV90" i="1"/>
  <c r="AR90" i="1"/>
  <c r="AM90" i="1"/>
  <c r="E267" i="1"/>
  <c r="AB266" i="1"/>
  <c r="AA266" i="1"/>
  <c r="AC266" i="1"/>
  <c r="AQ90" i="1" l="1"/>
  <c r="AT90" i="1"/>
  <c r="AO91" i="1"/>
  <c r="AJ91" i="1"/>
  <c r="AK91" i="1"/>
  <c r="AX91" i="1"/>
  <c r="AB267" i="1"/>
  <c r="E268" i="1"/>
  <c r="AA267" i="1"/>
  <c r="AC267" i="1"/>
  <c r="AS91" i="1" l="1"/>
  <c r="AA268" i="1"/>
  <c r="AC268" i="1"/>
  <c r="AB268" i="1"/>
  <c r="E269" i="1"/>
  <c r="AV91" i="1" l="1"/>
  <c r="AP91" i="1"/>
  <c r="AM91" i="1"/>
  <c r="AB269" i="1"/>
  <c r="AC269" i="1"/>
  <c r="E270" i="1"/>
  <c r="AA269" i="1"/>
  <c r="AQ91" i="1" l="1"/>
  <c r="AR91" i="1"/>
  <c r="AT91" i="1"/>
  <c r="AO92" i="1"/>
  <c r="E271" i="1"/>
  <c r="AB270" i="1"/>
  <c r="AA270" i="1"/>
  <c r="AC270" i="1"/>
  <c r="AK92" i="1" l="1"/>
  <c r="AJ92" i="1"/>
  <c r="AS92" i="1" s="1"/>
  <c r="AX92" i="1"/>
  <c r="AC271" i="1"/>
  <c r="AB271" i="1"/>
  <c r="AA271" i="1"/>
  <c r="E272" i="1"/>
  <c r="AV92" i="1" l="1"/>
  <c r="AP92" i="1"/>
  <c r="AM92" i="1" s="1"/>
  <c r="AQ92" i="1"/>
  <c r="AB272" i="1"/>
  <c r="AC272" i="1"/>
  <c r="E273" i="1"/>
  <c r="AA272" i="1"/>
  <c r="AT92" i="1" l="1"/>
  <c r="AR92" i="1"/>
  <c r="AC273" i="1"/>
  <c r="AB273" i="1"/>
  <c r="E274" i="1"/>
  <c r="AA273" i="1"/>
  <c r="AO93" i="1" l="1"/>
  <c r="AJ93" i="1"/>
  <c r="AK93" i="1"/>
  <c r="AS93" i="1" s="1"/>
  <c r="AX93" i="1"/>
  <c r="E275" i="1"/>
  <c r="AB274" i="1"/>
  <c r="AC274" i="1"/>
  <c r="AA274" i="1"/>
  <c r="AP93" i="1" l="1"/>
  <c r="AV93" i="1"/>
  <c r="AB275" i="1"/>
  <c r="E276" i="1"/>
  <c r="AA275" i="1"/>
  <c r="AC275" i="1"/>
  <c r="AR93" i="1" l="1"/>
  <c r="AT93" i="1"/>
  <c r="AQ93" i="1"/>
  <c r="AM93" i="1"/>
  <c r="AA276" i="1"/>
  <c r="E277" i="1"/>
  <c r="AC276" i="1"/>
  <c r="AB276" i="1"/>
  <c r="AX94" i="1" l="1"/>
  <c r="AO94" i="1"/>
  <c r="AJ94" i="1"/>
  <c r="AK94" i="1"/>
  <c r="AA277" i="1"/>
  <c r="E278" i="1"/>
  <c r="AC277" i="1"/>
  <c r="AB277" i="1"/>
  <c r="AS94" i="1" l="1"/>
  <c r="AA278" i="1"/>
  <c r="E279" i="1"/>
  <c r="AC278" i="1"/>
  <c r="AB278" i="1"/>
  <c r="AP94" i="1" l="1"/>
  <c r="AQ94" i="1" s="1"/>
  <c r="AV94" i="1"/>
  <c r="AA279" i="1"/>
  <c r="AC279" i="1"/>
  <c r="AB279" i="1"/>
  <c r="E280" i="1"/>
  <c r="AT94" i="1" l="1"/>
  <c r="AR94" i="1"/>
  <c r="AM94" i="1"/>
  <c r="AA280" i="1"/>
  <c r="E281" i="1"/>
  <c r="AC280" i="1"/>
  <c r="AB280" i="1"/>
  <c r="AJ95" i="1" l="1"/>
  <c r="AS95" i="1" s="1"/>
  <c r="AP95" i="1" s="1"/>
  <c r="AK95" i="1"/>
  <c r="AO95" i="1"/>
  <c r="AX95" i="1"/>
  <c r="AA281" i="1"/>
  <c r="AB281" i="1"/>
  <c r="AC281" i="1"/>
  <c r="E282" i="1"/>
  <c r="AV95" i="1" l="1"/>
  <c r="AQ95" i="1"/>
  <c r="AM95" i="1"/>
  <c r="AT95" i="1"/>
  <c r="AR95" i="1"/>
  <c r="AA282" i="1"/>
  <c r="AB282" i="1"/>
  <c r="AC282" i="1"/>
  <c r="E283" i="1"/>
  <c r="AO96" i="1" l="1"/>
  <c r="AX96" i="1"/>
  <c r="AJ96" i="1"/>
  <c r="AK96" i="1"/>
  <c r="AS96" i="1" s="1"/>
  <c r="E284" i="1"/>
  <c r="AB283" i="1"/>
  <c r="AC283" i="1"/>
  <c r="AA283" i="1"/>
  <c r="AV96" i="1" l="1"/>
  <c r="AP96" i="1"/>
  <c r="E285" i="1"/>
  <c r="AA284" i="1"/>
  <c r="AB284" i="1"/>
  <c r="AC284" i="1"/>
  <c r="AQ96" i="1" l="1"/>
  <c r="AT96" i="1"/>
  <c r="AR96" i="1"/>
  <c r="AM96" i="1"/>
  <c r="E286" i="1"/>
  <c r="AA285" i="1"/>
  <c r="AB285" i="1"/>
  <c r="AC285" i="1"/>
  <c r="AX97" i="1" l="1"/>
  <c r="AJ97" i="1"/>
  <c r="AO97" i="1"/>
  <c r="AK97" i="1"/>
  <c r="AB286" i="1"/>
  <c r="E287" i="1"/>
  <c r="AC286" i="1"/>
  <c r="AA286" i="1"/>
  <c r="AS97" i="1" l="1"/>
  <c r="AA287" i="1"/>
  <c r="E288" i="1"/>
  <c r="AB287" i="1"/>
  <c r="AC287" i="1"/>
  <c r="AP97" i="1" l="1"/>
  <c r="AV97" i="1"/>
  <c r="AC288" i="1"/>
  <c r="AA288" i="1"/>
  <c r="AB288" i="1"/>
  <c r="E289" i="1"/>
  <c r="AR97" i="1" l="1"/>
  <c r="AM97" i="1"/>
  <c r="AT97" i="1"/>
  <c r="AQ97" i="1"/>
  <c r="AJ98" i="1"/>
  <c r="AO98" i="1"/>
  <c r="AC289" i="1"/>
  <c r="AB289" i="1"/>
  <c r="E290" i="1"/>
  <c r="AA289" i="1"/>
  <c r="AX98" i="1" l="1"/>
  <c r="AK98" i="1"/>
  <c r="AS98" i="1"/>
  <c r="AB290" i="1"/>
  <c r="AA290" i="1"/>
  <c r="E291" i="1"/>
  <c r="AC290" i="1"/>
  <c r="AP98" i="1" l="1"/>
  <c r="AV98" i="1"/>
  <c r="AQ98" i="1"/>
  <c r="AC291" i="1"/>
  <c r="AB291" i="1"/>
  <c r="AA291" i="1"/>
  <c r="E292" i="1"/>
  <c r="AT98" i="1" l="1"/>
  <c r="AM98" i="1"/>
  <c r="AR98" i="1"/>
  <c r="AO99" i="1"/>
  <c r="AJ99" i="1"/>
  <c r="AA292" i="1"/>
  <c r="AB292" i="1"/>
  <c r="AC292" i="1"/>
  <c r="E293" i="1"/>
  <c r="AX99" i="1" l="1"/>
  <c r="AK99" i="1"/>
  <c r="AS99" i="1"/>
  <c r="E294" i="1"/>
  <c r="AB293" i="1"/>
  <c r="AA293" i="1"/>
  <c r="AC293" i="1"/>
  <c r="AP99" i="1" l="1"/>
  <c r="AV99" i="1"/>
  <c r="E295" i="1"/>
  <c r="AC294" i="1"/>
  <c r="AB294" i="1"/>
  <c r="AA294" i="1"/>
  <c r="AQ99" i="1" l="1"/>
  <c r="AR99" i="1"/>
  <c r="AT99" i="1"/>
  <c r="AM99" i="1"/>
  <c r="AA295" i="1"/>
  <c r="AC295" i="1"/>
  <c r="E296" i="1"/>
  <c r="AB295" i="1"/>
  <c r="AO100" i="1" l="1"/>
  <c r="AJ100" i="1"/>
  <c r="AK100" i="1"/>
  <c r="AX100" i="1"/>
  <c r="E297" i="1"/>
  <c r="AA296" i="1"/>
  <c r="AB296" i="1"/>
  <c r="AC296" i="1"/>
  <c r="AS100" i="1" l="1"/>
  <c r="E298" i="1"/>
  <c r="AB297" i="1"/>
  <c r="AA297" i="1"/>
  <c r="AC297" i="1"/>
  <c r="AP100" i="1" l="1"/>
  <c r="AQ100" i="1"/>
  <c r="AV100" i="1"/>
  <c r="AA298" i="1"/>
  <c r="AC298" i="1"/>
  <c r="AB298" i="1"/>
  <c r="E299" i="1"/>
  <c r="AT100" i="1" l="1"/>
  <c r="AR100" i="1"/>
  <c r="AM100" i="1"/>
  <c r="AA299" i="1"/>
  <c r="E300" i="1"/>
  <c r="AB299" i="1"/>
  <c r="AC299" i="1"/>
  <c r="AJ101" i="1" l="1"/>
  <c r="AS101" i="1" s="1"/>
  <c r="AO101" i="1"/>
  <c r="AK101" i="1"/>
  <c r="AX101" i="1"/>
  <c r="AB300" i="1"/>
  <c r="E301" i="1"/>
  <c r="AC300" i="1"/>
  <c r="AA300" i="1"/>
  <c r="AV101" i="1" l="1"/>
  <c r="AP101" i="1"/>
  <c r="AM101" i="1"/>
  <c r="AB301" i="1"/>
  <c r="E302" i="1"/>
  <c r="AC301" i="1"/>
  <c r="AA301" i="1"/>
  <c r="AR101" i="1" l="1"/>
  <c r="AT101" i="1"/>
  <c r="AQ101" i="1"/>
  <c r="AK102" i="1"/>
  <c r="E303" i="1"/>
  <c r="AC302" i="1"/>
  <c r="AB302" i="1"/>
  <c r="AA302" i="1"/>
  <c r="AO102" i="1" l="1"/>
  <c r="AJ102" i="1"/>
  <c r="AS102" i="1" s="1"/>
  <c r="AX102" i="1"/>
  <c r="AC303" i="1"/>
  <c r="AB303" i="1"/>
  <c r="E304" i="1"/>
  <c r="AA303" i="1"/>
  <c r="AP102" i="1" l="1"/>
  <c r="AV102" i="1"/>
  <c r="AQ102" i="1"/>
  <c r="AR102" i="1"/>
  <c r="AM102" i="1"/>
  <c r="AT102" i="1"/>
  <c r="AB304" i="1"/>
  <c r="AA304" i="1"/>
  <c r="E305" i="1"/>
  <c r="AC304" i="1"/>
  <c r="AO103" i="1" l="1"/>
  <c r="AK103" i="1"/>
  <c r="AX103" i="1"/>
  <c r="AJ103" i="1"/>
  <c r="AS103" i="1" s="1"/>
  <c r="AB305" i="1"/>
  <c r="AA305" i="1"/>
  <c r="AC305" i="1"/>
  <c r="E306" i="1"/>
  <c r="AV103" i="1" l="1"/>
  <c r="AP103" i="1"/>
  <c r="E307" i="1"/>
  <c r="AC306" i="1"/>
  <c r="AA306" i="1"/>
  <c r="AB306" i="1"/>
  <c r="AQ103" i="1" l="1"/>
  <c r="AR103" i="1"/>
  <c r="AT103" i="1"/>
  <c r="AM103" i="1"/>
  <c r="E308" i="1"/>
  <c r="AB307" i="1"/>
  <c r="AC307" i="1"/>
  <c r="AA307" i="1"/>
  <c r="AK104" i="1" l="1"/>
  <c r="AJ104" i="1"/>
  <c r="AS104" i="1" s="1"/>
  <c r="AP104" i="1" s="1"/>
  <c r="AO104" i="1"/>
  <c r="AX104" i="1"/>
  <c r="E309" i="1"/>
  <c r="AC308" i="1"/>
  <c r="AB308" i="1"/>
  <c r="AA308" i="1"/>
  <c r="AQ104" i="1" l="1"/>
  <c r="AV104" i="1"/>
  <c r="AT104" i="1"/>
  <c r="AM104" i="1"/>
  <c r="AR104" i="1"/>
  <c r="AB309" i="1"/>
  <c r="E310" i="1"/>
  <c r="AA309" i="1"/>
  <c r="AC309" i="1"/>
  <c r="AO105" i="1" l="1"/>
  <c r="AX105" i="1"/>
  <c r="AK105" i="1"/>
  <c r="AJ105" i="1"/>
  <c r="AS105" i="1" s="1"/>
  <c r="E311" i="1"/>
  <c r="AA310" i="1"/>
  <c r="AC310" i="1"/>
  <c r="AB310" i="1"/>
  <c r="AV105" i="1" l="1"/>
  <c r="AP105" i="1"/>
  <c r="AB311" i="1"/>
  <c r="AA311" i="1"/>
  <c r="AC311" i="1"/>
  <c r="E312" i="1"/>
  <c r="AQ105" i="1" l="1"/>
  <c r="AR105" i="1"/>
  <c r="AT105" i="1"/>
  <c r="AM105" i="1"/>
  <c r="AC312" i="1"/>
  <c r="E313" i="1"/>
  <c r="AA312" i="1"/>
  <c r="AB312" i="1"/>
  <c r="AK106" i="1" l="1"/>
  <c r="AJ106" i="1"/>
  <c r="AX106" i="1"/>
  <c r="AO106" i="1"/>
  <c r="AC313" i="1"/>
  <c r="E314" i="1"/>
  <c r="AB313" i="1"/>
  <c r="AA313" i="1"/>
  <c r="AS106" i="1" l="1"/>
  <c r="AB314" i="1"/>
  <c r="AA314" i="1"/>
  <c r="E315" i="1"/>
  <c r="AC314" i="1"/>
  <c r="AV106" i="1" l="1"/>
  <c r="AP106" i="1"/>
  <c r="AQ106" i="1" s="1"/>
  <c r="AT106" i="1"/>
  <c r="AM106" i="1"/>
  <c r="AR106" i="1"/>
  <c r="AA315" i="1"/>
  <c r="AB315" i="1"/>
  <c r="AC315" i="1"/>
  <c r="E316" i="1"/>
  <c r="AK107" i="1" l="1"/>
  <c r="AX107" i="1"/>
  <c r="AO107" i="1"/>
  <c r="AJ107" i="1"/>
  <c r="AA316" i="1"/>
  <c r="E317" i="1"/>
  <c r="AB316" i="1"/>
  <c r="AC316" i="1"/>
  <c r="AS107" i="1" l="1"/>
  <c r="AA317" i="1"/>
  <c r="E318" i="1"/>
  <c r="AB317" i="1"/>
  <c r="AC317" i="1"/>
  <c r="AP107" i="1" l="1"/>
  <c r="AV107" i="1"/>
  <c r="AR107" i="1"/>
  <c r="AB318" i="1"/>
  <c r="AA318" i="1"/>
  <c r="AC318" i="1"/>
  <c r="E319" i="1"/>
  <c r="AM107" i="1" l="1"/>
  <c r="AT107" i="1"/>
  <c r="AQ107" i="1"/>
  <c r="AC319" i="1"/>
  <c r="AB319" i="1"/>
  <c r="AA319" i="1"/>
  <c r="E320" i="1"/>
  <c r="AJ108" i="1" l="1"/>
  <c r="AS108" i="1" s="1"/>
  <c r="AO108" i="1"/>
  <c r="AX108" i="1"/>
  <c r="AK108" i="1"/>
  <c r="AA320" i="1"/>
  <c r="AB320" i="1"/>
  <c r="E321" i="1"/>
  <c r="AC320" i="1"/>
  <c r="AV108" i="1" l="1"/>
  <c r="AP108" i="1"/>
  <c r="AQ108" i="1"/>
  <c r="AT108" i="1"/>
  <c r="AO109" i="1" s="1"/>
  <c r="AM108" i="1"/>
  <c r="AR108" i="1"/>
  <c r="AJ109" i="1"/>
  <c r="AK109" i="1"/>
  <c r="AX109" i="1"/>
  <c r="AA321" i="1"/>
  <c r="E322" i="1"/>
  <c r="AB321" i="1"/>
  <c r="AC321" i="1"/>
  <c r="AS109" i="1" l="1"/>
  <c r="E323" i="1"/>
  <c r="AC322" i="1"/>
  <c r="AB322" i="1"/>
  <c r="AA322" i="1"/>
  <c r="AV109" i="1" l="1"/>
  <c r="AP109" i="1"/>
  <c r="AQ109" i="1"/>
  <c r="AM109" i="1"/>
  <c r="E324" i="1"/>
  <c r="AB323" i="1"/>
  <c r="AC323" i="1"/>
  <c r="AA323" i="1"/>
  <c r="AR109" i="1" l="1"/>
  <c r="AT109" i="1"/>
  <c r="AO110" i="1"/>
  <c r="AB324" i="1"/>
  <c r="E325" i="1"/>
  <c r="AA324" i="1"/>
  <c r="AC324" i="1"/>
  <c r="AX110" i="1" l="1"/>
  <c r="AK110" i="1"/>
  <c r="AJ110" i="1"/>
  <c r="AS110" i="1" s="1"/>
  <c r="AB325" i="1"/>
  <c r="AC325" i="1"/>
  <c r="E326" i="1"/>
  <c r="AA325" i="1"/>
  <c r="AP110" i="1" l="1"/>
  <c r="AV110" i="1"/>
  <c r="AA326" i="1"/>
  <c r="AC326" i="1"/>
  <c r="E327" i="1"/>
  <c r="AB326" i="1"/>
  <c r="AT110" i="1" l="1"/>
  <c r="AM110" i="1"/>
  <c r="AQ110" i="1"/>
  <c r="AR110" i="1"/>
  <c r="AK111" i="1"/>
  <c r="AO111" i="1"/>
  <c r="AJ111" i="1"/>
  <c r="AX111" i="1"/>
  <c r="AB327" i="1"/>
  <c r="E328" i="1"/>
  <c r="AC327" i="1"/>
  <c r="AA327" i="1"/>
  <c r="AS111" i="1" l="1"/>
  <c r="AC328" i="1"/>
  <c r="AA328" i="1"/>
  <c r="AB328" i="1"/>
  <c r="E329" i="1"/>
  <c r="AP111" i="1" l="1"/>
  <c r="AQ111" i="1"/>
  <c r="AV111" i="1"/>
  <c r="AB329" i="1"/>
  <c r="AC329" i="1"/>
  <c r="E330" i="1"/>
  <c r="AA329" i="1"/>
  <c r="AM111" i="1" l="1"/>
  <c r="AR111" i="1"/>
  <c r="AT111" i="1"/>
  <c r="AA330" i="1"/>
  <c r="AC330" i="1"/>
  <c r="AB330" i="1"/>
  <c r="E331" i="1"/>
  <c r="AK112" i="1" l="1"/>
  <c r="AO112" i="1"/>
  <c r="AX112" i="1"/>
  <c r="AJ112" i="1"/>
  <c r="AS112" i="1" s="1"/>
  <c r="AC331" i="1"/>
  <c r="E332" i="1"/>
  <c r="AA331" i="1"/>
  <c r="AB331" i="1"/>
  <c r="AP112" i="1" l="1"/>
  <c r="AV112" i="1"/>
  <c r="AQ112" i="1"/>
  <c r="AR112" i="1"/>
  <c r="AT112" i="1"/>
  <c r="AM112" i="1"/>
  <c r="AB332" i="1"/>
  <c r="AA332" i="1"/>
  <c r="E333" i="1"/>
  <c r="AC332" i="1"/>
  <c r="AO113" i="1" l="1"/>
  <c r="AJ113" i="1"/>
  <c r="AK113" i="1"/>
  <c r="AX113" i="1"/>
  <c r="AS113" i="1"/>
  <c r="AP113" i="1" s="1"/>
  <c r="AC333" i="1"/>
  <c r="E334" i="1"/>
  <c r="AA333" i="1"/>
  <c r="AB333" i="1"/>
  <c r="AV113" i="1" l="1"/>
  <c r="AQ113" i="1"/>
  <c r="AT113" i="1"/>
  <c r="AM113" i="1"/>
  <c r="AR113" i="1"/>
  <c r="E335" i="1"/>
  <c r="AA334" i="1"/>
  <c r="AC334" i="1"/>
  <c r="AB334" i="1"/>
  <c r="AJ114" i="1" l="1"/>
  <c r="AK114" i="1"/>
  <c r="AS114" i="1" s="1"/>
  <c r="AP114" i="1" s="1"/>
  <c r="AX114" i="1"/>
  <c r="AO114" i="1"/>
  <c r="AA335" i="1"/>
  <c r="AC335" i="1"/>
  <c r="AB335" i="1"/>
  <c r="E336" i="1"/>
  <c r="AQ114" i="1" l="1"/>
  <c r="AV114" i="1"/>
  <c r="AT114" i="1"/>
  <c r="AM114" i="1"/>
  <c r="AR114" i="1"/>
  <c r="E337" i="1"/>
  <c r="AC336" i="1"/>
  <c r="AA336" i="1"/>
  <c r="AB336" i="1"/>
  <c r="AO115" i="1" l="1"/>
  <c r="AJ115" i="1"/>
  <c r="AK115" i="1"/>
  <c r="AX115" i="1"/>
  <c r="AB337" i="1"/>
  <c r="AC337" i="1"/>
  <c r="AA337" i="1"/>
  <c r="E338" i="1"/>
  <c r="AS115" i="1" l="1"/>
  <c r="E339" i="1"/>
  <c r="AC338" i="1"/>
  <c r="AA338" i="1"/>
  <c r="AB338" i="1"/>
  <c r="AP115" i="1" l="1"/>
  <c r="AQ115" i="1" s="1"/>
  <c r="AV115" i="1"/>
  <c r="AB339" i="1"/>
  <c r="E340" i="1"/>
  <c r="AA339" i="1"/>
  <c r="AC339" i="1"/>
  <c r="AM115" i="1" l="1"/>
  <c r="AT115" i="1"/>
  <c r="AR115" i="1"/>
  <c r="AB340" i="1"/>
  <c r="E341" i="1"/>
  <c r="AC340" i="1"/>
  <c r="AA340" i="1"/>
  <c r="AK116" i="1" l="1"/>
  <c r="AX116" i="1"/>
  <c r="AO116" i="1"/>
  <c r="AJ116" i="1"/>
  <c r="AS116" i="1" s="1"/>
  <c r="AB341" i="1"/>
  <c r="AA341" i="1"/>
  <c r="AC341" i="1"/>
  <c r="E342" i="1"/>
  <c r="AV116" i="1" l="1"/>
  <c r="AP116" i="1"/>
  <c r="AQ116" i="1" s="1"/>
  <c r="E343" i="1"/>
  <c r="AC342" i="1"/>
  <c r="AA342" i="1"/>
  <c r="AB342" i="1"/>
  <c r="AT116" i="1" l="1"/>
  <c r="AM116" i="1"/>
  <c r="AR116" i="1"/>
  <c r="AC343" i="1"/>
  <c r="E344" i="1"/>
  <c r="AA343" i="1"/>
  <c r="AB343" i="1"/>
  <c r="AX117" i="1" l="1"/>
  <c r="AJ117" i="1"/>
  <c r="AK117" i="1"/>
  <c r="AO117" i="1"/>
  <c r="AA344" i="1"/>
  <c r="AC344" i="1"/>
  <c r="E345" i="1"/>
  <c r="AB344" i="1"/>
  <c r="AS117" i="1" l="1"/>
  <c r="AC345" i="1"/>
  <c r="AB345" i="1"/>
  <c r="E346" i="1"/>
  <c r="AA345" i="1"/>
  <c r="AV117" i="1" l="1"/>
  <c r="AP117" i="1"/>
  <c r="AT117" i="1" s="1"/>
  <c r="AM117" i="1"/>
  <c r="AC346" i="1"/>
  <c r="AB346" i="1"/>
  <c r="AA346" i="1"/>
  <c r="E347" i="1"/>
  <c r="AQ117" i="1" l="1"/>
  <c r="AR117" i="1"/>
  <c r="AO118" i="1"/>
  <c r="AK118" i="1"/>
  <c r="AJ118" i="1"/>
  <c r="AX118" i="1"/>
  <c r="AS118" i="1"/>
  <c r="AP118" i="1" s="1"/>
  <c r="AC347" i="1"/>
  <c r="AB347" i="1"/>
  <c r="AA347" i="1"/>
  <c r="E348" i="1"/>
  <c r="AQ118" i="1" l="1"/>
  <c r="AV118" i="1"/>
  <c r="AM118" i="1"/>
  <c r="AT118" i="1"/>
  <c r="AR118" i="1"/>
  <c r="E349" i="1"/>
  <c r="AA348" i="1"/>
  <c r="AB348" i="1"/>
  <c r="AC348" i="1"/>
  <c r="AJ119" i="1" l="1"/>
  <c r="AO119" i="1"/>
  <c r="AK119" i="1"/>
  <c r="AX119" i="1"/>
  <c r="AS119" i="1"/>
  <c r="AC349" i="1"/>
  <c r="E350" i="1"/>
  <c r="AA349" i="1"/>
  <c r="AB349" i="1"/>
  <c r="AP119" i="1" l="1"/>
  <c r="AQ119" i="1"/>
  <c r="AV119" i="1"/>
  <c r="AC350" i="1"/>
  <c r="E351" i="1"/>
  <c r="AB350" i="1"/>
  <c r="AA350" i="1"/>
  <c r="AM119" i="1" l="1"/>
  <c r="AR119" i="1"/>
  <c r="AT119" i="1"/>
  <c r="E352" i="1"/>
  <c r="AB351" i="1"/>
  <c r="AA351" i="1"/>
  <c r="AC351" i="1"/>
  <c r="AJ120" i="1" l="1"/>
  <c r="AK120" i="1"/>
  <c r="AS120" i="1"/>
  <c r="AO120" i="1"/>
  <c r="AX120" i="1"/>
  <c r="AM120" i="1"/>
  <c r="AB352" i="1"/>
  <c r="E353" i="1"/>
  <c r="AC352" i="1"/>
  <c r="AA352" i="1"/>
  <c r="AP120" i="1" l="1"/>
  <c r="AQ120" i="1"/>
  <c r="AV120" i="1"/>
  <c r="AB353" i="1"/>
  <c r="AA353" i="1"/>
  <c r="E354" i="1"/>
  <c r="AC353" i="1"/>
  <c r="AT120" i="1" l="1"/>
  <c r="AR120" i="1"/>
  <c r="AM121" i="1"/>
  <c r="E355" i="1"/>
  <c r="AA354" i="1"/>
  <c r="AC354" i="1"/>
  <c r="AB354" i="1"/>
  <c r="AX121" i="1" l="1"/>
  <c r="AJ121" i="1"/>
  <c r="AS121" i="1" s="1"/>
  <c r="AK121" i="1"/>
  <c r="AO121" i="1"/>
  <c r="AC355" i="1"/>
  <c r="AA355" i="1"/>
  <c r="AB355" i="1"/>
  <c r="E356" i="1"/>
  <c r="AQ121" i="1" l="1"/>
  <c r="AV121" i="1"/>
  <c r="AP121" i="1"/>
  <c r="AA356" i="1"/>
  <c r="E357" i="1"/>
  <c r="AB356" i="1"/>
  <c r="AC356" i="1"/>
  <c r="AR121" i="1" l="1"/>
  <c r="AT121" i="1"/>
  <c r="E358" i="1"/>
  <c r="AB357" i="1"/>
  <c r="AC357" i="1"/>
  <c r="AA357" i="1"/>
  <c r="AP122" i="1" l="1"/>
  <c r="AM122" i="1"/>
  <c r="AX122" i="1"/>
  <c r="AJ122" i="1"/>
  <c r="AS122" i="1" s="1"/>
  <c r="AK122" i="1"/>
  <c r="AO122" i="1"/>
  <c r="AA358" i="1"/>
  <c r="AB358" i="1"/>
  <c r="E359" i="1"/>
  <c r="AC358" i="1"/>
  <c r="AT122" i="1" l="1"/>
  <c r="AP123" i="1" s="1"/>
  <c r="AR122" i="1"/>
  <c r="AQ122" i="1"/>
  <c r="AV122" i="1"/>
  <c r="E360" i="1"/>
  <c r="AA359" i="1"/>
  <c r="AB359" i="1"/>
  <c r="AC359" i="1"/>
  <c r="AX123" i="1" l="1"/>
  <c r="AR123" i="1" s="1"/>
  <c r="AO123" i="1"/>
  <c r="AK123" i="1"/>
  <c r="AJ123" i="1"/>
  <c r="AS123" i="1" s="1"/>
  <c r="AM123" i="1"/>
  <c r="AT123" i="1"/>
  <c r="AA360" i="1"/>
  <c r="AC360" i="1"/>
  <c r="AB360" i="1"/>
  <c r="E361" i="1"/>
  <c r="AV123" i="1" l="1"/>
  <c r="AQ123" i="1"/>
  <c r="AM124" i="1"/>
  <c r="AP124" i="1"/>
  <c r="AJ124" i="1"/>
  <c r="AS124" i="1" s="1"/>
  <c r="AK124" i="1"/>
  <c r="AO124" i="1"/>
  <c r="AX124" i="1"/>
  <c r="AB361" i="1"/>
  <c r="AC361" i="1"/>
  <c r="AA361" i="1"/>
  <c r="E362" i="1"/>
  <c r="AR124" i="1" l="1"/>
  <c r="AT124" i="1"/>
  <c r="AQ124" i="1"/>
  <c r="AV124" i="1"/>
  <c r="AB362" i="1"/>
  <c r="AA362" i="1"/>
  <c r="E363" i="1"/>
  <c r="AC362" i="1"/>
  <c r="AM125" i="1" l="1"/>
  <c r="AS125" i="1"/>
  <c r="AJ125" i="1"/>
  <c r="AX125" i="1"/>
  <c r="AO125" i="1"/>
  <c r="AK125" i="1"/>
  <c r="AA363" i="1"/>
  <c r="AB363" i="1"/>
  <c r="E364" i="1"/>
  <c r="AC363" i="1"/>
  <c r="AQ125" i="1" l="1"/>
  <c r="AV125" i="1"/>
  <c r="AP125" i="1"/>
  <c r="AA364" i="1"/>
  <c r="AB364" i="1"/>
  <c r="AC364" i="1"/>
  <c r="E365" i="1"/>
  <c r="AT125" i="1" l="1"/>
  <c r="AR125" i="1"/>
  <c r="AB365" i="1"/>
  <c r="AA365" i="1"/>
  <c r="AC365" i="1"/>
  <c r="E366" i="1"/>
  <c r="AP126" i="1" l="1"/>
  <c r="AT126" i="1"/>
  <c r="AP127" i="1" s="1"/>
  <c r="AM126" i="1"/>
  <c r="AX126" i="1"/>
  <c r="AO126" i="1"/>
  <c r="AK126" i="1"/>
  <c r="AJ126" i="1"/>
  <c r="AS126" i="1"/>
  <c r="AB366" i="1"/>
  <c r="E367" i="1"/>
  <c r="AC366" i="1"/>
  <c r="AA366" i="1"/>
  <c r="AK127" i="1" l="1"/>
  <c r="AX127" i="1"/>
  <c r="AJ127" i="1"/>
  <c r="AO127" i="1"/>
  <c r="AQ126" i="1"/>
  <c r="AV126" i="1"/>
  <c r="AS127" i="1" s="1"/>
  <c r="AR126" i="1"/>
  <c r="AM127" i="1"/>
  <c r="AT127" i="1"/>
  <c r="AC367" i="1"/>
  <c r="E368" i="1"/>
  <c r="AA367" i="1"/>
  <c r="AB367" i="1"/>
  <c r="AQ127" i="1" l="1"/>
  <c r="AV127" i="1"/>
  <c r="AR127" i="1"/>
  <c r="AO128" i="1"/>
  <c r="AK128" i="1"/>
  <c r="AX128" i="1"/>
  <c r="AJ128" i="1"/>
  <c r="E369" i="1"/>
  <c r="AC368" i="1"/>
  <c r="AA368" i="1"/>
  <c r="AB368" i="1"/>
  <c r="AS128" i="1" l="1"/>
  <c r="AA369" i="1"/>
  <c r="E370" i="1"/>
  <c r="AC369" i="1"/>
  <c r="AB369" i="1"/>
  <c r="AP128" i="1" l="1"/>
  <c r="AQ128" i="1" s="1"/>
  <c r="AV128" i="1"/>
  <c r="E371" i="1"/>
  <c r="AB370" i="1"/>
  <c r="AA370" i="1"/>
  <c r="AC370" i="1"/>
  <c r="AT128" i="1" l="1"/>
  <c r="AR128" i="1"/>
  <c r="AM128" i="1"/>
  <c r="AB371" i="1"/>
  <c r="AC371" i="1"/>
  <c r="E372" i="1"/>
  <c r="AA371" i="1"/>
  <c r="AO129" i="1" l="1"/>
  <c r="AK129" i="1"/>
  <c r="AJ129" i="1"/>
  <c r="AX129" i="1"/>
  <c r="E373" i="1"/>
  <c r="AB372" i="1"/>
  <c r="AA372" i="1"/>
  <c r="AC372" i="1"/>
  <c r="AS129" i="1" l="1"/>
  <c r="AB373" i="1"/>
  <c r="AC373" i="1"/>
  <c r="AA373" i="1"/>
  <c r="E374" i="1"/>
  <c r="AV129" i="1" l="1"/>
  <c r="AP129" i="1"/>
  <c r="AQ129" i="1" s="1"/>
  <c r="AB374" i="1"/>
  <c r="AA374" i="1"/>
  <c r="AC374" i="1"/>
  <c r="E375" i="1"/>
  <c r="AM129" i="1" l="1"/>
  <c r="AT129" i="1"/>
  <c r="AR129" i="1"/>
  <c r="E376" i="1"/>
  <c r="AA375" i="1"/>
  <c r="AB375" i="1"/>
  <c r="AC375" i="1"/>
  <c r="AJ130" i="1" l="1"/>
  <c r="AX130" i="1"/>
  <c r="AO130" i="1"/>
  <c r="AK130" i="1"/>
  <c r="E377" i="1"/>
  <c r="AB376" i="1"/>
  <c r="AA376" i="1"/>
  <c r="AC376" i="1"/>
  <c r="AS130" i="1" l="1"/>
  <c r="E378" i="1"/>
  <c r="AB377" i="1"/>
  <c r="AC377" i="1"/>
  <c r="AA377" i="1"/>
  <c r="AV130" i="1" l="1"/>
  <c r="AP130" i="1"/>
  <c r="AQ130" i="1" s="1"/>
  <c r="AB378" i="1"/>
  <c r="AA378" i="1"/>
  <c r="AC378" i="1"/>
  <c r="E379" i="1"/>
  <c r="AM130" i="1" l="1"/>
  <c r="AT130" i="1"/>
  <c r="AR130" i="1"/>
  <c r="AB379" i="1"/>
  <c r="AC379" i="1"/>
  <c r="AA379" i="1"/>
  <c r="E380" i="1"/>
  <c r="AX131" i="1" l="1"/>
  <c r="AJ131" i="1"/>
  <c r="AO131" i="1"/>
  <c r="AK131" i="1"/>
  <c r="AA380" i="1"/>
  <c r="AB380" i="1"/>
  <c r="AC380" i="1"/>
  <c r="E381" i="1"/>
  <c r="AS131" i="1" l="1"/>
  <c r="E382" i="1"/>
  <c r="AA381" i="1"/>
  <c r="AC381" i="1"/>
  <c r="AB381" i="1"/>
  <c r="AP131" i="1" l="1"/>
  <c r="AQ131" i="1"/>
  <c r="AV131" i="1"/>
  <c r="AC382" i="1"/>
  <c r="E383" i="1"/>
  <c r="AA382" i="1"/>
  <c r="AB382" i="1"/>
  <c r="AT131" i="1" l="1"/>
  <c r="AR131" i="1"/>
  <c r="AM131" i="1"/>
  <c r="E384" i="1"/>
  <c r="AB383" i="1"/>
  <c r="AC383" i="1"/>
  <c r="AA383" i="1"/>
  <c r="AK132" i="1" l="1"/>
  <c r="AO132" i="1"/>
  <c r="AJ132" i="1"/>
  <c r="AS132" i="1" s="1"/>
  <c r="AX132" i="1"/>
  <c r="AA384" i="1"/>
  <c r="E385" i="1"/>
  <c r="AB384" i="1"/>
  <c r="AC384" i="1"/>
  <c r="AV132" i="1" l="1"/>
  <c r="AP132" i="1"/>
  <c r="AQ132" i="1" s="1"/>
  <c r="AC385" i="1"/>
  <c r="AA385" i="1"/>
  <c r="AB385" i="1"/>
  <c r="E386" i="1"/>
  <c r="AR132" i="1" l="1"/>
  <c r="AT132" i="1"/>
  <c r="AM132" i="1"/>
  <c r="E387" i="1"/>
  <c r="AB386" i="1"/>
  <c r="AA386" i="1"/>
  <c r="AC386" i="1"/>
  <c r="AO133" i="1" l="1"/>
  <c r="AK133" i="1"/>
  <c r="AX133" i="1"/>
  <c r="AJ133" i="1"/>
  <c r="AS133" i="1" s="1"/>
  <c r="AC387" i="1"/>
  <c r="AB387" i="1"/>
  <c r="AA387" i="1"/>
  <c r="E388" i="1"/>
  <c r="AV133" i="1" l="1"/>
  <c r="AP133" i="1"/>
  <c r="AQ133" i="1" s="1"/>
  <c r="E389" i="1"/>
  <c r="AA388" i="1"/>
  <c r="AC388" i="1"/>
  <c r="AB388" i="1"/>
  <c r="AT133" i="1" l="1"/>
  <c r="AM133" i="1"/>
  <c r="AR133" i="1"/>
  <c r="AB389" i="1"/>
  <c r="AC389" i="1"/>
  <c r="AA389" i="1"/>
  <c r="E390" i="1"/>
  <c r="AJ134" i="1" l="1"/>
  <c r="AO134" i="1"/>
  <c r="AK134" i="1"/>
  <c r="AX134" i="1"/>
  <c r="AS134" i="1"/>
  <c r="AP134" i="1" s="1"/>
  <c r="E391" i="1"/>
  <c r="AC390" i="1"/>
  <c r="AA390" i="1"/>
  <c r="AB390" i="1"/>
  <c r="AQ134" i="1" l="1"/>
  <c r="AV134" i="1"/>
  <c r="AT134" i="1"/>
  <c r="AM134" i="1"/>
  <c r="AR134" i="1"/>
  <c r="E392" i="1"/>
  <c r="AB391" i="1"/>
  <c r="AA391" i="1"/>
  <c r="AC391" i="1"/>
  <c r="AO135" i="1" l="1"/>
  <c r="AJ135" i="1"/>
  <c r="AK135" i="1"/>
  <c r="AX135" i="1"/>
  <c r="AS135" i="1"/>
  <c r="AA392" i="1"/>
  <c r="E393" i="1"/>
  <c r="AC392" i="1"/>
  <c r="AB392" i="1"/>
  <c r="AP135" i="1" l="1"/>
  <c r="AQ135" i="1"/>
  <c r="AV135" i="1"/>
  <c r="AA393" i="1"/>
  <c r="AB393" i="1"/>
  <c r="AC393" i="1"/>
  <c r="E394" i="1"/>
  <c r="AT135" i="1" l="1"/>
  <c r="AR135" i="1"/>
  <c r="AM135" i="1"/>
  <c r="AC394" i="1"/>
  <c r="E395" i="1"/>
  <c r="AA394" i="1"/>
  <c r="AB394" i="1"/>
  <c r="AJ136" i="1" l="1"/>
  <c r="AO136" i="1"/>
  <c r="AX136" i="1"/>
  <c r="AK136" i="1"/>
  <c r="AA395" i="1"/>
  <c r="AB395" i="1"/>
  <c r="AC395" i="1"/>
  <c r="E396" i="1"/>
  <c r="AS136" i="1" l="1"/>
  <c r="AA396" i="1"/>
  <c r="AB396" i="1"/>
  <c r="E397" i="1"/>
  <c r="AC396" i="1"/>
  <c r="AV136" i="1" l="1"/>
  <c r="AP136" i="1"/>
  <c r="AB397" i="1"/>
  <c r="AA397" i="1"/>
  <c r="AC397" i="1"/>
  <c r="E398" i="1"/>
  <c r="AQ136" i="1" l="1"/>
  <c r="AT136" i="1"/>
  <c r="AM136" i="1"/>
  <c r="AR136" i="1"/>
  <c r="E399" i="1"/>
  <c r="AB398" i="1"/>
  <c r="AA398" i="1"/>
  <c r="AC398" i="1"/>
  <c r="AX137" i="1" l="1"/>
  <c r="AO137" i="1"/>
  <c r="AJ137" i="1"/>
  <c r="AK137" i="1"/>
  <c r="AS137" i="1"/>
  <c r="AV137" i="1" s="1"/>
  <c r="AM137" i="1"/>
  <c r="AC399" i="1"/>
  <c r="AB399" i="1"/>
  <c r="E400" i="1"/>
  <c r="AA399" i="1"/>
  <c r="AP137" i="1" l="1"/>
  <c r="AQ137" i="1"/>
  <c r="AB400" i="1"/>
  <c r="AC400" i="1"/>
  <c r="E401" i="1"/>
  <c r="AA400" i="1"/>
  <c r="AR137" i="1" l="1"/>
  <c r="AT137" i="1"/>
  <c r="AP138" i="1" s="1"/>
  <c r="E402" i="1"/>
  <c r="AA401" i="1"/>
  <c r="AB401" i="1"/>
  <c r="AC401" i="1"/>
  <c r="AX138" i="1" l="1"/>
  <c r="AK138" i="1"/>
  <c r="AJ138" i="1"/>
  <c r="AS138" i="1"/>
  <c r="AO138" i="1"/>
  <c r="AT138" i="1"/>
  <c r="AM138" i="1"/>
  <c r="AA402" i="1"/>
  <c r="E403" i="1"/>
  <c r="AC402" i="1"/>
  <c r="AB402" i="1"/>
  <c r="AV138" i="1" l="1"/>
  <c r="AS139" i="1" s="1"/>
  <c r="AR138" i="1"/>
  <c r="AQ138" i="1"/>
  <c r="AO139" i="1"/>
  <c r="AJ139" i="1"/>
  <c r="AK139" i="1"/>
  <c r="AX139" i="1"/>
  <c r="AA403" i="1"/>
  <c r="AC403" i="1"/>
  <c r="E404" i="1"/>
  <c r="AB403" i="1"/>
  <c r="AV139" i="1" l="1"/>
  <c r="AP139" i="1"/>
  <c r="AQ139" i="1" s="1"/>
  <c r="AA404" i="1"/>
  <c r="AB404" i="1"/>
  <c r="E405" i="1"/>
  <c r="AC404" i="1"/>
  <c r="AT139" i="1" l="1"/>
  <c r="AM139" i="1"/>
  <c r="AR139" i="1"/>
  <c r="AA405" i="1"/>
  <c r="AC405" i="1"/>
  <c r="AB405" i="1"/>
  <c r="E406" i="1"/>
  <c r="AO140" i="1" l="1"/>
  <c r="AX140" i="1"/>
  <c r="AK140" i="1"/>
  <c r="AJ140" i="1"/>
  <c r="AS140" i="1" s="1"/>
  <c r="AP140" i="1" s="1"/>
  <c r="E407" i="1"/>
  <c r="AB406" i="1"/>
  <c r="AA406" i="1"/>
  <c r="AC406" i="1"/>
  <c r="AV140" i="1" l="1"/>
  <c r="AQ140" i="1"/>
  <c r="AM140" i="1"/>
  <c r="AT140" i="1"/>
  <c r="AR140" i="1"/>
  <c r="E408" i="1"/>
  <c r="AB407" i="1"/>
  <c r="AA407" i="1"/>
  <c r="AC407" i="1"/>
  <c r="AO141" i="1" l="1"/>
  <c r="AK141" i="1"/>
  <c r="AJ141" i="1"/>
  <c r="AS141" i="1" s="1"/>
  <c r="AX141" i="1"/>
  <c r="AB408" i="1"/>
  <c r="E409" i="1"/>
  <c r="AA408" i="1"/>
  <c r="AC408" i="1"/>
  <c r="AQ141" i="1" l="1"/>
  <c r="AV141" i="1"/>
  <c r="AP141" i="1"/>
  <c r="AC409" i="1"/>
  <c r="AA409" i="1"/>
  <c r="E410" i="1"/>
  <c r="AB409" i="1"/>
  <c r="AT141" i="1" l="1"/>
  <c r="AM141" i="1"/>
  <c r="AR141" i="1"/>
  <c r="AB410" i="1"/>
  <c r="E411" i="1"/>
  <c r="AC410" i="1"/>
  <c r="AA410" i="1"/>
  <c r="AJ142" i="1" l="1"/>
  <c r="AK142" i="1"/>
  <c r="AO142" i="1"/>
  <c r="AX142" i="1"/>
  <c r="AS142" i="1"/>
  <c r="AP142" i="1" s="1"/>
  <c r="AC411" i="1"/>
  <c r="AB411" i="1"/>
  <c r="E412" i="1"/>
  <c r="AA411" i="1"/>
  <c r="AQ142" i="1" l="1"/>
  <c r="AV142" i="1"/>
  <c r="AR142" i="1"/>
  <c r="AT142" i="1"/>
  <c r="AM142" i="1"/>
  <c r="AB412" i="1"/>
  <c r="AA412" i="1"/>
  <c r="E413" i="1"/>
  <c r="AC412" i="1"/>
  <c r="AJ143" i="1" l="1"/>
  <c r="AO143" i="1"/>
  <c r="AX143" i="1"/>
  <c r="AK143" i="1"/>
  <c r="AS143" i="1"/>
  <c r="E414" i="1"/>
  <c r="AC413" i="1"/>
  <c r="AB413" i="1"/>
  <c r="AA413" i="1"/>
  <c r="AV143" i="1" l="1"/>
  <c r="AP143" i="1"/>
  <c r="AQ143" i="1"/>
  <c r="AM143" i="1"/>
  <c r="AA414" i="1"/>
  <c r="AC414" i="1"/>
  <c r="AB414" i="1"/>
  <c r="E415" i="1"/>
  <c r="AT143" i="1" l="1"/>
  <c r="AR143" i="1"/>
  <c r="AX144" i="1"/>
  <c r="AK144" i="1"/>
  <c r="AO144" i="1"/>
  <c r="AJ144" i="1"/>
  <c r="AS144" i="1" s="1"/>
  <c r="AA415" i="1"/>
  <c r="AB415" i="1"/>
  <c r="AC415" i="1"/>
  <c r="E416" i="1"/>
  <c r="AV144" i="1" l="1"/>
  <c r="AP144" i="1"/>
  <c r="E417" i="1"/>
  <c r="AB416" i="1"/>
  <c r="AC416" i="1"/>
  <c r="AA416" i="1"/>
  <c r="AQ144" i="1" l="1"/>
  <c r="AM144" i="1"/>
  <c r="AT144" i="1"/>
  <c r="AR144" i="1"/>
  <c r="AB417" i="1"/>
  <c r="AA417" i="1"/>
  <c r="E418" i="1"/>
  <c r="AC417" i="1"/>
  <c r="AO145" i="1" l="1"/>
  <c r="AJ145" i="1"/>
  <c r="AS145" i="1" s="1"/>
  <c r="AK145" i="1"/>
  <c r="AX145" i="1"/>
  <c r="AC418" i="1"/>
  <c r="AB418" i="1"/>
  <c r="AA418" i="1"/>
  <c r="E419" i="1"/>
  <c r="AP145" i="1" l="1"/>
  <c r="AV145" i="1"/>
  <c r="AC419" i="1"/>
  <c r="AA419" i="1"/>
  <c r="E420" i="1"/>
  <c r="AB419" i="1"/>
  <c r="AM145" i="1" l="1"/>
  <c r="AR145" i="1"/>
  <c r="AT145" i="1"/>
  <c r="AQ145" i="1"/>
  <c r="E421" i="1"/>
  <c r="AA420" i="1"/>
  <c r="AC420" i="1"/>
  <c r="AB420" i="1"/>
  <c r="AJ146" i="1" l="1"/>
  <c r="AS146" i="1" s="1"/>
  <c r="AO146" i="1"/>
  <c r="AK146" i="1"/>
  <c r="AX146" i="1"/>
  <c r="AA421" i="1"/>
  <c r="AB421" i="1"/>
  <c r="E422" i="1"/>
  <c r="AC421" i="1"/>
  <c r="AV146" i="1" l="1"/>
  <c r="AP146" i="1"/>
  <c r="AQ146" i="1" s="1"/>
  <c r="AB422" i="1"/>
  <c r="AC422" i="1"/>
  <c r="E423" i="1"/>
  <c r="AA422" i="1"/>
  <c r="AM146" i="1" l="1"/>
  <c r="AT146" i="1"/>
  <c r="AR146" i="1"/>
  <c r="AB423" i="1"/>
  <c r="AC423" i="1"/>
  <c r="AA423" i="1"/>
  <c r="E424" i="1"/>
  <c r="AO147" i="1" l="1"/>
  <c r="AX147" i="1"/>
  <c r="AJ147" i="1"/>
  <c r="AK147" i="1"/>
  <c r="AC424" i="1"/>
  <c r="E425" i="1"/>
  <c r="AA424" i="1"/>
  <c r="AB424" i="1"/>
  <c r="AS147" i="1" l="1"/>
  <c r="AC425" i="1"/>
  <c r="AB425" i="1"/>
  <c r="E426" i="1"/>
  <c r="AA425" i="1"/>
  <c r="AP147" i="1" l="1"/>
  <c r="AV147" i="1"/>
  <c r="E427" i="1"/>
  <c r="AA426" i="1"/>
  <c r="AC426" i="1"/>
  <c r="AB426" i="1"/>
  <c r="AQ147" i="1" l="1"/>
  <c r="AR147" i="1"/>
  <c r="AM147" i="1"/>
  <c r="AT147" i="1"/>
  <c r="AB427" i="1"/>
  <c r="AC427" i="1"/>
  <c r="AA427" i="1"/>
  <c r="E428" i="1"/>
  <c r="AX148" i="1" l="1"/>
  <c r="AO148" i="1"/>
  <c r="AK148" i="1"/>
  <c r="AJ148" i="1"/>
  <c r="AS148" i="1" s="1"/>
  <c r="AC428" i="1"/>
  <c r="AA428" i="1"/>
  <c r="E429" i="1"/>
  <c r="AB428" i="1"/>
  <c r="AV148" i="1" l="1"/>
  <c r="AP148" i="1"/>
  <c r="AQ148" i="1" s="1"/>
  <c r="AC429" i="1"/>
  <c r="AA429" i="1"/>
  <c r="E430" i="1"/>
  <c r="AB429" i="1"/>
  <c r="AM148" i="1" l="1"/>
  <c r="AT148" i="1"/>
  <c r="AR148" i="1"/>
  <c r="AC430" i="1"/>
  <c r="E431" i="1"/>
  <c r="AA430" i="1"/>
  <c r="AB430" i="1"/>
  <c r="AX149" i="1" l="1"/>
  <c r="AK149" i="1"/>
  <c r="AJ149" i="1"/>
  <c r="AS149" i="1" s="1"/>
  <c r="AP149" i="1" s="1"/>
  <c r="AO149" i="1"/>
  <c r="AC431" i="1"/>
  <c r="AA431" i="1"/>
  <c r="E432" i="1"/>
  <c r="AB431" i="1"/>
  <c r="AM149" i="1" l="1"/>
  <c r="AT149" i="1"/>
  <c r="AR149" i="1"/>
  <c r="AQ149" i="1"/>
  <c r="AV149" i="1"/>
  <c r="E433" i="1"/>
  <c r="AA432" i="1"/>
  <c r="AC432" i="1"/>
  <c r="AB432" i="1"/>
  <c r="AX150" i="1" l="1"/>
  <c r="AK150" i="1"/>
  <c r="AO150" i="1"/>
  <c r="AJ150" i="1"/>
  <c r="AS150" i="1" s="1"/>
  <c r="AM150" i="1"/>
  <c r="AA433" i="1"/>
  <c r="AC433" i="1"/>
  <c r="AB433" i="1"/>
  <c r="E434" i="1"/>
  <c r="AP150" i="1" l="1"/>
  <c r="AV150" i="1"/>
  <c r="AQ150" i="1"/>
  <c r="AB434" i="1"/>
  <c r="AA434" i="1"/>
  <c r="AC434" i="1"/>
  <c r="AR150" i="1" l="1"/>
  <c r="AT150" i="1"/>
  <c r="AS151" i="1"/>
  <c r="AP151" i="1"/>
  <c r="H13" i="5"/>
  <c r="H14" i="5"/>
  <c r="AK151" i="1" l="1"/>
  <c r="AM151" i="1"/>
  <c r="AJ151" i="1"/>
  <c r="AO151" i="1"/>
  <c r="AX151" i="1"/>
  <c r="AR151" i="1" s="1"/>
  <c r="AQ151" i="1"/>
  <c r="AV151" i="1"/>
  <c r="AT151" i="1"/>
  <c r="AP152" i="1" s="1"/>
  <c r="AJ152" i="1" l="1"/>
  <c r="AS152" i="1" s="1"/>
  <c r="AO152" i="1"/>
  <c r="AK152" i="1"/>
  <c r="AX152" i="1"/>
  <c r="AM152" i="1"/>
  <c r="AT152" i="1"/>
  <c r="AV152" i="1" l="1"/>
  <c r="AR152" i="1"/>
  <c r="AQ152" i="1"/>
  <c r="AK153" i="1"/>
  <c r="AO153" i="1"/>
  <c r="AJ153" i="1"/>
  <c r="AX153" i="1"/>
  <c r="H12" i="5"/>
  <c r="H11" i="5"/>
  <c r="AS153" i="1" l="1"/>
  <c r="AV153" i="1" s="1"/>
  <c r="AP153" i="1"/>
  <c r="AT153" i="1" s="1"/>
  <c r="AM153" i="1"/>
  <c r="N15" i="1"/>
  <c r="B16" i="1" s="1"/>
  <c r="V15" i="1"/>
  <c r="I15" i="1"/>
  <c r="AQ153" i="1" l="1"/>
  <c r="AR153" i="1"/>
  <c r="AK154" i="1"/>
  <c r="AJ154" i="1"/>
  <c r="AS154" i="1" s="1"/>
  <c r="AX154" i="1"/>
  <c r="AO154" i="1"/>
  <c r="A16" i="1"/>
  <c r="R16" i="1"/>
  <c r="F16" i="1"/>
  <c r="AP154" i="1" l="1"/>
  <c r="AV154" i="1"/>
  <c r="L16" i="1"/>
  <c r="AQ154" i="1" l="1"/>
  <c r="AM154" i="1"/>
  <c r="AT154" i="1"/>
  <c r="AR154" i="1"/>
  <c r="G16" i="1"/>
  <c r="P16" i="1"/>
  <c r="V16" i="1"/>
  <c r="AX155" i="1" l="1"/>
  <c r="AO155" i="1"/>
  <c r="AK155" i="1"/>
  <c r="AJ155" i="1"/>
  <c r="M16" i="1"/>
  <c r="J16" i="1"/>
  <c r="K16" i="1" s="1"/>
  <c r="H16" i="1"/>
  <c r="I16" i="1"/>
  <c r="D16" i="1"/>
  <c r="N16" i="1"/>
  <c r="AS155" i="1" l="1"/>
  <c r="B17" i="1"/>
  <c r="A17" i="1"/>
  <c r="F17" i="1"/>
  <c r="R17" i="1"/>
  <c r="AV155" i="1" l="1"/>
  <c r="AP155" i="1"/>
  <c r="AQ155" i="1"/>
  <c r="L17" i="1"/>
  <c r="AR155" i="1" l="1"/>
  <c r="AM155" i="1"/>
  <c r="AT155" i="1"/>
  <c r="V17" i="1"/>
  <c r="G17" i="1"/>
  <c r="P17" i="1"/>
  <c r="AK156" i="1" l="1"/>
  <c r="AJ156" i="1"/>
  <c r="AO156" i="1"/>
  <c r="AX156" i="1"/>
  <c r="AS156" i="1"/>
  <c r="D17" i="1"/>
  <c r="M17" i="1"/>
  <c r="J17" i="1"/>
  <c r="K17" i="1" s="1"/>
  <c r="N17" i="1"/>
  <c r="I17" i="1"/>
  <c r="H17" i="1"/>
  <c r="AV156" i="1" l="1"/>
  <c r="AP156" i="1"/>
  <c r="AQ156" i="1"/>
  <c r="B18" i="1"/>
  <c r="R18" i="1"/>
  <c r="A18" i="1"/>
  <c r="F18" i="1"/>
  <c r="AM156" i="1" l="1"/>
  <c r="AT156" i="1"/>
  <c r="AR156" i="1"/>
  <c r="L18" i="1"/>
  <c r="AX157" i="1" l="1"/>
  <c r="AJ157" i="1"/>
  <c r="AK157" i="1"/>
  <c r="AO157" i="1"/>
  <c r="AS157" i="1"/>
  <c r="AV157" i="1" s="1"/>
  <c r="AP157" i="1"/>
  <c r="G18" i="1"/>
  <c r="P18" i="1"/>
  <c r="V18" i="1"/>
  <c r="AQ157" i="1" l="1"/>
  <c r="AM157" i="1"/>
  <c r="AR157" i="1"/>
  <c r="AT157" i="1"/>
  <c r="N18" i="1"/>
  <c r="M18" i="1"/>
  <c r="D18" i="1"/>
  <c r="I18" i="1"/>
  <c r="H18" i="1"/>
  <c r="J18" i="1"/>
  <c r="K18" i="1" s="1"/>
  <c r="AK158" i="1" l="1"/>
  <c r="AJ158" i="1"/>
  <c r="AS158" i="1" s="1"/>
  <c r="AP158" i="1" s="1"/>
  <c r="AO158" i="1"/>
  <c r="AX158" i="1"/>
  <c r="R19" i="1"/>
  <c r="A19" i="1"/>
  <c r="B19" i="1"/>
  <c r="F19" i="1"/>
  <c r="AT158" i="1" l="1"/>
  <c r="AQ158" i="1"/>
  <c r="AV158" i="1"/>
  <c r="AR158" i="1"/>
  <c r="AM158" i="1"/>
  <c r="L19" i="1"/>
  <c r="AX159" i="1" l="1"/>
  <c r="AO159" i="1"/>
  <c r="AJ159" i="1"/>
  <c r="AK159" i="1"/>
  <c r="AS159" i="1" s="1"/>
  <c r="P19" i="1"/>
  <c r="G19" i="1"/>
  <c r="V19" i="1"/>
  <c r="AP159" i="1" l="1"/>
  <c r="AQ159" i="1"/>
  <c r="AV159" i="1"/>
  <c r="M19" i="1"/>
  <c r="N19" i="1"/>
  <c r="A20" i="1" s="1"/>
  <c r="H19" i="1"/>
  <c r="D19" i="1"/>
  <c r="I19" i="1"/>
  <c r="J19" i="1"/>
  <c r="K19" i="1" s="1"/>
  <c r="AR159" i="1" l="1"/>
  <c r="AM159" i="1"/>
  <c r="AT159" i="1"/>
  <c r="B20" i="1"/>
  <c r="L20" i="1" s="1"/>
  <c r="F20" i="1"/>
  <c r="R20" i="1"/>
  <c r="AX160" i="1" l="1"/>
  <c r="AO160" i="1"/>
  <c r="AK160" i="1"/>
  <c r="AJ160" i="1"/>
  <c r="AS160" i="1" s="1"/>
  <c r="G20" i="1"/>
  <c r="H20" i="1" s="1"/>
  <c r="P20" i="1"/>
  <c r="V20" i="1"/>
  <c r="AP160" i="1" l="1"/>
  <c r="AV160" i="1"/>
  <c r="M20" i="1"/>
  <c r="I20" i="1"/>
  <c r="N20" i="1"/>
  <c r="J20" i="1"/>
  <c r="K20" i="1" s="1"/>
  <c r="D20" i="1"/>
  <c r="AQ160" i="1" l="1"/>
  <c r="AM160" i="1"/>
  <c r="AR160" i="1"/>
  <c r="AT160" i="1"/>
  <c r="B21" i="1"/>
  <c r="R21" i="1"/>
  <c r="F21" i="1"/>
  <c r="A21" i="1"/>
  <c r="AX161" i="1" l="1"/>
  <c r="AO161" i="1"/>
  <c r="AJ161" i="1"/>
  <c r="AK161" i="1"/>
  <c r="L21" i="1"/>
  <c r="AS161" i="1" l="1"/>
  <c r="P21" i="1"/>
  <c r="G21" i="1"/>
  <c r="V21" i="1"/>
  <c r="AV161" i="1" l="1"/>
  <c r="AP161" i="1"/>
  <c r="AQ161" i="1"/>
  <c r="AR161" i="1"/>
  <c r="M21" i="1"/>
  <c r="N21" i="1"/>
  <c r="H21" i="1"/>
  <c r="J21" i="1"/>
  <c r="K21" i="1" s="1"/>
  <c r="I21" i="1"/>
  <c r="D21" i="1"/>
  <c r="AM161" i="1" l="1"/>
  <c r="AT161" i="1"/>
  <c r="B22" i="1"/>
  <c r="F22" i="1"/>
  <c r="A22" i="1"/>
  <c r="R22" i="1"/>
  <c r="AK162" i="1" l="1"/>
  <c r="AJ162" i="1"/>
  <c r="AX162" i="1"/>
  <c r="AO162" i="1"/>
  <c r="L22" i="1"/>
  <c r="AS162" i="1" l="1"/>
  <c r="G22" i="1"/>
  <c r="P22" i="1"/>
  <c r="V22" i="1"/>
  <c r="AP162" i="1" l="1"/>
  <c r="AQ162" i="1"/>
  <c r="AV162" i="1"/>
  <c r="M22" i="1"/>
  <c r="I22" i="1"/>
  <c r="H22" i="1"/>
  <c r="D22" i="1"/>
  <c r="N22" i="1"/>
  <c r="J22" i="1"/>
  <c r="K22" i="1" s="1"/>
  <c r="AT162" i="1" l="1"/>
  <c r="AR162" i="1"/>
  <c r="AM162" i="1"/>
  <c r="B23" i="1"/>
  <c r="R23" i="1"/>
  <c r="F23" i="1"/>
  <c r="A23" i="1"/>
  <c r="AK163" i="1" l="1"/>
  <c r="AJ163" i="1"/>
  <c r="AO163" i="1"/>
  <c r="AX163" i="1"/>
  <c r="L23" i="1"/>
  <c r="AS163" i="1" l="1"/>
  <c r="P23" i="1"/>
  <c r="G23" i="1"/>
  <c r="V23" i="1"/>
  <c r="AP163" i="1" l="1"/>
  <c r="AQ163" i="1"/>
  <c r="AV163" i="1"/>
  <c r="D23" i="1"/>
  <c r="J23" i="1"/>
  <c r="K23" i="1" s="1"/>
  <c r="I23" i="1"/>
  <c r="M23" i="1"/>
  <c r="N23" i="1"/>
  <c r="H23" i="1"/>
  <c r="AR163" i="1" l="1"/>
  <c r="AT163" i="1"/>
  <c r="AM163" i="1"/>
  <c r="R24" i="1"/>
  <c r="F24" i="1"/>
  <c r="A24" i="1"/>
  <c r="B24" i="1"/>
  <c r="AK164" i="1" l="1"/>
  <c r="AX164" i="1"/>
  <c r="AJ164" i="1"/>
  <c r="AS164" i="1" s="1"/>
  <c r="AO164" i="1"/>
  <c r="L24" i="1"/>
  <c r="AV164" i="1" l="1"/>
  <c r="AP164" i="1"/>
  <c r="AQ164" i="1" s="1"/>
  <c r="G24" i="1"/>
  <c r="P24" i="1"/>
  <c r="V24" i="1"/>
  <c r="AM164" i="1" l="1"/>
  <c r="AT164" i="1"/>
  <c r="AR164" i="1"/>
  <c r="H24" i="1"/>
  <c r="D24" i="1"/>
  <c r="N24" i="1"/>
  <c r="I24" i="1"/>
  <c r="J24" i="1"/>
  <c r="K24" i="1" s="1"/>
  <c r="M24" i="1"/>
  <c r="AO165" i="1" l="1"/>
  <c r="AJ165" i="1"/>
  <c r="AX165" i="1"/>
  <c r="AK165" i="1"/>
  <c r="F25" i="1"/>
  <c r="A25" i="1"/>
  <c r="R25" i="1"/>
  <c r="B25" i="1"/>
  <c r="AS165" i="1" l="1"/>
  <c r="L25" i="1"/>
  <c r="AP165" i="1" l="1"/>
  <c r="AV165" i="1"/>
  <c r="AM165" i="1"/>
  <c r="AQ165" i="1"/>
  <c r="G25" i="1"/>
  <c r="V25" i="1"/>
  <c r="P25" i="1"/>
  <c r="AT165" i="1" l="1"/>
  <c r="AR165" i="1"/>
  <c r="M25" i="1"/>
  <c r="J25" i="1"/>
  <c r="K25" i="1" s="1"/>
  <c r="D25" i="1"/>
  <c r="N25" i="1"/>
  <c r="I25" i="1"/>
  <c r="H25" i="1"/>
  <c r="AK166" i="1" l="1"/>
  <c r="AJ166" i="1"/>
  <c r="AX166" i="1"/>
  <c r="AO166" i="1"/>
  <c r="AS166" i="1"/>
  <c r="R26" i="1"/>
  <c r="F26" i="1"/>
  <c r="A26" i="1"/>
  <c r="B26" i="1"/>
  <c r="AP166" i="1" l="1"/>
  <c r="AQ166" i="1"/>
  <c r="AV166" i="1"/>
  <c r="L26" i="1"/>
  <c r="AM166" i="1" l="1"/>
  <c r="AT166" i="1"/>
  <c r="AR166" i="1"/>
  <c r="P26" i="1"/>
  <c r="V26" i="1"/>
  <c r="G26" i="1"/>
  <c r="AJ167" i="1" l="1"/>
  <c r="AS167" i="1" s="1"/>
  <c r="AP167" i="1" s="1"/>
  <c r="AO167" i="1"/>
  <c r="AK167" i="1"/>
  <c r="AX167" i="1"/>
  <c r="H26" i="1"/>
  <c r="I26" i="1"/>
  <c r="D26" i="1"/>
  <c r="N26" i="1"/>
  <c r="J26" i="1"/>
  <c r="K26" i="1" s="1"/>
  <c r="M26" i="1"/>
  <c r="AQ167" i="1" l="1"/>
  <c r="AV167" i="1"/>
  <c r="AM167" i="1"/>
  <c r="AT167" i="1"/>
  <c r="AR167" i="1"/>
  <c r="A27" i="1"/>
  <c r="R27" i="1"/>
  <c r="F27" i="1"/>
  <c r="B27" i="1"/>
  <c r="AK168" i="1" l="1"/>
  <c r="AO168" i="1"/>
  <c r="AX168" i="1"/>
  <c r="AJ168" i="1"/>
  <c r="AS168" i="1"/>
  <c r="AP168" i="1" s="1"/>
  <c r="L27" i="1"/>
  <c r="AQ168" i="1" l="1"/>
  <c r="AV168" i="1"/>
  <c r="AT168" i="1"/>
  <c r="AR168" i="1"/>
  <c r="AM168" i="1"/>
  <c r="P27" i="1"/>
  <c r="V27" i="1"/>
  <c r="G27" i="1"/>
  <c r="H27" i="1" s="1"/>
  <c r="AK169" i="1" l="1"/>
  <c r="AO169" i="1"/>
  <c r="AX169" i="1"/>
  <c r="AJ169" i="1"/>
  <c r="AS169" i="1" s="1"/>
  <c r="I27" i="1"/>
  <c r="D27" i="1"/>
  <c r="J27" i="1"/>
  <c r="K27" i="1" s="1"/>
  <c r="N27" i="1"/>
  <c r="M27" i="1"/>
  <c r="AP169" i="1" l="1"/>
  <c r="AT169" i="1" s="1"/>
  <c r="AV169" i="1"/>
  <c r="AM169" i="1"/>
  <c r="R28" i="1"/>
  <c r="A28" i="1"/>
  <c r="F28" i="1"/>
  <c r="B28" i="1"/>
  <c r="AR169" i="1" l="1"/>
  <c r="AQ169" i="1"/>
  <c r="AO170" i="1"/>
  <c r="AK170" i="1"/>
  <c r="AJ170" i="1"/>
  <c r="AS170" i="1" s="1"/>
  <c r="AX170" i="1"/>
  <c r="L28" i="1"/>
  <c r="AV170" i="1" l="1"/>
  <c r="AP170" i="1"/>
  <c r="V28" i="1"/>
  <c r="P28" i="1"/>
  <c r="G28" i="1"/>
  <c r="H28" i="1" s="1"/>
  <c r="AT170" i="1" l="1"/>
  <c r="AM170" i="1"/>
  <c r="AR170" i="1"/>
  <c r="AQ170" i="1"/>
  <c r="N28" i="1"/>
  <c r="J28" i="1"/>
  <c r="K28" i="1" s="1"/>
  <c r="D28" i="1"/>
  <c r="I28" i="1"/>
  <c r="M28" i="1"/>
  <c r="AX171" i="1" l="1"/>
  <c r="AK171" i="1"/>
  <c r="AO171" i="1"/>
  <c r="AJ171" i="1"/>
  <c r="A29" i="1"/>
  <c r="B29" i="1"/>
  <c r="F29" i="1"/>
  <c r="R29" i="1"/>
  <c r="AS171" i="1" l="1"/>
  <c r="L29" i="1"/>
  <c r="AP171" i="1" l="1"/>
  <c r="AQ171" i="1" s="1"/>
  <c r="AV171" i="1"/>
  <c r="P29" i="1"/>
  <c r="V29" i="1"/>
  <c r="G29" i="1"/>
  <c r="H29" i="1" s="1"/>
  <c r="AR171" i="1" l="1"/>
  <c r="AT171" i="1"/>
  <c r="AM171" i="1"/>
  <c r="D29" i="1"/>
  <c r="M29" i="1"/>
  <c r="N29" i="1"/>
  <c r="I29" i="1"/>
  <c r="J29" i="1"/>
  <c r="K29" i="1" s="1"/>
  <c r="AK172" i="1" l="1"/>
  <c r="AJ172" i="1"/>
  <c r="AS172" i="1" s="1"/>
  <c r="AO172" i="1"/>
  <c r="AX172" i="1"/>
  <c r="F30" i="1"/>
  <c r="A30" i="1"/>
  <c r="R30" i="1"/>
  <c r="B30" i="1"/>
  <c r="AP172" i="1" l="1"/>
  <c r="AV172" i="1"/>
  <c r="L30" i="1"/>
  <c r="G30" i="1" s="1"/>
  <c r="AQ172" i="1" l="1"/>
  <c r="AT172" i="1"/>
  <c r="AR172" i="1"/>
  <c r="AM172" i="1"/>
  <c r="P30" i="1"/>
  <c r="M30" i="1" s="1"/>
  <c r="V30" i="1"/>
  <c r="H30" i="1"/>
  <c r="J30" i="1"/>
  <c r="K30" i="1" s="1"/>
  <c r="N30" i="1"/>
  <c r="D30" i="1"/>
  <c r="I30" i="1"/>
  <c r="AO173" i="1" l="1"/>
  <c r="AJ173" i="1"/>
  <c r="AK173" i="1"/>
  <c r="AX173" i="1"/>
  <c r="B31" i="1"/>
  <c r="F31" i="1"/>
  <c r="R31" i="1"/>
  <c r="A31" i="1"/>
  <c r="AS173" i="1" l="1"/>
  <c r="L31" i="1"/>
  <c r="AV173" i="1" l="1"/>
  <c r="AP173" i="1"/>
  <c r="AQ173" i="1"/>
  <c r="P31" i="1"/>
  <c r="V31" i="1"/>
  <c r="G31" i="1"/>
  <c r="AR173" i="1" l="1"/>
  <c r="AM173" i="1"/>
  <c r="AT173" i="1"/>
  <c r="M31" i="1"/>
  <c r="D31" i="1"/>
  <c r="N31" i="1"/>
  <c r="J31" i="1"/>
  <c r="K31" i="1" s="1"/>
  <c r="H31" i="1"/>
  <c r="I31" i="1"/>
  <c r="AK174" i="1" l="1"/>
  <c r="AO174" i="1"/>
  <c r="AJ174" i="1"/>
  <c r="AX174" i="1"/>
  <c r="AS174" i="1"/>
  <c r="F32" i="1"/>
  <c r="B32" i="1"/>
  <c r="A32" i="1"/>
  <c r="L32" i="1" s="1"/>
  <c r="R32" i="1"/>
  <c r="AV174" i="1" l="1"/>
  <c r="AP174" i="1"/>
  <c r="AM174" i="1" s="1"/>
  <c r="P32" i="1"/>
  <c r="G32" i="1"/>
  <c r="H32" i="1" s="1"/>
  <c r="V32" i="1"/>
  <c r="AQ174" i="1" l="1"/>
  <c r="AT174" i="1"/>
  <c r="AX175" i="1" s="1"/>
  <c r="AR174" i="1"/>
  <c r="M32" i="1"/>
  <c r="I32" i="1"/>
  <c r="N32" i="1"/>
  <c r="J32" i="1"/>
  <c r="K32" i="1" s="1"/>
  <c r="D32" i="1"/>
  <c r="AJ175" i="1" l="1"/>
  <c r="AK175" i="1"/>
  <c r="AS175" i="1" s="1"/>
  <c r="AO175" i="1"/>
  <c r="F33" i="1"/>
  <c r="B33" i="1"/>
  <c r="A33" i="1"/>
  <c r="R33" i="1"/>
  <c r="L33" i="1" l="1"/>
  <c r="AP175" i="1"/>
  <c r="AQ175" i="1" s="1"/>
  <c r="AV175" i="1"/>
  <c r="G33" i="1" l="1"/>
  <c r="P33" i="1"/>
  <c r="V33" i="1"/>
  <c r="AR175" i="1"/>
  <c r="AT175" i="1"/>
  <c r="AM175" i="1"/>
  <c r="M33" i="1" l="1"/>
  <c r="H33" i="1"/>
  <c r="J33" i="1"/>
  <c r="K33" i="1" s="1"/>
  <c r="D33" i="1"/>
  <c r="I33" i="1"/>
  <c r="N33" i="1"/>
  <c r="AJ176" i="1"/>
  <c r="AK176" i="1"/>
  <c r="AS176" i="1" s="1"/>
  <c r="AX176" i="1"/>
  <c r="AO176" i="1"/>
  <c r="F34" i="1" l="1"/>
  <c r="R34" i="1"/>
  <c r="B34" i="1"/>
  <c r="A34" i="1"/>
  <c r="AP176" i="1"/>
  <c r="AV176" i="1"/>
  <c r="L34" i="1" l="1"/>
  <c r="AQ176" i="1"/>
  <c r="AM176" i="1"/>
  <c r="AR176" i="1"/>
  <c r="AT176" i="1"/>
  <c r="G34" i="1" l="1"/>
  <c r="V34" i="1"/>
  <c r="P34" i="1"/>
  <c r="M34" i="1" s="1"/>
  <c r="AJ177" i="1"/>
  <c r="AX177" i="1"/>
  <c r="AK177" i="1"/>
  <c r="AO177" i="1"/>
  <c r="AS177" i="1" l="1"/>
  <c r="D34" i="1"/>
  <c r="H34" i="1"/>
  <c r="I34" i="1"/>
  <c r="N34" i="1"/>
  <c r="J34" i="1"/>
  <c r="K34" i="1" s="1"/>
  <c r="AP177" i="1" l="1"/>
  <c r="AV177" i="1"/>
  <c r="B35" i="1"/>
  <c r="F35" i="1"/>
  <c r="R35" i="1"/>
  <c r="A35" i="1"/>
  <c r="L35" i="1" l="1"/>
  <c r="AR177" i="1"/>
  <c r="AQ177" i="1"/>
  <c r="AT177" i="1"/>
  <c r="AM177" i="1"/>
  <c r="AX178" i="1" l="1"/>
  <c r="AO178" i="1"/>
  <c r="AJ178" i="1"/>
  <c r="AK178" i="1"/>
  <c r="AS178" i="1" s="1"/>
  <c r="AV178" i="1" s="1"/>
  <c r="V35" i="1"/>
  <c r="G35" i="1"/>
  <c r="P35" i="1"/>
  <c r="M35" i="1" s="1"/>
  <c r="AP178" i="1"/>
  <c r="AQ178" i="1" l="1"/>
  <c r="J35" i="1"/>
  <c r="K35" i="1" s="1"/>
  <c r="I35" i="1"/>
  <c r="D35" i="1"/>
  <c r="H35" i="1"/>
  <c r="N35" i="1"/>
  <c r="AR178" i="1"/>
  <c r="AT178" i="1"/>
  <c r="AM178" i="1"/>
  <c r="R36" i="1" l="1"/>
  <c r="F36" i="1"/>
  <c r="A36" i="1"/>
  <c r="B36" i="1"/>
  <c r="AO179" i="1"/>
  <c r="AX179" i="1"/>
  <c r="AK179" i="1"/>
  <c r="AJ179" i="1"/>
  <c r="L36" i="1" l="1"/>
  <c r="AS179" i="1"/>
  <c r="G36" i="1" l="1"/>
  <c r="V36" i="1"/>
  <c r="H36" i="1"/>
  <c r="P36" i="1"/>
  <c r="M36" i="1" s="1"/>
  <c r="AP179" i="1"/>
  <c r="AV179" i="1"/>
  <c r="J36" i="1" l="1"/>
  <c r="K36" i="1" s="1"/>
  <c r="D36" i="1"/>
  <c r="N36" i="1"/>
  <c r="I36" i="1"/>
  <c r="AM179" i="1"/>
  <c r="AQ179" i="1"/>
  <c r="AR179" i="1"/>
  <c r="AT179" i="1"/>
  <c r="AO180" i="1" s="1"/>
  <c r="R37" i="1" l="1"/>
  <c r="A37" i="1"/>
  <c r="L37" i="1" s="1"/>
  <c r="F37" i="1"/>
  <c r="B37" i="1"/>
  <c r="AK180" i="1"/>
  <c r="AX180" i="1"/>
  <c r="AJ180" i="1"/>
  <c r="AS180" i="1" s="1"/>
  <c r="V37" i="1" l="1"/>
  <c r="P37" i="1"/>
  <c r="G37" i="1"/>
  <c r="I37" i="1" s="1"/>
  <c r="AV180" i="1"/>
  <c r="AP180" i="1"/>
  <c r="D37" i="1"/>
  <c r="H37" i="1"/>
  <c r="N37" i="1"/>
  <c r="M37" i="1"/>
  <c r="J37" i="1"/>
  <c r="K37" i="1" s="1"/>
  <c r="AT180" i="1" l="1"/>
  <c r="AQ180" i="1"/>
  <c r="AR180" i="1"/>
  <c r="AM180" i="1"/>
  <c r="R38" i="1"/>
  <c r="A38" i="1"/>
  <c r="F38" i="1"/>
  <c r="B38" i="1"/>
  <c r="L38" i="1" l="1"/>
  <c r="AO181" i="1"/>
  <c r="AK181" i="1"/>
  <c r="AJ181" i="1"/>
  <c r="AS181" i="1" s="1"/>
  <c r="AX181" i="1"/>
  <c r="V38" i="1" l="1"/>
  <c r="G38" i="1"/>
  <c r="P38" i="1"/>
  <c r="AP181" i="1"/>
  <c r="AV181" i="1"/>
  <c r="M38" i="1" l="1"/>
  <c r="H38" i="1"/>
  <c r="J38" i="1"/>
  <c r="K38" i="1" s="1"/>
  <c r="I38" i="1"/>
  <c r="D38" i="1"/>
  <c r="N38" i="1"/>
  <c r="AQ181" i="1"/>
  <c r="AM181" i="1"/>
  <c r="AT181" i="1"/>
  <c r="AR181" i="1"/>
  <c r="A39" i="1" l="1"/>
  <c r="F39" i="1"/>
  <c r="R39" i="1"/>
  <c r="B39" i="1"/>
  <c r="AK182" i="1"/>
  <c r="AX182" i="1"/>
  <c r="AO182" i="1"/>
  <c r="AJ182" i="1"/>
  <c r="AS182" i="1" s="1"/>
  <c r="L39" i="1" l="1"/>
  <c r="AV182" i="1"/>
  <c r="AP182" i="1"/>
  <c r="P39" i="1" l="1"/>
  <c r="V39" i="1"/>
  <c r="G39" i="1"/>
  <c r="AR182" i="1"/>
  <c r="AQ182" i="1"/>
  <c r="AM182" i="1"/>
  <c r="AT182" i="1"/>
  <c r="I39" i="1"/>
  <c r="D39" i="1"/>
  <c r="N39" i="1"/>
  <c r="M39" i="1"/>
  <c r="H39" i="1"/>
  <c r="J39" i="1"/>
  <c r="K39" i="1" s="1"/>
  <c r="AJ183" i="1" l="1"/>
  <c r="AO183" i="1"/>
  <c r="AK183" i="1"/>
  <c r="AX183" i="1"/>
  <c r="R40" i="1"/>
  <c r="A40" i="1"/>
  <c r="B40" i="1"/>
  <c r="F40" i="1"/>
  <c r="AS183" i="1" l="1"/>
  <c r="L40" i="1"/>
  <c r="AP183" i="1" l="1"/>
  <c r="AV183" i="1"/>
  <c r="AR183" i="1"/>
  <c r="AM183" i="1"/>
  <c r="P40" i="1"/>
  <c r="V40" i="1"/>
  <c r="G40" i="1"/>
  <c r="AQ183" i="1" l="1"/>
  <c r="AT183" i="1"/>
  <c r="M40" i="1"/>
  <c r="N40" i="1"/>
  <c r="A41" i="1" s="1"/>
  <c r="J40" i="1"/>
  <c r="K40" i="1" s="1"/>
  <c r="I40" i="1"/>
  <c r="H40" i="1"/>
  <c r="D40" i="1"/>
  <c r="AK184" i="1" l="1"/>
  <c r="AJ184" i="1"/>
  <c r="AS184" i="1" s="1"/>
  <c r="AV184" i="1" s="1"/>
  <c r="AO184" i="1"/>
  <c r="AX184" i="1"/>
  <c r="B41" i="1"/>
  <c r="L41" i="1" s="1"/>
  <c r="F41" i="1"/>
  <c r="R41" i="1"/>
  <c r="AP184" i="1"/>
  <c r="P41" i="1" l="1"/>
  <c r="V41" i="1"/>
  <c r="G41" i="1"/>
  <c r="AT184" i="1"/>
  <c r="AO185" i="1" s="1"/>
  <c r="AM184" i="1"/>
  <c r="AQ184" i="1"/>
  <c r="AR184" i="1"/>
  <c r="D41" i="1" l="1"/>
  <c r="J41" i="1"/>
  <c r="K41" i="1" s="1"/>
  <c r="H41" i="1"/>
  <c r="I41" i="1"/>
  <c r="N41" i="1"/>
  <c r="M41" i="1"/>
  <c r="AK185" i="1"/>
  <c r="AX185" i="1"/>
  <c r="AJ185" i="1"/>
  <c r="AS185" i="1" l="1"/>
  <c r="R42" i="1"/>
  <c r="A42" i="1"/>
  <c r="B42" i="1"/>
  <c r="F42" i="1"/>
  <c r="AV185" i="1" l="1"/>
  <c r="AP185" i="1"/>
  <c r="L42" i="1"/>
  <c r="AT185" i="1"/>
  <c r="AQ185" i="1"/>
  <c r="AM185" i="1" l="1"/>
  <c r="AR185" i="1"/>
  <c r="V42" i="1"/>
  <c r="G42" i="1"/>
  <c r="P42" i="1"/>
  <c r="AK186" i="1"/>
  <c r="AO186" i="1"/>
  <c r="AX186" i="1"/>
  <c r="AJ186" i="1"/>
  <c r="AS186" i="1" s="1"/>
  <c r="M42" i="1" l="1"/>
  <c r="I42" i="1"/>
  <c r="D42" i="1"/>
  <c r="N42" i="1"/>
  <c r="H42" i="1"/>
  <c r="J42" i="1"/>
  <c r="K42" i="1" s="1"/>
  <c r="AP186" i="1"/>
  <c r="AV186" i="1"/>
  <c r="R43" i="1" l="1"/>
  <c r="B43" i="1"/>
  <c r="F43" i="1"/>
  <c r="A43" i="1"/>
  <c r="AQ186" i="1"/>
  <c r="AM186" i="1"/>
  <c r="AT186" i="1"/>
  <c r="AO187" i="1" s="1"/>
  <c r="AR186" i="1"/>
  <c r="L43" i="1" l="1"/>
  <c r="AK187" i="1"/>
  <c r="AJ187" i="1"/>
  <c r="AX187" i="1"/>
  <c r="G43" i="1" l="1"/>
  <c r="P43" i="1"/>
  <c r="M43" i="1" s="1"/>
  <c r="V43" i="1"/>
  <c r="AS187" i="1"/>
  <c r="J43" i="1"/>
  <c r="K43" i="1" s="1"/>
  <c r="H43" i="1" l="1"/>
  <c r="N43" i="1"/>
  <c r="I43" i="1"/>
  <c r="D43" i="1"/>
  <c r="AV187" i="1"/>
  <c r="AP187" i="1"/>
  <c r="B44" i="1"/>
  <c r="R44" i="1"/>
  <c r="AM187" i="1"/>
  <c r="A44" i="1" l="1"/>
  <c r="L44" i="1" s="1"/>
  <c r="F44" i="1"/>
  <c r="AQ187" i="1"/>
  <c r="AR187" i="1"/>
  <c r="AT187" i="1"/>
  <c r="P44" i="1" l="1"/>
  <c r="V44" i="1"/>
  <c r="G44" i="1"/>
  <c r="I44" i="1" s="1"/>
  <c r="AX188" i="1"/>
  <c r="AO188" i="1"/>
  <c r="AK188" i="1"/>
  <c r="AJ188" i="1"/>
  <c r="J44" i="1"/>
  <c r="K44" i="1" s="1"/>
  <c r="M44" i="1"/>
  <c r="N44" i="1"/>
  <c r="R45" i="1" s="1"/>
  <c r="H44" i="1"/>
  <c r="D44" i="1"/>
  <c r="AS188" i="1"/>
  <c r="A45" i="1" l="1"/>
  <c r="F45" i="1"/>
  <c r="B45" i="1"/>
  <c r="AV188" i="1"/>
  <c r="AP188" i="1"/>
  <c r="L45" i="1" l="1"/>
  <c r="AQ188" i="1"/>
  <c r="AR188" i="1"/>
  <c r="AT188" i="1"/>
  <c r="AM188" i="1"/>
  <c r="V45" i="1" l="1"/>
  <c r="G45" i="1"/>
  <c r="P45" i="1"/>
  <c r="M45" i="1" s="1"/>
  <c r="AK189" i="1"/>
  <c r="AX189" i="1"/>
  <c r="AO189" i="1"/>
  <c r="AJ189" i="1"/>
  <c r="AS189" i="1" l="1"/>
  <c r="N45" i="1"/>
  <c r="H45" i="1"/>
  <c r="I45" i="1"/>
  <c r="D45" i="1"/>
  <c r="J45" i="1"/>
  <c r="K45" i="1" s="1"/>
  <c r="A46" i="1" l="1"/>
  <c r="R46" i="1"/>
  <c r="AP189" i="1"/>
  <c r="AV189" i="1"/>
  <c r="F46" i="1"/>
  <c r="B46" i="1"/>
  <c r="L46" i="1"/>
  <c r="AQ189" i="1"/>
  <c r="AM189" i="1"/>
  <c r="AR189" i="1" l="1"/>
  <c r="AT189" i="1"/>
  <c r="AX190" i="1" s="1"/>
  <c r="G46" i="1"/>
  <c r="V46" i="1"/>
  <c r="P46" i="1"/>
  <c r="AK190" i="1" l="1"/>
  <c r="AO190" i="1"/>
  <c r="AJ190" i="1"/>
  <c r="M46" i="1"/>
  <c r="H46" i="1"/>
  <c r="D46" i="1"/>
  <c r="I46" i="1"/>
  <c r="J46" i="1"/>
  <c r="K46" i="1" s="1"/>
  <c r="N46" i="1"/>
  <c r="AS190" i="1"/>
  <c r="A47" i="1" l="1"/>
  <c r="R47" i="1"/>
  <c r="B47" i="1"/>
  <c r="F47" i="1"/>
  <c r="AV190" i="1"/>
  <c r="AP190" i="1"/>
  <c r="L47" i="1" l="1"/>
  <c r="AT190" i="1"/>
  <c r="AJ191" i="1" s="1"/>
  <c r="AQ190" i="1"/>
  <c r="AM190" i="1"/>
  <c r="AR190" i="1"/>
  <c r="P47" i="1" l="1"/>
  <c r="G47" i="1"/>
  <c r="V47" i="1"/>
  <c r="AK191" i="1"/>
  <c r="AS191" i="1" s="1"/>
  <c r="AO191" i="1"/>
  <c r="AX191" i="1"/>
  <c r="M47" i="1" l="1"/>
  <c r="H47" i="1"/>
  <c r="I47" i="1"/>
  <c r="J47" i="1"/>
  <c r="K47" i="1" s="1"/>
  <c r="D47" i="1"/>
  <c r="N47" i="1"/>
  <c r="AV191" i="1"/>
  <c r="AP191" i="1"/>
  <c r="AQ191" i="1" s="1"/>
  <c r="F48" i="1" l="1"/>
  <c r="B48" i="1"/>
  <c r="R48" i="1"/>
  <c r="A48" i="1"/>
  <c r="AR191" i="1"/>
  <c r="AT191" i="1"/>
  <c r="AM191" i="1"/>
  <c r="L48" i="1" l="1"/>
  <c r="AX192" i="1"/>
  <c r="AO192" i="1"/>
  <c r="AK192" i="1"/>
  <c r="AJ192" i="1"/>
  <c r="AS192" i="1" s="1"/>
  <c r="G48" i="1" l="1"/>
  <c r="P48" i="1"/>
  <c r="M48" i="1" s="1"/>
  <c r="V48" i="1"/>
  <c r="AP192" i="1"/>
  <c r="AV192" i="1"/>
  <c r="J48" i="1" l="1"/>
  <c r="K48" i="1" s="1"/>
  <c r="D48" i="1"/>
  <c r="N48" i="1"/>
  <c r="I48" i="1"/>
  <c r="H48" i="1"/>
  <c r="AQ192" i="1"/>
  <c r="AT192" i="1"/>
  <c r="AR192" i="1"/>
  <c r="AM192" i="1"/>
  <c r="F49" i="1" l="1"/>
  <c r="A49" i="1"/>
  <c r="R49" i="1"/>
  <c r="B49" i="1"/>
  <c r="AJ193" i="1"/>
  <c r="AX193" i="1"/>
  <c r="AO193" i="1"/>
  <c r="AK193" i="1"/>
  <c r="L49" i="1"/>
  <c r="AS193" i="1" l="1"/>
  <c r="P49" i="1"/>
  <c r="G49" i="1"/>
  <c r="V49" i="1"/>
  <c r="AP193" i="1" l="1"/>
  <c r="AQ193" i="1" s="1"/>
  <c r="AV193" i="1"/>
  <c r="H49" i="1"/>
  <c r="D49" i="1"/>
  <c r="M49" i="1"/>
  <c r="J49" i="1"/>
  <c r="K49" i="1" s="1"/>
  <c r="I49" i="1"/>
  <c r="N49" i="1"/>
  <c r="AM193" i="1" l="1"/>
  <c r="AR193" i="1"/>
  <c r="AT193" i="1"/>
  <c r="R50" i="1"/>
  <c r="B50" i="1"/>
  <c r="F50" i="1"/>
  <c r="A50" i="1"/>
  <c r="AX194" i="1" l="1"/>
  <c r="AO194" i="1"/>
  <c r="AK194" i="1"/>
  <c r="AJ194" i="1"/>
  <c r="L50" i="1"/>
  <c r="AS194" i="1" l="1"/>
  <c r="P50" i="1"/>
  <c r="G50" i="1"/>
  <c r="AV194" i="1" l="1"/>
  <c r="AP194" i="1"/>
  <c r="H50" i="1"/>
  <c r="D50" i="1"/>
  <c r="K6" i="5" s="1"/>
  <c r="M50" i="1"/>
  <c r="H6" i="5"/>
  <c r="V50" i="1"/>
  <c r="N50" i="1"/>
  <c r="J50" i="1"/>
  <c r="K50" i="1" s="1"/>
  <c r="I50" i="1"/>
  <c r="AQ194" i="1" l="1"/>
  <c r="AR194" i="1"/>
  <c r="AM194" i="1"/>
  <c r="AT194" i="1"/>
  <c r="R51" i="1"/>
  <c r="A51" i="1"/>
  <c r="F51" i="1"/>
  <c r="B51" i="1"/>
  <c r="AK195" i="1" l="1"/>
  <c r="AX195" i="1"/>
  <c r="AO195" i="1"/>
  <c r="AJ195" i="1"/>
  <c r="L51" i="1"/>
  <c r="AS195" i="1" l="1"/>
  <c r="P51" i="1"/>
  <c r="V51" i="1"/>
  <c r="G51" i="1"/>
  <c r="AP195" i="1" l="1"/>
  <c r="AT195" i="1" s="1"/>
  <c r="AV195" i="1"/>
  <c r="AQ195" i="1"/>
  <c r="AR195" i="1"/>
  <c r="AM195" i="1"/>
  <c r="N51" i="1"/>
  <c r="I51" i="1"/>
  <c r="J51" i="1"/>
  <c r="K51" i="1" s="1"/>
  <c r="D51" i="1"/>
  <c r="H51" i="1"/>
  <c r="M51" i="1"/>
  <c r="AO196" i="1" l="1"/>
  <c r="AX196" i="1"/>
  <c r="AK196" i="1"/>
  <c r="AJ196" i="1"/>
  <c r="AS196" i="1" s="1"/>
  <c r="B52" i="1"/>
  <c r="F52" i="1"/>
  <c r="A52" i="1"/>
  <c r="R52" i="1"/>
  <c r="AP196" i="1" l="1"/>
  <c r="AV196" i="1"/>
  <c r="L52" i="1"/>
  <c r="AR196" i="1" l="1"/>
  <c r="AT196" i="1"/>
  <c r="AM196" i="1"/>
  <c r="AQ196" i="1"/>
  <c r="P52" i="1"/>
  <c r="V52" i="1"/>
  <c r="G52" i="1"/>
  <c r="AJ197" i="1" l="1"/>
  <c r="AX197" i="1"/>
  <c r="AO197" i="1"/>
  <c r="AK197" i="1"/>
  <c r="M52" i="1"/>
  <c r="J52" i="1"/>
  <c r="K52" i="1" s="1"/>
  <c r="I52" i="1"/>
  <c r="H52" i="1"/>
  <c r="N52" i="1"/>
  <c r="R53" i="1" s="1"/>
  <c r="D52" i="1"/>
  <c r="AS197" i="1" l="1"/>
  <c r="A53" i="1"/>
  <c r="F53" i="1"/>
  <c r="B53" i="1"/>
  <c r="AP197" i="1" l="1"/>
  <c r="AV197" i="1"/>
  <c r="L53" i="1"/>
  <c r="AT197" i="1" l="1"/>
  <c r="AK198" i="1" s="1"/>
  <c r="AQ197" i="1"/>
  <c r="AM197" i="1"/>
  <c r="AR197" i="1"/>
  <c r="V53" i="1"/>
  <c r="P53" i="1"/>
  <c r="G53" i="1"/>
  <c r="AO198" i="1" l="1"/>
  <c r="AX198" i="1"/>
  <c r="AJ198" i="1"/>
  <c r="AS198" i="1" s="1"/>
  <c r="M53" i="1"/>
  <c r="N53" i="1"/>
  <c r="H53" i="1"/>
  <c r="J53" i="1"/>
  <c r="K53" i="1" s="1"/>
  <c r="D53" i="1"/>
  <c r="I53" i="1"/>
  <c r="AP198" i="1" l="1"/>
  <c r="AQ198" i="1" s="1"/>
  <c r="AV198" i="1"/>
  <c r="B54" i="1"/>
  <c r="F54" i="1"/>
  <c r="R54" i="1"/>
  <c r="A54" i="1"/>
  <c r="AR198" i="1" l="1"/>
  <c r="AM198" i="1"/>
  <c r="AT198" i="1"/>
  <c r="L54" i="1"/>
  <c r="AJ199" i="1" l="1"/>
  <c r="AX199" i="1"/>
  <c r="AK199" i="1"/>
  <c r="AO199" i="1"/>
  <c r="V54" i="1"/>
  <c r="G54" i="1"/>
  <c r="P54" i="1"/>
  <c r="AS199" i="1" l="1"/>
  <c r="M54" i="1"/>
  <c r="D54" i="1"/>
  <c r="H54" i="1"/>
  <c r="I54" i="1"/>
  <c r="J54" i="1"/>
  <c r="K54" i="1" s="1"/>
  <c r="N54" i="1"/>
  <c r="AV199" i="1" l="1"/>
  <c r="AP199" i="1"/>
  <c r="AQ199" i="1" s="1"/>
  <c r="F55" i="1"/>
  <c r="B55" i="1"/>
  <c r="A55" i="1"/>
  <c r="R55" i="1"/>
  <c r="AR199" i="1" l="1"/>
  <c r="AM199" i="1"/>
  <c r="AT199" i="1"/>
  <c r="L55" i="1"/>
  <c r="AO200" i="1" l="1"/>
  <c r="AK200" i="1"/>
  <c r="AX200" i="1"/>
  <c r="AJ200" i="1"/>
  <c r="V55" i="1"/>
  <c r="G55" i="1"/>
  <c r="P55" i="1"/>
  <c r="AS200" i="1" l="1"/>
  <c r="H55" i="1"/>
  <c r="N55" i="1"/>
  <c r="D55" i="1"/>
  <c r="J55" i="1"/>
  <c r="K55" i="1" s="1"/>
  <c r="I55" i="1"/>
  <c r="M55" i="1"/>
  <c r="AP200" i="1" l="1"/>
  <c r="AQ200" i="1" s="1"/>
  <c r="AV200" i="1"/>
  <c r="F56" i="1"/>
  <c r="A56" i="1"/>
  <c r="R56" i="1"/>
  <c r="B56" i="1"/>
  <c r="AM200" i="1" l="1"/>
  <c r="AR200" i="1"/>
  <c r="AT200" i="1"/>
  <c r="L56" i="1"/>
  <c r="AK201" i="1" l="1"/>
  <c r="AO201" i="1"/>
  <c r="AJ201" i="1"/>
  <c r="AS201" i="1" s="1"/>
  <c r="AX201" i="1"/>
  <c r="G56" i="1"/>
  <c r="V56" i="1"/>
  <c r="P56" i="1"/>
  <c r="AP201" i="1" l="1"/>
  <c r="AV201" i="1"/>
  <c r="M56" i="1"/>
  <c r="I56" i="1"/>
  <c r="D56" i="1"/>
  <c r="J56" i="1"/>
  <c r="K56" i="1" s="1"/>
  <c r="H56" i="1"/>
  <c r="N56" i="1"/>
  <c r="AQ201" i="1" l="1"/>
  <c r="AT201" i="1"/>
  <c r="AM201" i="1"/>
  <c r="AR201" i="1"/>
  <c r="B57" i="1"/>
  <c r="R57" i="1"/>
  <c r="F57" i="1"/>
  <c r="A57" i="1"/>
  <c r="AK202" i="1" l="1"/>
  <c r="AJ202" i="1"/>
  <c r="AX202" i="1"/>
  <c r="AO202" i="1"/>
  <c r="L57" i="1"/>
  <c r="AS202" i="1" l="1"/>
  <c r="V57" i="1"/>
  <c r="P57" i="1"/>
  <c r="G57" i="1"/>
  <c r="H57" i="1"/>
  <c r="N57" i="1" l="1"/>
  <c r="I57" i="1"/>
  <c r="AP202" i="1"/>
  <c r="AQ202" i="1" s="1"/>
  <c r="AV202" i="1"/>
  <c r="J57" i="1"/>
  <c r="K57" i="1" s="1"/>
  <c r="D57" i="1"/>
  <c r="M57" i="1"/>
  <c r="R58" i="1" l="1"/>
  <c r="F58" i="1"/>
  <c r="A58" i="1"/>
  <c r="B58" i="1"/>
  <c r="AT202" i="1"/>
  <c r="AM202" i="1"/>
  <c r="AR202" i="1"/>
  <c r="L58" i="1" l="1"/>
  <c r="AJ203" i="1"/>
  <c r="AO203" i="1"/>
  <c r="AX203" i="1"/>
  <c r="AK203" i="1"/>
  <c r="P58" i="1" l="1"/>
  <c r="G58" i="1"/>
  <c r="V58" i="1"/>
  <c r="AS203" i="1"/>
  <c r="M58" i="1" l="1"/>
  <c r="I58" i="1"/>
  <c r="H58" i="1"/>
  <c r="D58" i="1"/>
  <c r="N58" i="1"/>
  <c r="J58" i="1"/>
  <c r="K58" i="1" s="1"/>
  <c r="AP203" i="1"/>
  <c r="AQ203" i="1" s="1"/>
  <c r="AV203" i="1"/>
  <c r="B59" i="1" l="1"/>
  <c r="R59" i="1"/>
  <c r="F59" i="1"/>
  <c r="A59" i="1"/>
  <c r="AR203" i="1"/>
  <c r="AM203" i="1"/>
  <c r="AT203" i="1"/>
  <c r="L59" i="1" l="1"/>
  <c r="G59" i="1" s="1"/>
  <c r="AK204" i="1"/>
  <c r="AX204" i="1"/>
  <c r="AO204" i="1"/>
  <c r="AJ204" i="1"/>
  <c r="P59" i="1" l="1"/>
  <c r="M59" i="1" s="1"/>
  <c r="V59" i="1"/>
  <c r="AS204" i="1"/>
  <c r="I59" i="1"/>
  <c r="H59" i="1"/>
  <c r="N59" i="1"/>
  <c r="J59" i="1"/>
  <c r="K59" i="1" s="1"/>
  <c r="D59" i="1"/>
  <c r="AP204" i="1" l="1"/>
  <c r="AV204" i="1"/>
  <c r="B60" i="1"/>
  <c r="A60" i="1"/>
  <c r="R60" i="1"/>
  <c r="F60" i="1"/>
  <c r="L60" i="1" l="1"/>
  <c r="AQ204" i="1"/>
  <c r="AR204" i="1"/>
  <c r="AT204" i="1"/>
  <c r="AM204" i="1"/>
  <c r="V60" i="1" l="1"/>
  <c r="G60" i="1"/>
  <c r="P60" i="1"/>
  <c r="M60" i="1" s="1"/>
  <c r="AX205" i="1"/>
  <c r="AO205" i="1"/>
  <c r="AJ205" i="1"/>
  <c r="AS205" i="1" s="1"/>
  <c r="AK205" i="1"/>
  <c r="N60" i="1" l="1"/>
  <c r="I60" i="1"/>
  <c r="D60" i="1"/>
  <c r="H60" i="1"/>
  <c r="J60" i="1"/>
  <c r="K60" i="1" s="1"/>
  <c r="AP205" i="1"/>
  <c r="AT205" i="1" s="1"/>
  <c r="AV205" i="1"/>
  <c r="AR205" i="1"/>
  <c r="AM205" i="1"/>
  <c r="AQ205" i="1"/>
  <c r="F61" i="1" l="1"/>
  <c r="B61" i="1"/>
  <c r="A61" i="1"/>
  <c r="R61" i="1"/>
  <c r="L61" i="1"/>
  <c r="AK206" i="1"/>
  <c r="AX206" i="1"/>
  <c r="AO206" i="1"/>
  <c r="AJ206" i="1"/>
  <c r="AS206" i="1" l="1"/>
  <c r="AV206" i="1" s="1"/>
  <c r="P61" i="1"/>
  <c r="V61" i="1"/>
  <c r="G61" i="1"/>
  <c r="AP206" i="1"/>
  <c r="H61" i="1" l="1"/>
  <c r="I61" i="1"/>
  <c r="N61" i="1"/>
  <c r="D61" i="1"/>
  <c r="J61" i="1"/>
  <c r="K61" i="1" s="1"/>
  <c r="M61" i="1"/>
  <c r="AQ206" i="1"/>
  <c r="AR206" i="1"/>
  <c r="AM206" i="1"/>
  <c r="AT206" i="1"/>
  <c r="R62" i="1" l="1"/>
  <c r="F62" i="1"/>
  <c r="A62" i="1"/>
  <c r="B62" i="1"/>
  <c r="AO207" i="1"/>
  <c r="AK207" i="1"/>
  <c r="AJ207" i="1"/>
  <c r="AS207" i="1" s="1"/>
  <c r="AX207" i="1"/>
  <c r="L62" i="1" l="1"/>
  <c r="AP207" i="1"/>
  <c r="AV207" i="1"/>
  <c r="AQ207" i="1" l="1"/>
  <c r="AM207" i="1"/>
  <c r="V62" i="1"/>
  <c r="P62" i="1"/>
  <c r="G62" i="1"/>
  <c r="I62" i="1" s="1"/>
  <c r="AR207" i="1"/>
  <c r="AT207" i="1"/>
  <c r="AK208" i="1" l="1"/>
  <c r="AJ208" i="1"/>
  <c r="AS208" i="1" s="1"/>
  <c r="AV208" i="1" s="1"/>
  <c r="N62" i="1"/>
  <c r="D62" i="1"/>
  <c r="H62" i="1"/>
  <c r="J62" i="1"/>
  <c r="K62" i="1" s="1"/>
  <c r="M62" i="1"/>
  <c r="AX208" i="1"/>
  <c r="AO208" i="1"/>
  <c r="AP208" i="1" l="1"/>
  <c r="F63" i="1"/>
  <c r="B63" i="1"/>
  <c r="A63" i="1"/>
  <c r="L63" i="1" s="1"/>
  <c r="R63" i="1"/>
  <c r="AQ208" i="1"/>
  <c r="AM208" i="1" l="1"/>
  <c r="AT208" i="1"/>
  <c r="AX209" i="1" s="1"/>
  <c r="AR208" i="1"/>
  <c r="V63" i="1"/>
  <c r="G63" i="1"/>
  <c r="P63" i="1"/>
  <c r="AK209" i="1"/>
  <c r="AS209" i="1" s="1"/>
  <c r="M63" i="1" l="1"/>
  <c r="AO209" i="1"/>
  <c r="AJ209" i="1"/>
  <c r="H63" i="1"/>
  <c r="D63" i="1"/>
  <c r="J63" i="1"/>
  <c r="K63" i="1" s="1"/>
  <c r="N63" i="1"/>
  <c r="I63" i="1"/>
  <c r="AV209" i="1"/>
  <c r="AP209" i="1"/>
  <c r="R64" i="1" l="1"/>
  <c r="B64" i="1"/>
  <c r="F64" i="1"/>
  <c r="A64" i="1"/>
  <c r="AQ209" i="1"/>
  <c r="AT209" i="1"/>
  <c r="AM209" i="1"/>
  <c r="AR209" i="1"/>
  <c r="L64" i="1" l="1"/>
  <c r="AX210" i="1"/>
  <c r="AO210" i="1"/>
  <c r="AJ210" i="1"/>
  <c r="AK210" i="1"/>
  <c r="G64" i="1" l="1"/>
  <c r="H64" i="1" s="1"/>
  <c r="P64" i="1"/>
  <c r="V64" i="1"/>
  <c r="AS210" i="1"/>
  <c r="N64" i="1"/>
  <c r="M64" i="1"/>
  <c r="I64" i="1"/>
  <c r="D64" i="1"/>
  <c r="J64" i="1"/>
  <c r="K64" i="1" s="1"/>
  <c r="AP210" i="1" l="1"/>
  <c r="AQ210" i="1"/>
  <c r="AV210" i="1"/>
  <c r="F65" i="1"/>
  <c r="R65" i="1"/>
  <c r="A65" i="1"/>
  <c r="B65" i="1"/>
  <c r="AM210" i="1" l="1"/>
  <c r="AT210" i="1"/>
  <c r="AR210" i="1"/>
  <c r="L65" i="1"/>
  <c r="AX211" i="1" l="1"/>
  <c r="AO211" i="1"/>
  <c r="AK211" i="1"/>
  <c r="AJ211" i="1"/>
  <c r="P65" i="1"/>
  <c r="V65" i="1"/>
  <c r="G65" i="1"/>
  <c r="AS211" i="1" l="1"/>
  <c r="N65" i="1"/>
  <c r="D65" i="1"/>
  <c r="M65" i="1"/>
  <c r="H65" i="1"/>
  <c r="I65" i="1"/>
  <c r="J65" i="1"/>
  <c r="K65" i="1" s="1"/>
  <c r="AP211" i="1" l="1"/>
  <c r="AV211" i="1"/>
  <c r="F66" i="1"/>
  <c r="R66" i="1"/>
  <c r="A66" i="1"/>
  <c r="B66" i="1"/>
  <c r="AR211" i="1" l="1"/>
  <c r="AT211" i="1"/>
  <c r="AM211" i="1"/>
  <c r="AQ211" i="1"/>
  <c r="L66" i="1"/>
  <c r="AO212" i="1" l="1"/>
  <c r="AX212" i="1"/>
  <c r="AK212" i="1"/>
  <c r="AJ212" i="1"/>
  <c r="AS212" i="1"/>
  <c r="V66" i="1"/>
  <c r="G66" i="1"/>
  <c r="P66" i="1"/>
  <c r="AP212" i="1" l="1"/>
  <c r="AR212" i="1" s="1"/>
  <c r="AV212" i="1"/>
  <c r="M66" i="1"/>
  <c r="D66" i="1"/>
  <c r="N66" i="1"/>
  <c r="H66" i="1"/>
  <c r="I66" i="1"/>
  <c r="J66" i="1"/>
  <c r="K66" i="1" s="1"/>
  <c r="AT212" i="1" l="1"/>
  <c r="AX213" i="1" s="1"/>
  <c r="AQ212" i="1"/>
  <c r="AM212" i="1"/>
  <c r="B67" i="1"/>
  <c r="A67" i="1"/>
  <c r="F67" i="1"/>
  <c r="R67" i="1"/>
  <c r="AK213" i="1" l="1"/>
  <c r="AJ213" i="1"/>
  <c r="L67" i="1"/>
  <c r="AS213" i="1"/>
  <c r="AO213" i="1"/>
  <c r="V67" i="1" l="1"/>
  <c r="G67" i="1"/>
  <c r="P67" i="1"/>
  <c r="M67" i="1" s="1"/>
  <c r="AV213" i="1"/>
  <c r="AP213" i="1"/>
  <c r="AT213" i="1" l="1"/>
  <c r="AQ213" i="1"/>
  <c r="AR213" i="1"/>
  <c r="AM213" i="1"/>
  <c r="H67" i="1"/>
  <c r="N67" i="1"/>
  <c r="D67" i="1"/>
  <c r="J67" i="1"/>
  <c r="K67" i="1" s="1"/>
  <c r="I67" i="1"/>
  <c r="AK214" i="1" l="1"/>
  <c r="AO214" i="1"/>
  <c r="AJ214" i="1"/>
  <c r="AX214" i="1"/>
  <c r="AS214" i="1"/>
  <c r="AV214" i="1" s="1"/>
  <c r="R68" i="1"/>
  <c r="F68" i="1"/>
  <c r="B68" i="1"/>
  <c r="A68" i="1"/>
  <c r="AP214" i="1"/>
  <c r="L68" i="1" l="1"/>
  <c r="AR214" i="1"/>
  <c r="AM214" i="1"/>
  <c r="AT214" i="1"/>
  <c r="AQ214" i="1"/>
  <c r="V68" i="1" l="1"/>
  <c r="G68" i="1"/>
  <c r="P68" i="1"/>
  <c r="AK215" i="1"/>
  <c r="AJ215" i="1"/>
  <c r="AX215" i="1"/>
  <c r="AO215" i="1"/>
  <c r="J68" i="1"/>
  <c r="K68" i="1" s="1"/>
  <c r="M68" i="1" l="1"/>
  <c r="H68" i="1"/>
  <c r="N68" i="1"/>
  <c r="I68" i="1"/>
  <c r="D68" i="1"/>
  <c r="AS215" i="1"/>
  <c r="AV215" i="1" s="1"/>
  <c r="AP215" i="1"/>
  <c r="A69" i="1" l="1"/>
  <c r="F69" i="1"/>
  <c r="R69" i="1"/>
  <c r="B69" i="1"/>
  <c r="L69" i="1" s="1"/>
  <c r="AQ215" i="1"/>
  <c r="AM215" i="1"/>
  <c r="AT215" i="1"/>
  <c r="AR215" i="1"/>
  <c r="AJ216" i="1" l="1"/>
  <c r="AO216" i="1"/>
  <c r="AK216" i="1"/>
  <c r="AX216" i="1"/>
  <c r="P69" i="1"/>
  <c r="V69" i="1"/>
  <c r="G69" i="1"/>
  <c r="AS216" i="1" l="1"/>
  <c r="J69" i="1"/>
  <c r="K69" i="1" s="1"/>
  <c r="D69" i="1"/>
  <c r="N69" i="1"/>
  <c r="H69" i="1"/>
  <c r="I69" i="1"/>
  <c r="M69" i="1"/>
  <c r="AP216" i="1" l="1"/>
  <c r="AQ216" i="1" s="1"/>
  <c r="AV216" i="1"/>
  <c r="A70" i="1"/>
  <c r="R70" i="1"/>
  <c r="F70" i="1"/>
  <c r="B70" i="1"/>
  <c r="AR216" i="1" l="1"/>
  <c r="AT216" i="1"/>
  <c r="AM216" i="1"/>
  <c r="L70" i="1"/>
  <c r="AO217" i="1" l="1"/>
  <c r="AX217" i="1"/>
  <c r="AK217" i="1"/>
  <c r="AJ217" i="1"/>
  <c r="AS217" i="1" s="1"/>
  <c r="V70" i="1"/>
  <c r="G70" i="1"/>
  <c r="P70" i="1"/>
  <c r="AV217" i="1" l="1"/>
  <c r="AP217" i="1"/>
  <c r="M70" i="1"/>
  <c r="J70" i="1"/>
  <c r="K70" i="1" s="1"/>
  <c r="I70" i="1"/>
  <c r="N70" i="1"/>
  <c r="H70" i="1"/>
  <c r="D70" i="1"/>
  <c r="AT217" i="1" l="1"/>
  <c r="AM217" i="1"/>
  <c r="AR217" i="1"/>
  <c r="AQ217" i="1"/>
  <c r="A71" i="1"/>
  <c r="F71" i="1"/>
  <c r="R71" i="1"/>
  <c r="B71" i="1"/>
  <c r="AX218" i="1" l="1"/>
  <c r="AJ218" i="1"/>
  <c r="AK218" i="1"/>
  <c r="AO218" i="1"/>
  <c r="L71" i="1"/>
  <c r="AS218" i="1" l="1"/>
  <c r="AP218" i="1"/>
  <c r="AV218" i="1"/>
  <c r="P71" i="1"/>
  <c r="G71" i="1"/>
  <c r="V71" i="1"/>
  <c r="AQ218" i="1" l="1"/>
  <c r="AM218" i="1"/>
  <c r="AT218" i="1"/>
  <c r="AR218" i="1"/>
  <c r="H71" i="1"/>
  <c r="M71" i="1"/>
  <c r="J71" i="1"/>
  <c r="K71" i="1" s="1"/>
  <c r="N71" i="1"/>
  <c r="I71" i="1"/>
  <c r="D71" i="1"/>
  <c r="AJ219" i="1" l="1"/>
  <c r="AX219" i="1"/>
  <c r="AK219" i="1"/>
  <c r="AO219" i="1"/>
  <c r="R72" i="1"/>
  <c r="F72" i="1"/>
  <c r="A72" i="1"/>
  <c r="B72" i="1"/>
  <c r="AS219" i="1" l="1"/>
  <c r="L72" i="1"/>
  <c r="AV219" i="1" l="1"/>
  <c r="AP219" i="1"/>
  <c r="P72" i="1"/>
  <c r="V72" i="1"/>
  <c r="G72" i="1"/>
  <c r="M72" i="1" l="1"/>
  <c r="D72" i="1"/>
  <c r="H72" i="1"/>
  <c r="I72" i="1"/>
  <c r="J72" i="1"/>
  <c r="K72" i="1" s="1"/>
  <c r="N72" i="1"/>
  <c r="AQ219" i="1"/>
  <c r="AT219" i="1"/>
  <c r="AM219" i="1"/>
  <c r="AR219" i="1"/>
  <c r="F73" i="1" l="1"/>
  <c r="A73" i="1"/>
  <c r="B73" i="1"/>
  <c r="R73" i="1"/>
  <c r="AX220" i="1"/>
  <c r="AJ220" i="1"/>
  <c r="AO220" i="1"/>
  <c r="AK220" i="1"/>
  <c r="L73" i="1" l="1"/>
  <c r="AS220" i="1"/>
  <c r="G73" i="1" l="1"/>
  <c r="P73" i="1"/>
  <c r="V73" i="1"/>
  <c r="AV220" i="1"/>
  <c r="AP220" i="1"/>
  <c r="AQ220" i="1"/>
  <c r="M73" i="1" l="1"/>
  <c r="H73" i="1"/>
  <c r="I73" i="1"/>
  <c r="N73" i="1"/>
  <c r="D73" i="1"/>
  <c r="J73" i="1"/>
  <c r="K73" i="1" s="1"/>
  <c r="AR220" i="1"/>
  <c r="AT220" i="1"/>
  <c r="AM220" i="1"/>
  <c r="A74" i="1" l="1"/>
  <c r="R74" i="1"/>
  <c r="F74" i="1"/>
  <c r="B74" i="1"/>
  <c r="AK221" i="1"/>
  <c r="AJ221" i="1"/>
  <c r="AX221" i="1"/>
  <c r="AO221" i="1"/>
  <c r="L74" i="1" l="1"/>
  <c r="AS221" i="1"/>
  <c r="AV221" i="1" s="1"/>
  <c r="AM221" i="1"/>
  <c r="G74" i="1" l="1"/>
  <c r="V74" i="1"/>
  <c r="P74" i="1"/>
  <c r="M74" i="1" s="1"/>
  <c r="AP221" i="1"/>
  <c r="AQ221" i="1"/>
  <c r="N74" i="1" l="1"/>
  <c r="F75" i="1" s="1"/>
  <c r="H74" i="1"/>
  <c r="I74" i="1"/>
  <c r="J74" i="1"/>
  <c r="K74" i="1" s="1"/>
  <c r="D74" i="1"/>
  <c r="AR221" i="1"/>
  <c r="AT221" i="1"/>
  <c r="AS222" i="1" s="1"/>
  <c r="R75" i="1"/>
  <c r="A75" i="1"/>
  <c r="B75" i="1"/>
  <c r="AO222" i="1" l="1"/>
  <c r="AK222" i="1"/>
  <c r="AX222" i="1"/>
  <c r="AJ222" i="1"/>
  <c r="AV222" i="1"/>
  <c r="AP222" i="1"/>
  <c r="L75" i="1"/>
  <c r="AM222" i="1" l="1"/>
  <c r="AT222" i="1"/>
  <c r="AR222" i="1"/>
  <c r="AQ222" i="1"/>
  <c r="V75" i="1"/>
  <c r="P75" i="1"/>
  <c r="G75" i="1"/>
  <c r="H75" i="1" s="1"/>
  <c r="AJ223" i="1" l="1"/>
  <c r="AK223" i="1"/>
  <c r="AX223" i="1"/>
  <c r="AO223" i="1"/>
  <c r="M75" i="1"/>
  <c r="N75" i="1"/>
  <c r="J75" i="1"/>
  <c r="K75" i="1" s="1"/>
  <c r="I75" i="1"/>
  <c r="D75" i="1"/>
  <c r="AS223" i="1" l="1"/>
  <c r="R76" i="1"/>
  <c r="F76" i="1"/>
  <c r="B76" i="1"/>
  <c r="A76" i="1"/>
  <c r="AV223" i="1" l="1"/>
  <c r="AP223" i="1"/>
  <c r="AQ223" i="1" s="1"/>
  <c r="L76" i="1"/>
  <c r="P76" i="1" s="1"/>
  <c r="AT223" i="1" l="1"/>
  <c r="AR223" i="1"/>
  <c r="AM223" i="1"/>
  <c r="G76" i="1"/>
  <c r="V76" i="1"/>
  <c r="AX224" i="1" l="1"/>
  <c r="AK224" i="1"/>
  <c r="AJ224" i="1"/>
  <c r="AS224" i="1" s="1"/>
  <c r="AO224" i="1"/>
  <c r="J76" i="1"/>
  <c r="K76" i="1" s="1"/>
  <c r="M76" i="1"/>
  <c r="H76" i="1"/>
  <c r="I76" i="1"/>
  <c r="D76" i="1"/>
  <c r="N76" i="1"/>
  <c r="AP224" i="1" l="1"/>
  <c r="AV224" i="1"/>
  <c r="R77" i="1"/>
  <c r="B77" i="1"/>
  <c r="F77" i="1"/>
  <c r="A77" i="1"/>
  <c r="AT224" i="1" l="1"/>
  <c r="AR224" i="1"/>
  <c r="AM224" i="1"/>
  <c r="AQ224" i="1"/>
  <c r="L77" i="1"/>
  <c r="AO225" i="1" l="1"/>
  <c r="AK225" i="1"/>
  <c r="AX225" i="1"/>
  <c r="AJ225" i="1"/>
  <c r="AS225" i="1" s="1"/>
  <c r="P77" i="1"/>
  <c r="V77" i="1"/>
  <c r="G77" i="1"/>
  <c r="J77" i="1" s="1"/>
  <c r="K77" i="1" s="1"/>
  <c r="AP225" i="1" l="1"/>
  <c r="AV225" i="1"/>
  <c r="AQ225" i="1"/>
  <c r="N77" i="1"/>
  <c r="D77" i="1"/>
  <c r="M77" i="1"/>
  <c r="H77" i="1"/>
  <c r="I77" i="1"/>
  <c r="AR225" i="1" l="1"/>
  <c r="AT225" i="1"/>
  <c r="AM225" i="1"/>
  <c r="A78" i="1"/>
  <c r="B78" i="1"/>
  <c r="L78" i="1" s="1"/>
  <c r="F78" i="1"/>
  <c r="R78" i="1"/>
  <c r="AX226" i="1" l="1"/>
  <c r="AJ226" i="1"/>
  <c r="AK226" i="1"/>
  <c r="AO226" i="1"/>
  <c r="V78" i="1"/>
  <c r="G78" i="1"/>
  <c r="P78" i="1"/>
  <c r="M78" i="1" s="1"/>
  <c r="AS226" i="1" l="1"/>
  <c r="D78" i="1"/>
  <c r="I78" i="1"/>
  <c r="H78" i="1"/>
  <c r="N78" i="1"/>
  <c r="J78" i="1"/>
  <c r="K78" i="1" s="1"/>
  <c r="AV226" i="1" l="1"/>
  <c r="AP226" i="1"/>
  <c r="AQ226" i="1" s="1"/>
  <c r="A79" i="1"/>
  <c r="R79" i="1"/>
  <c r="B79" i="1"/>
  <c r="F79" i="1"/>
  <c r="AR226" i="1" l="1"/>
  <c r="AT226" i="1"/>
  <c r="AM226" i="1"/>
  <c r="L79" i="1"/>
  <c r="P79" i="1" s="1"/>
  <c r="AP227" i="1" l="1"/>
  <c r="AX227" i="1"/>
  <c r="AO227" i="1"/>
  <c r="AK227" i="1"/>
  <c r="AS227" i="1" s="1"/>
  <c r="AJ227" i="1"/>
  <c r="G79" i="1"/>
  <c r="D79" i="1" s="1"/>
  <c r="V79" i="1"/>
  <c r="AQ227" i="1" l="1"/>
  <c r="AV227" i="1"/>
  <c r="AR227" i="1"/>
  <c r="AT227" i="1"/>
  <c r="AM227" i="1"/>
  <c r="N79" i="1"/>
  <c r="H79" i="1"/>
  <c r="M79" i="1"/>
  <c r="J79" i="1"/>
  <c r="K79" i="1" s="1"/>
  <c r="I79" i="1"/>
  <c r="AO228" i="1" l="1"/>
  <c r="AX228" i="1"/>
  <c r="AK228" i="1"/>
  <c r="AJ228" i="1"/>
  <c r="AS228" i="1" s="1"/>
  <c r="AP228" i="1" s="1"/>
  <c r="F80" i="1"/>
  <c r="R80" i="1"/>
  <c r="B80" i="1"/>
  <c r="A80" i="1"/>
  <c r="AQ228" i="1" l="1"/>
  <c r="AV228" i="1"/>
  <c r="AM228" i="1"/>
  <c r="AT228" i="1"/>
  <c r="AR228" i="1"/>
  <c r="L80" i="1"/>
  <c r="AJ229" i="1" l="1"/>
  <c r="AK229" i="1"/>
  <c r="AX229" i="1"/>
  <c r="AO229" i="1"/>
  <c r="AS229" i="1"/>
  <c r="V80" i="1"/>
  <c r="G80" i="1"/>
  <c r="P80" i="1"/>
  <c r="AP229" i="1" l="1"/>
  <c r="AV229" i="1"/>
  <c r="M80" i="1"/>
  <c r="H80" i="1"/>
  <c r="D80" i="1"/>
  <c r="N80" i="1"/>
  <c r="I80" i="1"/>
  <c r="J80" i="1"/>
  <c r="K80" i="1" s="1"/>
  <c r="AQ229" i="1" l="1"/>
  <c r="AT229" i="1"/>
  <c r="AM229" i="1"/>
  <c r="AR229" i="1"/>
  <c r="A81" i="1"/>
  <c r="F81" i="1"/>
  <c r="R81" i="1"/>
  <c r="B81" i="1"/>
  <c r="AJ230" i="1" l="1"/>
  <c r="AS230" i="1" s="1"/>
  <c r="AK230" i="1"/>
  <c r="AO230" i="1"/>
  <c r="AX230" i="1"/>
  <c r="L81" i="1"/>
  <c r="AV230" i="1" l="1"/>
  <c r="AP230" i="1"/>
  <c r="P81" i="1"/>
  <c r="G81" i="1"/>
  <c r="N81" i="1" s="1"/>
  <c r="V81" i="1"/>
  <c r="M81" i="1" l="1"/>
  <c r="AQ230" i="1"/>
  <c r="AT230" i="1"/>
  <c r="AR230" i="1"/>
  <c r="AM230" i="1"/>
  <c r="H81" i="1"/>
  <c r="I81" i="1"/>
  <c r="D81" i="1"/>
  <c r="J81" i="1"/>
  <c r="K81" i="1" s="1"/>
  <c r="A82" i="1"/>
  <c r="R82" i="1"/>
  <c r="F82" i="1"/>
  <c r="B82" i="1"/>
  <c r="AJ231" i="1" l="1"/>
  <c r="AS231" i="1" s="1"/>
  <c r="AO231" i="1"/>
  <c r="AX231" i="1"/>
  <c r="AK231" i="1"/>
  <c r="L82" i="1"/>
  <c r="AP231" i="1" l="1"/>
  <c r="AV231" i="1"/>
  <c r="V82" i="1"/>
  <c r="P82" i="1"/>
  <c r="G82" i="1"/>
  <c r="M82" i="1" l="1"/>
  <c r="H82" i="1"/>
  <c r="D82" i="1"/>
  <c r="AQ231" i="1"/>
  <c r="AM231" i="1"/>
  <c r="AT231" i="1"/>
  <c r="AR231" i="1"/>
  <c r="J82" i="1"/>
  <c r="K82" i="1" s="1"/>
  <c r="I82" i="1"/>
  <c r="N82" i="1"/>
  <c r="AX232" i="1" l="1"/>
  <c r="AJ232" i="1"/>
  <c r="AO232" i="1"/>
  <c r="AK232" i="1"/>
  <c r="R83" i="1"/>
  <c r="F83" i="1"/>
  <c r="A83" i="1"/>
  <c r="B83" i="1"/>
  <c r="L83" i="1" l="1"/>
  <c r="AS232" i="1"/>
  <c r="V83" i="1" l="1"/>
  <c r="P83" i="1"/>
  <c r="M83" i="1" s="1"/>
  <c r="G83" i="1"/>
  <c r="AV232" i="1"/>
  <c r="AP232" i="1"/>
  <c r="AQ232" i="1" s="1"/>
  <c r="D83" i="1"/>
  <c r="I83" i="1"/>
  <c r="N83" i="1"/>
  <c r="J83" i="1" l="1"/>
  <c r="K83" i="1" s="1"/>
  <c r="H83" i="1"/>
  <c r="AT232" i="1"/>
  <c r="AM232" i="1"/>
  <c r="AR232" i="1"/>
  <c r="F84" i="1"/>
  <c r="R84" i="1"/>
  <c r="B84" i="1"/>
  <c r="A84" i="1"/>
  <c r="L84" i="1" s="1"/>
  <c r="AO233" i="1" l="1"/>
  <c r="AX233" i="1"/>
  <c r="AJ233" i="1"/>
  <c r="AS233" i="1" s="1"/>
  <c r="AP233" i="1" s="1"/>
  <c r="AK233" i="1"/>
  <c r="G84" i="1"/>
  <c r="V84" i="1"/>
  <c r="P84" i="1"/>
  <c r="AM233" i="1" l="1"/>
  <c r="AR233" i="1"/>
  <c r="AT233" i="1"/>
  <c r="AQ233" i="1"/>
  <c r="AV233" i="1"/>
  <c r="M84" i="1"/>
  <c r="D84" i="1"/>
  <c r="J84" i="1"/>
  <c r="K84" i="1" s="1"/>
  <c r="H84" i="1"/>
  <c r="I84" i="1"/>
  <c r="N84" i="1"/>
  <c r="AX234" i="1" l="1"/>
  <c r="AJ234" i="1"/>
  <c r="AK234" i="1"/>
  <c r="AS234" i="1"/>
  <c r="AO234" i="1"/>
  <c r="B85" i="1"/>
  <c r="F85" i="1"/>
  <c r="A85" i="1"/>
  <c r="R85" i="1"/>
  <c r="AV234" i="1" l="1"/>
  <c r="AP234" i="1"/>
  <c r="AQ234" i="1" s="1"/>
  <c r="L85" i="1"/>
  <c r="AR234" i="1" l="1"/>
  <c r="AT234" i="1"/>
  <c r="AM234" i="1"/>
  <c r="G85" i="1"/>
  <c r="V85" i="1"/>
  <c r="P85" i="1"/>
  <c r="M85" i="1" l="1"/>
  <c r="AX235" i="1"/>
  <c r="AJ235" i="1"/>
  <c r="AS235" i="1" s="1"/>
  <c r="AK235" i="1"/>
  <c r="AO235" i="1"/>
  <c r="H85" i="1"/>
  <c r="N85" i="1"/>
  <c r="F86" i="1" s="1"/>
  <c r="D85" i="1"/>
  <c r="J85" i="1"/>
  <c r="K85" i="1" s="1"/>
  <c r="I85" i="1"/>
  <c r="AP235" i="1" l="1"/>
  <c r="AV235" i="1"/>
  <c r="B86" i="1"/>
  <c r="A86" i="1"/>
  <c r="R86" i="1"/>
  <c r="L86" i="1" l="1"/>
  <c r="AT235" i="1"/>
  <c r="AM235" i="1"/>
  <c r="AR235" i="1"/>
  <c r="AQ235" i="1"/>
  <c r="P86" i="1" l="1"/>
  <c r="V86" i="1"/>
  <c r="G86" i="1"/>
  <c r="AO236" i="1"/>
  <c r="AX236" i="1"/>
  <c r="AK236" i="1"/>
  <c r="AJ236" i="1"/>
  <c r="AS236" i="1" s="1"/>
  <c r="I86" i="1"/>
  <c r="M86" i="1" l="1"/>
  <c r="N86" i="1"/>
  <c r="H86" i="1"/>
  <c r="D86" i="1"/>
  <c r="K7" i="5" s="1"/>
  <c r="J86" i="1"/>
  <c r="K86" i="1" s="1"/>
  <c r="AV236" i="1"/>
  <c r="AP236" i="1"/>
  <c r="B87" i="1"/>
  <c r="R87" i="1"/>
  <c r="F87" i="1"/>
  <c r="A87" i="1"/>
  <c r="L87" i="1" s="1"/>
  <c r="G87" i="1" s="1"/>
  <c r="AM236" i="1" l="1"/>
  <c r="AQ236" i="1"/>
  <c r="AR236" i="1"/>
  <c r="AT236" i="1"/>
  <c r="AX237" i="1" s="1"/>
  <c r="V87" i="1"/>
  <c r="P87" i="1"/>
  <c r="M87" i="1" s="1"/>
  <c r="H87" i="1"/>
  <c r="N87" i="1"/>
  <c r="I87" i="1"/>
  <c r="D87" i="1"/>
  <c r="J87" i="1"/>
  <c r="K87" i="1" s="1"/>
  <c r="AJ237" i="1" l="1"/>
  <c r="AO237" i="1"/>
  <c r="AK237" i="1"/>
  <c r="F88" i="1"/>
  <c r="R88" i="1"/>
  <c r="B88" i="1"/>
  <c r="A88" i="1"/>
  <c r="AS237" i="1" l="1"/>
  <c r="L88" i="1"/>
  <c r="V88" i="1" s="1"/>
  <c r="AP237" i="1" l="1"/>
  <c r="AV237" i="1"/>
  <c r="P88" i="1"/>
  <c r="G88" i="1"/>
  <c r="AQ237" i="1" l="1"/>
  <c r="AR237" i="1"/>
  <c r="AM237" i="1"/>
  <c r="AT237" i="1"/>
  <c r="D88" i="1"/>
  <c r="N88" i="1"/>
  <c r="H88" i="1"/>
  <c r="I88" i="1"/>
  <c r="J88" i="1"/>
  <c r="K88" i="1" s="1"/>
  <c r="M88" i="1"/>
  <c r="AS238" i="1" l="1"/>
  <c r="AP238" i="1" s="1"/>
  <c r="AX238" i="1"/>
  <c r="AJ238" i="1"/>
  <c r="AO238" i="1"/>
  <c r="AK238" i="1"/>
  <c r="B89" i="1"/>
  <c r="F89" i="1"/>
  <c r="R89" i="1"/>
  <c r="A89" i="1"/>
  <c r="L89" i="1" l="1"/>
  <c r="P89" i="1" s="1"/>
  <c r="AQ238" i="1"/>
  <c r="AV238" i="1"/>
  <c r="AT238" i="1"/>
  <c r="AM238" i="1"/>
  <c r="AR238" i="1"/>
  <c r="V89" i="1" l="1"/>
  <c r="G89" i="1"/>
  <c r="AO239" i="1"/>
  <c r="AX239" i="1"/>
  <c r="AK239" i="1"/>
  <c r="AJ239" i="1"/>
  <c r="AS239" i="1" s="1"/>
  <c r="N89" i="1" l="1"/>
  <c r="I89" i="1"/>
  <c r="M89" i="1"/>
  <c r="H89" i="1"/>
  <c r="J89" i="1"/>
  <c r="K89" i="1" s="1"/>
  <c r="D89" i="1"/>
  <c r="AP239" i="1"/>
  <c r="AV239" i="1"/>
  <c r="AQ239" i="1"/>
  <c r="A90" i="1"/>
  <c r="F90" i="1" l="1"/>
  <c r="B90" i="1"/>
  <c r="L90" i="1" s="1"/>
  <c r="R90" i="1"/>
  <c r="AM239" i="1"/>
  <c r="AR239" i="1"/>
  <c r="AT239" i="1"/>
  <c r="AJ240" i="1"/>
  <c r="AX240" i="1"/>
  <c r="AO240" i="1"/>
  <c r="AK240" i="1"/>
  <c r="AS240" i="1"/>
  <c r="V90" i="1"/>
  <c r="P90" i="1"/>
  <c r="G90" i="1"/>
  <c r="AV240" i="1" l="1"/>
  <c r="AP240" i="1"/>
  <c r="AR240" i="1" s="1"/>
  <c r="H90" i="1"/>
  <c r="I90" i="1"/>
  <c r="M90" i="1"/>
  <c r="N90" i="1"/>
  <c r="B91" i="1" s="1"/>
  <c r="J90" i="1"/>
  <c r="K90" i="1" s="1"/>
  <c r="D90" i="1"/>
  <c r="AT240" i="1" l="1"/>
  <c r="AM240" i="1"/>
  <c r="AQ240" i="1"/>
  <c r="F91" i="1"/>
  <c r="R91" i="1"/>
  <c r="A91" i="1"/>
  <c r="L91" i="1" s="1"/>
  <c r="G91" i="1" s="1"/>
  <c r="AX241" i="1" l="1"/>
  <c r="AK241" i="1"/>
  <c r="AO241" i="1"/>
  <c r="AJ241" i="1"/>
  <c r="AS241" i="1" s="1"/>
  <c r="AP241" i="1" s="1"/>
  <c r="P91" i="1"/>
  <c r="M91" i="1" s="1"/>
  <c r="V91" i="1"/>
  <c r="J91" i="1"/>
  <c r="K91" i="1" s="1"/>
  <c r="I91" i="1"/>
  <c r="N91" i="1"/>
  <c r="D91" i="1"/>
  <c r="H91" i="1"/>
  <c r="AV241" i="1" l="1"/>
  <c r="AQ241" i="1"/>
  <c r="AM241" i="1"/>
  <c r="AR241" i="1"/>
  <c r="AT241" i="1"/>
  <c r="AJ242" i="1" s="1"/>
  <c r="A92" i="1"/>
  <c r="B92" i="1"/>
  <c r="F92" i="1"/>
  <c r="R92" i="1"/>
  <c r="L92" i="1" l="1"/>
  <c r="AX242" i="1"/>
  <c r="AO242" i="1"/>
  <c r="AK242" i="1"/>
  <c r="AS242" i="1" s="1"/>
  <c r="P92" i="1" l="1"/>
  <c r="G92" i="1"/>
  <c r="D92" i="1" s="1"/>
  <c r="V92" i="1"/>
  <c r="AV242" i="1"/>
  <c r="AP242" i="1"/>
  <c r="AQ242" i="1" s="1"/>
  <c r="M92" i="1" l="1"/>
  <c r="J92" i="1"/>
  <c r="K92" i="1" s="1"/>
  <c r="N92" i="1"/>
  <c r="B93" i="1" s="1"/>
  <c r="H92" i="1"/>
  <c r="I92" i="1"/>
  <c r="AT242" i="1"/>
  <c r="AR242" i="1"/>
  <c r="AM242" i="1"/>
  <c r="R93" i="1" l="1"/>
  <c r="A93" i="1"/>
  <c r="L93" i="1" s="1"/>
  <c r="F93" i="1"/>
  <c r="AO243" i="1"/>
  <c r="AK243" i="1"/>
  <c r="AX243" i="1"/>
  <c r="AJ243" i="1"/>
  <c r="AS243" i="1" s="1"/>
  <c r="AP243" i="1" s="1"/>
  <c r="AQ243" i="1" l="1"/>
  <c r="AV243" i="1"/>
  <c r="AM243" i="1"/>
  <c r="AT243" i="1"/>
  <c r="AR243" i="1"/>
  <c r="G93" i="1"/>
  <c r="V93" i="1"/>
  <c r="P93" i="1"/>
  <c r="AJ244" i="1" l="1"/>
  <c r="AK244" i="1"/>
  <c r="AO244" i="1"/>
  <c r="AX244" i="1"/>
  <c r="M93" i="1"/>
  <c r="J93" i="1"/>
  <c r="K93" i="1" s="1"/>
  <c r="D93" i="1"/>
  <c r="H93" i="1"/>
  <c r="I93" i="1"/>
  <c r="N93" i="1"/>
  <c r="AS244" i="1" l="1"/>
  <c r="B94" i="1"/>
  <c r="A94" i="1"/>
  <c r="R94" i="1"/>
  <c r="F94" i="1"/>
  <c r="L94" i="1" l="1"/>
  <c r="AP244" i="1"/>
  <c r="AV244" i="1"/>
  <c r="P94" i="1" l="1"/>
  <c r="V94" i="1"/>
  <c r="G94" i="1"/>
  <c r="AQ244" i="1"/>
  <c r="AM244" i="1"/>
  <c r="AT244" i="1"/>
  <c r="AR244" i="1"/>
  <c r="M94" i="1" l="1"/>
  <c r="H94" i="1"/>
  <c r="N94" i="1"/>
  <c r="D94" i="1"/>
  <c r="J94" i="1"/>
  <c r="K94" i="1" s="1"/>
  <c r="I94" i="1"/>
  <c r="AJ245" i="1"/>
  <c r="AK245" i="1"/>
  <c r="AO245" i="1"/>
  <c r="AX245" i="1"/>
  <c r="R95" i="1" l="1"/>
  <c r="F95" i="1"/>
  <c r="B95" i="1"/>
  <c r="L95" i="1" s="1"/>
  <c r="A95" i="1"/>
  <c r="AS245" i="1"/>
  <c r="AV245" i="1" l="1"/>
  <c r="AP245" i="1"/>
  <c r="AQ245" i="1" s="1"/>
  <c r="P95" i="1"/>
  <c r="G95" i="1"/>
  <c r="V95" i="1"/>
  <c r="AT245" i="1" l="1"/>
  <c r="AR245" i="1"/>
  <c r="AM245" i="1"/>
  <c r="M95" i="1"/>
  <c r="N95" i="1"/>
  <c r="H95" i="1"/>
  <c r="J95" i="1"/>
  <c r="K95" i="1" s="1"/>
  <c r="D95" i="1"/>
  <c r="I95" i="1"/>
  <c r="R96" i="1" l="1"/>
  <c r="A96" i="1"/>
  <c r="F96" i="1"/>
  <c r="B96" i="1"/>
  <c r="AK246" i="1"/>
  <c r="AJ246" i="1"/>
  <c r="AS246" i="1" s="1"/>
  <c r="AP246" i="1" s="1"/>
  <c r="AX246" i="1"/>
  <c r="AO246" i="1"/>
  <c r="L96" i="1" l="1"/>
  <c r="AQ246" i="1"/>
  <c r="AV246" i="1"/>
  <c r="AT246" i="1"/>
  <c r="AM246" i="1"/>
  <c r="AR246" i="1"/>
  <c r="P96" i="1" l="1"/>
  <c r="V96" i="1"/>
  <c r="G96" i="1"/>
  <c r="AJ247" i="1"/>
  <c r="AX247" i="1"/>
  <c r="AO247" i="1"/>
  <c r="AK247" i="1"/>
  <c r="M96" i="1" l="1"/>
  <c r="AS247" i="1"/>
  <c r="H96" i="1"/>
  <c r="I96" i="1"/>
  <c r="D96" i="1"/>
  <c r="J96" i="1"/>
  <c r="K96" i="1" s="1"/>
  <c r="N96" i="1"/>
  <c r="AV247" i="1" l="1"/>
  <c r="AP247" i="1"/>
  <c r="R97" i="1"/>
  <c r="A97" i="1"/>
  <c r="B97" i="1"/>
  <c r="F97" i="1"/>
  <c r="AM247" i="1"/>
  <c r="AQ247" i="1" l="1"/>
  <c r="AR247" i="1"/>
  <c r="AT247" i="1"/>
  <c r="L97" i="1"/>
  <c r="AO248" i="1"/>
  <c r="AK248" i="1" l="1"/>
  <c r="AX248" i="1"/>
  <c r="AJ248" i="1"/>
  <c r="AS248" i="1" s="1"/>
  <c r="AV248" i="1" s="1"/>
  <c r="G97" i="1"/>
  <c r="V97" i="1"/>
  <c r="P97" i="1"/>
  <c r="AP248" i="1"/>
  <c r="M97" i="1" l="1"/>
  <c r="H97" i="1"/>
  <c r="I97" i="1"/>
  <c r="N97" i="1"/>
  <c r="D97" i="1"/>
  <c r="J97" i="1"/>
  <c r="K97" i="1" s="1"/>
  <c r="AR248" i="1"/>
  <c r="AT248" i="1"/>
  <c r="AM248" i="1"/>
  <c r="AQ248" i="1"/>
  <c r="F98" i="1" l="1"/>
  <c r="A98" i="1"/>
  <c r="B98" i="1"/>
  <c r="R98" i="1"/>
  <c r="AX249" i="1"/>
  <c r="AJ249" i="1"/>
  <c r="AK249" i="1"/>
  <c r="AO249" i="1"/>
  <c r="L98" i="1" l="1"/>
  <c r="AS249" i="1"/>
  <c r="P98" i="1" l="1"/>
  <c r="G98" i="1"/>
  <c r="H98" i="1" s="1"/>
  <c r="V98" i="1"/>
  <c r="AV249" i="1"/>
  <c r="AP249" i="1"/>
  <c r="J98" i="1" l="1"/>
  <c r="K98" i="1" s="1"/>
  <c r="D98" i="1"/>
  <c r="I98" i="1"/>
  <c r="N98" i="1"/>
  <c r="M98" i="1"/>
  <c r="AR249" i="1"/>
  <c r="AM249" i="1"/>
  <c r="AQ249" i="1"/>
  <c r="AT249" i="1"/>
  <c r="AK250" i="1" s="1"/>
  <c r="A99" i="1" l="1"/>
  <c r="R99" i="1"/>
  <c r="B99" i="1"/>
  <c r="F99" i="1"/>
  <c r="AX250" i="1"/>
  <c r="AO250" i="1"/>
  <c r="AJ250" i="1"/>
  <c r="AS250" i="1" s="1"/>
  <c r="L99" i="1" l="1"/>
  <c r="AV250" i="1"/>
  <c r="AP250" i="1"/>
  <c r="AQ250" i="1" s="1"/>
  <c r="V99" i="1" l="1"/>
  <c r="G99" i="1"/>
  <c r="P99" i="1"/>
  <c r="M99" i="1" s="1"/>
  <c r="AR250" i="1"/>
  <c r="AM250" i="1"/>
  <c r="AT250" i="1"/>
  <c r="N99" i="1" l="1"/>
  <c r="I99" i="1"/>
  <c r="D99" i="1"/>
  <c r="J99" i="1"/>
  <c r="K99" i="1" s="1"/>
  <c r="H99" i="1"/>
  <c r="AJ251" i="1"/>
  <c r="AK251" i="1"/>
  <c r="AX251" i="1"/>
  <c r="AO251" i="1"/>
  <c r="A100" i="1" l="1"/>
  <c r="F100" i="1"/>
  <c r="B100" i="1"/>
  <c r="R100" i="1"/>
  <c r="AS251" i="1"/>
  <c r="L100" i="1" l="1"/>
  <c r="AV251" i="1"/>
  <c r="AP251" i="1"/>
  <c r="AQ251" i="1" s="1"/>
  <c r="V100" i="1" l="1"/>
  <c r="P100" i="1"/>
  <c r="G100" i="1"/>
  <c r="AT251" i="1"/>
  <c r="AM251" i="1"/>
  <c r="AR251" i="1"/>
  <c r="M100" i="1" l="1"/>
  <c r="H100" i="1"/>
  <c r="D100" i="1"/>
  <c r="J100" i="1"/>
  <c r="K100" i="1" s="1"/>
  <c r="I100" i="1"/>
  <c r="N100" i="1"/>
  <c r="AX252" i="1"/>
  <c r="AJ252" i="1"/>
  <c r="AO252" i="1"/>
  <c r="AK252" i="1"/>
  <c r="F101" i="1" l="1"/>
  <c r="R101" i="1"/>
  <c r="A101" i="1"/>
  <c r="B101" i="1"/>
  <c r="L101" i="1" s="1"/>
  <c r="AS252" i="1"/>
  <c r="G101" i="1" l="1"/>
  <c r="V101" i="1"/>
  <c r="P101" i="1"/>
  <c r="M101" i="1" s="1"/>
  <c r="H101" i="1"/>
  <c r="J101" i="1"/>
  <c r="K101" i="1" s="1"/>
  <c r="AV252" i="1"/>
  <c r="AP252" i="1"/>
  <c r="AQ252" i="1" s="1"/>
  <c r="N101" i="1" l="1"/>
  <c r="I101" i="1"/>
  <c r="D101" i="1"/>
  <c r="AT252" i="1"/>
  <c r="AM252" i="1"/>
  <c r="AR252" i="1"/>
  <c r="R102" i="1" l="1"/>
  <c r="F102" i="1"/>
  <c r="A102" i="1"/>
  <c r="B102" i="1"/>
  <c r="L102" i="1" s="1"/>
  <c r="AO253" i="1"/>
  <c r="AX253" i="1"/>
  <c r="AJ253" i="1"/>
  <c r="AK253" i="1"/>
  <c r="AS253" i="1" s="1"/>
  <c r="AP253" i="1" l="1"/>
  <c r="P102" i="1"/>
  <c r="V102" i="1"/>
  <c r="G102" i="1"/>
  <c r="H102" i="1" s="1"/>
  <c r="AV253" i="1"/>
  <c r="AQ253" i="1" l="1"/>
  <c r="AM253" i="1"/>
  <c r="AT253" i="1"/>
  <c r="AR253" i="1"/>
  <c r="M102" i="1"/>
  <c r="J102" i="1"/>
  <c r="K102" i="1" s="1"/>
  <c r="N102" i="1"/>
  <c r="I102" i="1"/>
  <c r="D102" i="1"/>
  <c r="AK254" i="1"/>
  <c r="AJ254" i="1"/>
  <c r="AS254" i="1" s="1"/>
  <c r="AX254" i="1" l="1"/>
  <c r="AO254" i="1"/>
  <c r="B103" i="1"/>
  <c r="A103" i="1"/>
  <c r="R103" i="1"/>
  <c r="F103" i="1"/>
  <c r="AP254" i="1"/>
  <c r="AV254" i="1"/>
  <c r="L103" i="1" l="1"/>
  <c r="AQ254" i="1"/>
  <c r="AR254" i="1"/>
  <c r="AT254" i="1"/>
  <c r="AM254" i="1"/>
  <c r="V103" i="1" l="1"/>
  <c r="G103" i="1"/>
  <c r="P103" i="1"/>
  <c r="M103" i="1" s="1"/>
  <c r="AX255" i="1"/>
  <c r="AJ255" i="1"/>
  <c r="AK255" i="1"/>
  <c r="AO255" i="1"/>
  <c r="AS255" i="1"/>
  <c r="AP255" i="1" s="1"/>
  <c r="AT255" i="1" s="1"/>
  <c r="H103" i="1" l="1"/>
  <c r="D103" i="1"/>
  <c r="I103" i="1"/>
  <c r="J103" i="1"/>
  <c r="K103" i="1" s="1"/>
  <c r="N103" i="1"/>
  <c r="AV255" i="1"/>
  <c r="AQ255" i="1"/>
  <c r="AR255" i="1"/>
  <c r="AM255" i="1"/>
  <c r="AJ256" i="1"/>
  <c r="AX256" i="1"/>
  <c r="AO256" i="1"/>
  <c r="AK256" i="1"/>
  <c r="F104" i="1" l="1"/>
  <c r="B104" i="1"/>
  <c r="R104" i="1"/>
  <c r="A104" i="1"/>
  <c r="L104" i="1" s="1"/>
  <c r="AS256" i="1"/>
  <c r="P104" i="1" l="1"/>
  <c r="V104" i="1"/>
  <c r="G104" i="1"/>
  <c r="H104" i="1" s="1"/>
  <c r="AP256" i="1"/>
  <c r="AQ256" i="1"/>
  <c r="AV256" i="1"/>
  <c r="I104" i="1" l="1"/>
  <c r="J104" i="1"/>
  <c r="K104" i="1" s="1"/>
  <c r="N104" i="1"/>
  <c r="D104" i="1"/>
  <c r="M104" i="1"/>
  <c r="AT256" i="1"/>
  <c r="AR256" i="1"/>
  <c r="AM256" i="1"/>
  <c r="B105" i="1" l="1"/>
  <c r="A105" i="1"/>
  <c r="F105" i="1"/>
  <c r="R105" i="1"/>
  <c r="AK257" i="1"/>
  <c r="AX257" i="1"/>
  <c r="AO257" i="1"/>
  <c r="AJ257" i="1"/>
  <c r="AS257" i="1" s="1"/>
  <c r="L105" i="1" l="1"/>
  <c r="AV257" i="1"/>
  <c r="AP257" i="1"/>
  <c r="V105" i="1" l="1"/>
  <c r="P105" i="1"/>
  <c r="G105" i="1"/>
  <c r="AQ257" i="1"/>
  <c r="AT257" i="1"/>
  <c r="AR257" i="1"/>
  <c r="AM257" i="1"/>
  <c r="N105" i="1" l="1"/>
  <c r="A106" i="1" s="1"/>
  <c r="D105" i="1"/>
  <c r="M105" i="1"/>
  <c r="H105" i="1"/>
  <c r="J105" i="1"/>
  <c r="K105" i="1" s="1"/>
  <c r="I105" i="1"/>
  <c r="R106" i="1"/>
  <c r="AK258" i="1"/>
  <c r="AO258" i="1"/>
  <c r="AX258" i="1"/>
  <c r="AJ258" i="1"/>
  <c r="B106" i="1" l="1"/>
  <c r="F106" i="1"/>
  <c r="L106" i="1"/>
  <c r="AS258" i="1"/>
  <c r="G106" i="1" l="1"/>
  <c r="P106" i="1"/>
  <c r="V106" i="1"/>
  <c r="J106" i="1"/>
  <c r="K106" i="1" s="1"/>
  <c r="D106" i="1"/>
  <c r="I106" i="1"/>
  <c r="M106" i="1"/>
  <c r="AV258" i="1"/>
  <c r="AP258" i="1"/>
  <c r="AQ258" i="1"/>
  <c r="AM258" i="1"/>
  <c r="H106" i="1" l="1"/>
  <c r="N106" i="1"/>
  <c r="A107" i="1"/>
  <c r="F107" i="1"/>
  <c r="AT258" i="1"/>
  <c r="AR258" i="1"/>
  <c r="B107" i="1" l="1"/>
  <c r="R107" i="1"/>
  <c r="L107" i="1"/>
  <c r="V107" i="1" s="1"/>
  <c r="AK259" i="1"/>
  <c r="AO259" i="1"/>
  <c r="AJ259" i="1"/>
  <c r="AX259" i="1"/>
  <c r="AS259" i="1"/>
  <c r="G107" i="1" l="1"/>
  <c r="P107" i="1"/>
  <c r="M107" i="1" s="1"/>
  <c r="AV259" i="1"/>
  <c r="AP259" i="1"/>
  <c r="AQ259" i="1"/>
  <c r="AM259" i="1"/>
  <c r="H107" i="1" l="1"/>
  <c r="I107" i="1"/>
  <c r="N107" i="1"/>
  <c r="D107" i="1"/>
  <c r="J107" i="1"/>
  <c r="K107" i="1" s="1"/>
  <c r="AR259" i="1"/>
  <c r="AT259" i="1"/>
  <c r="AJ260" i="1"/>
  <c r="AX260" i="1"/>
  <c r="AK260" i="1"/>
  <c r="AO260" i="1"/>
  <c r="R108" i="1" l="1"/>
  <c r="B108" i="1"/>
  <c r="F108" i="1"/>
  <c r="A108" i="1"/>
  <c r="L108" i="1"/>
  <c r="AS260" i="1"/>
  <c r="V108" i="1" l="1"/>
  <c r="P108" i="1"/>
  <c r="G108" i="1"/>
  <c r="D108" i="1" s="1"/>
  <c r="AV260" i="1"/>
  <c r="AP260" i="1"/>
  <c r="AR260" i="1" s="1"/>
  <c r="N108" i="1"/>
  <c r="I108" i="1"/>
  <c r="H108" i="1"/>
  <c r="J108" i="1"/>
  <c r="K108" i="1" s="1"/>
  <c r="AQ260" i="1"/>
  <c r="AT260" i="1"/>
  <c r="AM260" i="1"/>
  <c r="M108" i="1" l="1"/>
  <c r="R109" i="1"/>
  <c r="F109" i="1"/>
  <c r="B109" i="1"/>
  <c r="A109" i="1"/>
  <c r="L109" i="1" s="1"/>
  <c r="AO261" i="1"/>
  <c r="AX261" i="1"/>
  <c r="AJ261" i="1"/>
  <c r="AK261" i="1"/>
  <c r="AS261" i="1" l="1"/>
  <c r="G109" i="1"/>
  <c r="V109" i="1"/>
  <c r="P109" i="1"/>
  <c r="M109" i="1" l="1"/>
  <c r="AV261" i="1"/>
  <c r="AP261" i="1"/>
  <c r="H109" i="1"/>
  <c r="D109" i="1"/>
  <c r="N109" i="1"/>
  <c r="I109" i="1"/>
  <c r="J109" i="1"/>
  <c r="K109" i="1" s="1"/>
  <c r="AM261" i="1" l="1"/>
  <c r="AR261" i="1"/>
  <c r="AT261" i="1"/>
  <c r="AQ261" i="1"/>
  <c r="F110" i="1"/>
  <c r="R110" i="1"/>
  <c r="B110" i="1"/>
  <c r="A110" i="1"/>
  <c r="L110" i="1" l="1"/>
  <c r="AJ262" i="1"/>
  <c r="AX262" i="1"/>
  <c r="AK262" i="1"/>
  <c r="AO262" i="1"/>
  <c r="V110" i="1" l="1"/>
  <c r="G110" i="1"/>
  <c r="P110" i="1"/>
  <c r="AS262" i="1"/>
  <c r="M110" i="1" l="1"/>
  <c r="N110" i="1"/>
  <c r="I110" i="1"/>
  <c r="D110" i="1"/>
  <c r="H110" i="1"/>
  <c r="J110" i="1"/>
  <c r="K110" i="1" s="1"/>
  <c r="AP262" i="1"/>
  <c r="AQ262" i="1" s="1"/>
  <c r="AV262" i="1"/>
  <c r="A111" i="1"/>
  <c r="R111" i="1" l="1"/>
  <c r="F111" i="1"/>
  <c r="B111" i="1"/>
  <c r="L111" i="1" s="1"/>
  <c r="AT262" i="1"/>
  <c r="AM262" i="1"/>
  <c r="AR262" i="1"/>
  <c r="P111" i="1" l="1"/>
  <c r="V111" i="1"/>
  <c r="G111" i="1"/>
  <c r="AO263" i="1"/>
  <c r="AJ263" i="1"/>
  <c r="AX263" i="1"/>
  <c r="AK263" i="1"/>
  <c r="J111" i="1" l="1"/>
  <c r="K111" i="1" s="1"/>
  <c r="D111" i="1"/>
  <c r="H111" i="1"/>
  <c r="N111" i="1"/>
  <c r="I111" i="1"/>
  <c r="M111" i="1"/>
  <c r="AS263" i="1"/>
  <c r="R112" i="1" l="1"/>
  <c r="A112" i="1"/>
  <c r="L112" i="1" s="1"/>
  <c r="F112" i="1"/>
  <c r="B112" i="1"/>
  <c r="AP263" i="1"/>
  <c r="AV263" i="1"/>
  <c r="AQ263" i="1" l="1"/>
  <c r="AT263" i="1"/>
  <c r="AM263" i="1"/>
  <c r="AR263" i="1"/>
  <c r="P112" i="1"/>
  <c r="V112" i="1"/>
  <c r="G112" i="1"/>
  <c r="AX264" i="1" l="1"/>
  <c r="AO264" i="1"/>
  <c r="AK264" i="1"/>
  <c r="AJ264" i="1"/>
  <c r="AS264" i="1" s="1"/>
  <c r="D112" i="1"/>
  <c r="I112" i="1"/>
  <c r="J112" i="1"/>
  <c r="K112" i="1" s="1"/>
  <c r="H112" i="1"/>
  <c r="N112" i="1"/>
  <c r="M112" i="1"/>
  <c r="AV264" i="1" l="1"/>
  <c r="AP264" i="1"/>
  <c r="AT264" i="1" s="1"/>
  <c r="AM264" i="1"/>
  <c r="B113" i="1"/>
  <c r="R113" i="1"/>
  <c r="A113" i="1"/>
  <c r="F113" i="1"/>
  <c r="AQ264" i="1" l="1"/>
  <c r="AR264" i="1"/>
  <c r="AK265" i="1"/>
  <c r="AX265" i="1"/>
  <c r="AO265" i="1"/>
  <c r="AJ265" i="1"/>
  <c r="L113" i="1"/>
  <c r="AS265" i="1" l="1"/>
  <c r="P113" i="1"/>
  <c r="V113" i="1"/>
  <c r="G113" i="1"/>
  <c r="D113" i="1" s="1"/>
  <c r="AP265" i="1" l="1"/>
  <c r="AV265" i="1"/>
  <c r="AQ265" i="1"/>
  <c r="AM265" i="1"/>
  <c r="N113" i="1"/>
  <c r="A114" i="1" s="1"/>
  <c r="M113" i="1"/>
  <c r="J113" i="1"/>
  <c r="K113" i="1" s="1"/>
  <c r="I113" i="1"/>
  <c r="H113" i="1"/>
  <c r="AT265" i="1" l="1"/>
  <c r="AR265" i="1"/>
  <c r="R114" i="1"/>
  <c r="B114" i="1"/>
  <c r="L114" i="1" s="1"/>
  <c r="F114" i="1"/>
  <c r="AX266" i="1" l="1"/>
  <c r="AK266" i="1"/>
  <c r="AJ266" i="1"/>
  <c r="AO266" i="1"/>
  <c r="AS266" i="1"/>
  <c r="G114" i="1"/>
  <c r="P114" i="1"/>
  <c r="V114" i="1"/>
  <c r="AP266" i="1" l="1"/>
  <c r="AQ266" i="1" s="1"/>
  <c r="AV266" i="1"/>
  <c r="M114" i="1"/>
  <c r="N114" i="1"/>
  <c r="R115" i="1" s="1"/>
  <c r="J114" i="1"/>
  <c r="K114" i="1" s="1"/>
  <c r="D114" i="1"/>
  <c r="H114" i="1"/>
  <c r="I114" i="1"/>
  <c r="AT266" i="1" l="1"/>
  <c r="AM266" i="1"/>
  <c r="AR266" i="1"/>
  <c r="A115" i="1"/>
  <c r="F115" i="1"/>
  <c r="B115" i="1"/>
  <c r="AK267" i="1" l="1"/>
  <c r="AJ267" i="1"/>
  <c r="AS267" i="1" s="1"/>
  <c r="AO267" i="1"/>
  <c r="AX267" i="1"/>
  <c r="L115" i="1"/>
  <c r="AP267" i="1" l="1"/>
  <c r="AV267" i="1"/>
  <c r="V115" i="1"/>
  <c r="P115" i="1"/>
  <c r="G115" i="1"/>
  <c r="AQ267" i="1" l="1"/>
  <c r="AR267" i="1"/>
  <c r="AT267" i="1"/>
  <c r="AM267" i="1"/>
  <c r="M115" i="1"/>
  <c r="N115" i="1"/>
  <c r="D115" i="1"/>
  <c r="I115" i="1"/>
  <c r="H115" i="1"/>
  <c r="J115" i="1"/>
  <c r="K115" i="1" s="1"/>
  <c r="AX268" i="1" l="1"/>
  <c r="AJ268" i="1"/>
  <c r="AS268" i="1" s="1"/>
  <c r="AK268" i="1"/>
  <c r="AO268" i="1"/>
  <c r="F116" i="1"/>
  <c r="A116" i="1"/>
  <c r="B116" i="1"/>
  <c r="R116" i="1"/>
  <c r="AV268" i="1" l="1"/>
  <c r="AP268" i="1"/>
  <c r="AQ268" i="1" s="1"/>
  <c r="L116" i="1"/>
  <c r="AT268" i="1" l="1"/>
  <c r="AM268" i="1"/>
  <c r="AR268" i="1"/>
  <c r="P116" i="1"/>
  <c r="V116" i="1"/>
  <c r="G116" i="1"/>
  <c r="H116" i="1" s="1"/>
  <c r="AX269" i="1" l="1"/>
  <c r="AJ269" i="1"/>
  <c r="AO269" i="1"/>
  <c r="AK269" i="1"/>
  <c r="J116" i="1"/>
  <c r="K116" i="1" s="1"/>
  <c r="D116" i="1"/>
  <c r="I116" i="1"/>
  <c r="N116" i="1"/>
  <c r="M116" i="1"/>
  <c r="AS269" i="1" l="1"/>
  <c r="B117" i="1"/>
  <c r="A117" i="1"/>
  <c r="F117" i="1"/>
  <c r="R117" i="1"/>
  <c r="AP269" i="1" l="1"/>
  <c r="AM269" i="1" s="1"/>
  <c r="AV269" i="1"/>
  <c r="L117" i="1"/>
  <c r="AQ269" i="1" l="1"/>
  <c r="AT269" i="1"/>
  <c r="AJ270" i="1" s="1"/>
  <c r="AR269" i="1"/>
  <c r="P117" i="1"/>
  <c r="V117" i="1"/>
  <c r="G117" i="1"/>
  <c r="M117" i="1" l="1"/>
  <c r="AX270" i="1"/>
  <c r="AO270" i="1"/>
  <c r="AK270" i="1"/>
  <c r="J117" i="1"/>
  <c r="K117" i="1" s="1"/>
  <c r="D117" i="1"/>
  <c r="I117" i="1"/>
  <c r="N117" i="1"/>
  <c r="H117" i="1"/>
  <c r="AS270" i="1"/>
  <c r="R118" i="1" l="1"/>
  <c r="A118" i="1"/>
  <c r="F118" i="1"/>
  <c r="B118" i="1"/>
  <c r="AV270" i="1"/>
  <c r="AP270" i="1"/>
  <c r="AQ270" i="1"/>
  <c r="L118" i="1" l="1"/>
  <c r="AR270" i="1"/>
  <c r="AM270" i="1"/>
  <c r="AT270" i="1"/>
  <c r="AK271" i="1" l="1"/>
  <c r="AJ271" i="1"/>
  <c r="AS271" i="1" s="1"/>
  <c r="AV271" i="1" s="1"/>
  <c r="V118" i="1"/>
  <c r="P118" i="1"/>
  <c r="G118" i="1"/>
  <c r="AO271" i="1"/>
  <c r="AX271" i="1"/>
  <c r="AP271" i="1"/>
  <c r="AM271" i="1"/>
  <c r="D118" i="1"/>
  <c r="AQ271" i="1" l="1"/>
  <c r="M118" i="1"/>
  <c r="H118" i="1"/>
  <c r="I118" i="1"/>
  <c r="J118" i="1"/>
  <c r="K118" i="1" s="1"/>
  <c r="N118" i="1"/>
  <c r="A119" i="1" s="1"/>
  <c r="AR271" i="1"/>
  <c r="AT271" i="1"/>
  <c r="B119" i="1" l="1"/>
  <c r="L119" i="1" s="1"/>
  <c r="R119" i="1"/>
  <c r="F119" i="1"/>
  <c r="AO272" i="1"/>
  <c r="AJ272" i="1"/>
  <c r="AX272" i="1"/>
  <c r="AK272" i="1"/>
  <c r="AS272" i="1" l="1"/>
  <c r="G119" i="1"/>
  <c r="H119" i="1" s="1"/>
  <c r="P119" i="1"/>
  <c r="V119" i="1"/>
  <c r="AP272" i="1" l="1"/>
  <c r="AV272" i="1"/>
  <c r="AQ272" i="1"/>
  <c r="AR272" i="1"/>
  <c r="AM272" i="1"/>
  <c r="AT272" i="1"/>
  <c r="M119" i="1"/>
  <c r="I119" i="1"/>
  <c r="D119" i="1"/>
  <c r="J119" i="1"/>
  <c r="K119" i="1" s="1"/>
  <c r="N119" i="1"/>
  <c r="AX273" i="1" l="1"/>
  <c r="AK273" i="1"/>
  <c r="AO273" i="1"/>
  <c r="AJ273" i="1"/>
  <c r="A120" i="1"/>
  <c r="F120" i="1"/>
  <c r="R120" i="1"/>
  <c r="B120" i="1"/>
  <c r="AS273" i="1" l="1"/>
  <c r="L120" i="1"/>
  <c r="AV273" i="1" l="1"/>
  <c r="AP273" i="1"/>
  <c r="AM273" i="1"/>
  <c r="P120" i="1"/>
  <c r="V120" i="1"/>
  <c r="G120" i="1"/>
  <c r="H120" i="1" s="1"/>
  <c r="AQ273" i="1" l="1"/>
  <c r="AT273" i="1"/>
  <c r="AR273" i="1"/>
  <c r="M120" i="1"/>
  <c r="D120" i="1"/>
  <c r="I120" i="1"/>
  <c r="J120" i="1"/>
  <c r="K120" i="1" s="1"/>
  <c r="N120" i="1"/>
  <c r="A121" i="1" s="1"/>
  <c r="AJ274" i="1" l="1"/>
  <c r="AS274" i="1" s="1"/>
  <c r="AV274" i="1" s="1"/>
  <c r="AK274" i="1"/>
  <c r="AX274" i="1"/>
  <c r="AO274" i="1"/>
  <c r="F121" i="1"/>
  <c r="B121" i="1"/>
  <c r="L121" i="1" s="1"/>
  <c r="R121" i="1"/>
  <c r="AP274" i="1"/>
  <c r="G121" i="1" l="1"/>
  <c r="P121" i="1"/>
  <c r="V121" i="1"/>
  <c r="AQ274" i="1"/>
  <c r="AR274" i="1"/>
  <c r="AM274" i="1"/>
  <c r="AT274" i="1"/>
  <c r="M121" i="1" l="1"/>
  <c r="H121" i="1"/>
  <c r="D121" i="1"/>
  <c r="N121" i="1"/>
  <c r="J121" i="1"/>
  <c r="K121" i="1" s="1"/>
  <c r="I121" i="1"/>
  <c r="AX275" i="1"/>
  <c r="AO275" i="1"/>
  <c r="AJ275" i="1"/>
  <c r="AS275" i="1" s="1"/>
  <c r="AK275" i="1"/>
  <c r="A122" i="1" l="1"/>
  <c r="B122" i="1"/>
  <c r="R122" i="1"/>
  <c r="F122" i="1"/>
  <c r="AV275" i="1"/>
  <c r="AP275" i="1"/>
  <c r="L122" i="1" l="1"/>
  <c r="AQ275" i="1"/>
  <c r="AR275" i="1"/>
  <c r="AT275" i="1"/>
  <c r="AM275" i="1"/>
  <c r="G122" i="1" l="1"/>
  <c r="P122" i="1"/>
  <c r="M122" i="1" s="1"/>
  <c r="V122" i="1"/>
  <c r="AJ276" i="1"/>
  <c r="AX276" i="1"/>
  <c r="AK276" i="1"/>
  <c r="AO276" i="1"/>
  <c r="AS276" i="1"/>
  <c r="H122" i="1" l="1"/>
  <c r="J122" i="1"/>
  <c r="K122" i="1" s="1"/>
  <c r="D122" i="1"/>
  <c r="K8" i="5" s="1"/>
  <c r="N122" i="1"/>
  <c r="I122" i="1"/>
  <c r="AV276" i="1"/>
  <c r="AP276" i="1"/>
  <c r="R123" i="1" l="1"/>
  <c r="F123" i="1"/>
  <c r="A123" i="1"/>
  <c r="B123" i="1"/>
  <c r="AQ276" i="1"/>
  <c r="AR276" i="1"/>
  <c r="AM276" i="1"/>
  <c r="AT276" i="1"/>
  <c r="L123" i="1"/>
  <c r="AO277" i="1" l="1"/>
  <c r="AX277" i="1"/>
  <c r="AJ277" i="1"/>
  <c r="AK277" i="1"/>
  <c r="AS277" i="1"/>
  <c r="AP277" i="1" s="1"/>
  <c r="P123" i="1"/>
  <c r="V123" i="1"/>
  <c r="G123" i="1"/>
  <c r="H123" i="1" s="1"/>
  <c r="M123" i="1" l="1"/>
  <c r="AQ277" i="1"/>
  <c r="AV277" i="1"/>
  <c r="AT277" i="1"/>
  <c r="AM277" i="1"/>
  <c r="AR277" i="1"/>
  <c r="N123" i="1"/>
  <c r="I123" i="1"/>
  <c r="D123" i="1"/>
  <c r="J123" i="1"/>
  <c r="K123" i="1" s="1"/>
  <c r="AO278" i="1" l="1"/>
  <c r="AJ278" i="1"/>
  <c r="AX278" i="1"/>
  <c r="AK278" i="1"/>
  <c r="R124" i="1"/>
  <c r="F124" i="1"/>
  <c r="B124" i="1"/>
  <c r="A124" i="1"/>
  <c r="L124" i="1" s="1"/>
  <c r="AS278" i="1" l="1"/>
  <c r="P124" i="1"/>
  <c r="G124" i="1"/>
  <c r="V124" i="1"/>
  <c r="AP278" i="1" l="1"/>
  <c r="AQ278" i="1"/>
  <c r="AV278" i="1"/>
  <c r="H124" i="1"/>
  <c r="J124" i="1"/>
  <c r="K124" i="1" s="1"/>
  <c r="I124" i="1"/>
  <c r="N124" i="1"/>
  <c r="D124" i="1"/>
  <c r="M124" i="1"/>
  <c r="AR278" i="1" l="1"/>
  <c r="AT278" i="1"/>
  <c r="AM278" i="1"/>
  <c r="A125" i="1"/>
  <c r="B125" i="1"/>
  <c r="R125" i="1"/>
  <c r="F125" i="1"/>
  <c r="AJ279" i="1" l="1"/>
  <c r="AK279" i="1"/>
  <c r="AX279" i="1"/>
  <c r="AO279" i="1"/>
  <c r="L125" i="1"/>
  <c r="AS279" i="1" l="1"/>
  <c r="P125" i="1"/>
  <c r="V125" i="1"/>
  <c r="G125" i="1"/>
  <c r="AV279" i="1" l="1"/>
  <c r="AP279" i="1"/>
  <c r="AQ279" i="1"/>
  <c r="M125" i="1"/>
  <c r="I125" i="1"/>
  <c r="N125" i="1"/>
  <c r="J125" i="1"/>
  <c r="K125" i="1" s="1"/>
  <c r="D125" i="1"/>
  <c r="H125" i="1"/>
  <c r="AM279" i="1" l="1"/>
  <c r="AT279" i="1"/>
  <c r="AR279" i="1"/>
  <c r="R126" i="1"/>
  <c r="A126" i="1"/>
  <c r="B126" i="1"/>
  <c r="F126" i="1"/>
  <c r="AP280" i="1" l="1"/>
  <c r="AO280" i="1"/>
  <c r="AX280" i="1"/>
  <c r="AK280" i="1"/>
  <c r="AS280" i="1" s="1"/>
  <c r="AV280" i="1" s="1"/>
  <c r="AJ280" i="1"/>
  <c r="L126" i="1"/>
  <c r="AM280" i="1" l="1"/>
  <c r="AT280" i="1"/>
  <c r="AR280" i="1"/>
  <c r="AQ280" i="1"/>
  <c r="V126" i="1"/>
  <c r="P126" i="1"/>
  <c r="G126" i="1"/>
  <c r="H126" i="1" s="1"/>
  <c r="AK281" i="1" l="1"/>
  <c r="AO281" i="1"/>
  <c r="AJ281" i="1"/>
  <c r="AX281" i="1"/>
  <c r="J126" i="1"/>
  <c r="K126" i="1" s="1"/>
  <c r="I126" i="1"/>
  <c r="N126" i="1"/>
  <c r="D126" i="1"/>
  <c r="M126" i="1"/>
  <c r="AS281" i="1" l="1"/>
  <c r="A127" i="1"/>
  <c r="R127" i="1"/>
  <c r="B127" i="1"/>
  <c r="F127" i="1"/>
  <c r="AV281" i="1" l="1"/>
  <c r="AP281" i="1"/>
  <c r="L127" i="1"/>
  <c r="AQ281" i="1" l="1"/>
  <c r="AM281" i="1"/>
  <c r="AT281" i="1"/>
  <c r="AR281" i="1"/>
  <c r="G127" i="1"/>
  <c r="V127" i="1"/>
  <c r="P127" i="1"/>
  <c r="AK282" i="1" l="1"/>
  <c r="AJ282" i="1"/>
  <c r="AS282" i="1" s="1"/>
  <c r="AO282" i="1"/>
  <c r="AX282" i="1"/>
  <c r="M127" i="1"/>
  <c r="H127" i="1"/>
  <c r="D127" i="1"/>
  <c r="J127" i="1"/>
  <c r="K127" i="1" s="1"/>
  <c r="I127" i="1"/>
  <c r="N127" i="1"/>
  <c r="AV282" i="1" l="1"/>
  <c r="AP282" i="1"/>
  <c r="R128" i="1"/>
  <c r="B128" i="1"/>
  <c r="A128" i="1"/>
  <c r="F128" i="1"/>
  <c r="AM282" i="1" l="1"/>
  <c r="AR282" i="1"/>
  <c r="AT282" i="1"/>
  <c r="AQ282" i="1"/>
  <c r="L128" i="1"/>
  <c r="AK283" i="1" l="1"/>
  <c r="AO283" i="1"/>
  <c r="AJ283" i="1"/>
  <c r="AS283" i="1" s="1"/>
  <c r="AX283" i="1"/>
  <c r="P128" i="1"/>
  <c r="G128" i="1"/>
  <c r="V128" i="1"/>
  <c r="AP283" i="1" l="1"/>
  <c r="AV283" i="1"/>
  <c r="D128" i="1"/>
  <c r="H128" i="1"/>
  <c r="J128" i="1"/>
  <c r="K128" i="1" s="1"/>
  <c r="N128" i="1"/>
  <c r="I128" i="1"/>
  <c r="M128" i="1"/>
  <c r="AT283" i="1" l="1"/>
  <c r="AM283" i="1"/>
  <c r="AR283" i="1"/>
  <c r="AQ283" i="1"/>
  <c r="A129" i="1"/>
  <c r="L129" i="1" s="1"/>
  <c r="B129" i="1"/>
  <c r="F129" i="1"/>
  <c r="R129" i="1"/>
  <c r="AJ284" i="1" l="1"/>
  <c r="AS284" i="1" s="1"/>
  <c r="AK284" i="1"/>
  <c r="AX284" i="1"/>
  <c r="AO284" i="1"/>
  <c r="G129" i="1"/>
  <c r="P129" i="1"/>
  <c r="V129" i="1"/>
  <c r="M129" i="1" l="1"/>
  <c r="AP284" i="1"/>
  <c r="AV284" i="1"/>
  <c r="AQ284" i="1"/>
  <c r="H129" i="1"/>
  <c r="N129" i="1"/>
  <c r="D129" i="1"/>
  <c r="J129" i="1"/>
  <c r="K129" i="1" s="1"/>
  <c r="I129" i="1"/>
  <c r="AT284" i="1" l="1"/>
  <c r="AR284" i="1"/>
  <c r="AM284" i="1"/>
  <c r="B130" i="1"/>
  <c r="F130" i="1"/>
  <c r="R130" i="1"/>
  <c r="A130" i="1"/>
  <c r="AX285" i="1" l="1"/>
  <c r="AK285" i="1"/>
  <c r="AO285" i="1"/>
  <c r="AJ285" i="1"/>
  <c r="AS285" i="1" s="1"/>
  <c r="L130" i="1"/>
  <c r="AP285" i="1" l="1"/>
  <c r="AV285" i="1"/>
  <c r="G130" i="1"/>
  <c r="P130" i="1"/>
  <c r="V130" i="1"/>
  <c r="M130" i="1" l="1"/>
  <c r="D130" i="1"/>
  <c r="H130" i="1"/>
  <c r="I130" i="1"/>
  <c r="J130" i="1"/>
  <c r="K130" i="1" s="1"/>
  <c r="N130" i="1"/>
  <c r="AQ285" i="1"/>
  <c r="AT285" i="1"/>
  <c r="AM285" i="1"/>
  <c r="AR285" i="1"/>
  <c r="B131" i="1" l="1"/>
  <c r="F131" i="1"/>
  <c r="R131" i="1"/>
  <c r="A131" i="1"/>
  <c r="L131" i="1" s="1"/>
  <c r="AS286" i="1"/>
  <c r="AK286" i="1"/>
  <c r="AX286" i="1"/>
  <c r="AO286" i="1"/>
  <c r="AJ286" i="1"/>
  <c r="AP286" i="1" l="1"/>
  <c r="AQ286" i="1" s="1"/>
  <c r="AV286" i="1"/>
  <c r="P131" i="1"/>
  <c r="V131" i="1"/>
  <c r="G131" i="1"/>
  <c r="H131" i="1" s="1"/>
  <c r="AT286" i="1" l="1"/>
  <c r="AR286" i="1"/>
  <c r="AM286" i="1"/>
  <c r="M131" i="1"/>
  <c r="J131" i="1"/>
  <c r="K131" i="1" s="1"/>
  <c r="N131" i="1"/>
  <c r="I131" i="1"/>
  <c r="D131" i="1"/>
  <c r="AO287" i="1" l="1"/>
  <c r="AK287" i="1"/>
  <c r="AX287" i="1"/>
  <c r="AJ287" i="1"/>
  <c r="AS287" i="1" s="1"/>
  <c r="A132" i="1"/>
  <c r="R132" i="1"/>
  <c r="F132" i="1"/>
  <c r="B132" i="1"/>
  <c r="L132" i="1" l="1"/>
  <c r="AP287" i="1"/>
  <c r="AV287" i="1"/>
  <c r="G132" i="1" l="1"/>
  <c r="V132" i="1"/>
  <c r="H132" i="1"/>
  <c r="P132" i="1"/>
  <c r="M132" i="1" s="1"/>
  <c r="AM287" i="1"/>
  <c r="AR287" i="1"/>
  <c r="AT287" i="1"/>
  <c r="AQ287" i="1"/>
  <c r="D132" i="1" l="1"/>
  <c r="N132" i="1"/>
  <c r="J132" i="1"/>
  <c r="K132" i="1" s="1"/>
  <c r="I132" i="1"/>
  <c r="AX288" i="1"/>
  <c r="AJ288" i="1"/>
  <c r="AO288" i="1"/>
  <c r="AK288" i="1"/>
  <c r="AS288" i="1" s="1"/>
  <c r="AV288" i="1" s="1"/>
  <c r="AP288" i="1"/>
  <c r="A133" i="1" l="1"/>
  <c r="L133" i="1" s="1"/>
  <c r="B133" i="1"/>
  <c r="F133" i="1"/>
  <c r="R133" i="1"/>
  <c r="AQ288" i="1"/>
  <c r="AT288" i="1"/>
  <c r="AM288" i="1"/>
  <c r="AR288" i="1"/>
  <c r="G133" i="1" l="1"/>
  <c r="P133" i="1"/>
  <c r="M133" i="1" s="1"/>
  <c r="V133" i="1"/>
  <c r="AX289" i="1"/>
  <c r="AK289" i="1"/>
  <c r="AO289" i="1"/>
  <c r="AJ289" i="1"/>
  <c r="I133" i="1" l="1"/>
  <c r="J133" i="1"/>
  <c r="K133" i="1" s="1"/>
  <c r="N133" i="1"/>
  <c r="D133" i="1"/>
  <c r="H133" i="1"/>
  <c r="AS289" i="1"/>
  <c r="A134" i="1" l="1"/>
  <c r="R134" i="1"/>
  <c r="F134" i="1"/>
  <c r="B134" i="1"/>
  <c r="AV289" i="1"/>
  <c r="AP289" i="1"/>
  <c r="AQ289" i="1" s="1"/>
  <c r="H7" i="5"/>
  <c r="H8" i="5"/>
  <c r="L134" i="1" l="1"/>
  <c r="AM289" i="1"/>
  <c r="AR289" i="1"/>
  <c r="AT289" i="1"/>
  <c r="P134" i="1" l="1"/>
  <c r="G134" i="1"/>
  <c r="V134" i="1"/>
  <c r="AJ290" i="1"/>
  <c r="AX290" i="1"/>
  <c r="AK290" i="1"/>
  <c r="AO290" i="1"/>
  <c r="D134" i="1" l="1"/>
  <c r="J134" i="1"/>
  <c r="K134" i="1" s="1"/>
  <c r="H134" i="1"/>
  <c r="I134" i="1"/>
  <c r="N134" i="1"/>
  <c r="M134" i="1"/>
  <c r="AS290" i="1"/>
  <c r="A135" i="1" l="1"/>
  <c r="L135" i="1" s="1"/>
  <c r="F135" i="1"/>
  <c r="B135" i="1"/>
  <c r="R135" i="1"/>
  <c r="AV290" i="1"/>
  <c r="AP290" i="1"/>
  <c r="AQ290" i="1" s="1"/>
  <c r="G135" i="1" l="1"/>
  <c r="N135" i="1" s="1"/>
  <c r="P135" i="1"/>
  <c r="M135" i="1" s="1"/>
  <c r="H135" i="1"/>
  <c r="V135" i="1"/>
  <c r="D135" i="1"/>
  <c r="AR290" i="1"/>
  <c r="AT290" i="1"/>
  <c r="AM290" i="1"/>
  <c r="I135" i="1" l="1"/>
  <c r="J135" i="1"/>
  <c r="K135" i="1" s="1"/>
  <c r="B136" i="1"/>
  <c r="R136" i="1"/>
  <c r="A136" i="1"/>
  <c r="L136" i="1" s="1"/>
  <c r="F136" i="1"/>
  <c r="AO291" i="1"/>
  <c r="AK291" i="1"/>
  <c r="AJ291" i="1"/>
  <c r="AS291" i="1" s="1"/>
  <c r="AP291" i="1" s="1"/>
  <c r="AX291" i="1"/>
  <c r="V136" i="1" l="1"/>
  <c r="P136" i="1"/>
  <c r="G136" i="1"/>
  <c r="H136" i="1" s="1"/>
  <c r="AT291" i="1"/>
  <c r="AM291" i="1"/>
  <c r="AR291" i="1"/>
  <c r="AQ291" i="1"/>
  <c r="AV291" i="1"/>
  <c r="D136" i="1" l="1"/>
  <c r="N136" i="1"/>
  <c r="J136" i="1"/>
  <c r="K136" i="1" s="1"/>
  <c r="I136" i="1"/>
  <c r="M136" i="1"/>
  <c r="AO292" i="1"/>
  <c r="AJ292" i="1"/>
  <c r="AX292" i="1"/>
  <c r="AK292" i="1"/>
  <c r="AS292" i="1"/>
  <c r="B137" i="1" l="1"/>
  <c r="F137" i="1"/>
  <c r="R137" i="1"/>
  <c r="A137" i="1"/>
  <c r="AV292" i="1"/>
  <c r="AP292" i="1"/>
  <c r="L137" i="1" l="1"/>
  <c r="AT292" i="1"/>
  <c r="AO293" i="1" s="1"/>
  <c r="AR292" i="1"/>
  <c r="AM292" i="1"/>
  <c r="AQ292" i="1"/>
  <c r="V137" i="1" l="1"/>
  <c r="G137" i="1"/>
  <c r="P137" i="1"/>
  <c r="AJ293" i="1"/>
  <c r="AK293" i="1"/>
  <c r="AX293" i="1"/>
  <c r="M137" i="1" l="1"/>
  <c r="H137" i="1"/>
  <c r="D137" i="1"/>
  <c r="N137" i="1"/>
  <c r="I137" i="1"/>
  <c r="J137" i="1"/>
  <c r="K137" i="1" s="1"/>
  <c r="AS293" i="1"/>
  <c r="B138" i="1" l="1"/>
  <c r="F138" i="1"/>
  <c r="A138" i="1"/>
  <c r="L138" i="1" s="1"/>
  <c r="G138" i="1" s="1"/>
  <c r="R138" i="1"/>
  <c r="P138" i="1"/>
  <c r="M138" i="1" s="1"/>
  <c r="H138" i="1"/>
  <c r="V138" i="1"/>
  <c r="I138" i="1"/>
  <c r="D138" i="1"/>
  <c r="AP293" i="1"/>
  <c r="AQ293" i="1"/>
  <c r="AV293" i="1"/>
  <c r="AM293" i="1"/>
  <c r="J138" i="1" l="1"/>
  <c r="K138" i="1" s="1"/>
  <c r="N138" i="1"/>
  <c r="AT293" i="1"/>
  <c r="AR293" i="1"/>
  <c r="A139" i="1"/>
  <c r="R139" i="1"/>
  <c r="F139" i="1"/>
  <c r="B139" i="1"/>
  <c r="AX294" i="1"/>
  <c r="AJ294" i="1" l="1"/>
  <c r="AK294" i="1"/>
  <c r="AO294" i="1"/>
  <c r="L139" i="1"/>
  <c r="AS294" i="1"/>
  <c r="AV294" i="1"/>
  <c r="AP294" i="1"/>
  <c r="G139" i="1" l="1"/>
  <c r="H139" i="1"/>
  <c r="P139" i="1"/>
  <c r="M139" i="1" s="1"/>
  <c r="V139" i="1"/>
  <c r="AQ294" i="1"/>
  <c r="AM294" i="1"/>
  <c r="AT294" i="1"/>
  <c r="AR294" i="1"/>
  <c r="D139" i="1" l="1"/>
  <c r="J139" i="1"/>
  <c r="K139" i="1" s="1"/>
  <c r="N139" i="1"/>
  <c r="I139" i="1"/>
  <c r="AK295" i="1"/>
  <c r="AX295" i="1"/>
  <c r="AO295" i="1"/>
  <c r="AJ295" i="1"/>
  <c r="AS295" i="1" s="1"/>
  <c r="AP295" i="1" s="1"/>
  <c r="AM295" i="1" s="1"/>
  <c r="B140" i="1" l="1"/>
  <c r="F140" i="1"/>
  <c r="A140" i="1"/>
  <c r="R140" i="1"/>
  <c r="AQ295" i="1"/>
  <c r="AV295" i="1"/>
  <c r="AR295" i="1"/>
  <c r="AT295" i="1"/>
  <c r="L140" i="1" l="1"/>
  <c r="AO296" i="1"/>
  <c r="AX296" i="1"/>
  <c r="AK296" i="1"/>
  <c r="AJ296" i="1"/>
  <c r="AS296" i="1" s="1"/>
  <c r="G140" i="1" l="1"/>
  <c r="P140" i="1"/>
  <c r="M140" i="1" s="1"/>
  <c r="H140" i="1"/>
  <c r="V140" i="1"/>
  <c r="AQ296" i="1"/>
  <c r="AV296" i="1"/>
  <c r="AP296" i="1"/>
  <c r="AM296" i="1" s="1"/>
  <c r="N140" i="1" l="1"/>
  <c r="D140" i="1"/>
  <c r="I140" i="1"/>
  <c r="J140" i="1"/>
  <c r="K140" i="1" s="1"/>
  <c r="AT296" i="1"/>
  <c r="AR296" i="1"/>
  <c r="F141" i="1" l="1"/>
  <c r="A141" i="1"/>
  <c r="L141" i="1" s="1"/>
  <c r="B141" i="1"/>
  <c r="R141" i="1"/>
  <c r="AO297" i="1"/>
  <c r="AJ297" i="1"/>
  <c r="AK297" i="1"/>
  <c r="AX297" i="1"/>
  <c r="AS297" i="1"/>
  <c r="AP297" i="1"/>
  <c r="AM297" i="1" s="1"/>
  <c r="P141" i="1" l="1"/>
  <c r="G141" i="1"/>
  <c r="V141" i="1"/>
  <c r="H141" i="1"/>
  <c r="AQ297" i="1"/>
  <c r="AV297" i="1"/>
  <c r="AR297" i="1"/>
  <c r="AT297" i="1"/>
  <c r="M141" i="1" l="1"/>
  <c r="D141" i="1"/>
  <c r="N141" i="1"/>
  <c r="I141" i="1"/>
  <c r="J141" i="1"/>
  <c r="K141" i="1" s="1"/>
  <c r="AJ298" i="1"/>
  <c r="AS298" i="1" s="1"/>
  <c r="AP298" i="1" s="1"/>
  <c r="AM298" i="1" s="1"/>
  <c r="AK298" i="1"/>
  <c r="AO298" i="1"/>
  <c r="AX298" i="1"/>
  <c r="A142" i="1" l="1"/>
  <c r="R142" i="1"/>
  <c r="F142" i="1"/>
  <c r="B142" i="1"/>
  <c r="AQ298" i="1"/>
  <c r="AV298" i="1"/>
  <c r="AR298" i="1"/>
  <c r="AT298" i="1"/>
  <c r="L142" i="1" l="1"/>
  <c r="AK299" i="1"/>
  <c r="AJ299" i="1"/>
  <c r="AS299" i="1" s="1"/>
  <c r="AO299" i="1"/>
  <c r="AX299" i="1"/>
  <c r="P142" i="1" l="1"/>
  <c r="V142" i="1"/>
  <c r="G142" i="1"/>
  <c r="AP299" i="1"/>
  <c r="AV299" i="1"/>
  <c r="AT299" i="1"/>
  <c r="AM299" i="1"/>
  <c r="AQ299" i="1" l="1"/>
  <c r="AR299" i="1"/>
  <c r="D142" i="1"/>
  <c r="I142" i="1"/>
  <c r="N142" i="1"/>
  <c r="J142" i="1"/>
  <c r="K142" i="1" s="1"/>
  <c r="H142" i="1"/>
  <c r="M142" i="1"/>
  <c r="AJ300" i="1"/>
  <c r="AO300" i="1"/>
  <c r="AK300" i="1"/>
  <c r="AX300" i="1"/>
  <c r="A143" i="1" l="1"/>
  <c r="F143" i="1"/>
  <c r="B143" i="1"/>
  <c r="R143" i="1"/>
  <c r="AS300" i="1"/>
  <c r="L143" i="1" l="1"/>
  <c r="AP300" i="1"/>
  <c r="AQ300" i="1"/>
  <c r="AV300" i="1"/>
  <c r="P143" i="1" l="1"/>
  <c r="G143" i="1"/>
  <c r="V143" i="1"/>
  <c r="AM300" i="1"/>
  <c r="AT300" i="1"/>
  <c r="AJ301" i="1" s="1"/>
  <c r="AR300" i="1"/>
  <c r="M143" i="1" l="1"/>
  <c r="H143" i="1"/>
  <c r="I143" i="1"/>
  <c r="N143" i="1"/>
  <c r="J143" i="1"/>
  <c r="K143" i="1" s="1"/>
  <c r="D143" i="1"/>
  <c r="AX301" i="1"/>
  <c r="AK301" i="1"/>
  <c r="AO301" i="1"/>
  <c r="AS301" i="1"/>
  <c r="B144" i="1" l="1"/>
  <c r="R144" i="1"/>
  <c r="F144" i="1"/>
  <c r="A144" i="1"/>
  <c r="AV301" i="1"/>
  <c r="AP301" i="1"/>
  <c r="AQ301" i="1"/>
  <c r="AM301" i="1"/>
  <c r="AR301" i="1" l="1"/>
  <c r="AT301" i="1"/>
  <c r="L144" i="1"/>
  <c r="AO302" i="1"/>
  <c r="AJ302" i="1"/>
  <c r="AK302" i="1" l="1"/>
  <c r="AX302" i="1"/>
  <c r="P144" i="1"/>
  <c r="V144" i="1"/>
  <c r="G144" i="1"/>
  <c r="AS302" i="1"/>
  <c r="M144" i="1" l="1"/>
  <c r="I144" i="1"/>
  <c r="N144" i="1"/>
  <c r="D144" i="1"/>
  <c r="J144" i="1"/>
  <c r="K144" i="1" s="1"/>
  <c r="H144" i="1"/>
  <c r="AV302" i="1"/>
  <c r="AP302" i="1"/>
  <c r="AQ302" i="1" s="1"/>
  <c r="A145" i="1" l="1"/>
  <c r="B145" i="1"/>
  <c r="R145" i="1"/>
  <c r="F145" i="1"/>
  <c r="AR302" i="1"/>
  <c r="AT302" i="1"/>
  <c r="AM302" i="1"/>
  <c r="L145" i="1" l="1"/>
  <c r="AK303" i="1"/>
  <c r="AO303" i="1"/>
  <c r="AJ303" i="1"/>
  <c r="AS303" i="1" s="1"/>
  <c r="AX303" i="1"/>
  <c r="G145" i="1" l="1"/>
  <c r="V145" i="1"/>
  <c r="P145" i="1"/>
  <c r="AV303" i="1"/>
  <c r="AP303" i="1"/>
  <c r="M145" i="1" l="1"/>
  <c r="D145" i="1"/>
  <c r="J145" i="1"/>
  <c r="K145" i="1" s="1"/>
  <c r="I145" i="1"/>
  <c r="N145" i="1"/>
  <c r="H145" i="1"/>
  <c r="AQ303" i="1"/>
  <c r="AR303" i="1"/>
  <c r="AT303" i="1"/>
  <c r="AM303" i="1"/>
  <c r="R146" i="1" l="1"/>
  <c r="F146" i="1"/>
  <c r="B146" i="1"/>
  <c r="A146" i="1"/>
  <c r="L146" i="1" s="1"/>
  <c r="G146" i="1" s="1"/>
  <c r="AJ304" i="1"/>
  <c r="AK304" i="1"/>
  <c r="AX304" i="1"/>
  <c r="AO304" i="1"/>
  <c r="D146" i="1" l="1"/>
  <c r="J146" i="1"/>
  <c r="K146" i="1" s="1"/>
  <c r="N146" i="1"/>
  <c r="I146" i="1"/>
  <c r="H146" i="1"/>
  <c r="V146" i="1"/>
  <c r="P146" i="1"/>
  <c r="M146" i="1" s="1"/>
  <c r="AS304" i="1"/>
  <c r="R147" i="1" l="1"/>
  <c r="B147" i="1"/>
  <c r="A147" i="1"/>
  <c r="F147" i="1"/>
  <c r="AP304" i="1"/>
  <c r="AV304" i="1"/>
  <c r="L147" i="1" l="1"/>
  <c r="AQ304" i="1"/>
  <c r="AR304" i="1"/>
  <c r="AT304" i="1"/>
  <c r="AM304" i="1"/>
  <c r="V147" i="1" l="1"/>
  <c r="P147" i="1"/>
  <c r="G147" i="1"/>
  <c r="H147" i="1"/>
  <c r="AK305" i="1"/>
  <c r="AX305" i="1"/>
  <c r="AO305" i="1"/>
  <c r="AJ305" i="1"/>
  <c r="AS305" i="1" s="1"/>
  <c r="AP305" i="1" s="1"/>
  <c r="I147" i="1" l="1"/>
  <c r="J147" i="1"/>
  <c r="K147" i="1" s="1"/>
  <c r="N147" i="1"/>
  <c r="D147" i="1"/>
  <c r="M147" i="1"/>
  <c r="AQ305" i="1"/>
  <c r="AV305" i="1"/>
  <c r="AM305" i="1"/>
  <c r="AT305" i="1"/>
  <c r="AR305" i="1"/>
  <c r="A148" i="1" l="1"/>
  <c r="L148" i="1" s="1"/>
  <c r="F148" i="1"/>
  <c r="R148" i="1"/>
  <c r="B148" i="1"/>
  <c r="AK306" i="1"/>
  <c r="AO306" i="1"/>
  <c r="AX306" i="1"/>
  <c r="AJ306" i="1"/>
  <c r="G148" i="1" l="1"/>
  <c r="V148" i="1"/>
  <c r="P148" i="1"/>
  <c r="AS306" i="1"/>
  <c r="I148" i="1" l="1"/>
  <c r="D148" i="1"/>
  <c r="N148" i="1"/>
  <c r="J148" i="1"/>
  <c r="K148" i="1" s="1"/>
  <c r="H148" i="1"/>
  <c r="M148" i="1"/>
  <c r="AV306" i="1"/>
  <c r="AP306" i="1"/>
  <c r="AQ306" i="1" s="1"/>
  <c r="A149" i="1" l="1"/>
  <c r="L149" i="1" s="1"/>
  <c r="F149" i="1"/>
  <c r="B149" i="1"/>
  <c r="R149" i="1"/>
  <c r="AR306" i="1"/>
  <c r="AM306" i="1"/>
  <c r="AT306" i="1"/>
  <c r="G149" i="1" l="1"/>
  <c r="I149" i="1" s="1"/>
  <c r="H149" i="1"/>
  <c r="V149" i="1"/>
  <c r="P149" i="1"/>
  <c r="N149" i="1"/>
  <c r="D149" i="1"/>
  <c r="J149" i="1"/>
  <c r="K149" i="1" s="1"/>
  <c r="AO307" i="1"/>
  <c r="AJ307" i="1"/>
  <c r="AX307" i="1"/>
  <c r="AK307" i="1"/>
  <c r="M149" i="1" l="1"/>
  <c r="A150" i="1"/>
  <c r="L150" i="1" s="1"/>
  <c r="F150" i="1"/>
  <c r="B150" i="1"/>
  <c r="R150" i="1"/>
  <c r="AS307" i="1"/>
  <c r="V150" i="1" l="1"/>
  <c r="P150" i="1"/>
  <c r="G150" i="1"/>
  <c r="D150" i="1"/>
  <c r="H150" i="1"/>
  <c r="AV307" i="1"/>
  <c r="AP307" i="1"/>
  <c r="AQ307" i="1" s="1"/>
  <c r="M150" i="1" l="1"/>
  <c r="N150" i="1"/>
  <c r="J150" i="1"/>
  <c r="K150" i="1" s="1"/>
  <c r="I150" i="1"/>
  <c r="AM307" i="1"/>
  <c r="AT307" i="1"/>
  <c r="AR307" i="1"/>
  <c r="F151" i="1" l="1"/>
  <c r="A151" i="1"/>
  <c r="B151" i="1"/>
  <c r="R151" i="1"/>
  <c r="L151" i="1"/>
  <c r="AJ308" i="1"/>
  <c r="AX308" i="1"/>
  <c r="AK308" i="1"/>
  <c r="AO308" i="1"/>
  <c r="AS308" i="1"/>
  <c r="AP308" i="1" s="1"/>
  <c r="P151" i="1" l="1"/>
  <c r="V151" i="1"/>
  <c r="G151" i="1"/>
  <c r="H151" i="1" s="1"/>
  <c r="AQ308" i="1"/>
  <c r="AV308" i="1"/>
  <c r="AR308" i="1"/>
  <c r="AT308" i="1"/>
  <c r="AM308" i="1"/>
  <c r="J151" i="1" l="1"/>
  <c r="K151" i="1" s="1"/>
  <c r="I151" i="1"/>
  <c r="D151" i="1"/>
  <c r="N151" i="1"/>
  <c r="M151" i="1"/>
  <c r="AJ309" i="1"/>
  <c r="AS309" i="1" s="1"/>
  <c r="AP309" i="1" s="1"/>
  <c r="AK309" i="1"/>
  <c r="AX309" i="1"/>
  <c r="AO309" i="1"/>
  <c r="A152" i="1" l="1"/>
  <c r="F152" i="1"/>
  <c r="R152" i="1"/>
  <c r="B152" i="1"/>
  <c r="AQ309" i="1"/>
  <c r="AV309" i="1"/>
  <c r="AM309" i="1"/>
  <c r="AT309" i="1"/>
  <c r="AR309" i="1"/>
  <c r="L152" i="1" l="1"/>
  <c r="AJ310" i="1"/>
  <c r="AO310" i="1"/>
  <c r="AX310" i="1"/>
  <c r="AK310" i="1"/>
  <c r="P152" i="1" l="1"/>
  <c r="V152" i="1"/>
  <c r="G152" i="1"/>
  <c r="H152" i="1" s="1"/>
  <c r="AS310" i="1"/>
  <c r="J152" i="1" l="1"/>
  <c r="K152" i="1" s="1"/>
  <c r="I152" i="1"/>
  <c r="D152" i="1"/>
  <c r="N152" i="1"/>
  <c r="M152" i="1"/>
  <c r="AV310" i="1"/>
  <c r="AP310" i="1"/>
  <c r="AM310" i="1"/>
  <c r="AQ310" i="1"/>
  <c r="AR310" i="1" l="1"/>
  <c r="AT310" i="1"/>
  <c r="AO311" i="1" s="1"/>
  <c r="B153" i="1"/>
  <c r="A153" i="1"/>
  <c r="L153" i="1" s="1"/>
  <c r="F153" i="1"/>
  <c r="R153" i="1"/>
  <c r="G153" i="1" l="1"/>
  <c r="AK311" i="1"/>
  <c r="AX311" i="1"/>
  <c r="AJ311" i="1"/>
  <c r="AS311" i="1"/>
  <c r="J153" i="1"/>
  <c r="K153" i="1" s="1"/>
  <c r="P153" i="1"/>
  <c r="H153" i="1"/>
  <c r="V153" i="1"/>
  <c r="D153" i="1"/>
  <c r="I153" i="1" l="1"/>
  <c r="N153" i="1"/>
  <c r="M153" i="1"/>
  <c r="AV311" i="1"/>
  <c r="AP311" i="1"/>
  <c r="R154" i="1"/>
  <c r="F154" i="1" l="1"/>
  <c r="A154" i="1"/>
  <c r="B154" i="1"/>
  <c r="L154" i="1"/>
  <c r="AQ311" i="1"/>
  <c r="AR311" i="1"/>
  <c r="AM311" i="1"/>
  <c r="AT311" i="1"/>
  <c r="G154" i="1"/>
  <c r="P154" i="1" l="1"/>
  <c r="V154" i="1"/>
  <c r="AK312" i="1"/>
  <c r="AX312" i="1"/>
  <c r="AO312" i="1"/>
  <c r="AJ312" i="1"/>
  <c r="AS312" i="1" s="1"/>
  <c r="M154" i="1"/>
  <c r="H154" i="1"/>
  <c r="N154" i="1"/>
  <c r="J154" i="1"/>
  <c r="K154" i="1" s="1"/>
  <c r="I154" i="1"/>
  <c r="D154" i="1"/>
  <c r="AP312" i="1"/>
  <c r="AM312" i="1"/>
  <c r="AV312" i="1" l="1"/>
  <c r="AQ312" i="1"/>
  <c r="B155" i="1"/>
  <c r="A155" i="1"/>
  <c r="L155" i="1" s="1"/>
  <c r="F155" i="1"/>
  <c r="R155" i="1"/>
  <c r="AT312" i="1"/>
  <c r="AR312" i="1"/>
  <c r="G155" i="1" l="1"/>
  <c r="P155" i="1"/>
  <c r="V155" i="1"/>
  <c r="AJ313" i="1"/>
  <c r="AO313" i="1"/>
  <c r="AK313" i="1"/>
  <c r="AS313" i="1" s="1"/>
  <c r="AX313" i="1"/>
  <c r="M155" i="1" l="1"/>
  <c r="H155" i="1"/>
  <c r="I155" i="1"/>
  <c r="J155" i="1"/>
  <c r="K155" i="1" s="1"/>
  <c r="N155" i="1"/>
  <c r="D155" i="1"/>
  <c r="AP313" i="1"/>
  <c r="AQ313" i="1"/>
  <c r="AV313" i="1"/>
  <c r="B156" i="1" l="1"/>
  <c r="L156" i="1" s="1"/>
  <c r="G156" i="1" s="1"/>
  <c r="R156" i="1"/>
  <c r="A156" i="1"/>
  <c r="F156" i="1"/>
  <c r="AM313" i="1"/>
  <c r="AR313" i="1"/>
  <c r="AT313" i="1"/>
  <c r="AJ314" i="1" s="1"/>
  <c r="V156" i="1" l="1"/>
  <c r="P156" i="1"/>
  <c r="M156" i="1" s="1"/>
  <c r="H156" i="1"/>
  <c r="N156" i="1"/>
  <c r="D156" i="1"/>
  <c r="I156" i="1"/>
  <c r="J156" i="1"/>
  <c r="K156" i="1" s="1"/>
  <c r="AK314" i="1"/>
  <c r="AS314" i="1" s="1"/>
  <c r="AX314" i="1"/>
  <c r="AO314" i="1"/>
  <c r="A157" i="1" l="1"/>
  <c r="R157" i="1"/>
  <c r="B157" i="1"/>
  <c r="F157" i="1"/>
  <c r="AV314" i="1"/>
  <c r="AP314" i="1"/>
  <c r="L157" i="1" l="1"/>
  <c r="AR314" i="1"/>
  <c r="AT314" i="1"/>
  <c r="AM314" i="1"/>
  <c r="AQ314" i="1"/>
  <c r="G157" i="1" l="1"/>
  <c r="P157" i="1"/>
  <c r="V157" i="1"/>
  <c r="AX315" i="1"/>
  <c r="AJ315" i="1"/>
  <c r="AO315" i="1"/>
  <c r="AK315" i="1"/>
  <c r="M157" i="1" l="1"/>
  <c r="N157" i="1"/>
  <c r="I157" i="1"/>
  <c r="D157" i="1"/>
  <c r="J157" i="1"/>
  <c r="K157" i="1" s="1"/>
  <c r="H157" i="1"/>
  <c r="AS315" i="1"/>
  <c r="R158" i="1" l="1"/>
  <c r="F158" i="1"/>
  <c r="B158" i="1"/>
  <c r="A158" i="1"/>
  <c r="AP315" i="1"/>
  <c r="AT315" i="1" s="1"/>
  <c r="AV315" i="1"/>
  <c r="AM315" i="1"/>
  <c r="L158" i="1" l="1"/>
  <c r="AR315" i="1"/>
  <c r="AQ315" i="1"/>
  <c r="AX316" i="1"/>
  <c r="AJ316" i="1"/>
  <c r="AK316" i="1"/>
  <c r="AO316" i="1"/>
  <c r="G158" i="1" l="1"/>
  <c r="P158" i="1"/>
  <c r="V158" i="1"/>
  <c r="AS316" i="1"/>
  <c r="M158" i="1" l="1"/>
  <c r="H158" i="1"/>
  <c r="I158" i="1"/>
  <c r="D158" i="1"/>
  <c r="K9" i="5" s="1"/>
  <c r="N158" i="1"/>
  <c r="J158" i="1"/>
  <c r="K158" i="1" s="1"/>
  <c r="AP316" i="1"/>
  <c r="AQ316" i="1" s="1"/>
  <c r="AV316" i="1"/>
  <c r="H10" i="5"/>
  <c r="H9" i="5"/>
  <c r="O5" i="1"/>
  <c r="A159" i="1" l="1"/>
  <c r="B159" i="1"/>
  <c r="R159" i="1"/>
  <c r="F159" i="1"/>
  <c r="AT316" i="1"/>
  <c r="AM316" i="1"/>
  <c r="AR316" i="1"/>
  <c r="H17" i="5"/>
  <c r="L159" i="1" l="1"/>
  <c r="AJ317" i="1"/>
  <c r="AK317" i="1"/>
  <c r="AO317" i="1"/>
  <c r="AX317" i="1"/>
  <c r="P159" i="1" l="1"/>
  <c r="V159" i="1"/>
  <c r="G159" i="1"/>
  <c r="H159" i="1"/>
  <c r="D159" i="1"/>
  <c r="AS317" i="1"/>
  <c r="J159" i="1" l="1"/>
  <c r="K159" i="1" s="1"/>
  <c r="I159" i="1"/>
  <c r="N159" i="1"/>
  <c r="AP317" i="1"/>
  <c r="AV317" i="1"/>
  <c r="M159" i="1"/>
  <c r="AM317" i="1"/>
  <c r="AQ317" i="1"/>
  <c r="R160" i="1" l="1"/>
  <c r="B160" i="1"/>
  <c r="A160" i="1"/>
  <c r="F160" i="1"/>
  <c r="AR317" i="1"/>
  <c r="AT317" i="1"/>
  <c r="L160" i="1"/>
  <c r="AO318" i="1" l="1"/>
  <c r="AJ318" i="1"/>
  <c r="AK318" i="1"/>
  <c r="AX318" i="1"/>
  <c r="V160" i="1"/>
  <c r="P160" i="1"/>
  <c r="G160" i="1"/>
  <c r="J160" i="1" s="1"/>
  <c r="K160" i="1" s="1"/>
  <c r="AS318" i="1"/>
  <c r="I160" i="1" l="1"/>
  <c r="N160" i="1"/>
  <c r="B161" i="1" s="1"/>
  <c r="D160" i="1"/>
  <c r="H160" i="1"/>
  <c r="M160" i="1"/>
  <c r="AV318" i="1"/>
  <c r="AP318" i="1"/>
  <c r="A161" i="1" l="1"/>
  <c r="L161" i="1" s="1"/>
  <c r="F161" i="1"/>
  <c r="R161" i="1"/>
  <c r="AQ318" i="1"/>
  <c r="AT318" i="1"/>
  <c r="AM318" i="1"/>
  <c r="AR318" i="1"/>
  <c r="V161" i="1" l="1"/>
  <c r="G161" i="1"/>
  <c r="P161" i="1"/>
  <c r="AO319" i="1"/>
  <c r="AK319" i="1"/>
  <c r="AX319" i="1"/>
  <c r="AJ319" i="1"/>
  <c r="AS319" i="1"/>
  <c r="M161" i="1" l="1"/>
  <c r="J161" i="1"/>
  <c r="K161" i="1" s="1"/>
  <c r="H161" i="1"/>
  <c r="I161" i="1"/>
  <c r="N161" i="1"/>
  <c r="D161" i="1"/>
  <c r="AP319" i="1"/>
  <c r="AV319" i="1"/>
  <c r="B162" i="1" l="1"/>
  <c r="R162" i="1"/>
  <c r="A162" i="1"/>
  <c r="F162" i="1"/>
  <c r="L162" i="1"/>
  <c r="AQ319" i="1"/>
  <c r="AM319" i="1"/>
  <c r="AR319" i="1"/>
  <c r="AT319" i="1"/>
  <c r="P162" i="1" l="1"/>
  <c r="V162" i="1"/>
  <c r="G162" i="1"/>
  <c r="AK320" i="1"/>
  <c r="AJ320" i="1"/>
  <c r="AS320" i="1" s="1"/>
  <c r="AX320" i="1"/>
  <c r="AO320" i="1"/>
  <c r="M162" i="1" l="1"/>
  <c r="H162" i="1"/>
  <c r="N162" i="1"/>
  <c r="D162" i="1"/>
  <c r="J162" i="1"/>
  <c r="K162" i="1" s="1"/>
  <c r="I162" i="1"/>
  <c r="AP320" i="1"/>
  <c r="AR320" i="1" s="1"/>
  <c r="AV320" i="1"/>
  <c r="AQ320" i="1"/>
  <c r="B163" i="1" l="1"/>
  <c r="A163" i="1"/>
  <c r="L163" i="1" s="1"/>
  <c r="R163" i="1"/>
  <c r="F163" i="1"/>
  <c r="AT320" i="1"/>
  <c r="AM320" i="1"/>
  <c r="G163" i="1" l="1"/>
  <c r="P163" i="1"/>
  <c r="M163" i="1" s="1"/>
  <c r="V163" i="1"/>
  <c r="AO321" i="1"/>
  <c r="AJ321" i="1"/>
  <c r="AX321" i="1"/>
  <c r="AK321" i="1"/>
  <c r="I163" i="1" l="1"/>
  <c r="N163" i="1"/>
  <c r="J163" i="1"/>
  <c r="K163" i="1" s="1"/>
  <c r="D163" i="1"/>
  <c r="H163" i="1"/>
  <c r="AS321" i="1"/>
  <c r="F164" i="1" l="1"/>
  <c r="R164" i="1"/>
  <c r="A164" i="1"/>
  <c r="B164" i="1"/>
  <c r="AV321" i="1"/>
  <c r="AP321" i="1"/>
  <c r="AQ321" i="1" s="1"/>
  <c r="L164" i="1" l="1"/>
  <c r="AT321" i="1"/>
  <c r="AR321" i="1"/>
  <c r="AM321" i="1"/>
  <c r="G164" i="1" l="1"/>
  <c r="J164" i="1" s="1"/>
  <c r="K164" i="1" s="1"/>
  <c r="P164" i="1"/>
  <c r="V164" i="1"/>
  <c r="AK322" i="1"/>
  <c r="AJ322" i="1"/>
  <c r="AO322" i="1"/>
  <c r="AX322" i="1"/>
  <c r="H164" i="1" l="1"/>
  <c r="M164" i="1"/>
  <c r="D164" i="1"/>
  <c r="I164" i="1"/>
  <c r="N164" i="1"/>
  <c r="AS322" i="1"/>
  <c r="A165" i="1" l="1"/>
  <c r="F165" i="1"/>
  <c r="R165" i="1"/>
  <c r="B165" i="1"/>
  <c r="AV322" i="1"/>
  <c r="AP322" i="1"/>
  <c r="AQ322" i="1" s="1"/>
  <c r="L165" i="1" l="1"/>
  <c r="AM322" i="1"/>
  <c r="AT322" i="1"/>
  <c r="AR322" i="1"/>
  <c r="P165" i="1" l="1"/>
  <c r="G165" i="1"/>
  <c r="V165" i="1"/>
  <c r="AO323" i="1"/>
  <c r="AK323" i="1"/>
  <c r="AJ323" i="1"/>
  <c r="AS323" i="1" s="1"/>
  <c r="AP323" i="1" s="1"/>
  <c r="AX323" i="1"/>
  <c r="D165" i="1"/>
  <c r="M165" i="1" l="1"/>
  <c r="H165" i="1"/>
  <c r="I165" i="1"/>
  <c r="J165" i="1"/>
  <c r="K165" i="1" s="1"/>
  <c r="N165" i="1"/>
  <c r="AV323" i="1"/>
  <c r="AQ323" i="1"/>
  <c r="AT323" i="1"/>
  <c r="AM323" i="1"/>
  <c r="AR323" i="1"/>
  <c r="F166" i="1"/>
  <c r="R166" i="1"/>
  <c r="B166" i="1"/>
  <c r="A166" i="1"/>
  <c r="L166" i="1" s="1"/>
  <c r="AO324" i="1" l="1"/>
  <c r="AX324" i="1"/>
  <c r="AJ324" i="1"/>
  <c r="AK324" i="1"/>
  <c r="AS324" i="1"/>
  <c r="AP324" i="1" s="1"/>
  <c r="G166" i="1"/>
  <c r="V166" i="1"/>
  <c r="P166" i="1"/>
  <c r="AQ324" i="1" l="1"/>
  <c r="AV324" i="1"/>
  <c r="AT324" i="1"/>
  <c r="AM324" i="1"/>
  <c r="AR324" i="1"/>
  <c r="M166" i="1"/>
  <c r="I166" i="1"/>
  <c r="J166" i="1"/>
  <c r="K166" i="1" s="1"/>
  <c r="H166" i="1"/>
  <c r="N166" i="1"/>
  <c r="D166" i="1"/>
  <c r="AO325" i="1" l="1"/>
  <c r="AK325" i="1"/>
  <c r="AX325" i="1"/>
  <c r="AJ325" i="1"/>
  <c r="AS325" i="1" s="1"/>
  <c r="AP325" i="1"/>
  <c r="AT325" i="1" s="1"/>
  <c r="AM325" i="1"/>
  <c r="B167" i="1"/>
  <c r="R167" i="1"/>
  <c r="F167" i="1"/>
  <c r="A167" i="1"/>
  <c r="AX326" i="1" l="1"/>
  <c r="AO326" i="1"/>
  <c r="L167" i="1"/>
  <c r="AK326" i="1"/>
  <c r="AJ326" i="1"/>
  <c r="AR325" i="1"/>
  <c r="AQ325" i="1"/>
  <c r="AV325" i="1"/>
  <c r="AS326" i="1" s="1"/>
  <c r="V167" i="1" l="1"/>
  <c r="G167" i="1"/>
  <c r="P167" i="1"/>
  <c r="AV326" i="1"/>
  <c r="AP326" i="1"/>
  <c r="AQ326" i="1"/>
  <c r="H167" i="1"/>
  <c r="D167" i="1"/>
  <c r="M167" i="1" l="1"/>
  <c r="I167" i="1"/>
  <c r="N167" i="1"/>
  <c r="J167" i="1"/>
  <c r="K167" i="1" s="1"/>
  <c r="AR326" i="1"/>
  <c r="AM326" i="1"/>
  <c r="AT326" i="1"/>
  <c r="F168" i="1"/>
  <c r="R168" i="1"/>
  <c r="A168" i="1" l="1"/>
  <c r="B168" i="1"/>
  <c r="AJ327" i="1"/>
  <c r="AK327" i="1"/>
  <c r="AX327" i="1"/>
  <c r="AO327" i="1"/>
  <c r="L168" i="1"/>
  <c r="AS327" i="1"/>
  <c r="V168" i="1" l="1"/>
  <c r="P168" i="1"/>
  <c r="G168" i="1"/>
  <c r="AV327" i="1"/>
  <c r="AP327" i="1"/>
  <c r="AQ327" i="1" s="1"/>
  <c r="M168" i="1" l="1"/>
  <c r="H168" i="1"/>
  <c r="J168" i="1"/>
  <c r="K168" i="1" s="1"/>
  <c r="I168" i="1"/>
  <c r="N168" i="1"/>
  <c r="D168" i="1"/>
  <c r="AR327" i="1"/>
  <c r="AM327" i="1"/>
  <c r="AT327" i="1"/>
  <c r="A169" i="1" l="1"/>
  <c r="F169" i="1"/>
  <c r="R169" i="1"/>
  <c r="B169" i="1"/>
  <c r="AJ328" i="1"/>
  <c r="AK328" i="1"/>
  <c r="AX328" i="1"/>
  <c r="AO328" i="1"/>
  <c r="L169" i="1" l="1"/>
  <c r="AS328" i="1"/>
  <c r="V169" i="1" l="1"/>
  <c r="G169" i="1"/>
  <c r="P169" i="1"/>
  <c r="M169" i="1" s="1"/>
  <c r="AP328" i="1"/>
  <c r="AQ328" i="1" s="1"/>
  <c r="AV328" i="1"/>
  <c r="J169" i="1" l="1"/>
  <c r="K169" i="1" s="1"/>
  <c r="D169" i="1"/>
  <c r="N169" i="1"/>
  <c r="H169" i="1"/>
  <c r="I169" i="1"/>
  <c r="AR328" i="1"/>
  <c r="AT328" i="1"/>
  <c r="AM328" i="1"/>
  <c r="A170" i="1" l="1"/>
  <c r="B170" i="1"/>
  <c r="L170" i="1" s="1"/>
  <c r="R170" i="1"/>
  <c r="F170" i="1"/>
  <c r="AJ329" i="1"/>
  <c r="AO329" i="1"/>
  <c r="AK329" i="1"/>
  <c r="AX329" i="1"/>
  <c r="P170" i="1" l="1"/>
  <c r="V170" i="1"/>
  <c r="G170" i="1"/>
  <c r="H170" i="1" s="1"/>
  <c r="AS329" i="1"/>
  <c r="J170" i="1" l="1"/>
  <c r="K170" i="1" s="1"/>
  <c r="I170" i="1"/>
  <c r="N170" i="1"/>
  <c r="D170" i="1"/>
  <c r="AV329" i="1"/>
  <c r="AP329" i="1"/>
  <c r="AQ329" i="1" s="1"/>
  <c r="M170" i="1"/>
  <c r="F171" i="1" l="1"/>
  <c r="R171" i="1"/>
  <c r="B171" i="1"/>
  <c r="A171" i="1"/>
  <c r="AM329" i="1"/>
  <c r="AT329" i="1"/>
  <c r="AR329" i="1"/>
  <c r="AK330" i="1" l="1"/>
  <c r="AO330" i="1"/>
  <c r="AX330" i="1"/>
  <c r="AJ330" i="1"/>
  <c r="L171" i="1"/>
  <c r="AS330" i="1" l="1"/>
  <c r="V171" i="1"/>
  <c r="P171" i="1"/>
  <c r="G171" i="1"/>
  <c r="H171" i="1" s="1"/>
  <c r="AP330" i="1" l="1"/>
  <c r="AQ330" i="1"/>
  <c r="AV330" i="1"/>
  <c r="J171" i="1"/>
  <c r="K171" i="1" s="1"/>
  <c r="D171" i="1"/>
  <c r="I171" i="1"/>
  <c r="N171" i="1"/>
  <c r="M171" i="1"/>
  <c r="AM330" i="1" l="1"/>
  <c r="AT330" i="1"/>
  <c r="AR330" i="1"/>
  <c r="B172" i="1"/>
  <c r="A172" i="1"/>
  <c r="R172" i="1"/>
  <c r="F172" i="1"/>
  <c r="AK331" i="1" l="1"/>
  <c r="AJ331" i="1"/>
  <c r="AS331" i="1" s="1"/>
  <c r="AX331" i="1"/>
  <c r="AO331" i="1"/>
  <c r="L172" i="1"/>
  <c r="AV331" i="1" l="1"/>
  <c r="AP331" i="1"/>
  <c r="AQ331" i="1" s="1"/>
  <c r="G172" i="1"/>
  <c r="H172" i="1" s="1"/>
  <c r="P172" i="1"/>
  <c r="V172" i="1"/>
  <c r="M172" i="1" l="1"/>
  <c r="AR331" i="1"/>
  <c r="AT331" i="1"/>
  <c r="AM331" i="1"/>
  <c r="N172" i="1"/>
  <c r="D172" i="1"/>
  <c r="J172" i="1"/>
  <c r="K172" i="1" s="1"/>
  <c r="I172" i="1"/>
  <c r="AJ332" i="1" l="1"/>
  <c r="AX332" i="1"/>
  <c r="AO332" i="1"/>
  <c r="AK332" i="1"/>
  <c r="R173" i="1"/>
  <c r="F173" i="1"/>
  <c r="B173" i="1"/>
  <c r="A173" i="1"/>
  <c r="L173" i="1" s="1"/>
  <c r="G173" i="1" s="1"/>
  <c r="AS332" i="1" l="1"/>
  <c r="H173" i="1"/>
  <c r="V173" i="1"/>
  <c r="P173" i="1"/>
  <c r="M173" i="1" s="1"/>
  <c r="J173" i="1"/>
  <c r="K173" i="1" s="1"/>
  <c r="I173" i="1"/>
  <c r="D173" i="1"/>
  <c r="N173" i="1"/>
  <c r="AV332" i="1" l="1"/>
  <c r="AP332" i="1"/>
  <c r="AQ332" i="1"/>
  <c r="AM332" i="1"/>
  <c r="B174" i="1"/>
  <c r="R174" i="1"/>
  <c r="F174" i="1"/>
  <c r="A174" i="1"/>
  <c r="AR332" i="1" l="1"/>
  <c r="AT332" i="1"/>
  <c r="AK333" i="1"/>
  <c r="AS333" i="1"/>
  <c r="L174" i="1"/>
  <c r="AX333" i="1" l="1"/>
  <c r="AO333" i="1"/>
  <c r="AJ333" i="1"/>
  <c r="AV333" i="1"/>
  <c r="AP333" i="1"/>
  <c r="P174" i="1"/>
  <c r="V174" i="1"/>
  <c r="G174" i="1"/>
  <c r="H174" i="1" s="1"/>
  <c r="M174" i="1" l="1"/>
  <c r="AQ333" i="1"/>
  <c r="AR333" i="1"/>
  <c r="AT333" i="1"/>
  <c r="AM333" i="1"/>
  <c r="J174" i="1"/>
  <c r="K174" i="1" s="1"/>
  <c r="I174" i="1"/>
  <c r="D174" i="1"/>
  <c r="N174" i="1"/>
  <c r="AJ334" i="1" l="1"/>
  <c r="AX334" i="1"/>
  <c r="AK334" i="1"/>
  <c r="AO334" i="1"/>
  <c r="F175" i="1"/>
  <c r="R175" i="1"/>
  <c r="A175" i="1"/>
  <c r="B175" i="1"/>
  <c r="AS334" i="1" l="1"/>
  <c r="L175" i="1"/>
  <c r="AV334" i="1" l="1"/>
  <c r="AP334" i="1"/>
  <c r="AM334" i="1"/>
  <c r="G175" i="1"/>
  <c r="P175" i="1"/>
  <c r="M175" i="1" s="1"/>
  <c r="V175" i="1"/>
  <c r="AQ334" i="1" l="1"/>
  <c r="AT334" i="1"/>
  <c r="AR334" i="1"/>
  <c r="I175" i="1"/>
  <c r="J175" i="1"/>
  <c r="K175" i="1" s="1"/>
  <c r="H175" i="1"/>
  <c r="N175" i="1"/>
  <c r="D175" i="1"/>
  <c r="AO335" i="1" l="1"/>
  <c r="AJ335" i="1"/>
  <c r="AX335" i="1"/>
  <c r="AK335" i="1"/>
  <c r="AS335" i="1"/>
  <c r="R176" i="1"/>
  <c r="A176" i="1"/>
  <c r="B176" i="1"/>
  <c r="F176" i="1"/>
  <c r="AV335" i="1" l="1"/>
  <c r="AP335" i="1"/>
  <c r="L176" i="1"/>
  <c r="AQ335" i="1"/>
  <c r="AM335" i="1"/>
  <c r="AR335" i="1" l="1"/>
  <c r="AT335" i="1"/>
  <c r="AO336" i="1" s="1"/>
  <c r="P176" i="1"/>
  <c r="V176" i="1"/>
  <c r="G176" i="1"/>
  <c r="N176" i="1" s="1"/>
  <c r="AX336" i="1" l="1"/>
  <c r="AJ336" i="1"/>
  <c r="AK336" i="1"/>
  <c r="AS336" i="1"/>
  <c r="AV336" i="1" s="1"/>
  <c r="M176" i="1"/>
  <c r="H176" i="1"/>
  <c r="D176" i="1"/>
  <c r="J176" i="1"/>
  <c r="K176" i="1" s="1"/>
  <c r="I176" i="1"/>
  <c r="B177" i="1"/>
  <c r="R177" i="1"/>
  <c r="A177" i="1"/>
  <c r="F177" i="1"/>
  <c r="AP336" i="1"/>
  <c r="L177" i="1" l="1"/>
  <c r="AQ336" i="1"/>
  <c r="AR336" i="1"/>
  <c r="AT336" i="1"/>
  <c r="AM336" i="1"/>
  <c r="V177" i="1" l="1"/>
  <c r="G177" i="1"/>
  <c r="P177" i="1"/>
  <c r="AO337" i="1"/>
  <c r="AJ337" i="1"/>
  <c r="AX337" i="1"/>
  <c r="AK337" i="1"/>
  <c r="AS337" i="1"/>
  <c r="M177" i="1" l="1"/>
  <c r="I177" i="1"/>
  <c r="J177" i="1"/>
  <c r="K177" i="1" s="1"/>
  <c r="N177" i="1"/>
  <c r="H177" i="1"/>
  <c r="D177" i="1"/>
  <c r="AV337" i="1"/>
  <c r="AP337" i="1"/>
  <c r="R178" i="1" l="1"/>
  <c r="A178" i="1"/>
  <c r="F178" i="1"/>
  <c r="B178" i="1"/>
  <c r="AQ337" i="1"/>
  <c r="AR337" i="1"/>
  <c r="AT337" i="1"/>
  <c r="AM337" i="1"/>
  <c r="L178" i="1" l="1"/>
  <c r="AX338" i="1"/>
  <c r="AK338" i="1"/>
  <c r="AO338" i="1"/>
  <c r="AJ338" i="1"/>
  <c r="AS338" i="1" s="1"/>
  <c r="V178" i="1" l="1"/>
  <c r="P178" i="1"/>
  <c r="G178" i="1"/>
  <c r="H178" i="1" s="1"/>
  <c r="AP338" i="1"/>
  <c r="AV338" i="1"/>
  <c r="N178" i="1" l="1"/>
  <c r="I178" i="1"/>
  <c r="J178" i="1"/>
  <c r="K178" i="1" s="1"/>
  <c r="D178" i="1"/>
  <c r="M178" i="1"/>
  <c r="AQ338" i="1"/>
  <c r="AT338" i="1"/>
  <c r="AM338" i="1"/>
  <c r="AR338" i="1"/>
  <c r="F179" i="1" l="1"/>
  <c r="R179" i="1"/>
  <c r="B179" i="1"/>
  <c r="A179" i="1"/>
  <c r="AJ339" i="1"/>
  <c r="AX339" i="1"/>
  <c r="AO339" i="1"/>
  <c r="AK339" i="1"/>
  <c r="L179" i="1" l="1"/>
  <c r="AS339" i="1"/>
  <c r="AP339" i="1" s="1"/>
  <c r="G179" i="1" l="1"/>
  <c r="H179" i="1"/>
  <c r="V179" i="1"/>
  <c r="P179" i="1"/>
  <c r="AQ339" i="1"/>
  <c r="AV339" i="1"/>
  <c r="AT339" i="1"/>
  <c r="AM339" i="1"/>
  <c r="AR339" i="1"/>
  <c r="M179" i="1" l="1"/>
  <c r="D179" i="1"/>
  <c r="N179" i="1"/>
  <c r="J179" i="1"/>
  <c r="K179" i="1" s="1"/>
  <c r="I179" i="1"/>
  <c r="AK340" i="1"/>
  <c r="AX340" i="1"/>
  <c r="AO340" i="1"/>
  <c r="AJ340" i="1"/>
  <c r="AS340" i="1" s="1"/>
  <c r="F180" i="1" l="1"/>
  <c r="R180" i="1"/>
  <c r="B180" i="1"/>
  <c r="A180" i="1"/>
  <c r="AV340" i="1"/>
  <c r="AP340" i="1"/>
  <c r="L180" i="1" l="1"/>
  <c r="P180" i="1" s="1"/>
  <c r="AR340" i="1"/>
  <c r="AT340" i="1"/>
  <c r="AJ341" i="1" s="1"/>
  <c r="AQ340" i="1"/>
  <c r="AM340" i="1"/>
  <c r="G180" i="1" l="1"/>
  <c r="V180" i="1"/>
  <c r="N180" i="1"/>
  <c r="I180" i="1"/>
  <c r="AX341" i="1"/>
  <c r="AO341" i="1"/>
  <c r="AK341" i="1"/>
  <c r="AS341" i="1"/>
  <c r="D180" i="1" l="1"/>
  <c r="M180" i="1"/>
  <c r="H180" i="1"/>
  <c r="J180" i="1"/>
  <c r="K180" i="1" s="1"/>
  <c r="B181" i="1"/>
  <c r="R181" i="1"/>
  <c r="A181" i="1"/>
  <c r="F181" i="1"/>
  <c r="AV341" i="1"/>
  <c r="AP341" i="1"/>
  <c r="L181" i="1" l="1"/>
  <c r="AR341" i="1"/>
  <c r="AT341" i="1"/>
  <c r="AM341" i="1"/>
  <c r="AQ341" i="1"/>
  <c r="P181" i="1" l="1"/>
  <c r="V181" i="1"/>
  <c r="G181" i="1"/>
  <c r="AO342" i="1"/>
  <c r="AX342" i="1"/>
  <c r="AK342" i="1"/>
  <c r="AJ342" i="1"/>
  <c r="AS342" i="1" s="1"/>
  <c r="J181" i="1" l="1"/>
  <c r="K181" i="1" s="1"/>
  <c r="D181" i="1"/>
  <c r="H181" i="1"/>
  <c r="N181" i="1"/>
  <c r="I181" i="1"/>
  <c r="M181" i="1"/>
  <c r="AP342" i="1"/>
  <c r="AV342" i="1"/>
  <c r="F182" i="1" l="1"/>
  <c r="R182" i="1"/>
  <c r="B182" i="1"/>
  <c r="A182" i="1"/>
  <c r="L182" i="1" s="1"/>
  <c r="AR342" i="1"/>
  <c r="AQ342" i="1"/>
  <c r="AM342" i="1"/>
  <c r="AT342" i="1"/>
  <c r="V182" i="1" l="1"/>
  <c r="P182" i="1"/>
  <c r="G182" i="1"/>
  <c r="AO343" i="1"/>
  <c r="AJ343" i="1"/>
  <c r="AX343" i="1"/>
  <c r="AK343" i="1"/>
  <c r="AS343" i="1" s="1"/>
  <c r="I182" i="1" l="1"/>
  <c r="D182" i="1"/>
  <c r="J182" i="1"/>
  <c r="K182" i="1" s="1"/>
  <c r="N182" i="1"/>
  <c r="H182" i="1"/>
  <c r="M182" i="1"/>
  <c r="AV343" i="1"/>
  <c r="AP343" i="1"/>
  <c r="AQ343" i="1" s="1"/>
  <c r="F183" i="1" l="1"/>
  <c r="B183" i="1"/>
  <c r="R183" i="1"/>
  <c r="A183" i="1"/>
  <c r="L183" i="1" s="1"/>
  <c r="AM343" i="1"/>
  <c r="AT343" i="1"/>
  <c r="AR343" i="1"/>
  <c r="V183" i="1" l="1"/>
  <c r="G183" i="1"/>
  <c r="N183" i="1" s="1"/>
  <c r="P183" i="1"/>
  <c r="H183" i="1"/>
  <c r="D183" i="1"/>
  <c r="AK344" i="1"/>
  <c r="AX344" i="1"/>
  <c r="AJ344" i="1"/>
  <c r="AO344" i="1"/>
  <c r="M183" i="1" l="1"/>
  <c r="J183" i="1"/>
  <c r="K183" i="1" s="1"/>
  <c r="I183" i="1"/>
  <c r="R184" i="1"/>
  <c r="A184" i="1"/>
  <c r="B184" i="1"/>
  <c r="F184" i="1"/>
  <c r="AS344" i="1"/>
  <c r="L184" i="1" l="1"/>
  <c r="AP344" i="1"/>
  <c r="AQ344" i="1" s="1"/>
  <c r="AV344" i="1"/>
  <c r="P184" i="1" l="1"/>
  <c r="V184" i="1"/>
  <c r="G184" i="1"/>
  <c r="H184" i="1"/>
  <c r="AM344" i="1"/>
  <c r="AR344" i="1"/>
  <c r="AT344" i="1"/>
  <c r="M184" i="1" l="1"/>
  <c r="N184" i="1"/>
  <c r="D184" i="1"/>
  <c r="I184" i="1"/>
  <c r="J184" i="1"/>
  <c r="K184" i="1" s="1"/>
  <c r="AJ345" i="1"/>
  <c r="AX345" i="1"/>
  <c r="AK345" i="1"/>
  <c r="AO345" i="1"/>
  <c r="AS345" i="1"/>
  <c r="R185" i="1" l="1"/>
  <c r="A185" i="1"/>
  <c r="F185" i="1"/>
  <c r="B185" i="1"/>
  <c r="AP345" i="1"/>
  <c r="AQ345" i="1" s="1"/>
  <c r="AV345" i="1"/>
  <c r="L185" i="1" l="1"/>
  <c r="P185" i="1" s="1"/>
  <c r="AR345" i="1"/>
  <c r="AM345" i="1"/>
  <c r="AT345" i="1"/>
  <c r="G185" i="1" l="1"/>
  <c r="H185" i="1"/>
  <c r="V185" i="1"/>
  <c r="D185" i="1"/>
  <c r="AX346" i="1"/>
  <c r="AJ346" i="1"/>
  <c r="AK346" i="1"/>
  <c r="AO346" i="1"/>
  <c r="N185" i="1" l="1"/>
  <c r="G186" i="1" s="1"/>
  <c r="J185" i="1"/>
  <c r="K185" i="1" s="1"/>
  <c r="I185" i="1"/>
  <c r="M185" i="1"/>
  <c r="AS346" i="1"/>
  <c r="B186" i="1" l="1"/>
  <c r="A186" i="1"/>
  <c r="L186" i="1" s="1"/>
  <c r="F186" i="1"/>
  <c r="R186" i="1"/>
  <c r="D186" i="1"/>
  <c r="J186" i="1"/>
  <c r="K186" i="1" s="1"/>
  <c r="N186" i="1"/>
  <c r="AV346" i="1"/>
  <c r="AP346" i="1"/>
  <c r="AQ346" i="1" s="1"/>
  <c r="H186" i="1" l="1"/>
  <c r="I186" i="1"/>
  <c r="V186" i="1"/>
  <c r="P186" i="1"/>
  <c r="M186" i="1" s="1"/>
  <c r="F187" i="1"/>
  <c r="B187" i="1"/>
  <c r="R187" i="1"/>
  <c r="A187" i="1"/>
  <c r="AT346" i="1"/>
  <c r="AM346" i="1"/>
  <c r="AR346" i="1"/>
  <c r="L187" i="1" l="1"/>
  <c r="AX347" i="1"/>
  <c r="AK347" i="1"/>
  <c r="AJ347" i="1"/>
  <c r="AS347" i="1" s="1"/>
  <c r="AO347" i="1"/>
  <c r="V187" i="1" l="1"/>
  <c r="G187" i="1"/>
  <c r="P187" i="1"/>
  <c r="M187" i="1" s="1"/>
  <c r="H187" i="1"/>
  <c r="N187" i="1"/>
  <c r="A188" i="1" s="1"/>
  <c r="I187" i="1"/>
  <c r="AP347" i="1"/>
  <c r="AV347" i="1"/>
  <c r="J187" i="1" l="1"/>
  <c r="K187" i="1" s="1"/>
  <c r="D187" i="1"/>
  <c r="F188" i="1"/>
  <c r="R188" i="1"/>
  <c r="B188" i="1"/>
  <c r="L188" i="1"/>
  <c r="AR347" i="1"/>
  <c r="AQ347" i="1"/>
  <c r="AT347" i="1"/>
  <c r="AM347" i="1"/>
  <c r="V188" i="1" l="1"/>
  <c r="P188" i="1"/>
  <c r="G188" i="1"/>
  <c r="H188" i="1" s="1"/>
  <c r="AJ348" i="1"/>
  <c r="AO348" i="1"/>
  <c r="AX348" i="1"/>
  <c r="AK348" i="1"/>
  <c r="AS348" i="1" s="1"/>
  <c r="I188" i="1" l="1"/>
  <c r="D188" i="1"/>
  <c r="J188" i="1"/>
  <c r="K188" i="1" s="1"/>
  <c r="N188" i="1"/>
  <c r="M188" i="1"/>
  <c r="AP348" i="1"/>
  <c r="AV348" i="1"/>
  <c r="R189" i="1" l="1"/>
  <c r="F189" i="1"/>
  <c r="A189" i="1"/>
  <c r="B189" i="1"/>
  <c r="AM348" i="1"/>
  <c r="AR348" i="1"/>
  <c r="AT348" i="1"/>
  <c r="AQ348" i="1"/>
  <c r="L189" i="1" l="1"/>
  <c r="AK349" i="1"/>
  <c r="AO349" i="1"/>
  <c r="AX349" i="1"/>
  <c r="AJ349" i="1"/>
  <c r="V189" i="1" l="1"/>
  <c r="P189" i="1"/>
  <c r="G189" i="1"/>
  <c r="AS349" i="1"/>
  <c r="H189" i="1" l="1"/>
  <c r="I189" i="1"/>
  <c r="N189" i="1"/>
  <c r="D189" i="1"/>
  <c r="J189" i="1"/>
  <c r="K189" i="1" s="1"/>
  <c r="M189" i="1"/>
  <c r="AP349" i="1"/>
  <c r="AM349" i="1" s="1"/>
  <c r="AV349" i="1"/>
  <c r="AQ349" i="1"/>
  <c r="B190" i="1" l="1"/>
  <c r="A190" i="1"/>
  <c r="L190" i="1" s="1"/>
  <c r="R190" i="1"/>
  <c r="F190" i="1"/>
  <c r="AR349" i="1"/>
  <c r="AT349" i="1"/>
  <c r="G190" i="1" l="1"/>
  <c r="I190" i="1" s="1"/>
  <c r="V190" i="1"/>
  <c r="P190" i="1"/>
  <c r="M190" i="1" s="1"/>
  <c r="H190" i="1"/>
  <c r="N190" i="1"/>
  <c r="D190" i="1"/>
  <c r="J190" i="1"/>
  <c r="K190" i="1" s="1"/>
  <c r="AJ350" i="1"/>
  <c r="AX350" i="1"/>
  <c r="AO350" i="1"/>
  <c r="AK350" i="1"/>
  <c r="A191" i="1" l="1"/>
  <c r="B191" i="1"/>
  <c r="L191" i="1" s="1"/>
  <c r="F191" i="1"/>
  <c r="R191" i="1"/>
  <c r="AS350" i="1"/>
  <c r="G191" i="1" l="1"/>
  <c r="I191" i="1" s="1"/>
  <c r="H191" i="1"/>
  <c r="V191" i="1"/>
  <c r="P191" i="1"/>
  <c r="AP350" i="1"/>
  <c r="AQ350" i="1" s="1"/>
  <c r="AV350" i="1"/>
  <c r="D191" i="1"/>
  <c r="AM350" i="1"/>
  <c r="M191" i="1" l="1"/>
  <c r="N191" i="1"/>
  <c r="L192" i="1" s="1"/>
  <c r="V192" i="1" s="1"/>
  <c r="J191" i="1"/>
  <c r="K191" i="1" s="1"/>
  <c r="AT350" i="1"/>
  <c r="AR350" i="1"/>
  <c r="R192" i="1" l="1"/>
  <c r="F192" i="1"/>
  <c r="A192" i="1"/>
  <c r="B192" i="1"/>
  <c r="AJ351" i="1"/>
  <c r="AS351" i="1" s="1"/>
  <c r="AK351" i="1"/>
  <c r="AX351" i="1"/>
  <c r="AO351" i="1"/>
  <c r="G192" i="1"/>
  <c r="H192" i="1"/>
  <c r="P192" i="1"/>
  <c r="M192" i="1" s="1"/>
  <c r="N192" i="1" l="1"/>
  <c r="J192" i="1"/>
  <c r="K192" i="1" s="1"/>
  <c r="I192" i="1"/>
  <c r="D192" i="1"/>
  <c r="AV351" i="1"/>
  <c r="AP351" i="1"/>
  <c r="AQ351" i="1" s="1"/>
  <c r="F193" i="1" l="1"/>
  <c r="A193" i="1"/>
  <c r="R193" i="1"/>
  <c r="B193" i="1"/>
  <c r="AM351" i="1"/>
  <c r="AT351" i="1"/>
  <c r="AR351" i="1"/>
  <c r="L193" i="1" l="1"/>
  <c r="G193" i="1" s="1"/>
  <c r="AX352" i="1"/>
  <c r="AJ352" i="1"/>
  <c r="AK352" i="1"/>
  <c r="AO352" i="1"/>
  <c r="V193" i="1" l="1"/>
  <c r="P193" i="1"/>
  <c r="M193" i="1" s="1"/>
  <c r="H193" i="1"/>
  <c r="J193" i="1"/>
  <c r="K193" i="1" s="1"/>
  <c r="I193" i="1"/>
  <c r="N193" i="1"/>
  <c r="D193" i="1"/>
  <c r="AS352" i="1"/>
  <c r="B194" i="1" l="1"/>
  <c r="F194" i="1"/>
  <c r="R194" i="1"/>
  <c r="A194" i="1"/>
  <c r="L194" i="1" s="1"/>
  <c r="AP352" i="1"/>
  <c r="AV352" i="1"/>
  <c r="V194" i="1" l="1"/>
  <c r="P194" i="1"/>
  <c r="G194" i="1"/>
  <c r="H194" i="1" s="1"/>
  <c r="AQ352" i="1"/>
  <c r="AT352" i="1"/>
  <c r="AM352" i="1"/>
  <c r="AR352" i="1"/>
  <c r="D194" i="1" l="1"/>
  <c r="K10" i="5" s="1"/>
  <c r="N194" i="1"/>
  <c r="J194" i="1"/>
  <c r="K194" i="1" s="1"/>
  <c r="I194" i="1"/>
  <c r="M194" i="1"/>
  <c r="AX353" i="1"/>
  <c r="AJ353" i="1"/>
  <c r="AK353" i="1"/>
  <c r="AO353" i="1"/>
  <c r="AS353" i="1" l="1"/>
  <c r="B195" i="1"/>
  <c r="A195" i="1"/>
  <c r="R195" i="1"/>
  <c r="F195" i="1"/>
  <c r="AP353" i="1" l="1"/>
  <c r="AV353" i="1"/>
  <c r="AQ353" i="1"/>
  <c r="L195" i="1"/>
  <c r="AT353" i="1" l="1"/>
  <c r="AR353" i="1"/>
  <c r="AM353" i="1"/>
  <c r="P195" i="1"/>
  <c r="V195" i="1"/>
  <c r="G195" i="1"/>
  <c r="H195" i="1" s="1"/>
  <c r="AJ354" i="1" l="1"/>
  <c r="AS354" i="1" s="1"/>
  <c r="AP354" i="1" s="1"/>
  <c r="AK354" i="1"/>
  <c r="AX354" i="1"/>
  <c r="AO354" i="1"/>
  <c r="J195" i="1"/>
  <c r="K195" i="1" s="1"/>
  <c r="I195" i="1"/>
  <c r="N195" i="1"/>
  <c r="D195" i="1"/>
  <c r="M195" i="1"/>
  <c r="AR354" i="1" l="1"/>
  <c r="AM354" i="1"/>
  <c r="AT354" i="1"/>
  <c r="AQ354" i="1"/>
  <c r="AV354" i="1"/>
  <c r="A196" i="1"/>
  <c r="F196" i="1"/>
  <c r="B196" i="1"/>
  <c r="L196" i="1" s="1"/>
  <c r="G196" i="1" s="1"/>
  <c r="R196" i="1"/>
  <c r="AO355" i="1" l="1"/>
  <c r="AJ355" i="1"/>
  <c r="AK355" i="1"/>
  <c r="AX355" i="1"/>
  <c r="I196" i="1"/>
  <c r="N196" i="1"/>
  <c r="D196" i="1"/>
  <c r="J196" i="1"/>
  <c r="K196" i="1" s="1"/>
  <c r="P196" i="1"/>
  <c r="M196" i="1" s="1"/>
  <c r="V196" i="1"/>
  <c r="H196" i="1"/>
  <c r="AS355" i="1" l="1"/>
  <c r="R197" i="1"/>
  <c r="F197" i="1"/>
  <c r="B197" i="1"/>
  <c r="A197" i="1"/>
  <c r="AV355" i="1" l="1"/>
  <c r="AP355" i="1"/>
  <c r="AQ355" i="1"/>
  <c r="L197" i="1"/>
  <c r="AT355" i="1" l="1"/>
  <c r="AR355" i="1"/>
  <c r="AM355" i="1"/>
  <c r="G197" i="1"/>
  <c r="V197" i="1"/>
  <c r="P197" i="1"/>
  <c r="AK356" i="1" l="1"/>
  <c r="AJ356" i="1"/>
  <c r="AS356" i="1" s="1"/>
  <c r="AP356" i="1" s="1"/>
  <c r="AX356" i="1"/>
  <c r="AO356" i="1"/>
  <c r="M197" i="1"/>
  <c r="D197" i="1"/>
  <c r="N197" i="1"/>
  <c r="J197" i="1"/>
  <c r="K197" i="1" s="1"/>
  <c r="I197" i="1"/>
  <c r="H197" i="1"/>
  <c r="AQ356" i="1" l="1"/>
  <c r="AV356" i="1"/>
  <c r="AM356" i="1"/>
  <c r="AT356" i="1"/>
  <c r="AR356" i="1"/>
  <c r="A198" i="1"/>
  <c r="F198" i="1"/>
  <c r="R198" i="1"/>
  <c r="B198" i="1"/>
  <c r="L198" i="1" l="1"/>
  <c r="AX357" i="1"/>
  <c r="AO357" i="1"/>
  <c r="AK357" i="1"/>
  <c r="AJ357" i="1"/>
  <c r="AS357" i="1"/>
  <c r="AP357" i="1" s="1"/>
  <c r="P198" i="1" l="1"/>
  <c r="V198" i="1"/>
  <c r="G198" i="1"/>
  <c r="I198" i="1" s="1"/>
  <c r="AV357" i="1"/>
  <c r="AQ357" i="1"/>
  <c r="AM357" i="1"/>
  <c r="AT357" i="1"/>
  <c r="AR357" i="1"/>
  <c r="M198" i="1"/>
  <c r="D198" i="1"/>
  <c r="H198" i="1" l="1"/>
  <c r="J198" i="1"/>
  <c r="K198" i="1" s="1"/>
  <c r="N198" i="1"/>
  <c r="AJ358" i="1"/>
  <c r="AX358" i="1"/>
  <c r="AO358" i="1"/>
  <c r="AK358" i="1"/>
  <c r="A199" i="1" l="1"/>
  <c r="R199" i="1"/>
  <c r="B199" i="1"/>
  <c r="F199" i="1"/>
  <c r="AS358" i="1"/>
  <c r="L199" i="1"/>
  <c r="AV358" i="1" l="1"/>
  <c r="AP358" i="1"/>
  <c r="AQ358" i="1" s="1"/>
  <c r="P199" i="1"/>
  <c r="V199" i="1"/>
  <c r="G199" i="1"/>
  <c r="J199" i="1" s="1"/>
  <c r="K199" i="1" s="1"/>
  <c r="H199" i="1" l="1"/>
  <c r="N199" i="1"/>
  <c r="I199" i="1"/>
  <c r="D199" i="1"/>
  <c r="AM358" i="1"/>
  <c r="AT358" i="1"/>
  <c r="AR358" i="1"/>
  <c r="M199" i="1"/>
  <c r="B200" i="1" l="1"/>
  <c r="R200" i="1"/>
  <c r="A200" i="1"/>
  <c r="F200" i="1"/>
  <c r="AX359" i="1"/>
  <c r="AJ359" i="1"/>
  <c r="AO359" i="1"/>
  <c r="AK359" i="1"/>
  <c r="L200" i="1"/>
  <c r="AS359" i="1" l="1"/>
  <c r="V200" i="1"/>
  <c r="P200" i="1"/>
  <c r="G200" i="1"/>
  <c r="H200" i="1" s="1"/>
  <c r="AP359" i="1" l="1"/>
  <c r="AV359" i="1"/>
  <c r="M200" i="1"/>
  <c r="N200" i="1"/>
  <c r="D200" i="1"/>
  <c r="I200" i="1"/>
  <c r="J200" i="1"/>
  <c r="K200" i="1" s="1"/>
  <c r="AQ359" i="1" l="1"/>
  <c r="AR359" i="1"/>
  <c r="AM359" i="1"/>
  <c r="AT359" i="1"/>
  <c r="B201" i="1"/>
  <c r="F201" i="1"/>
  <c r="A201" i="1"/>
  <c r="R201" i="1"/>
  <c r="AO360" i="1" l="1"/>
  <c r="AK360" i="1"/>
  <c r="AX360" i="1"/>
  <c r="AJ360" i="1"/>
  <c r="AS360" i="1"/>
  <c r="AP360" i="1" s="1"/>
  <c r="L201" i="1"/>
  <c r="P201" i="1" s="1"/>
  <c r="AQ360" i="1" l="1"/>
  <c r="AV360" i="1"/>
  <c r="AT360" i="1"/>
  <c r="AM360" i="1"/>
  <c r="AR360" i="1"/>
  <c r="G201" i="1"/>
  <c r="J201" i="1" s="1"/>
  <c r="K201" i="1" s="1"/>
  <c r="V201" i="1"/>
  <c r="I201" i="1"/>
  <c r="M201" i="1" l="1"/>
  <c r="H201" i="1"/>
  <c r="D201" i="1"/>
  <c r="N201" i="1"/>
  <c r="AK361" i="1"/>
  <c r="AJ361" i="1"/>
  <c r="AX361" i="1"/>
  <c r="AO361" i="1"/>
  <c r="F202" i="1" l="1"/>
  <c r="B202" i="1"/>
  <c r="R202" i="1"/>
  <c r="A202" i="1"/>
  <c r="L202" i="1" s="1"/>
  <c r="AS361" i="1"/>
  <c r="G202" i="1" l="1"/>
  <c r="N202" i="1" s="1"/>
  <c r="P202" i="1"/>
  <c r="M202" i="1" s="1"/>
  <c r="V202" i="1"/>
  <c r="AV361" i="1"/>
  <c r="AP361" i="1"/>
  <c r="AQ361" i="1" s="1"/>
  <c r="H202" i="1"/>
  <c r="J202" i="1"/>
  <c r="K202" i="1" s="1"/>
  <c r="D202" i="1"/>
  <c r="I202" i="1"/>
  <c r="AM361" i="1" l="1"/>
  <c r="AT361" i="1"/>
  <c r="AR361" i="1"/>
  <c r="A203" i="1"/>
  <c r="R203" i="1"/>
  <c r="B203" i="1"/>
  <c r="F203" i="1"/>
  <c r="AK362" i="1" l="1"/>
  <c r="AO362" i="1"/>
  <c r="AJ362" i="1"/>
  <c r="AS362" i="1" s="1"/>
  <c r="AX362" i="1"/>
  <c r="L203" i="1"/>
  <c r="V203" i="1" l="1"/>
  <c r="P203" i="1"/>
  <c r="G203" i="1"/>
  <c r="J203" i="1" s="1"/>
  <c r="K203" i="1" s="1"/>
  <c r="AV362" i="1"/>
  <c r="AP362" i="1"/>
  <c r="I203" i="1"/>
  <c r="N203" i="1"/>
  <c r="M203" i="1" l="1"/>
  <c r="H203" i="1"/>
  <c r="D203" i="1"/>
  <c r="AQ362" i="1"/>
  <c r="AR362" i="1"/>
  <c r="AT362" i="1"/>
  <c r="AM362" i="1"/>
  <c r="B204" i="1"/>
  <c r="R204" i="1"/>
  <c r="A204" i="1"/>
  <c r="F204" i="1"/>
  <c r="AJ363" i="1" l="1"/>
  <c r="AK363" i="1"/>
  <c r="AX363" i="1"/>
  <c r="AO363" i="1"/>
  <c r="AS363" i="1"/>
  <c r="AP363" i="1" s="1"/>
  <c r="AM363" i="1" s="1"/>
  <c r="L204" i="1"/>
  <c r="AQ363" i="1" l="1"/>
  <c r="AV363" i="1"/>
  <c r="AR363" i="1"/>
  <c r="AT363" i="1"/>
  <c r="G204" i="1"/>
  <c r="P204" i="1"/>
  <c r="M204" i="1" s="1"/>
  <c r="V204" i="1"/>
  <c r="I204" i="1" l="1"/>
  <c r="H204" i="1"/>
  <c r="AK364" i="1"/>
  <c r="AJ364" i="1"/>
  <c r="AS364" i="1" s="1"/>
  <c r="AP364" i="1" s="1"/>
  <c r="AO364" i="1"/>
  <c r="AX364" i="1"/>
  <c r="D204" i="1"/>
  <c r="N204" i="1"/>
  <c r="A205" i="1" s="1"/>
  <c r="J204" i="1"/>
  <c r="K204" i="1" s="1"/>
  <c r="AQ364" i="1" l="1"/>
  <c r="AV364" i="1"/>
  <c r="AM364" i="1"/>
  <c r="AT364" i="1"/>
  <c r="AR364" i="1"/>
  <c r="R205" i="1"/>
  <c r="F205" i="1"/>
  <c r="B205" i="1"/>
  <c r="L205" i="1" s="1"/>
  <c r="AO365" i="1" l="1"/>
  <c r="AX365" i="1"/>
  <c r="AK365" i="1"/>
  <c r="AJ365" i="1"/>
  <c r="AS365" i="1"/>
  <c r="G205" i="1"/>
  <c r="V205" i="1"/>
  <c r="P205" i="1"/>
  <c r="M205" i="1" l="1"/>
  <c r="AP365" i="1"/>
  <c r="AQ365" i="1"/>
  <c r="AV365" i="1"/>
  <c r="D205" i="1"/>
  <c r="I205" i="1"/>
  <c r="N205" i="1"/>
  <c r="J205" i="1"/>
  <c r="K205" i="1" s="1"/>
  <c r="H205" i="1"/>
  <c r="AT365" i="1" l="1"/>
  <c r="AR365" i="1"/>
  <c r="AM365" i="1"/>
  <c r="B206" i="1"/>
  <c r="A206" i="1"/>
  <c r="L206" i="1" s="1"/>
  <c r="R206" i="1"/>
  <c r="F206" i="1"/>
  <c r="AJ366" i="1" l="1"/>
  <c r="AS366" i="1" s="1"/>
  <c r="AX366" i="1"/>
  <c r="AK366" i="1"/>
  <c r="AO366" i="1"/>
  <c r="G206" i="1"/>
  <c r="H206" i="1" s="1"/>
  <c r="V206" i="1"/>
  <c r="P206" i="1"/>
  <c r="M206" i="1" l="1"/>
  <c r="AP366" i="1"/>
  <c r="AV366" i="1"/>
  <c r="I206" i="1"/>
  <c r="D206" i="1"/>
  <c r="N206" i="1"/>
  <c r="J206" i="1"/>
  <c r="K206" i="1" s="1"/>
  <c r="AQ366" i="1" l="1"/>
  <c r="AM366" i="1"/>
  <c r="AT366" i="1"/>
  <c r="AR366" i="1"/>
  <c r="B207" i="1"/>
  <c r="F207" i="1"/>
  <c r="A207" i="1"/>
  <c r="R207" i="1"/>
  <c r="L207" i="1" l="1"/>
  <c r="AJ367" i="1"/>
  <c r="AS367" i="1" s="1"/>
  <c r="AX367" i="1"/>
  <c r="AO367" i="1"/>
  <c r="AK367" i="1"/>
  <c r="G207" i="1" l="1"/>
  <c r="H207" i="1"/>
  <c r="P207" i="1"/>
  <c r="V207" i="1"/>
  <c r="AP367" i="1"/>
  <c r="AV367" i="1"/>
  <c r="AQ367" i="1"/>
  <c r="M207" i="1" l="1"/>
  <c r="J207" i="1"/>
  <c r="K207" i="1" s="1"/>
  <c r="D207" i="1"/>
  <c r="N207" i="1"/>
  <c r="I207" i="1"/>
  <c r="AR367" i="1"/>
  <c r="AM367" i="1"/>
  <c r="AT367" i="1"/>
  <c r="A208" i="1" l="1"/>
  <c r="B208" i="1"/>
  <c r="R208" i="1"/>
  <c r="F208" i="1"/>
  <c r="AJ368" i="1"/>
  <c r="AO368" i="1"/>
  <c r="AK368" i="1"/>
  <c r="AX368" i="1"/>
  <c r="L208" i="1" l="1"/>
  <c r="AS368" i="1"/>
  <c r="P208" i="1" l="1"/>
  <c r="V208" i="1"/>
  <c r="G208" i="1"/>
  <c r="H208" i="1" s="1"/>
  <c r="AV368" i="1"/>
  <c r="AP368" i="1"/>
  <c r="AQ368" i="1"/>
  <c r="AM368" i="1"/>
  <c r="AR368" i="1" l="1"/>
  <c r="AT368" i="1"/>
  <c r="AJ369" i="1" s="1"/>
  <c r="M208" i="1"/>
  <c r="D208" i="1"/>
  <c r="I208" i="1"/>
  <c r="J208" i="1"/>
  <c r="K208" i="1" s="1"/>
  <c r="N208" i="1"/>
  <c r="AX369" i="1" l="1"/>
  <c r="AK369" i="1"/>
  <c r="AO369" i="1"/>
  <c r="R209" i="1"/>
  <c r="A209" i="1"/>
  <c r="F209" i="1"/>
  <c r="B209" i="1"/>
  <c r="AS369" i="1"/>
  <c r="L209" i="1" l="1"/>
  <c r="AP369" i="1"/>
  <c r="AQ369" i="1"/>
  <c r="AV369" i="1"/>
  <c r="V209" i="1" l="1"/>
  <c r="P209" i="1"/>
  <c r="G209" i="1"/>
  <c r="H209" i="1" s="1"/>
  <c r="AM369" i="1"/>
  <c r="AT369" i="1"/>
  <c r="AR369" i="1"/>
  <c r="J209" i="1" l="1"/>
  <c r="K209" i="1" s="1"/>
  <c r="I209" i="1"/>
  <c r="N209" i="1"/>
  <c r="D209" i="1"/>
  <c r="M209" i="1"/>
  <c r="AO370" i="1"/>
  <c r="AK370" i="1"/>
  <c r="AJ370" i="1"/>
  <c r="AS370" i="1" s="1"/>
  <c r="AP370" i="1" s="1"/>
  <c r="AX370" i="1"/>
  <c r="F210" i="1" l="1"/>
  <c r="R210" i="1"/>
  <c r="B210" i="1"/>
  <c r="A210" i="1"/>
  <c r="L210" i="1" s="1"/>
  <c r="AQ370" i="1"/>
  <c r="AV370" i="1"/>
  <c r="AR370" i="1"/>
  <c r="AM370" i="1"/>
  <c r="AT370" i="1"/>
  <c r="G210" i="1" l="1"/>
  <c r="H210" i="1"/>
  <c r="P210" i="1"/>
  <c r="M210" i="1" s="1"/>
  <c r="V210" i="1"/>
  <c r="N210" i="1"/>
  <c r="AO371" i="1"/>
  <c r="AX371" i="1"/>
  <c r="AJ371" i="1"/>
  <c r="AK371" i="1"/>
  <c r="AS371" i="1"/>
  <c r="AP371" i="1" s="1"/>
  <c r="J210" i="1" l="1"/>
  <c r="K210" i="1" s="1"/>
  <c r="I210" i="1"/>
  <c r="D210" i="1"/>
  <c r="R211" i="1"/>
  <c r="A211" i="1"/>
  <c r="F211" i="1"/>
  <c r="B211" i="1"/>
  <c r="AM371" i="1"/>
  <c r="AT371" i="1"/>
  <c r="AR371" i="1"/>
  <c r="AQ371" i="1"/>
  <c r="AV371" i="1"/>
  <c r="L211" i="1" l="1"/>
  <c r="AO372" i="1"/>
  <c r="AK372" i="1"/>
  <c r="AJ372" i="1"/>
  <c r="AS372" i="1" s="1"/>
  <c r="AX372" i="1"/>
  <c r="P211" i="1" l="1"/>
  <c r="V211" i="1"/>
  <c r="G211" i="1"/>
  <c r="H211" i="1" s="1"/>
  <c r="AP372" i="1"/>
  <c r="AV372" i="1"/>
  <c r="AQ372" i="1"/>
  <c r="AR372" i="1"/>
  <c r="AM372" i="1" l="1"/>
  <c r="AT372" i="1"/>
  <c r="AK373" i="1" s="1"/>
  <c r="J211" i="1"/>
  <c r="K211" i="1" s="1"/>
  <c r="I211" i="1"/>
  <c r="D211" i="1"/>
  <c r="N211" i="1"/>
  <c r="M211" i="1"/>
  <c r="AX373" i="1" l="1"/>
  <c r="AO373" i="1"/>
  <c r="AJ373" i="1"/>
  <c r="AS373" i="1" s="1"/>
  <c r="AV373" i="1" s="1"/>
  <c r="A212" i="1"/>
  <c r="L212" i="1" s="1"/>
  <c r="G212" i="1" s="1"/>
  <c r="R212" i="1"/>
  <c r="F212" i="1"/>
  <c r="B212" i="1"/>
  <c r="AP373" i="1"/>
  <c r="AQ373" i="1" l="1"/>
  <c r="P212" i="1"/>
  <c r="M212" i="1" s="1"/>
  <c r="V212" i="1"/>
  <c r="I212" i="1"/>
  <c r="J212" i="1"/>
  <c r="K212" i="1" s="1"/>
  <c r="H212" i="1"/>
  <c r="N212" i="1"/>
  <c r="D212" i="1"/>
  <c r="AR373" i="1"/>
  <c r="AM373" i="1"/>
  <c r="AT373" i="1"/>
  <c r="F213" i="1" l="1"/>
  <c r="R213" i="1"/>
  <c r="A213" i="1"/>
  <c r="B213" i="1"/>
  <c r="AJ374" i="1"/>
  <c r="AO374" i="1"/>
  <c r="AX374" i="1"/>
  <c r="AK374" i="1"/>
  <c r="L213" i="1" l="1"/>
  <c r="AS374" i="1"/>
  <c r="G213" i="1" l="1"/>
  <c r="V213" i="1"/>
  <c r="P213" i="1"/>
  <c r="M213" i="1" s="1"/>
  <c r="H213" i="1"/>
  <c r="AP374" i="1"/>
  <c r="AV374" i="1"/>
  <c r="N213" i="1" l="1"/>
  <c r="I213" i="1"/>
  <c r="D213" i="1"/>
  <c r="J213" i="1"/>
  <c r="K213" i="1" s="1"/>
  <c r="AT374" i="1"/>
  <c r="AM374" i="1"/>
  <c r="AR374" i="1"/>
  <c r="AQ374" i="1"/>
  <c r="B214" i="1" l="1"/>
  <c r="A214" i="1"/>
  <c r="R214" i="1"/>
  <c r="F214" i="1"/>
  <c r="AX375" i="1"/>
  <c r="AO375" i="1"/>
  <c r="AJ375" i="1"/>
  <c r="AK375" i="1"/>
  <c r="L214" i="1" l="1"/>
  <c r="G214" i="1"/>
  <c r="AS375" i="1"/>
  <c r="AP375" i="1" s="1"/>
  <c r="P214" i="1" l="1"/>
  <c r="V214" i="1"/>
  <c r="H214" i="1"/>
  <c r="J214" i="1"/>
  <c r="K214" i="1" s="1"/>
  <c r="I214" i="1"/>
  <c r="N214" i="1"/>
  <c r="D214" i="1"/>
  <c r="M214" i="1"/>
  <c r="AQ375" i="1"/>
  <c r="AT375" i="1"/>
  <c r="AM375" i="1"/>
  <c r="AV375" i="1"/>
  <c r="AR375" i="1"/>
  <c r="G215" i="1" l="1"/>
  <c r="N215" i="1"/>
  <c r="R215" i="1"/>
  <c r="A215" i="1"/>
  <c r="F215" i="1"/>
  <c r="B215" i="1"/>
  <c r="D215" i="1"/>
  <c r="AK376" i="1"/>
  <c r="AX376" i="1"/>
  <c r="AJ376" i="1"/>
  <c r="AO376" i="1"/>
  <c r="AS376" i="1"/>
  <c r="R216" i="1" l="1"/>
  <c r="B216" i="1"/>
  <c r="A216" i="1"/>
  <c r="F216" i="1"/>
  <c r="J215" i="1"/>
  <c r="L215" i="1"/>
  <c r="I215" i="1" s="1"/>
  <c r="D216" i="1"/>
  <c r="AP376" i="1"/>
  <c r="AV376" i="1"/>
  <c r="AQ376" i="1"/>
  <c r="P215" i="1" l="1"/>
  <c r="V215" i="1"/>
  <c r="H215" i="1"/>
  <c r="K215" i="1"/>
  <c r="AR376" i="1"/>
  <c r="AT376" i="1"/>
  <c r="AM376" i="1"/>
  <c r="L216" i="1" l="1"/>
  <c r="M215" i="1"/>
  <c r="AO377" i="1"/>
  <c r="AK377" i="1"/>
  <c r="AJ377" i="1"/>
  <c r="AS377" i="1" s="1"/>
  <c r="AX377" i="1"/>
  <c r="V216" i="1" l="1"/>
  <c r="P216" i="1"/>
  <c r="H216" i="1"/>
  <c r="G216" i="1"/>
  <c r="AV377" i="1"/>
  <c r="AP377" i="1"/>
  <c r="AQ377" i="1" s="1"/>
  <c r="J216" i="1" l="1"/>
  <c r="K216" i="1" s="1"/>
  <c r="N216" i="1"/>
  <c r="I216" i="1"/>
  <c r="M216" i="1"/>
  <c r="AT377" i="1"/>
  <c r="AR377" i="1"/>
  <c r="AM377" i="1"/>
  <c r="G217" i="1" l="1"/>
  <c r="N217" i="1" s="1"/>
  <c r="L217" i="1"/>
  <c r="R217" i="1"/>
  <c r="A217" i="1"/>
  <c r="B217" i="1"/>
  <c r="F217" i="1"/>
  <c r="D217" i="1"/>
  <c r="AK378" i="1"/>
  <c r="AX378" i="1"/>
  <c r="AO378" i="1"/>
  <c r="AJ378" i="1"/>
  <c r="R218" i="1" l="1"/>
  <c r="B218" i="1"/>
  <c r="F218" i="1"/>
  <c r="A218" i="1"/>
  <c r="J217" i="1"/>
  <c r="K217" i="1" s="1"/>
  <c r="I217" i="1"/>
  <c r="H217" i="1"/>
  <c r="V217" i="1"/>
  <c r="P217" i="1"/>
  <c r="D218" i="1"/>
  <c r="AS378" i="1"/>
  <c r="AV378" i="1" s="1"/>
  <c r="AP378" i="1"/>
  <c r="M217" i="1" l="1"/>
  <c r="L218" i="1"/>
  <c r="AQ378" i="1"/>
  <c r="AT378" i="1"/>
  <c r="AR378" i="1"/>
  <c r="AM378" i="1"/>
  <c r="H218" i="1" l="1"/>
  <c r="P218" i="1"/>
  <c r="V218" i="1"/>
  <c r="G218" i="1"/>
  <c r="AO379" i="1"/>
  <c r="AX379" i="1"/>
  <c r="AJ379" i="1"/>
  <c r="AK379" i="1"/>
  <c r="N218" i="1" l="1"/>
  <c r="J218" i="1"/>
  <c r="K218" i="1" s="1"/>
  <c r="I218" i="1"/>
  <c r="M218" i="1"/>
  <c r="AS379" i="1"/>
  <c r="D219" i="1" l="1"/>
  <c r="A219" i="1"/>
  <c r="L219" i="1" s="1"/>
  <c r="B219" i="1"/>
  <c r="R219" i="1"/>
  <c r="F219" i="1"/>
  <c r="AP379" i="1"/>
  <c r="AV379" i="1"/>
  <c r="AQ379" i="1"/>
  <c r="H219" i="1" l="1"/>
  <c r="P219" i="1"/>
  <c r="V219" i="1"/>
  <c r="G219" i="1"/>
  <c r="AR379" i="1"/>
  <c r="AM379" i="1"/>
  <c r="AT379" i="1"/>
  <c r="N219" i="1" l="1"/>
  <c r="I219" i="1"/>
  <c r="J219" i="1"/>
  <c r="K219" i="1" s="1"/>
  <c r="M219" i="1"/>
  <c r="AJ380" i="1"/>
  <c r="AX380" i="1"/>
  <c r="AO380" i="1"/>
  <c r="AK380" i="1"/>
  <c r="D220" i="1" l="1"/>
  <c r="R220" i="1"/>
  <c r="B220" i="1"/>
  <c r="A220" i="1"/>
  <c r="F220" i="1"/>
  <c r="L220" i="1"/>
  <c r="G220" i="1"/>
  <c r="N220" i="1" s="1"/>
  <c r="AS380" i="1"/>
  <c r="AV380" i="1" s="1"/>
  <c r="AP380" i="1"/>
  <c r="R221" i="1" l="1"/>
  <c r="F221" i="1"/>
  <c r="A221" i="1"/>
  <c r="B221" i="1"/>
  <c r="H220" i="1"/>
  <c r="V220" i="1"/>
  <c r="P220" i="1"/>
  <c r="M220" i="1" s="1"/>
  <c r="I220" i="1"/>
  <c r="J220" i="1"/>
  <c r="K220" i="1" s="1"/>
  <c r="G221" i="1"/>
  <c r="D221" i="1"/>
  <c r="AM380" i="1"/>
  <c r="AR380" i="1"/>
  <c r="AT380" i="1"/>
  <c r="AQ380" i="1"/>
  <c r="J221" i="1" l="1"/>
  <c r="L221" i="1"/>
  <c r="I221" i="1" s="1"/>
  <c r="N221" i="1"/>
  <c r="G222" i="1" s="1"/>
  <c r="AJ381" i="1"/>
  <c r="AK381" i="1"/>
  <c r="AX381" i="1"/>
  <c r="AO381" i="1"/>
  <c r="P221" i="1" l="1"/>
  <c r="M221" i="1" s="1"/>
  <c r="V221" i="1"/>
  <c r="H221" i="1"/>
  <c r="K221" i="1"/>
  <c r="B222" i="1"/>
  <c r="A222" i="1"/>
  <c r="L222" i="1" s="1"/>
  <c r="H222" i="1" s="1"/>
  <c r="F222" i="1"/>
  <c r="R222" i="1"/>
  <c r="AS381" i="1"/>
  <c r="D222" i="1"/>
  <c r="N222" i="1"/>
  <c r="I222" i="1" l="1"/>
  <c r="J222" i="1"/>
  <c r="K222" i="1" s="1"/>
  <c r="P222" i="1"/>
  <c r="M222" i="1" s="1"/>
  <c r="V222" i="1"/>
  <c r="A223" i="1"/>
  <c r="R223" i="1"/>
  <c r="F223" i="1"/>
  <c r="B223" i="1"/>
  <c r="AP381" i="1"/>
  <c r="AQ381" i="1"/>
  <c r="AV381" i="1"/>
  <c r="L223" i="1" l="1"/>
  <c r="AM381" i="1"/>
  <c r="AR381" i="1"/>
  <c r="AT381" i="1"/>
  <c r="G223" i="1"/>
  <c r="I223" i="1" l="1"/>
  <c r="P223" i="1"/>
  <c r="M223" i="1" s="1"/>
  <c r="V223" i="1"/>
  <c r="H223" i="1"/>
  <c r="D223" i="1"/>
  <c r="AJ382" i="1"/>
  <c r="AX382" i="1"/>
  <c r="AK382" i="1"/>
  <c r="AO382" i="1"/>
  <c r="N223" i="1"/>
  <c r="J223" i="1"/>
  <c r="K223" i="1" s="1"/>
  <c r="AS382" i="1" l="1"/>
  <c r="AV382" i="1" s="1"/>
  <c r="AP382" i="1"/>
  <c r="A224" i="1"/>
  <c r="B224" i="1"/>
  <c r="R224" i="1"/>
  <c r="F224" i="1"/>
  <c r="AQ382" i="1" l="1"/>
  <c r="AR382" i="1"/>
  <c r="AT382" i="1"/>
  <c r="AM382" i="1"/>
  <c r="L224" i="1"/>
  <c r="AX383" i="1" l="1"/>
  <c r="AO383" i="1"/>
  <c r="AJ383" i="1"/>
  <c r="AK383" i="1"/>
  <c r="AS383" i="1" s="1"/>
  <c r="V224" i="1"/>
  <c r="P224" i="1"/>
  <c r="G224" i="1"/>
  <c r="H224" i="1"/>
  <c r="M224" i="1" l="1"/>
  <c r="AV383" i="1"/>
  <c r="AP383" i="1"/>
  <c r="I224" i="1"/>
  <c r="N224" i="1"/>
  <c r="D224" i="1"/>
  <c r="J224" i="1"/>
  <c r="K224" i="1" s="1"/>
  <c r="AQ383" i="1" l="1"/>
  <c r="AR383" i="1"/>
  <c r="AM383" i="1"/>
  <c r="AT383" i="1"/>
  <c r="R225" i="1"/>
  <c r="B225" i="1"/>
  <c r="A225" i="1"/>
  <c r="L225" i="1" s="1"/>
  <c r="F225" i="1"/>
  <c r="AK384" i="1" l="1"/>
  <c r="AX384" i="1"/>
  <c r="AO384" i="1"/>
  <c r="AJ384" i="1"/>
  <c r="G225" i="1"/>
  <c r="V225" i="1"/>
  <c r="P225" i="1"/>
  <c r="M225" i="1" l="1"/>
  <c r="D225" i="1"/>
  <c r="H225" i="1"/>
  <c r="J225" i="1"/>
  <c r="K225" i="1" s="1"/>
  <c r="N225" i="1"/>
  <c r="I225" i="1"/>
  <c r="AS384" i="1"/>
  <c r="AM384" i="1"/>
  <c r="R226" i="1" l="1"/>
  <c r="B226" i="1"/>
  <c r="F226" i="1"/>
  <c r="A226" i="1"/>
  <c r="L226" i="1" s="1"/>
  <c r="AP384" i="1"/>
  <c r="AQ384" i="1"/>
  <c r="AV384" i="1"/>
  <c r="V226" i="1" l="1"/>
  <c r="G226" i="1"/>
  <c r="P226" i="1"/>
  <c r="AR384" i="1"/>
  <c r="AT384" i="1"/>
  <c r="AP385" i="1" s="1"/>
  <c r="M226" i="1" l="1"/>
  <c r="H226" i="1"/>
  <c r="D226" i="1"/>
  <c r="I226" i="1"/>
  <c r="J226" i="1"/>
  <c r="K226" i="1" s="1"/>
  <c r="N226" i="1"/>
  <c r="AO385" i="1"/>
  <c r="AX385" i="1"/>
  <c r="AK385" i="1"/>
  <c r="AJ385" i="1"/>
  <c r="AS385" i="1" s="1"/>
  <c r="AR385" i="1" s="1"/>
  <c r="AT385" i="1"/>
  <c r="AM385" i="1"/>
  <c r="A227" i="1" l="1"/>
  <c r="F227" i="1"/>
  <c r="B227" i="1"/>
  <c r="R227" i="1"/>
  <c r="AV385" i="1"/>
  <c r="AQ385" i="1"/>
  <c r="L227" i="1"/>
  <c r="G227" i="1" s="1"/>
  <c r="AJ386" i="1"/>
  <c r="AO386" i="1"/>
  <c r="AK386" i="1"/>
  <c r="AX386" i="1"/>
  <c r="AS386" i="1" l="1"/>
  <c r="AV386" i="1" s="1"/>
  <c r="H227" i="1"/>
  <c r="V227" i="1"/>
  <c r="P227" i="1"/>
  <c r="M227" i="1" s="1"/>
  <c r="AP386" i="1"/>
  <c r="I227" i="1"/>
  <c r="J227" i="1"/>
  <c r="K227" i="1" s="1"/>
  <c r="N227" i="1"/>
  <c r="D227" i="1"/>
  <c r="AQ386" i="1" l="1"/>
  <c r="AR386" i="1"/>
  <c r="AM386" i="1"/>
  <c r="AT386" i="1"/>
  <c r="B228" i="1"/>
  <c r="A228" i="1"/>
  <c r="F228" i="1"/>
  <c r="R228" i="1"/>
  <c r="AJ387" i="1" l="1"/>
  <c r="AK387" i="1"/>
  <c r="AS387" i="1" s="1"/>
  <c r="AO387" i="1"/>
  <c r="AX387" i="1"/>
  <c r="L228" i="1"/>
  <c r="AP387" i="1" l="1"/>
  <c r="AV387" i="1"/>
  <c r="G228" i="1"/>
  <c r="D228" i="1" s="1"/>
  <c r="P228" i="1"/>
  <c r="V228" i="1"/>
  <c r="AQ387" i="1" l="1"/>
  <c r="AT387" i="1"/>
  <c r="AR387" i="1"/>
  <c r="AM387" i="1"/>
  <c r="M228" i="1"/>
  <c r="I228" i="1"/>
  <c r="H228" i="1"/>
  <c r="J228" i="1"/>
  <c r="K228" i="1" s="1"/>
  <c r="N228" i="1"/>
  <c r="AJ388" i="1" l="1"/>
  <c r="AX388" i="1"/>
  <c r="AK388" i="1"/>
  <c r="AO388" i="1"/>
  <c r="A229" i="1"/>
  <c r="F229" i="1"/>
  <c r="R229" i="1"/>
  <c r="B229" i="1"/>
  <c r="AS388" i="1" l="1"/>
  <c r="L229" i="1"/>
  <c r="AP388" i="1" l="1"/>
  <c r="AV388" i="1"/>
  <c r="V229" i="1"/>
  <c r="G229" i="1"/>
  <c r="H229" i="1" s="1"/>
  <c r="P229" i="1"/>
  <c r="AQ388" i="1" l="1"/>
  <c r="AR388" i="1"/>
  <c r="AM388" i="1"/>
  <c r="AT388" i="1"/>
  <c r="M229" i="1"/>
  <c r="D229" i="1"/>
  <c r="I229" i="1"/>
  <c r="N229" i="1"/>
  <c r="A230" i="1" s="1"/>
  <c r="J229" i="1"/>
  <c r="K229" i="1" s="1"/>
  <c r="AO389" i="1" l="1"/>
  <c r="AX389" i="1"/>
  <c r="AK389" i="1"/>
  <c r="AJ389" i="1"/>
  <c r="AS389" i="1" s="1"/>
  <c r="F230" i="1"/>
  <c r="E11" i="5" s="1"/>
  <c r="R230" i="1"/>
  <c r="I11" i="5" s="1"/>
  <c r="B230" i="1"/>
  <c r="L230" i="1" s="1"/>
  <c r="AP389" i="1" l="1"/>
  <c r="AV389" i="1"/>
  <c r="V230" i="1"/>
  <c r="P230" i="1"/>
  <c r="G230" i="1"/>
  <c r="AQ389" i="1" l="1"/>
  <c r="AR389" i="1"/>
  <c r="AM389" i="1"/>
  <c r="AT389" i="1"/>
  <c r="M230" i="1"/>
  <c r="D230" i="1"/>
  <c r="K11" i="5" s="1"/>
  <c r="N230" i="1"/>
  <c r="I230" i="1"/>
  <c r="H230" i="1"/>
  <c r="J230" i="1"/>
  <c r="K230" i="1" s="1"/>
  <c r="AK390" i="1" l="1"/>
  <c r="AX390" i="1"/>
  <c r="AO390" i="1"/>
  <c r="AJ390" i="1"/>
  <c r="AS390" i="1"/>
  <c r="R231" i="1"/>
  <c r="A231" i="1"/>
  <c r="B231" i="1"/>
  <c r="F231" i="1"/>
  <c r="L231" i="1" l="1"/>
  <c r="AV390" i="1"/>
  <c r="AP390" i="1"/>
  <c r="AQ390" i="1" l="1"/>
  <c r="AR390" i="1"/>
  <c r="AT390" i="1"/>
  <c r="AM390" i="1"/>
  <c r="V231" i="1"/>
  <c r="G231" i="1"/>
  <c r="P231" i="1"/>
  <c r="M231" i="1" l="1"/>
  <c r="D231" i="1"/>
  <c r="H231" i="1"/>
  <c r="J231" i="1"/>
  <c r="K231" i="1" s="1"/>
  <c r="I231" i="1"/>
  <c r="N231" i="1"/>
  <c r="AJ391" i="1"/>
  <c r="AK391" i="1"/>
  <c r="AX391" i="1"/>
  <c r="AO391" i="1"/>
  <c r="A232" i="1" l="1"/>
  <c r="R232" i="1"/>
  <c r="F232" i="1"/>
  <c r="B232" i="1"/>
  <c r="AS391" i="1"/>
  <c r="L232" i="1" l="1"/>
  <c r="AP391" i="1"/>
  <c r="AV391" i="1"/>
  <c r="V232" i="1" l="1"/>
  <c r="G232" i="1"/>
  <c r="P232" i="1"/>
  <c r="AQ391" i="1"/>
  <c r="AR391" i="1"/>
  <c r="AM391" i="1"/>
  <c r="AT391" i="1"/>
  <c r="M232" i="1" l="1"/>
  <c r="D232" i="1"/>
  <c r="N232" i="1"/>
  <c r="A233" i="1" s="1"/>
  <c r="H232" i="1"/>
  <c r="I232" i="1"/>
  <c r="J232" i="1"/>
  <c r="K232" i="1" s="1"/>
  <c r="AO392" i="1"/>
  <c r="AJ392" i="1"/>
  <c r="AX392" i="1"/>
  <c r="AK392" i="1"/>
  <c r="R233" i="1" l="1"/>
  <c r="B233" i="1"/>
  <c r="L233" i="1" s="1"/>
  <c r="F233" i="1"/>
  <c r="AS392" i="1"/>
  <c r="AM392" i="1"/>
  <c r="G233" i="1" l="1"/>
  <c r="V233" i="1"/>
  <c r="P233" i="1"/>
  <c r="M233" i="1" s="1"/>
  <c r="AP392" i="1"/>
  <c r="AQ392" i="1"/>
  <c r="AV392" i="1"/>
  <c r="AR392" i="1" l="1"/>
  <c r="AT392" i="1"/>
  <c r="AX393" i="1"/>
  <c r="AJ393" i="1"/>
  <c r="AK393" i="1"/>
  <c r="AO393" i="1"/>
  <c r="H233" i="1"/>
  <c r="N233" i="1"/>
  <c r="I233" i="1"/>
  <c r="D233" i="1"/>
  <c r="J233" i="1"/>
  <c r="K233" i="1" s="1"/>
  <c r="AS393" i="1" l="1"/>
  <c r="AP393" i="1"/>
  <c r="A234" i="1"/>
  <c r="R234" i="1"/>
  <c r="F234" i="1"/>
  <c r="B234" i="1"/>
  <c r="AM393" i="1"/>
  <c r="L234" i="1"/>
  <c r="AV393" i="1" l="1"/>
  <c r="AQ393" i="1"/>
  <c r="AT393" i="1"/>
  <c r="AR393" i="1"/>
  <c r="P234" i="1"/>
  <c r="V234" i="1"/>
  <c r="G234" i="1"/>
  <c r="AJ394" i="1" l="1"/>
  <c r="AK394" i="1"/>
  <c r="AO394" i="1"/>
  <c r="AX394" i="1"/>
  <c r="AS394" i="1"/>
  <c r="AP394" i="1"/>
  <c r="M234" i="1"/>
  <c r="AM394" i="1"/>
  <c r="I234" i="1"/>
  <c r="J234" i="1"/>
  <c r="K234" i="1" s="1"/>
  <c r="H234" i="1"/>
  <c r="D234" i="1"/>
  <c r="N234" i="1"/>
  <c r="AT394" i="1" l="1"/>
  <c r="AR394" i="1"/>
  <c r="AV394" i="1"/>
  <c r="AS395" i="1" s="1"/>
  <c r="AQ394" i="1"/>
  <c r="AX395" i="1"/>
  <c r="AK395" i="1"/>
  <c r="AO395" i="1"/>
  <c r="AJ395" i="1"/>
  <c r="B235" i="1"/>
  <c r="R235" i="1"/>
  <c r="F235" i="1"/>
  <c r="A235" i="1"/>
  <c r="AV395" i="1" l="1"/>
  <c r="AP395" i="1"/>
  <c r="AQ395" i="1" s="1"/>
  <c r="L235" i="1"/>
  <c r="G235" i="1" s="1"/>
  <c r="H235" i="1" l="1"/>
  <c r="V235" i="1"/>
  <c r="P235" i="1"/>
  <c r="M235" i="1" s="1"/>
  <c r="AT395" i="1"/>
  <c r="AM395" i="1"/>
  <c r="AR395" i="1"/>
  <c r="D235" i="1"/>
  <c r="J235" i="1"/>
  <c r="K235" i="1" s="1"/>
  <c r="N235" i="1"/>
  <c r="I235" i="1"/>
  <c r="AJ396" i="1" l="1"/>
  <c r="AO396" i="1"/>
  <c r="AK396" i="1"/>
  <c r="AX396" i="1"/>
  <c r="R236" i="1"/>
  <c r="F236" i="1"/>
  <c r="B236" i="1"/>
  <c r="A236" i="1"/>
  <c r="L236" i="1" s="1"/>
  <c r="AS396" i="1" l="1"/>
  <c r="P236" i="1"/>
  <c r="G236" i="1"/>
  <c r="V236" i="1"/>
  <c r="J236" i="1" l="1"/>
  <c r="K236" i="1" s="1"/>
  <c r="N236" i="1"/>
  <c r="AP396" i="1"/>
  <c r="AV396" i="1"/>
  <c r="AQ396" i="1"/>
  <c r="M236" i="1"/>
  <c r="H236" i="1"/>
  <c r="I236" i="1"/>
  <c r="D236" i="1"/>
  <c r="B237" i="1" l="1"/>
  <c r="R237" i="1"/>
  <c r="A237" i="1"/>
  <c r="F237" i="1"/>
  <c r="AR396" i="1"/>
  <c r="AM396" i="1"/>
  <c r="AT396" i="1"/>
  <c r="L237" i="1" l="1"/>
  <c r="AK397" i="1"/>
  <c r="AX397" i="1"/>
  <c r="AJ397" i="1"/>
  <c r="AO397" i="1"/>
  <c r="P237" i="1" l="1"/>
  <c r="G237" i="1"/>
  <c r="V237" i="1"/>
  <c r="AS397" i="1"/>
  <c r="AM13" i="1"/>
  <c r="M237" i="1" l="1"/>
  <c r="I237" i="1"/>
  <c r="D237" i="1"/>
  <c r="H237" i="1"/>
  <c r="J237" i="1"/>
  <c r="K237" i="1" s="1"/>
  <c r="N237" i="1"/>
  <c r="AV397" i="1"/>
  <c r="AP397" i="1"/>
  <c r="AQ397" i="1" s="1"/>
  <c r="B238" i="1" l="1"/>
  <c r="L238" i="1" s="1"/>
  <c r="P238" i="1" s="1"/>
  <c r="A238" i="1"/>
  <c r="F238" i="1"/>
  <c r="R238" i="1"/>
  <c r="AR397" i="1"/>
  <c r="AM397" i="1"/>
  <c r="AT397" i="1"/>
  <c r="AJ398" i="1" l="1"/>
  <c r="AO398" i="1"/>
  <c r="AK398" i="1"/>
  <c r="AX398" i="1"/>
  <c r="G238" i="1"/>
  <c r="V238" i="1"/>
  <c r="AS398" i="1" l="1"/>
  <c r="H238" i="1"/>
  <c r="D238" i="1"/>
  <c r="J238" i="1"/>
  <c r="K238" i="1" s="1"/>
  <c r="I238" i="1"/>
  <c r="N238" i="1"/>
  <c r="M238" i="1"/>
  <c r="AV398" i="1" l="1"/>
  <c r="AP398" i="1"/>
  <c r="AQ398" i="1" s="1"/>
  <c r="B239" i="1"/>
  <c r="R239" i="1"/>
  <c r="A239" i="1"/>
  <c r="F239" i="1"/>
  <c r="AT398" i="1" l="1"/>
  <c r="AM398" i="1"/>
  <c r="AR398" i="1"/>
  <c r="L239" i="1"/>
  <c r="E10" i="5"/>
  <c r="E9" i="5"/>
  <c r="E8" i="5"/>
  <c r="E7" i="5"/>
  <c r="E6" i="5"/>
  <c r="F11" i="5"/>
  <c r="F10" i="5"/>
  <c r="F9" i="5"/>
  <c r="F8" i="5"/>
  <c r="F7" i="5"/>
  <c r="F6" i="5"/>
  <c r="I10" i="5"/>
  <c r="I9" i="5"/>
  <c r="I8" i="5"/>
  <c r="I7" i="5"/>
  <c r="I6" i="5"/>
  <c r="AX399" i="1" l="1"/>
  <c r="AK399" i="1"/>
  <c r="AO399" i="1"/>
  <c r="AJ399" i="1"/>
  <c r="G239" i="1"/>
  <c r="V239" i="1"/>
  <c r="P239" i="1"/>
  <c r="G11" i="5"/>
  <c r="G10" i="5"/>
  <c r="G9" i="5"/>
  <c r="G8" i="5"/>
  <c r="G7" i="5"/>
  <c r="G6" i="5"/>
  <c r="M239" i="1" l="1"/>
  <c r="AS399" i="1"/>
  <c r="H239" i="1"/>
  <c r="D239" i="1"/>
  <c r="I239" i="1"/>
  <c r="J239" i="1"/>
  <c r="K239" i="1" s="1"/>
  <c r="N239" i="1"/>
  <c r="AP399" i="1" l="1"/>
  <c r="AV399" i="1"/>
  <c r="AQ399" i="1"/>
  <c r="A240" i="1"/>
  <c r="B240" i="1"/>
  <c r="F240" i="1"/>
  <c r="R240" i="1"/>
  <c r="L240" i="1" l="1"/>
  <c r="AM399" i="1"/>
  <c r="AT399" i="1"/>
  <c r="AR399" i="1"/>
  <c r="G240" i="1" l="1"/>
  <c r="P240" i="1"/>
  <c r="M240" i="1" s="1"/>
  <c r="V240" i="1"/>
  <c r="AX400" i="1"/>
  <c r="AJ400" i="1"/>
  <c r="AK400" i="1"/>
  <c r="AO400" i="1"/>
  <c r="AS400" i="1"/>
  <c r="AP400" i="1" s="1"/>
  <c r="H240" i="1" l="1"/>
  <c r="N240" i="1"/>
  <c r="D240" i="1"/>
  <c r="I240" i="1"/>
  <c r="J240" i="1"/>
  <c r="K240" i="1" s="1"/>
  <c r="AQ400" i="1"/>
  <c r="AV400" i="1"/>
  <c r="AT400" i="1"/>
  <c r="AM400" i="1"/>
  <c r="AR400" i="1"/>
  <c r="B241" i="1" l="1"/>
  <c r="A241" i="1"/>
  <c r="L241" i="1" s="1"/>
  <c r="F241" i="1"/>
  <c r="R241" i="1"/>
  <c r="AK401" i="1"/>
  <c r="AO401" i="1"/>
  <c r="AX401" i="1"/>
  <c r="AJ401" i="1"/>
  <c r="AS401" i="1" s="1"/>
  <c r="AP401" i="1" s="1"/>
  <c r="V241" i="1" l="1"/>
  <c r="P241" i="1"/>
  <c r="G241" i="1"/>
  <c r="AQ401" i="1"/>
  <c r="AV401" i="1"/>
  <c r="AM401" i="1"/>
  <c r="AT401" i="1"/>
  <c r="AR401" i="1"/>
  <c r="M241" i="1" l="1"/>
  <c r="N241" i="1"/>
  <c r="D241" i="1"/>
  <c r="I241" i="1"/>
  <c r="J241" i="1"/>
  <c r="K241" i="1" s="1"/>
  <c r="H241" i="1"/>
  <c r="AJ402" i="1"/>
  <c r="AS402" i="1" s="1"/>
  <c r="AP402" i="1" s="1"/>
  <c r="AK402" i="1"/>
  <c r="AO402" i="1"/>
  <c r="AX402" i="1"/>
  <c r="A242" i="1" l="1"/>
  <c r="B242" i="1"/>
  <c r="F242" i="1"/>
  <c r="R242" i="1"/>
  <c r="AQ402" i="1"/>
  <c r="AV402" i="1"/>
  <c r="AM402" i="1"/>
  <c r="AT402" i="1"/>
  <c r="AR402" i="1"/>
  <c r="L242" i="1" l="1"/>
  <c r="AJ403" i="1"/>
  <c r="AS403" i="1" s="1"/>
  <c r="AX403" i="1"/>
  <c r="AK403" i="1"/>
  <c r="AO403" i="1"/>
  <c r="G242" i="1" l="1"/>
  <c r="P242" i="1"/>
  <c r="M242" i="1" s="1"/>
  <c r="V242" i="1"/>
  <c r="AV403" i="1"/>
  <c r="AP403" i="1"/>
  <c r="D242" i="1"/>
  <c r="I242" i="1" l="1"/>
  <c r="J242" i="1"/>
  <c r="K242" i="1" s="1"/>
  <c r="N242" i="1"/>
  <c r="H242" i="1"/>
  <c r="AQ403" i="1"/>
  <c r="AR403" i="1"/>
  <c r="AT403" i="1"/>
  <c r="AM403" i="1"/>
  <c r="B243" i="1" l="1"/>
  <c r="R243" i="1"/>
  <c r="F243" i="1"/>
  <c r="A243" i="1"/>
  <c r="L243" i="1"/>
  <c r="AK404" i="1"/>
  <c r="AX404" i="1"/>
  <c r="AJ404" i="1"/>
  <c r="AS404" i="1" s="1"/>
  <c r="AP404" i="1" s="1"/>
  <c r="AO404" i="1"/>
  <c r="P243" i="1" l="1"/>
  <c r="V243" i="1"/>
  <c r="G243" i="1"/>
  <c r="AM404" i="1"/>
  <c r="AT404" i="1"/>
  <c r="AR404" i="1"/>
  <c r="AQ404" i="1"/>
  <c r="AV404" i="1"/>
  <c r="M243" i="1" l="1"/>
  <c r="H243" i="1"/>
  <c r="I243" i="1"/>
  <c r="J243" i="1"/>
  <c r="K243" i="1" s="1"/>
  <c r="D243" i="1"/>
  <c r="N243" i="1"/>
  <c r="AO405" i="1"/>
  <c r="AJ405" i="1"/>
  <c r="AS405" i="1" s="1"/>
  <c r="AK405" i="1"/>
  <c r="AX405" i="1"/>
  <c r="R244" i="1" l="1"/>
  <c r="A244" i="1"/>
  <c r="F244" i="1"/>
  <c r="B244" i="1"/>
  <c r="AP405" i="1"/>
  <c r="AV405" i="1"/>
  <c r="L244" i="1" l="1"/>
  <c r="AQ405" i="1"/>
  <c r="AM405" i="1"/>
  <c r="AR405" i="1"/>
  <c r="AT405" i="1"/>
  <c r="V244" i="1" l="1"/>
  <c r="G244" i="1"/>
  <c r="P244" i="1"/>
  <c r="H244" i="1"/>
  <c r="AJ406" i="1"/>
  <c r="AX406" i="1"/>
  <c r="AO406" i="1"/>
  <c r="AK406" i="1"/>
  <c r="M244" i="1" l="1"/>
  <c r="D244" i="1"/>
  <c r="I244" i="1"/>
  <c r="N244" i="1"/>
  <c r="J244" i="1"/>
  <c r="K244" i="1" s="1"/>
  <c r="AS406" i="1"/>
  <c r="R245" i="1" l="1"/>
  <c r="F245" i="1"/>
  <c r="A245" i="1"/>
  <c r="B245" i="1"/>
  <c r="AP406" i="1"/>
  <c r="AV406" i="1"/>
  <c r="L245" i="1" l="1"/>
  <c r="V245" i="1" s="1"/>
  <c r="AT406" i="1"/>
  <c r="AR406" i="1"/>
  <c r="AM406" i="1"/>
  <c r="AQ406" i="1"/>
  <c r="G245" i="1" l="1"/>
  <c r="H245" i="1"/>
  <c r="P245" i="1"/>
  <c r="AJ407" i="1"/>
  <c r="AK407" i="1"/>
  <c r="AX407" i="1"/>
  <c r="AO407" i="1"/>
  <c r="M245" i="1" l="1"/>
  <c r="I245" i="1"/>
  <c r="D245" i="1"/>
  <c r="J245" i="1"/>
  <c r="K245" i="1" s="1"/>
  <c r="N245" i="1"/>
  <c r="AS407" i="1"/>
  <c r="A246" i="1" l="1"/>
  <c r="R246" i="1"/>
  <c r="F246" i="1"/>
  <c r="B246" i="1"/>
  <c r="AV407" i="1"/>
  <c r="AP407" i="1"/>
  <c r="AQ407" i="1"/>
  <c r="L246" i="1" l="1"/>
  <c r="AM407" i="1"/>
  <c r="AR407" i="1"/>
  <c r="AT407" i="1"/>
  <c r="G246" i="1" l="1"/>
  <c r="P246" i="1"/>
  <c r="M246" i="1" s="1"/>
  <c r="V246" i="1"/>
  <c r="AK408" i="1"/>
  <c r="AS408" i="1" s="1"/>
  <c r="AP408" i="1" s="1"/>
  <c r="AJ408" i="1"/>
  <c r="AX408" i="1"/>
  <c r="AO408" i="1"/>
  <c r="H246" i="1" l="1"/>
  <c r="I246" i="1"/>
  <c r="J246" i="1"/>
  <c r="K246" i="1" s="1"/>
  <c r="D246" i="1"/>
  <c r="N246" i="1"/>
  <c r="AM408" i="1"/>
  <c r="AT408" i="1"/>
  <c r="AR408" i="1"/>
  <c r="AQ408" i="1"/>
  <c r="AV408" i="1"/>
  <c r="A247" i="1" l="1"/>
  <c r="R247" i="1"/>
  <c r="B247" i="1"/>
  <c r="F247" i="1"/>
  <c r="AX409" i="1"/>
  <c r="AK409" i="1"/>
  <c r="AO409" i="1"/>
  <c r="AJ409" i="1"/>
  <c r="AS409" i="1" s="1"/>
  <c r="L247" i="1" l="1"/>
  <c r="AV409" i="1"/>
  <c r="AP409" i="1"/>
  <c r="AQ409" i="1" s="1"/>
  <c r="G247" i="1" l="1"/>
  <c r="P247" i="1"/>
  <c r="M247" i="1" s="1"/>
  <c r="V247" i="1"/>
  <c r="H247" i="1"/>
  <c r="AM409" i="1"/>
  <c r="AT409" i="1"/>
  <c r="AR409" i="1"/>
  <c r="N247" i="1" l="1"/>
  <c r="D247" i="1"/>
  <c r="J247" i="1"/>
  <c r="K247" i="1" s="1"/>
  <c r="I247" i="1"/>
  <c r="AX410" i="1"/>
  <c r="AK410" i="1"/>
  <c r="AO410" i="1"/>
  <c r="AJ410" i="1"/>
  <c r="AS410" i="1" s="1"/>
  <c r="F248" i="1" l="1"/>
  <c r="A248" i="1"/>
  <c r="L248" i="1" s="1"/>
  <c r="G248" i="1" s="1"/>
  <c r="B248" i="1"/>
  <c r="R248" i="1"/>
  <c r="AP410" i="1"/>
  <c r="AV410" i="1"/>
  <c r="I248" i="1" l="1"/>
  <c r="J248" i="1"/>
  <c r="K248" i="1" s="1"/>
  <c r="N248" i="1"/>
  <c r="D248" i="1"/>
  <c r="H248" i="1"/>
  <c r="P248" i="1"/>
  <c r="M248" i="1" s="1"/>
  <c r="V248" i="1"/>
  <c r="AQ410" i="1"/>
  <c r="AR410" i="1"/>
  <c r="AT410" i="1"/>
  <c r="AM410" i="1"/>
  <c r="B249" i="1" l="1"/>
  <c r="R249" i="1"/>
  <c r="A249" i="1"/>
  <c r="L249" i="1" s="1"/>
  <c r="F249" i="1"/>
  <c r="AO411" i="1"/>
  <c r="AJ411" i="1"/>
  <c r="AS411" i="1" s="1"/>
  <c r="AP411" i="1" s="1"/>
  <c r="AK411" i="1"/>
  <c r="AX411" i="1"/>
  <c r="V249" i="1" l="1"/>
  <c r="P249" i="1"/>
  <c r="G249" i="1"/>
  <c r="H249" i="1"/>
  <c r="AT411" i="1"/>
  <c r="AM411" i="1"/>
  <c r="AR411" i="1"/>
  <c r="AQ411" i="1"/>
  <c r="AV411" i="1"/>
  <c r="M249" i="1" l="1"/>
  <c r="I249" i="1"/>
  <c r="N249" i="1"/>
  <c r="D249" i="1"/>
  <c r="J249" i="1"/>
  <c r="K249" i="1" s="1"/>
  <c r="AJ412" i="1"/>
  <c r="AS412" i="1" s="1"/>
  <c r="AP412" i="1" s="1"/>
  <c r="AO412" i="1"/>
  <c r="AK412" i="1"/>
  <c r="AX412" i="1"/>
  <c r="R250" i="1" l="1"/>
  <c r="A250" i="1"/>
  <c r="L250" i="1" s="1"/>
  <c r="F250" i="1"/>
  <c r="B250" i="1"/>
  <c r="G250" i="1"/>
  <c r="AQ412" i="1"/>
  <c r="AV412" i="1"/>
  <c r="AT412" i="1"/>
  <c r="AM412" i="1"/>
  <c r="AR412" i="1"/>
  <c r="P250" i="1" l="1"/>
  <c r="M250" i="1" s="1"/>
  <c r="V250" i="1"/>
  <c r="N250" i="1"/>
  <c r="J250" i="1"/>
  <c r="K250" i="1" s="1"/>
  <c r="D250" i="1"/>
  <c r="H250" i="1"/>
  <c r="I250" i="1"/>
  <c r="AX413" i="1"/>
  <c r="AO413" i="1"/>
  <c r="AJ413" i="1"/>
  <c r="AK413" i="1"/>
  <c r="A251" i="1" l="1"/>
  <c r="B251" i="1"/>
  <c r="L251" i="1" s="1"/>
  <c r="F251" i="1"/>
  <c r="R251" i="1"/>
  <c r="AS413" i="1"/>
  <c r="V251" i="1" l="1"/>
  <c r="G251" i="1"/>
  <c r="J251" i="1" s="1"/>
  <c r="K251" i="1" s="1"/>
  <c r="P251" i="1"/>
  <c r="AV413" i="1"/>
  <c r="AP413" i="1"/>
  <c r="AQ413" i="1"/>
  <c r="H251" i="1"/>
  <c r="D251" i="1"/>
  <c r="M251" i="1" l="1"/>
  <c r="I251" i="1"/>
  <c r="N251" i="1"/>
  <c r="AT413" i="1"/>
  <c r="AM413" i="1"/>
  <c r="AR413" i="1"/>
  <c r="B252" i="1" l="1"/>
  <c r="F252" i="1"/>
  <c r="A252" i="1"/>
  <c r="R252" i="1"/>
  <c r="L252" i="1"/>
  <c r="AO414" i="1"/>
  <c r="AK414" i="1"/>
  <c r="AX414" i="1"/>
  <c r="AJ414" i="1"/>
  <c r="AS414" i="1" s="1"/>
  <c r="G252" i="1" l="1"/>
  <c r="P252" i="1"/>
  <c r="V252" i="1"/>
  <c r="AP414" i="1"/>
  <c r="AV414" i="1"/>
  <c r="M252" i="1" l="1"/>
  <c r="H252" i="1"/>
  <c r="D252" i="1"/>
  <c r="I252" i="1"/>
  <c r="J252" i="1"/>
  <c r="K252" i="1" s="1"/>
  <c r="N252" i="1"/>
  <c r="AQ414" i="1"/>
  <c r="AM414" i="1"/>
  <c r="AT414" i="1"/>
  <c r="AR414" i="1"/>
  <c r="A253" i="1" l="1"/>
  <c r="R253" i="1"/>
  <c r="F253" i="1"/>
  <c r="B253" i="1"/>
  <c r="AJ415" i="1"/>
  <c r="AK415" i="1"/>
  <c r="AO415" i="1"/>
  <c r="AX415" i="1"/>
  <c r="L253" i="1" l="1"/>
  <c r="AS415" i="1"/>
  <c r="G253" i="1" l="1"/>
  <c r="V253" i="1"/>
  <c r="P253" i="1"/>
  <c r="AP415" i="1"/>
  <c r="AQ415" i="1"/>
  <c r="AV415" i="1"/>
  <c r="M253" i="1" l="1"/>
  <c r="I253" i="1"/>
  <c r="N253" i="1"/>
  <c r="J253" i="1"/>
  <c r="K253" i="1" s="1"/>
  <c r="D253" i="1"/>
  <c r="H253" i="1"/>
  <c r="AR415" i="1"/>
  <c r="AT415" i="1"/>
  <c r="AM415" i="1"/>
  <c r="B254" i="1" l="1"/>
  <c r="A254" i="1"/>
  <c r="L254" i="1" s="1"/>
  <c r="F254" i="1"/>
  <c r="R254" i="1"/>
  <c r="AK416" i="1"/>
  <c r="AO416" i="1"/>
  <c r="AJ416" i="1"/>
  <c r="AS416" i="1" s="1"/>
  <c r="AP416" i="1" s="1"/>
  <c r="AX416" i="1"/>
  <c r="AQ416" i="1" l="1"/>
  <c r="AV416" i="1"/>
  <c r="AM416" i="1"/>
  <c r="AT416" i="1"/>
  <c r="AR416" i="1"/>
  <c r="V254" i="1"/>
  <c r="P254" i="1"/>
  <c r="G254" i="1"/>
  <c r="AK417" i="1" l="1"/>
  <c r="AJ417" i="1"/>
  <c r="AS417" i="1" s="1"/>
  <c r="AX417" i="1"/>
  <c r="AO417" i="1"/>
  <c r="M254" i="1"/>
  <c r="N254" i="1"/>
  <c r="I254" i="1"/>
  <c r="D254" i="1"/>
  <c r="J254" i="1"/>
  <c r="K254" i="1" s="1"/>
  <c r="H254" i="1"/>
  <c r="AV417" i="1" l="1"/>
  <c r="AP417" i="1"/>
  <c r="B255" i="1"/>
  <c r="R255" i="1"/>
  <c r="F255" i="1"/>
  <c r="A255" i="1"/>
  <c r="AQ417" i="1" l="1"/>
  <c r="AR417" i="1"/>
  <c r="AM417" i="1"/>
  <c r="AT417" i="1"/>
  <c r="L255" i="1"/>
  <c r="AK418" i="1" l="1"/>
  <c r="AO418" i="1"/>
  <c r="AJ418" i="1"/>
  <c r="AX418" i="1"/>
  <c r="AS418" i="1"/>
  <c r="V255" i="1"/>
  <c r="G255" i="1"/>
  <c r="P255" i="1"/>
  <c r="AV418" i="1" l="1"/>
  <c r="AP418" i="1"/>
  <c r="M255" i="1"/>
  <c r="H255" i="1"/>
  <c r="I255" i="1"/>
  <c r="J255" i="1"/>
  <c r="K255" i="1" s="1"/>
  <c r="N255" i="1"/>
  <c r="D255" i="1"/>
  <c r="AQ418" i="1" l="1"/>
  <c r="AR418" i="1"/>
  <c r="AT418" i="1"/>
  <c r="AM418" i="1"/>
  <c r="F256" i="1"/>
  <c r="B256" i="1"/>
  <c r="A256" i="1"/>
  <c r="L256" i="1" s="1"/>
  <c r="R256" i="1"/>
  <c r="AK419" i="1" l="1"/>
  <c r="AJ419" i="1"/>
  <c r="AS419" i="1" s="1"/>
  <c r="AO419" i="1"/>
  <c r="AX419" i="1"/>
  <c r="G256" i="1"/>
  <c r="P256" i="1"/>
  <c r="M256" i="1" s="1"/>
  <c r="V256" i="1"/>
  <c r="N256" i="1" l="1"/>
  <c r="D256" i="1"/>
  <c r="AV419" i="1"/>
  <c r="AP419" i="1"/>
  <c r="H256" i="1"/>
  <c r="I256" i="1"/>
  <c r="J256" i="1"/>
  <c r="K256" i="1" s="1"/>
  <c r="A257" i="1" l="1"/>
  <c r="B257" i="1"/>
  <c r="F257" i="1"/>
  <c r="R257" i="1"/>
  <c r="AQ419" i="1"/>
  <c r="AR419" i="1"/>
  <c r="AT419" i="1"/>
  <c r="AM419" i="1"/>
  <c r="L257" i="1" l="1"/>
  <c r="AX420" i="1"/>
  <c r="AO420" i="1"/>
  <c r="AJ420" i="1"/>
  <c r="AK420" i="1"/>
  <c r="V257" i="1" l="1"/>
  <c r="P257" i="1"/>
  <c r="G257" i="1"/>
  <c r="AS420" i="1"/>
  <c r="M257" i="1" l="1"/>
  <c r="H257" i="1"/>
  <c r="N257" i="1"/>
  <c r="D257" i="1"/>
  <c r="J257" i="1"/>
  <c r="K257" i="1" s="1"/>
  <c r="I257" i="1"/>
  <c r="AP420" i="1"/>
  <c r="AV420" i="1"/>
  <c r="R258" i="1" l="1"/>
  <c r="F258" i="1"/>
  <c r="A258" i="1"/>
  <c r="B258" i="1"/>
  <c r="L258" i="1" s="1"/>
  <c r="AQ420" i="1"/>
  <c r="AR420" i="1"/>
  <c r="AM420" i="1"/>
  <c r="AT420" i="1"/>
  <c r="G258" i="1" l="1"/>
  <c r="V258" i="1"/>
  <c r="P258" i="1"/>
  <c r="M258" i="1" s="1"/>
  <c r="AX421" i="1"/>
  <c r="AO421" i="1"/>
  <c r="AK421" i="1"/>
  <c r="AS421" i="1" s="1"/>
  <c r="AJ421" i="1"/>
  <c r="I258" i="1" l="1"/>
  <c r="J258" i="1"/>
  <c r="K258" i="1" s="1"/>
  <c r="N258" i="1"/>
  <c r="R259" i="1" s="1"/>
  <c r="D258" i="1"/>
  <c r="H258" i="1"/>
  <c r="AV421" i="1"/>
  <c r="AP421" i="1"/>
  <c r="AQ421" i="1" s="1"/>
  <c r="A259" i="1" l="1"/>
  <c r="B259" i="1"/>
  <c r="F259" i="1"/>
  <c r="AT421" i="1"/>
  <c r="AM421" i="1"/>
  <c r="AR421" i="1"/>
  <c r="L259" i="1"/>
  <c r="AO422" i="1" l="1"/>
  <c r="AJ422" i="1"/>
  <c r="AK422" i="1"/>
  <c r="AX422" i="1"/>
  <c r="G259" i="1"/>
  <c r="V259" i="1"/>
  <c r="P259" i="1"/>
  <c r="M259" i="1" s="1"/>
  <c r="H259" i="1"/>
  <c r="AS422" i="1" l="1"/>
  <c r="N259" i="1"/>
  <c r="I259" i="1"/>
  <c r="D259" i="1"/>
  <c r="J259" i="1"/>
  <c r="K259" i="1" s="1"/>
  <c r="AP422" i="1" l="1"/>
  <c r="AV422" i="1"/>
  <c r="R260" i="1"/>
  <c r="F260" i="1"/>
  <c r="B260" i="1"/>
  <c r="A260" i="1"/>
  <c r="AQ422" i="1" l="1"/>
  <c r="AR422" i="1"/>
  <c r="AM422" i="1"/>
  <c r="AT422" i="1"/>
  <c r="L260" i="1"/>
  <c r="AX423" i="1" l="1"/>
  <c r="AK423" i="1"/>
  <c r="AO423" i="1"/>
  <c r="AJ423" i="1"/>
  <c r="AS423" i="1"/>
  <c r="AP423" i="1" s="1"/>
  <c r="AM423" i="1" s="1"/>
  <c r="V260" i="1"/>
  <c r="P260" i="1"/>
  <c r="G260" i="1"/>
  <c r="AQ423" i="1" l="1"/>
  <c r="AV423" i="1"/>
  <c r="AR423" i="1"/>
  <c r="AT423" i="1"/>
  <c r="J260" i="1"/>
  <c r="K260" i="1" s="1"/>
  <c r="I260" i="1"/>
  <c r="N260" i="1"/>
  <c r="D260" i="1"/>
  <c r="H260" i="1"/>
  <c r="M260" i="1"/>
  <c r="AJ424" i="1" l="1"/>
  <c r="AO424" i="1"/>
  <c r="AK424" i="1"/>
  <c r="AS424" i="1" s="1"/>
  <c r="AP424" i="1" s="1"/>
  <c r="AX424" i="1"/>
  <c r="A261" i="1"/>
  <c r="F261" i="1"/>
  <c r="B261" i="1"/>
  <c r="R261" i="1"/>
  <c r="AQ424" i="1" l="1"/>
  <c r="AV424" i="1"/>
  <c r="L261" i="1"/>
  <c r="AR424" i="1"/>
  <c r="AM424" i="1"/>
  <c r="AT424" i="1"/>
  <c r="AK425" i="1" l="1"/>
  <c r="AO425" i="1"/>
  <c r="AX425" i="1"/>
  <c r="AJ425" i="1"/>
  <c r="AS425" i="1" s="1"/>
  <c r="AP425" i="1" s="1"/>
  <c r="P261" i="1"/>
  <c r="G261" i="1"/>
  <c r="V261" i="1"/>
  <c r="H261" i="1" l="1"/>
  <c r="J261" i="1"/>
  <c r="K261" i="1" s="1"/>
  <c r="I261" i="1"/>
  <c r="N261" i="1"/>
  <c r="D261" i="1"/>
  <c r="AQ425" i="1"/>
  <c r="AV425" i="1"/>
  <c r="M261" i="1"/>
  <c r="AT425" i="1"/>
  <c r="AM425" i="1"/>
  <c r="AR425" i="1"/>
  <c r="R262" i="1" l="1"/>
  <c r="B262" i="1"/>
  <c r="A262" i="1"/>
  <c r="F262" i="1"/>
  <c r="AO426" i="1"/>
  <c r="AJ426" i="1"/>
  <c r="AX426" i="1"/>
  <c r="AK426" i="1"/>
  <c r="L262" i="1" l="1"/>
  <c r="AS426" i="1"/>
  <c r="P262" i="1" l="1"/>
  <c r="G262" i="1"/>
  <c r="H262" i="1" s="1"/>
  <c r="V262" i="1"/>
  <c r="AV426" i="1"/>
  <c r="AP426" i="1"/>
  <c r="AR426" i="1" s="1"/>
  <c r="AQ426" i="1"/>
  <c r="J262" i="1" l="1"/>
  <c r="K262" i="1" s="1"/>
  <c r="D262" i="1"/>
  <c r="N262" i="1"/>
  <c r="I262" i="1"/>
  <c r="M262" i="1"/>
  <c r="AM426" i="1"/>
  <c r="AT426" i="1"/>
  <c r="F263" i="1" l="1"/>
  <c r="R263" i="1"/>
  <c r="A263" i="1"/>
  <c r="B263" i="1"/>
  <c r="AX427" i="1"/>
  <c r="AK427" i="1"/>
  <c r="AS427" i="1" s="1"/>
  <c r="AV427" i="1" s="1"/>
  <c r="AJ427" i="1"/>
  <c r="AO427" i="1"/>
  <c r="AP427" i="1" s="1"/>
  <c r="L263" i="1" l="1"/>
  <c r="AT427" i="1"/>
  <c r="AQ427" i="1"/>
  <c r="AR427" i="1"/>
  <c r="AM427" i="1"/>
  <c r="G263" i="1" l="1"/>
  <c r="P263" i="1"/>
  <c r="M263" i="1" s="1"/>
  <c r="V263" i="1"/>
  <c r="AJ428" i="1"/>
  <c r="AX428" i="1"/>
  <c r="AK428" i="1"/>
  <c r="AO428" i="1"/>
  <c r="I263" i="1" l="1"/>
  <c r="N263" i="1"/>
  <c r="J263" i="1"/>
  <c r="K263" i="1" s="1"/>
  <c r="D263" i="1"/>
  <c r="H263" i="1"/>
  <c r="AS428" i="1"/>
  <c r="R264" i="1" l="1"/>
  <c r="F264" i="1"/>
  <c r="A264" i="1"/>
  <c r="B264" i="1"/>
  <c r="AV428" i="1"/>
  <c r="AP428" i="1"/>
  <c r="AQ428" i="1"/>
  <c r="L264" i="1" l="1"/>
  <c r="AM428" i="1"/>
  <c r="AR428" i="1"/>
  <c r="AT428" i="1"/>
  <c r="V264" i="1" l="1"/>
  <c r="P264" i="1"/>
  <c r="G264" i="1"/>
  <c r="H264" i="1" s="1"/>
  <c r="AX429" i="1"/>
  <c r="AO429" i="1"/>
  <c r="AK429" i="1"/>
  <c r="AJ429" i="1"/>
  <c r="AS429" i="1"/>
  <c r="AP429" i="1" s="1"/>
  <c r="D264" i="1" l="1"/>
  <c r="J264" i="1"/>
  <c r="K264" i="1" s="1"/>
  <c r="I264" i="1"/>
  <c r="N264" i="1"/>
  <c r="M264" i="1"/>
  <c r="AQ429" i="1"/>
  <c r="AV429" i="1"/>
  <c r="AT429" i="1"/>
  <c r="AM429" i="1"/>
  <c r="AR429" i="1"/>
  <c r="F265" i="1" l="1"/>
  <c r="A265" i="1"/>
  <c r="B265" i="1"/>
  <c r="R265" i="1"/>
  <c r="AO430" i="1"/>
  <c r="AK430" i="1"/>
  <c r="AJ430" i="1"/>
  <c r="AS430" i="1" s="1"/>
  <c r="AX430" i="1"/>
  <c r="L265" i="1" l="1"/>
  <c r="AP430" i="1"/>
  <c r="AV430" i="1"/>
  <c r="V265" i="1" l="1"/>
  <c r="G265" i="1"/>
  <c r="P265" i="1"/>
  <c r="AQ430" i="1"/>
  <c r="AT430" i="1"/>
  <c r="AR430" i="1"/>
  <c r="AM430" i="1"/>
  <c r="M265" i="1" l="1"/>
  <c r="H265" i="1"/>
  <c r="D265" i="1"/>
  <c r="I265" i="1"/>
  <c r="J265" i="1"/>
  <c r="K265" i="1" s="1"/>
  <c r="N265" i="1"/>
  <c r="AX431" i="1"/>
  <c r="AK431" i="1"/>
  <c r="AO431" i="1"/>
  <c r="AJ431" i="1"/>
  <c r="AS431" i="1" s="1"/>
  <c r="A266" i="1" l="1"/>
  <c r="F266" i="1"/>
  <c r="B266" i="1"/>
  <c r="R266" i="1"/>
  <c r="AP431" i="1"/>
  <c r="AV431" i="1"/>
  <c r="L266" i="1" l="1"/>
  <c r="H266" i="1" s="1"/>
  <c r="V266" i="1"/>
  <c r="P266" i="1"/>
  <c r="G266" i="1"/>
  <c r="AQ431" i="1"/>
  <c r="AM431" i="1"/>
  <c r="AT431" i="1"/>
  <c r="AR431" i="1"/>
  <c r="M266" i="1" l="1"/>
  <c r="I266" i="1"/>
  <c r="N266" i="1"/>
  <c r="D266" i="1"/>
  <c r="K12" i="5" s="1"/>
  <c r="J266" i="1"/>
  <c r="K266" i="1" s="1"/>
  <c r="AJ432" i="1"/>
  <c r="AO432" i="1"/>
  <c r="AK432" i="1"/>
  <c r="AX432" i="1"/>
  <c r="F267" i="1" l="1"/>
  <c r="A267" i="1"/>
  <c r="R267" i="1"/>
  <c r="B267" i="1"/>
  <c r="AS432" i="1"/>
  <c r="L267" i="1" l="1"/>
  <c r="AP432" i="1"/>
  <c r="AV432" i="1"/>
  <c r="AQ432" i="1"/>
  <c r="G267" i="1" l="1"/>
  <c r="V267" i="1"/>
  <c r="P267" i="1"/>
  <c r="AM432" i="1"/>
  <c r="AT432" i="1"/>
  <c r="AR432" i="1"/>
  <c r="M267" i="1" l="1"/>
  <c r="H267" i="1"/>
  <c r="J267" i="1"/>
  <c r="K267" i="1" s="1"/>
  <c r="N267" i="1"/>
  <c r="I267" i="1"/>
  <c r="D267" i="1"/>
  <c r="AJ433" i="1"/>
  <c r="AK433" i="1"/>
  <c r="AS433" i="1" s="1"/>
  <c r="AP433" i="1" s="1"/>
  <c r="AX433" i="1"/>
  <c r="AO433" i="1"/>
  <c r="B268" i="1" l="1"/>
  <c r="A268" i="1"/>
  <c r="L268" i="1" s="1"/>
  <c r="F268" i="1"/>
  <c r="R268" i="1"/>
  <c r="AT433" i="1"/>
  <c r="AR433" i="1"/>
  <c r="AM433" i="1"/>
  <c r="AQ433" i="1"/>
  <c r="AV433" i="1"/>
  <c r="P268" i="1" l="1"/>
  <c r="G268" i="1"/>
  <c r="H268" i="1" s="1"/>
  <c r="V268" i="1"/>
  <c r="AK434" i="1"/>
  <c r="AK5" i="1" s="1"/>
  <c r="AO434" i="1"/>
  <c r="AO5" i="1" s="1"/>
  <c r="AX434" i="1"/>
  <c r="AX5" i="1" s="1"/>
  <c r="AJ434" i="1"/>
  <c r="M268" i="1" l="1"/>
  <c r="D268" i="1"/>
  <c r="J268" i="1"/>
  <c r="K268" i="1" s="1"/>
  <c r="N268" i="1"/>
  <c r="I268" i="1"/>
  <c r="AS434" i="1"/>
  <c r="AJ5" i="1"/>
  <c r="AS9" i="1" s="1"/>
  <c r="H10" i="1" s="1"/>
  <c r="C21" i="5" s="1"/>
  <c r="B269" i="1" l="1"/>
  <c r="F269" i="1"/>
  <c r="R269" i="1"/>
  <c r="A269" i="1"/>
  <c r="AP434" i="1"/>
  <c r="AV434" i="1"/>
  <c r="AS5" i="1"/>
  <c r="AS10" i="1" s="1"/>
  <c r="H9" i="1" s="1"/>
  <c r="L269" i="1" l="1"/>
  <c r="G269" i="1"/>
  <c r="I269" i="1" s="1"/>
  <c r="D269" i="1"/>
  <c r="AP5" i="1"/>
  <c r="AR434" i="1"/>
  <c r="AM434" i="1"/>
  <c r="AT434" i="1"/>
  <c r="AQ434" i="1"/>
  <c r="H269" i="1" l="1"/>
  <c r="P269" i="1"/>
  <c r="M269" i="1" s="1"/>
  <c r="V269" i="1"/>
  <c r="N269" i="1"/>
  <c r="J269" i="1"/>
  <c r="K269" i="1" s="1"/>
  <c r="F270" i="1"/>
  <c r="R270" i="1" l="1"/>
  <c r="A270" i="1"/>
  <c r="B270" i="1"/>
  <c r="L270" i="1"/>
  <c r="V270" i="1" l="1"/>
  <c r="P270" i="1"/>
  <c r="G270" i="1"/>
  <c r="H270" i="1"/>
  <c r="M270" i="1" l="1"/>
  <c r="J270" i="1"/>
  <c r="K270" i="1" s="1"/>
  <c r="I270" i="1"/>
  <c r="D270" i="1"/>
  <c r="N270" i="1"/>
  <c r="A271" i="1" l="1"/>
  <c r="B271" i="1"/>
  <c r="F271" i="1"/>
  <c r="R271" i="1"/>
  <c r="L271" i="1" l="1"/>
  <c r="G271" i="1" l="1"/>
  <c r="V271" i="1"/>
  <c r="P271" i="1"/>
  <c r="M271" i="1" l="1"/>
  <c r="J271" i="1"/>
  <c r="K271" i="1" s="1"/>
  <c r="D271" i="1"/>
  <c r="I271" i="1"/>
  <c r="N271" i="1"/>
  <c r="B272" i="1" s="1"/>
  <c r="H271" i="1"/>
  <c r="F272" i="1" l="1"/>
  <c r="R272" i="1"/>
  <c r="A272" i="1"/>
  <c r="L272" i="1"/>
  <c r="V272" i="1" l="1"/>
  <c r="P272" i="1"/>
  <c r="G272" i="1"/>
  <c r="H272" i="1" s="1"/>
  <c r="I272" i="1" l="1"/>
  <c r="N272" i="1"/>
  <c r="D272" i="1"/>
  <c r="J272" i="1"/>
  <c r="K272" i="1" s="1"/>
  <c r="M272" i="1"/>
  <c r="B273" i="1" l="1"/>
  <c r="R273" i="1"/>
  <c r="F273" i="1"/>
  <c r="A273" i="1"/>
  <c r="L273" i="1" l="1"/>
  <c r="V273" i="1" l="1"/>
  <c r="G273" i="1"/>
  <c r="P273" i="1"/>
  <c r="H273" i="1" l="1"/>
  <c r="N273" i="1"/>
  <c r="D273" i="1"/>
  <c r="I273" i="1"/>
  <c r="J273" i="1"/>
  <c r="K273" i="1" s="1"/>
  <c r="M273" i="1"/>
  <c r="B274" i="1" l="1"/>
  <c r="F274" i="1"/>
  <c r="R274" i="1"/>
  <c r="A274" i="1"/>
  <c r="L274" i="1"/>
  <c r="G274" i="1" l="1"/>
  <c r="P274" i="1"/>
  <c r="V274" i="1"/>
  <c r="M274" i="1" l="1"/>
  <c r="D274" i="1"/>
  <c r="I274" i="1"/>
  <c r="J274" i="1"/>
  <c r="K274" i="1" s="1"/>
  <c r="N274" i="1"/>
  <c r="H274" i="1"/>
  <c r="R275" i="1" l="1"/>
  <c r="B275" i="1"/>
  <c r="A275" i="1"/>
  <c r="F275" i="1"/>
  <c r="L275" i="1" l="1"/>
  <c r="V275" i="1" l="1"/>
  <c r="P275" i="1"/>
  <c r="G275" i="1"/>
  <c r="M275" i="1" l="1"/>
  <c r="H275" i="1"/>
  <c r="D275" i="1"/>
  <c r="I275" i="1"/>
  <c r="J275" i="1"/>
  <c r="K275" i="1" s="1"/>
  <c r="N275" i="1"/>
  <c r="B276" i="1" l="1"/>
  <c r="F276" i="1"/>
  <c r="A276" i="1"/>
  <c r="R276" i="1"/>
  <c r="L276" i="1" l="1"/>
  <c r="G276" i="1" l="1"/>
  <c r="V276" i="1"/>
  <c r="P276" i="1"/>
  <c r="J276" i="1" l="1"/>
  <c r="K276" i="1" s="1"/>
  <c r="N276" i="1"/>
  <c r="I276" i="1"/>
  <c r="D276" i="1"/>
  <c r="H276" i="1"/>
  <c r="M276" i="1"/>
  <c r="A277" i="1" l="1"/>
  <c r="R277" i="1"/>
  <c r="B277" i="1"/>
  <c r="F277" i="1"/>
  <c r="L277" i="1" l="1"/>
  <c r="G277" i="1" l="1"/>
  <c r="V277" i="1"/>
  <c r="P277" i="1"/>
  <c r="M277" i="1" l="1"/>
  <c r="I277" i="1"/>
  <c r="J277" i="1"/>
  <c r="K277" i="1" s="1"/>
  <c r="D277" i="1"/>
  <c r="N277" i="1"/>
  <c r="B278" i="1" s="1"/>
  <c r="H277" i="1"/>
  <c r="R278" i="1"/>
  <c r="F278" i="1" l="1"/>
  <c r="A278" i="1"/>
  <c r="L278" i="1"/>
  <c r="G278" i="1" l="1"/>
  <c r="V278" i="1"/>
  <c r="P278" i="1"/>
  <c r="I278" i="1" l="1"/>
  <c r="D278" i="1"/>
  <c r="N278" i="1"/>
  <c r="J278" i="1"/>
  <c r="K278" i="1" s="1"/>
  <c r="H278" i="1"/>
  <c r="M278" i="1"/>
  <c r="A279" i="1" l="1"/>
  <c r="F279" i="1"/>
  <c r="B279" i="1"/>
  <c r="R279" i="1"/>
  <c r="L279" i="1" l="1"/>
  <c r="G279" i="1" l="1"/>
  <c r="V279" i="1"/>
  <c r="H279" i="1"/>
  <c r="P279" i="1"/>
  <c r="M279" i="1" s="1"/>
  <c r="D279" i="1" l="1"/>
  <c r="N279" i="1"/>
  <c r="J279" i="1"/>
  <c r="K279" i="1" s="1"/>
  <c r="I279" i="1"/>
  <c r="F280" i="1" l="1"/>
  <c r="A280" i="1"/>
  <c r="B280" i="1"/>
  <c r="L280" i="1" s="1"/>
  <c r="R280" i="1"/>
  <c r="P280" i="1" l="1"/>
  <c r="V280" i="1"/>
  <c r="G280" i="1"/>
  <c r="H280" i="1" s="1"/>
  <c r="N280" i="1" l="1"/>
  <c r="J280" i="1"/>
  <c r="K280" i="1" s="1"/>
  <c r="I280" i="1"/>
  <c r="D280" i="1"/>
  <c r="M280" i="1"/>
  <c r="B281" i="1" l="1"/>
  <c r="F281" i="1"/>
  <c r="A281" i="1"/>
  <c r="L281" i="1" s="1"/>
  <c r="R281" i="1"/>
  <c r="P281" i="1" l="1"/>
  <c r="V281" i="1"/>
  <c r="G281" i="1"/>
  <c r="H281" i="1" s="1"/>
  <c r="N281" i="1" l="1"/>
  <c r="D281" i="1"/>
  <c r="I281" i="1"/>
  <c r="J281" i="1"/>
  <c r="K281" i="1" s="1"/>
  <c r="M281" i="1"/>
  <c r="A282" i="1" l="1"/>
  <c r="B282" i="1"/>
  <c r="F282" i="1"/>
  <c r="R282" i="1"/>
  <c r="L282" i="1" l="1"/>
  <c r="P282" i="1" l="1"/>
  <c r="V282" i="1"/>
  <c r="G282" i="1"/>
  <c r="H282" i="1" s="1"/>
  <c r="I282" i="1" l="1"/>
  <c r="J282" i="1"/>
  <c r="K282" i="1" s="1"/>
  <c r="D282" i="1"/>
  <c r="N282" i="1"/>
  <c r="M282" i="1"/>
  <c r="R283" i="1" l="1"/>
  <c r="A283" i="1"/>
  <c r="B283" i="1"/>
  <c r="F283" i="1"/>
  <c r="L283" i="1" l="1"/>
  <c r="G283" i="1" l="1"/>
  <c r="I283" i="1" s="1"/>
  <c r="H283" i="1"/>
  <c r="V283" i="1"/>
  <c r="P283" i="1"/>
  <c r="M283" i="1" s="1"/>
  <c r="N283" i="1"/>
  <c r="D283" i="1"/>
  <c r="J283" i="1"/>
  <c r="K283" i="1" s="1"/>
  <c r="A284" i="1" l="1"/>
  <c r="R284" i="1"/>
  <c r="F284" i="1"/>
  <c r="B284" i="1"/>
  <c r="L284" i="1"/>
  <c r="V284" i="1" l="1"/>
  <c r="P284" i="1"/>
  <c r="G284" i="1"/>
  <c r="H284" i="1" s="1"/>
  <c r="I284" i="1" l="1"/>
  <c r="D284" i="1"/>
  <c r="J284" i="1"/>
  <c r="K284" i="1" s="1"/>
  <c r="N284" i="1"/>
  <c r="M284" i="1"/>
  <c r="A285" i="1" l="1"/>
  <c r="B285" i="1"/>
  <c r="F285" i="1"/>
  <c r="R285" i="1"/>
  <c r="L285" i="1" l="1"/>
  <c r="G285" i="1" l="1"/>
  <c r="H285" i="1" s="1"/>
  <c r="V285" i="1"/>
  <c r="P285" i="1"/>
  <c r="M285" i="1" l="1"/>
  <c r="N285" i="1"/>
  <c r="D285" i="1"/>
  <c r="J285" i="1"/>
  <c r="K285" i="1" s="1"/>
  <c r="I285" i="1"/>
  <c r="A286" i="1" l="1"/>
  <c r="F286" i="1"/>
  <c r="B286" i="1"/>
  <c r="R286" i="1"/>
  <c r="L286" i="1" l="1"/>
  <c r="V286" i="1"/>
  <c r="G286" i="1" l="1"/>
  <c r="I286" i="1" s="1"/>
  <c r="P286" i="1"/>
  <c r="M286" i="1" s="1"/>
  <c r="H286" i="1"/>
  <c r="J286" i="1"/>
  <c r="K286" i="1" s="1"/>
  <c r="N286" i="1"/>
  <c r="F287" i="1" s="1"/>
  <c r="D286" i="1"/>
  <c r="A287" i="1" l="1"/>
  <c r="R287" i="1"/>
  <c r="B287" i="1"/>
  <c r="L287" i="1"/>
  <c r="G287" i="1" l="1"/>
  <c r="H287" i="1"/>
  <c r="P287" i="1"/>
  <c r="V287" i="1"/>
  <c r="M287" i="1" l="1"/>
  <c r="J287" i="1"/>
  <c r="K287" i="1" s="1"/>
  <c r="N287" i="1"/>
  <c r="D287" i="1"/>
  <c r="I287" i="1"/>
  <c r="F288" i="1" l="1"/>
  <c r="A288" i="1"/>
  <c r="B288" i="1"/>
  <c r="R288" i="1"/>
  <c r="L288" i="1" l="1"/>
  <c r="V288" i="1" l="1"/>
  <c r="P288" i="1"/>
  <c r="G288" i="1"/>
  <c r="I288" i="1" l="1"/>
  <c r="J288" i="1"/>
  <c r="K288" i="1" s="1"/>
  <c r="N288" i="1"/>
  <c r="D288" i="1"/>
  <c r="H288" i="1"/>
  <c r="M288" i="1"/>
  <c r="F289" i="1" l="1"/>
  <c r="B289" i="1"/>
  <c r="A289" i="1"/>
  <c r="L289" i="1" s="1"/>
  <c r="R289" i="1"/>
  <c r="P289" i="1" l="1"/>
  <c r="V289" i="1"/>
  <c r="G289" i="1"/>
  <c r="H289" i="1" s="1"/>
  <c r="N289" i="1" l="1"/>
  <c r="D289" i="1"/>
  <c r="I289" i="1"/>
  <c r="J289" i="1"/>
  <c r="K289" i="1" s="1"/>
  <c r="M289" i="1"/>
  <c r="B290" i="1" l="1"/>
  <c r="R290" i="1"/>
  <c r="A290" i="1"/>
  <c r="L290" i="1" s="1"/>
  <c r="F290" i="1"/>
  <c r="G290" i="1" l="1"/>
  <c r="N290" i="1" s="1"/>
  <c r="V290" i="1"/>
  <c r="P290" i="1"/>
  <c r="H290" i="1"/>
  <c r="D290" i="1"/>
  <c r="M290" i="1" l="1"/>
  <c r="J290" i="1"/>
  <c r="K290" i="1" s="1"/>
  <c r="I290" i="1"/>
  <c r="A291" i="1"/>
  <c r="F291" i="1"/>
  <c r="B291" i="1"/>
  <c r="R291" i="1"/>
  <c r="D6" i="5"/>
  <c r="D7" i="5"/>
  <c r="D8" i="5"/>
  <c r="D9" i="5"/>
  <c r="D10" i="5"/>
  <c r="D11" i="5"/>
  <c r="D12" i="5"/>
  <c r="L291" i="1" l="1"/>
  <c r="G291" i="1" s="1"/>
  <c r="V291" i="1" l="1"/>
  <c r="P291" i="1"/>
  <c r="M291" i="1" s="1"/>
  <c r="J291" i="1"/>
  <c r="K291" i="1" s="1"/>
  <c r="D291" i="1"/>
  <c r="N291" i="1"/>
  <c r="I291" i="1"/>
  <c r="H291" i="1"/>
  <c r="B292" i="1" l="1"/>
  <c r="A292" i="1"/>
  <c r="L292" i="1" s="1"/>
  <c r="R292" i="1"/>
  <c r="F292" i="1"/>
  <c r="P292" i="1" l="1"/>
  <c r="V292" i="1"/>
  <c r="G292" i="1"/>
  <c r="H292" i="1" s="1"/>
  <c r="M292" i="1" l="1"/>
  <c r="I292" i="1"/>
  <c r="J292" i="1"/>
  <c r="K292" i="1" s="1"/>
  <c r="D292" i="1"/>
  <c r="N292" i="1"/>
  <c r="F293" i="1" l="1"/>
  <c r="R293" i="1"/>
  <c r="B293" i="1"/>
  <c r="A293" i="1"/>
  <c r="L293" i="1" s="1"/>
  <c r="G293" i="1" s="1"/>
  <c r="N293" i="1" l="1"/>
  <c r="D293" i="1"/>
  <c r="J293" i="1"/>
  <c r="K293" i="1" s="1"/>
  <c r="I293" i="1"/>
  <c r="H293" i="1"/>
  <c r="P293" i="1"/>
  <c r="M293" i="1" s="1"/>
  <c r="V293" i="1"/>
  <c r="A294" i="1" l="1"/>
  <c r="B294" i="1"/>
  <c r="R294" i="1"/>
  <c r="F294" i="1"/>
  <c r="L294" i="1" l="1"/>
  <c r="G294" i="1" l="1"/>
  <c r="P294" i="1"/>
  <c r="M294" i="1" s="1"/>
  <c r="V294" i="1"/>
  <c r="I294" i="1" l="1"/>
  <c r="D294" i="1"/>
  <c r="H294" i="1"/>
  <c r="N294" i="1"/>
  <c r="R295" i="1" s="1"/>
  <c r="J294" i="1"/>
  <c r="K294" i="1" s="1"/>
  <c r="F295" i="1" l="1"/>
  <c r="B295" i="1"/>
  <c r="A295" i="1"/>
  <c r="L295" i="1" l="1"/>
  <c r="V295" i="1" l="1"/>
  <c r="P295" i="1"/>
  <c r="G295" i="1"/>
  <c r="M295" i="1" l="1"/>
  <c r="H295" i="1"/>
  <c r="D295" i="1"/>
  <c r="N295" i="1"/>
  <c r="I295" i="1"/>
  <c r="J295" i="1"/>
  <c r="K295" i="1" s="1"/>
  <c r="B296" i="1" l="1"/>
  <c r="F296" i="1"/>
  <c r="A296" i="1"/>
  <c r="L296" i="1" s="1"/>
  <c r="R296" i="1"/>
  <c r="P296" i="1" l="1"/>
  <c r="V296" i="1"/>
  <c r="G296" i="1"/>
  <c r="H296" i="1" s="1"/>
  <c r="I296" i="1" l="1"/>
  <c r="N296" i="1"/>
  <c r="D296" i="1"/>
  <c r="J296" i="1"/>
  <c r="K296" i="1" s="1"/>
  <c r="M296" i="1"/>
  <c r="A297" i="1" l="1"/>
  <c r="L297" i="1" s="1"/>
  <c r="B297" i="1"/>
  <c r="R297" i="1"/>
  <c r="F297" i="1"/>
  <c r="V297" i="1" l="1"/>
  <c r="P297" i="1"/>
  <c r="G297" i="1"/>
  <c r="H297" i="1" s="1"/>
  <c r="J297" i="1" l="1"/>
  <c r="K297" i="1" s="1"/>
  <c r="I297" i="1"/>
  <c r="N297" i="1"/>
  <c r="D297" i="1"/>
  <c r="M297" i="1"/>
  <c r="R298" i="1" l="1"/>
  <c r="A298" i="1"/>
  <c r="L298" i="1" s="1"/>
  <c r="B298" i="1"/>
  <c r="F298" i="1"/>
  <c r="V298" i="1" l="1"/>
  <c r="P298" i="1"/>
  <c r="G298" i="1"/>
  <c r="H298" i="1" s="1"/>
  <c r="N298" i="1" l="1"/>
  <c r="D298" i="1"/>
  <c r="J298" i="1"/>
  <c r="K298" i="1" s="1"/>
  <c r="I298" i="1"/>
  <c r="M298" i="1"/>
  <c r="B299" i="1" l="1"/>
  <c r="F299" i="1"/>
  <c r="R299" i="1"/>
  <c r="A299" i="1"/>
  <c r="L299" i="1" s="1"/>
  <c r="H299" i="1" s="1"/>
  <c r="G299" i="1"/>
  <c r="V299" i="1" l="1"/>
  <c r="P299" i="1"/>
  <c r="M299" i="1" s="1"/>
  <c r="N299" i="1"/>
  <c r="J299" i="1"/>
  <c r="K299" i="1" s="1"/>
  <c r="I299" i="1"/>
  <c r="D299" i="1"/>
  <c r="R300" i="1" l="1"/>
  <c r="B300" i="1"/>
  <c r="A300" i="1"/>
  <c r="F300" i="1"/>
  <c r="L300" i="1" l="1"/>
  <c r="G300" i="1" l="1"/>
  <c r="P300" i="1"/>
  <c r="H300" i="1"/>
  <c r="V300" i="1"/>
  <c r="M300" i="1" l="1"/>
  <c r="J300" i="1"/>
  <c r="K300" i="1" s="1"/>
  <c r="I300" i="1"/>
  <c r="N300" i="1"/>
  <c r="D300" i="1"/>
  <c r="R301" i="1" l="1"/>
  <c r="B301" i="1"/>
  <c r="A301" i="1"/>
  <c r="L301" i="1" s="1"/>
  <c r="G301" i="1" s="1"/>
  <c r="F301" i="1"/>
  <c r="P301" i="1" l="1"/>
  <c r="M301" i="1" s="1"/>
  <c r="V301" i="1"/>
  <c r="H301" i="1"/>
  <c r="J301" i="1"/>
  <c r="D301" i="1"/>
  <c r="N301" i="1"/>
  <c r="I301" i="1"/>
  <c r="K301" i="1" l="1"/>
  <c r="F302" i="1"/>
  <c r="E13" i="5" s="1"/>
  <c r="B302" i="1"/>
  <c r="R302" i="1"/>
  <c r="I13" i="5" s="1"/>
  <c r="A302" i="1"/>
  <c r="L302" i="1" s="1"/>
  <c r="D13" i="5" l="1"/>
  <c r="V302" i="1"/>
  <c r="P302" i="1"/>
  <c r="G302" i="1"/>
  <c r="N302" i="1" l="1"/>
  <c r="D302" i="1"/>
  <c r="K13" i="5" s="1"/>
  <c r="F13" i="5"/>
  <c r="J302" i="1"/>
  <c r="I302" i="1"/>
  <c r="H302" i="1"/>
  <c r="M302" i="1"/>
  <c r="R303" i="1" l="1"/>
  <c r="A303" i="1"/>
  <c r="F303" i="1"/>
  <c r="B303" i="1"/>
  <c r="G13" i="5"/>
  <c r="K302" i="1"/>
  <c r="L303" i="1" l="1"/>
  <c r="G303" i="1" s="1"/>
  <c r="H303" i="1" l="1"/>
  <c r="V303" i="1"/>
  <c r="P303" i="1"/>
  <c r="M303" i="1" s="1"/>
  <c r="D303" i="1"/>
  <c r="N303" i="1"/>
  <c r="I303" i="1"/>
  <c r="J303" i="1"/>
  <c r="K303" i="1" s="1"/>
  <c r="F304" i="1" l="1"/>
  <c r="R304" i="1"/>
  <c r="A304" i="1"/>
  <c r="B304" i="1"/>
  <c r="L304" i="1" l="1"/>
  <c r="G304" i="1" l="1"/>
  <c r="H304" i="1"/>
  <c r="V304" i="1"/>
  <c r="P304" i="1"/>
  <c r="M304" i="1" s="1"/>
  <c r="I304" i="1" l="1"/>
  <c r="J304" i="1"/>
  <c r="K304" i="1" s="1"/>
  <c r="N304" i="1"/>
  <c r="D304" i="1"/>
  <c r="A305" i="1"/>
  <c r="L305" i="1" s="1"/>
  <c r="R305" i="1"/>
  <c r="B305" i="1" l="1"/>
  <c r="F305" i="1"/>
  <c r="D305" i="1"/>
  <c r="G305" i="1"/>
  <c r="N305" i="1" s="1"/>
  <c r="H305" i="1"/>
  <c r="V305" i="1"/>
  <c r="P305" i="1"/>
  <c r="M305" i="1" l="1"/>
  <c r="J305" i="1"/>
  <c r="K305" i="1" s="1"/>
  <c r="I305" i="1"/>
  <c r="A306" i="1"/>
  <c r="R306" i="1"/>
  <c r="F306" i="1"/>
  <c r="B306" i="1"/>
  <c r="L306" i="1" s="1"/>
  <c r="G306" i="1"/>
  <c r="V306" i="1" l="1"/>
  <c r="P306" i="1"/>
  <c r="M306" i="1" s="1"/>
  <c r="H306" i="1"/>
  <c r="D306" i="1"/>
  <c r="J306" i="1"/>
  <c r="K306" i="1" s="1"/>
  <c r="I306" i="1"/>
  <c r="N306" i="1"/>
  <c r="F307" i="1" l="1"/>
  <c r="B307" i="1"/>
  <c r="A307" i="1"/>
  <c r="R307" i="1"/>
  <c r="L307" i="1" l="1"/>
  <c r="G307" i="1" l="1"/>
  <c r="I307" i="1" s="1"/>
  <c r="V307" i="1"/>
  <c r="P307" i="1"/>
  <c r="D307" i="1"/>
  <c r="H307" i="1"/>
  <c r="M307" i="1" l="1"/>
  <c r="N307" i="1"/>
  <c r="J307" i="1"/>
  <c r="K307" i="1" s="1"/>
  <c r="B308" i="1" l="1"/>
  <c r="R308" i="1"/>
  <c r="F308" i="1"/>
  <c r="A308" i="1"/>
  <c r="L308" i="1" s="1"/>
  <c r="G308" i="1" s="1"/>
  <c r="H308" i="1" s="1"/>
  <c r="P308" i="1" l="1"/>
  <c r="M308" i="1" s="1"/>
  <c r="V308" i="1"/>
  <c r="D308" i="1"/>
  <c r="N308" i="1"/>
  <c r="J308" i="1"/>
  <c r="K308" i="1" s="1"/>
  <c r="I308" i="1"/>
  <c r="F309" i="1" l="1"/>
  <c r="B309" i="1"/>
  <c r="A309" i="1"/>
  <c r="R309" i="1"/>
  <c r="L309" i="1" l="1"/>
  <c r="G309" i="1" l="1"/>
  <c r="P309" i="1"/>
  <c r="V309" i="1"/>
  <c r="H309" i="1"/>
  <c r="M309" i="1" l="1"/>
  <c r="N309" i="1"/>
  <c r="J309" i="1"/>
  <c r="K309" i="1" s="1"/>
  <c r="I309" i="1"/>
  <c r="D309" i="1"/>
  <c r="B310" i="1" l="1"/>
  <c r="A310" i="1"/>
  <c r="L310" i="1" s="1"/>
  <c r="F310" i="1"/>
  <c r="R310" i="1"/>
  <c r="G310" i="1"/>
  <c r="H310" i="1" s="1"/>
  <c r="V310" i="1" l="1"/>
  <c r="P310" i="1"/>
  <c r="M310" i="1" s="1"/>
  <c r="J310" i="1"/>
  <c r="K310" i="1" s="1"/>
  <c r="I310" i="1"/>
  <c r="N310" i="1"/>
  <c r="D310" i="1"/>
  <c r="B311" i="1" l="1"/>
  <c r="A311" i="1"/>
  <c r="R311" i="1"/>
  <c r="F311" i="1"/>
  <c r="L311" i="1" l="1"/>
  <c r="P311" i="1" s="1"/>
  <c r="V311" i="1" l="1"/>
  <c r="G311" i="1"/>
  <c r="H311" i="1" l="1"/>
  <c r="N311" i="1"/>
  <c r="D311" i="1"/>
  <c r="I311" i="1"/>
  <c r="J311" i="1"/>
  <c r="K311" i="1" s="1"/>
  <c r="M311" i="1"/>
  <c r="F312" i="1" l="1"/>
  <c r="A312" i="1"/>
  <c r="R312" i="1"/>
  <c r="B312" i="1"/>
  <c r="L312" i="1"/>
  <c r="P312" i="1" l="1"/>
  <c r="V312" i="1"/>
  <c r="G312" i="1"/>
  <c r="H312" i="1" s="1"/>
  <c r="M312" i="1" l="1"/>
  <c r="N312" i="1"/>
  <c r="J312" i="1"/>
  <c r="K312" i="1" s="1"/>
  <c r="D312" i="1"/>
  <c r="I312" i="1"/>
  <c r="B313" i="1" l="1"/>
  <c r="F313" i="1"/>
  <c r="A313" i="1"/>
  <c r="R313" i="1"/>
  <c r="L313" i="1" l="1"/>
  <c r="V313" i="1" l="1"/>
  <c r="P313" i="1"/>
  <c r="G313" i="1"/>
  <c r="H313" i="1" l="1"/>
  <c r="J313" i="1"/>
  <c r="K313" i="1" s="1"/>
  <c r="I313" i="1"/>
  <c r="N313" i="1"/>
  <c r="D313" i="1"/>
  <c r="M313" i="1"/>
  <c r="B314" i="1" l="1"/>
  <c r="A314" i="1"/>
  <c r="L314" i="1" s="1"/>
  <c r="G314" i="1" s="1"/>
  <c r="R314" i="1"/>
  <c r="F314" i="1"/>
  <c r="H314" i="1" l="1"/>
  <c r="V314" i="1"/>
  <c r="P314" i="1"/>
  <c r="M314" i="1" s="1"/>
  <c r="J314" i="1"/>
  <c r="K314" i="1" s="1"/>
  <c r="I314" i="1"/>
  <c r="N314" i="1"/>
  <c r="D314" i="1"/>
  <c r="F315" i="1" l="1"/>
  <c r="B315" i="1"/>
  <c r="R315" i="1"/>
  <c r="A315" i="1"/>
  <c r="L315" i="1" l="1"/>
  <c r="G315" i="1" l="1"/>
  <c r="H315" i="1"/>
  <c r="P315" i="1"/>
  <c r="V315" i="1"/>
  <c r="M315" i="1" l="1"/>
  <c r="D315" i="1"/>
  <c r="N315" i="1"/>
  <c r="J315" i="1"/>
  <c r="K315" i="1" s="1"/>
  <c r="I315" i="1"/>
  <c r="B316" i="1" l="1"/>
  <c r="A316" i="1"/>
  <c r="L316" i="1"/>
  <c r="F316" i="1"/>
  <c r="R316" i="1"/>
  <c r="V316" i="1" l="1"/>
  <c r="P316" i="1"/>
  <c r="G316" i="1"/>
  <c r="M316" i="1" l="1"/>
  <c r="H316" i="1"/>
  <c r="J316" i="1"/>
  <c r="K316" i="1" s="1"/>
  <c r="I316" i="1"/>
  <c r="N316" i="1"/>
  <c r="D316" i="1"/>
  <c r="B317" i="1" l="1"/>
  <c r="F317" i="1"/>
  <c r="A317" i="1"/>
  <c r="L317" i="1" s="1"/>
  <c r="R317" i="1"/>
  <c r="G317" i="1" l="1"/>
  <c r="P317" i="1"/>
  <c r="M317" i="1" s="1"/>
  <c r="V317" i="1"/>
  <c r="J317" i="1" l="1"/>
  <c r="K317" i="1" s="1"/>
  <c r="I317" i="1"/>
  <c r="N317" i="1"/>
  <c r="D317" i="1"/>
  <c r="H317" i="1"/>
  <c r="A318" i="1" l="1"/>
  <c r="R318" i="1"/>
  <c r="B318" i="1"/>
  <c r="F318" i="1"/>
  <c r="L318" i="1" l="1"/>
  <c r="P318" i="1" s="1"/>
  <c r="G318" i="1" l="1"/>
  <c r="N318" i="1" s="1"/>
  <c r="V318" i="1"/>
  <c r="H318" i="1"/>
  <c r="D318" i="1"/>
  <c r="M318" i="1" l="1"/>
  <c r="J318" i="1"/>
  <c r="K318" i="1" s="1"/>
  <c r="I318" i="1"/>
  <c r="F319" i="1"/>
  <c r="R319" i="1"/>
  <c r="B319" i="1"/>
  <c r="A319" i="1"/>
  <c r="L319" i="1" s="1"/>
  <c r="V319" i="1" l="1"/>
  <c r="P319" i="1"/>
  <c r="G319" i="1"/>
  <c r="H319" i="1" s="1"/>
  <c r="M319" i="1" l="1"/>
  <c r="D319" i="1"/>
  <c r="N319" i="1"/>
  <c r="I319" i="1"/>
  <c r="J319" i="1"/>
  <c r="K319" i="1" s="1"/>
  <c r="A320" i="1" l="1"/>
  <c r="F320" i="1"/>
  <c r="B320" i="1"/>
  <c r="R320" i="1"/>
  <c r="L320" i="1" l="1"/>
  <c r="G320" i="1" l="1"/>
  <c r="H320" i="1" s="1"/>
  <c r="V320" i="1"/>
  <c r="P320" i="1"/>
  <c r="M320" i="1" l="1"/>
  <c r="N320" i="1"/>
  <c r="J320" i="1"/>
  <c r="K320" i="1" s="1"/>
  <c r="I320" i="1"/>
  <c r="D320" i="1"/>
  <c r="R321" i="1" l="1"/>
  <c r="A321" i="1"/>
  <c r="B321" i="1"/>
  <c r="F321" i="1"/>
  <c r="L321" i="1"/>
  <c r="G321" i="1" s="1"/>
  <c r="J321" i="1" l="1"/>
  <c r="K321" i="1" s="1"/>
  <c r="I321" i="1"/>
  <c r="H321" i="1"/>
  <c r="V321" i="1"/>
  <c r="P321" i="1"/>
  <c r="M321" i="1" s="1"/>
  <c r="N321" i="1"/>
  <c r="D321" i="1"/>
  <c r="R322" i="1" l="1"/>
  <c r="B322" i="1"/>
  <c r="A322" i="1"/>
  <c r="L322" i="1" s="1"/>
  <c r="F322" i="1"/>
  <c r="P322" i="1" l="1"/>
  <c r="V322" i="1"/>
  <c r="G322" i="1"/>
  <c r="H322" i="1" s="1"/>
  <c r="N322" i="1" l="1"/>
  <c r="D322" i="1"/>
  <c r="I322" i="1"/>
  <c r="J322" i="1"/>
  <c r="K322" i="1" s="1"/>
  <c r="M322" i="1"/>
  <c r="R323" i="1" l="1"/>
  <c r="A323" i="1"/>
  <c r="F323" i="1"/>
  <c r="B323" i="1"/>
  <c r="L323" i="1" l="1"/>
  <c r="G323" i="1" l="1"/>
  <c r="H323" i="1" s="1"/>
  <c r="V323" i="1"/>
  <c r="P323" i="1"/>
  <c r="M323" i="1" l="1"/>
  <c r="D323" i="1"/>
  <c r="N323" i="1"/>
  <c r="J323" i="1"/>
  <c r="K323" i="1" s="1"/>
  <c r="I323" i="1"/>
  <c r="A324" i="1" l="1"/>
  <c r="B324" i="1"/>
  <c r="F324" i="1"/>
  <c r="R324" i="1"/>
  <c r="L324" i="1" l="1"/>
  <c r="G324" i="1" l="1"/>
  <c r="H324" i="1"/>
  <c r="P324" i="1"/>
  <c r="V324" i="1"/>
  <c r="M324" i="1" l="1"/>
  <c r="N324" i="1"/>
  <c r="D324" i="1"/>
  <c r="J324" i="1"/>
  <c r="K324" i="1" s="1"/>
  <c r="I324" i="1"/>
  <c r="F325" i="1" l="1"/>
  <c r="R325" i="1"/>
  <c r="A325" i="1"/>
  <c r="L325" i="1" s="1"/>
  <c r="B325" i="1"/>
  <c r="V325" i="1" l="1"/>
  <c r="P325" i="1"/>
  <c r="G325" i="1"/>
  <c r="H325" i="1" s="1"/>
  <c r="M325" i="1" l="1"/>
  <c r="N325" i="1"/>
  <c r="J325" i="1"/>
  <c r="K325" i="1" s="1"/>
  <c r="I325" i="1"/>
  <c r="D325" i="1"/>
  <c r="B326" i="1" l="1"/>
  <c r="A326" i="1"/>
  <c r="L326" i="1" s="1"/>
  <c r="F326" i="1"/>
  <c r="R326" i="1"/>
  <c r="V326" i="1" l="1"/>
  <c r="G326" i="1"/>
  <c r="P326" i="1"/>
  <c r="M326" i="1" l="1"/>
  <c r="J326" i="1"/>
  <c r="K326" i="1" s="1"/>
  <c r="N326" i="1"/>
  <c r="D326" i="1"/>
  <c r="I326" i="1"/>
  <c r="H326" i="1"/>
  <c r="R327" i="1" l="1"/>
  <c r="A327" i="1"/>
  <c r="B327" i="1"/>
  <c r="F327" i="1"/>
  <c r="L327" i="1" l="1"/>
  <c r="G327" i="1" l="1"/>
  <c r="H327" i="1"/>
  <c r="P327" i="1"/>
  <c r="V327" i="1"/>
  <c r="J327" i="1" l="1"/>
  <c r="K327" i="1" s="1"/>
  <c r="N327" i="1"/>
  <c r="D327" i="1"/>
  <c r="I327" i="1"/>
  <c r="M327" i="1"/>
  <c r="B328" i="1" l="1"/>
  <c r="L328" i="1" s="1"/>
  <c r="F328" i="1"/>
  <c r="R328" i="1"/>
  <c r="A328" i="1"/>
  <c r="V328" i="1" l="1"/>
  <c r="P328" i="1"/>
  <c r="G328" i="1"/>
  <c r="H328" i="1" s="1"/>
  <c r="D328" i="1" l="1"/>
  <c r="N328" i="1"/>
  <c r="I328" i="1"/>
  <c r="J328" i="1"/>
  <c r="K328" i="1" s="1"/>
  <c r="M328" i="1"/>
  <c r="F329" i="1" l="1"/>
  <c r="A329" i="1"/>
  <c r="R329" i="1"/>
  <c r="B329" i="1"/>
  <c r="L329" i="1"/>
  <c r="G329" i="1" s="1"/>
  <c r="V329" i="1" l="1"/>
  <c r="H329" i="1"/>
  <c r="P329" i="1"/>
  <c r="M329" i="1" s="1"/>
  <c r="I329" i="1"/>
  <c r="J329" i="1"/>
  <c r="K329" i="1" s="1"/>
  <c r="N329" i="1"/>
  <c r="D329" i="1"/>
  <c r="F330" i="1" l="1"/>
  <c r="R330" i="1"/>
  <c r="A330" i="1"/>
  <c r="L330" i="1" s="1"/>
  <c r="G330" i="1" s="1"/>
  <c r="B330" i="1"/>
  <c r="H330" i="1" l="1"/>
  <c r="P330" i="1"/>
  <c r="M330" i="1" s="1"/>
  <c r="V330" i="1"/>
  <c r="I330" i="1"/>
  <c r="J330" i="1"/>
  <c r="K330" i="1" s="1"/>
  <c r="N330" i="1"/>
  <c r="D330" i="1"/>
  <c r="A331" i="1" l="1"/>
  <c r="R331" i="1"/>
  <c r="F331" i="1"/>
  <c r="B331" i="1"/>
  <c r="L331" i="1"/>
  <c r="G331" i="1" l="1"/>
  <c r="H331" i="1"/>
  <c r="P331" i="1"/>
  <c r="V331" i="1"/>
  <c r="M331" i="1" l="1"/>
  <c r="D331" i="1"/>
  <c r="N331" i="1"/>
  <c r="J331" i="1"/>
  <c r="K331" i="1" s="1"/>
  <c r="I331" i="1"/>
  <c r="A332" i="1" l="1"/>
  <c r="F332" i="1"/>
  <c r="R332" i="1"/>
  <c r="B332" i="1"/>
  <c r="L332" i="1" l="1"/>
  <c r="P332" i="1" l="1"/>
  <c r="V332" i="1"/>
  <c r="G332" i="1"/>
  <c r="H332" i="1"/>
  <c r="M332" i="1" l="1"/>
  <c r="N332" i="1"/>
  <c r="I332" i="1"/>
  <c r="J332" i="1"/>
  <c r="K332" i="1" s="1"/>
  <c r="D332" i="1"/>
  <c r="R333" i="1" l="1"/>
  <c r="B333" i="1"/>
  <c r="F333" i="1"/>
  <c r="A333" i="1"/>
  <c r="L333" i="1" s="1"/>
  <c r="G333" i="1" s="1"/>
  <c r="I333" i="1" l="1"/>
  <c r="J333" i="1"/>
  <c r="K333" i="1" s="1"/>
  <c r="P333" i="1"/>
  <c r="M333" i="1" s="1"/>
  <c r="H333" i="1"/>
  <c r="V333" i="1"/>
  <c r="D333" i="1"/>
  <c r="N333" i="1"/>
  <c r="F334" i="1" l="1"/>
  <c r="R334" i="1"/>
  <c r="B334" i="1"/>
  <c r="A334" i="1"/>
  <c r="L334" i="1" s="1"/>
  <c r="G334" i="1" s="1"/>
  <c r="H334" i="1" l="1"/>
  <c r="P334" i="1"/>
  <c r="M334" i="1" s="1"/>
  <c r="V334" i="1"/>
  <c r="I334" i="1"/>
  <c r="J334" i="1"/>
  <c r="K334" i="1" s="1"/>
  <c r="D334" i="1"/>
  <c r="N334" i="1"/>
  <c r="B335" i="1" l="1"/>
  <c r="L335" i="1"/>
  <c r="R335" i="1"/>
  <c r="A335" i="1"/>
  <c r="F335" i="1"/>
  <c r="G335" i="1" l="1"/>
  <c r="P335" i="1"/>
  <c r="M335" i="1" s="1"/>
  <c r="V335" i="1"/>
  <c r="H335" i="1" l="1"/>
  <c r="D335" i="1"/>
  <c r="N335" i="1"/>
  <c r="I335" i="1"/>
  <c r="J335" i="1"/>
  <c r="K335" i="1" s="1"/>
  <c r="A336" i="1" l="1"/>
  <c r="F336" i="1"/>
  <c r="B336" i="1"/>
  <c r="R336" i="1"/>
  <c r="L336" i="1" l="1"/>
  <c r="G336" i="1" l="1"/>
  <c r="V336" i="1"/>
  <c r="P336" i="1"/>
  <c r="J336" i="1" l="1"/>
  <c r="K336" i="1" s="1"/>
  <c r="D336" i="1"/>
  <c r="N336" i="1"/>
  <c r="I336" i="1"/>
  <c r="H336" i="1"/>
  <c r="M336" i="1"/>
  <c r="R337" i="1" l="1"/>
  <c r="A337" i="1"/>
  <c r="L337" i="1" s="1"/>
  <c r="B337" i="1"/>
  <c r="F337" i="1"/>
  <c r="G337" i="1" l="1"/>
  <c r="V337" i="1"/>
  <c r="P337" i="1"/>
  <c r="M337" i="1" s="1"/>
  <c r="H337" i="1" l="1"/>
  <c r="D337" i="1"/>
  <c r="J337" i="1"/>
  <c r="K337" i="1" s="1"/>
  <c r="I337" i="1"/>
  <c r="N337" i="1"/>
  <c r="B338" i="1" l="1"/>
  <c r="R338" i="1"/>
  <c r="A338" i="1"/>
  <c r="L338" i="1" s="1"/>
  <c r="F338" i="1"/>
  <c r="G338" i="1" l="1"/>
  <c r="P338" i="1"/>
  <c r="M338" i="1" s="1"/>
  <c r="V338" i="1"/>
  <c r="I338" i="1" l="1"/>
  <c r="J338" i="1"/>
  <c r="K338" i="1" s="1"/>
  <c r="N338" i="1"/>
  <c r="D338" i="1"/>
  <c r="K14" i="5" s="1"/>
  <c r="H338" i="1"/>
  <c r="B339" i="1" l="1"/>
  <c r="A339" i="1"/>
  <c r="L339" i="1" s="1"/>
  <c r="F339" i="1"/>
  <c r="G339" i="1" s="1"/>
  <c r="R339" i="1"/>
  <c r="H339" i="1" l="1"/>
  <c r="V339" i="1"/>
  <c r="P339" i="1"/>
  <c r="M339" i="1" s="1"/>
  <c r="I339" i="1"/>
  <c r="J339" i="1"/>
  <c r="K339" i="1" s="1"/>
  <c r="D339" i="1"/>
  <c r="K15" i="5" s="1"/>
  <c r="N339" i="1"/>
  <c r="B340" i="1" l="1"/>
  <c r="R340" i="1"/>
  <c r="F340" i="1"/>
  <c r="A340" i="1"/>
  <c r="L340" i="1" s="1"/>
  <c r="G340" i="1" l="1"/>
  <c r="H340" i="1"/>
  <c r="V340" i="1"/>
  <c r="P340" i="1"/>
  <c r="M340" i="1" l="1"/>
  <c r="N340" i="1"/>
  <c r="I340" i="1"/>
  <c r="D340" i="1"/>
  <c r="J340" i="1"/>
  <c r="K340" i="1" s="1"/>
  <c r="B341" i="1" l="1"/>
  <c r="R341" i="1"/>
  <c r="F341" i="1"/>
  <c r="A341" i="1"/>
  <c r="L341" i="1"/>
  <c r="P341" i="1" s="1"/>
  <c r="G341" i="1"/>
  <c r="V341" i="1"/>
  <c r="I341" i="1" l="1"/>
  <c r="N341" i="1"/>
  <c r="J341" i="1"/>
  <c r="K341" i="1" s="1"/>
  <c r="D341" i="1"/>
  <c r="H341" i="1"/>
  <c r="M341" i="1"/>
  <c r="B342" i="1" l="1"/>
  <c r="A342" i="1"/>
  <c r="L342" i="1" s="1"/>
  <c r="R342" i="1"/>
  <c r="F342" i="1"/>
  <c r="P342" i="1" l="1"/>
  <c r="V342" i="1"/>
  <c r="G342" i="1"/>
  <c r="H342" i="1" s="1"/>
  <c r="N342" i="1" l="1"/>
  <c r="D342" i="1"/>
  <c r="I342" i="1"/>
  <c r="J342" i="1"/>
  <c r="K342" i="1" s="1"/>
  <c r="M342" i="1"/>
  <c r="R343" i="1" l="1"/>
  <c r="F343" i="1"/>
  <c r="B343" i="1"/>
  <c r="A343" i="1"/>
  <c r="L343" i="1" s="1"/>
  <c r="G343" i="1" s="1"/>
  <c r="I343" i="1" l="1"/>
  <c r="J343" i="1"/>
  <c r="K343" i="1" s="1"/>
  <c r="P343" i="1"/>
  <c r="M343" i="1" s="1"/>
  <c r="H343" i="1"/>
  <c r="V343" i="1"/>
  <c r="N343" i="1"/>
  <c r="D343" i="1"/>
  <c r="F344" i="1" l="1"/>
  <c r="B344" i="1"/>
  <c r="A344" i="1"/>
  <c r="L344" i="1" s="1"/>
  <c r="R344" i="1"/>
  <c r="P344" i="1" l="1"/>
  <c r="V344" i="1"/>
  <c r="G344" i="1"/>
  <c r="D344" i="1"/>
  <c r="H344" i="1"/>
  <c r="I344" i="1" l="1"/>
  <c r="N344" i="1"/>
  <c r="J344" i="1"/>
  <c r="K344" i="1" s="1"/>
  <c r="M344" i="1"/>
  <c r="F345" i="1" l="1"/>
  <c r="R345" i="1"/>
  <c r="B345" i="1"/>
  <c r="A345" i="1"/>
  <c r="L345" i="1" s="1"/>
  <c r="G345" i="1" s="1"/>
  <c r="V345" i="1" l="1"/>
  <c r="P345" i="1"/>
  <c r="M345" i="1" s="1"/>
  <c r="N345" i="1"/>
  <c r="D345" i="1"/>
  <c r="J345" i="1"/>
  <c r="K345" i="1" s="1"/>
  <c r="I345" i="1"/>
  <c r="H345" i="1"/>
  <c r="A346" i="1" l="1"/>
  <c r="B346" i="1"/>
  <c r="R346" i="1"/>
  <c r="F346" i="1"/>
  <c r="L346" i="1" l="1"/>
  <c r="G346" i="1" l="1"/>
  <c r="P346" i="1"/>
  <c r="M346" i="1" s="1"/>
  <c r="V346" i="1"/>
  <c r="D346" i="1" l="1"/>
  <c r="J346" i="1"/>
  <c r="K346" i="1" s="1"/>
  <c r="I346" i="1"/>
  <c r="N346" i="1"/>
  <c r="H346" i="1"/>
  <c r="F347" i="1" l="1"/>
  <c r="R347" i="1"/>
  <c r="A347" i="1"/>
  <c r="B347" i="1"/>
  <c r="L347" i="1" l="1"/>
  <c r="P347" i="1" l="1"/>
  <c r="V347" i="1"/>
  <c r="G347" i="1"/>
  <c r="D347" i="1"/>
  <c r="N347" i="1" l="1"/>
  <c r="I347" i="1"/>
  <c r="H347" i="1"/>
  <c r="M347" i="1"/>
  <c r="J347" i="1"/>
  <c r="K347" i="1" s="1"/>
  <c r="A348" i="1"/>
  <c r="B348" i="1"/>
  <c r="F348" i="1" l="1"/>
  <c r="R348" i="1"/>
  <c r="L348" i="1"/>
  <c r="G348" i="1" l="1"/>
  <c r="H348" i="1" s="1"/>
  <c r="V348" i="1"/>
  <c r="P348" i="1"/>
  <c r="N348" i="1" l="1"/>
  <c r="D348" i="1"/>
  <c r="I348" i="1"/>
  <c r="J348" i="1"/>
  <c r="K348" i="1" s="1"/>
  <c r="M348" i="1"/>
  <c r="A349" i="1" l="1"/>
  <c r="R349" i="1"/>
  <c r="B349" i="1"/>
  <c r="F349" i="1"/>
  <c r="L349" i="1"/>
  <c r="G349" i="1" s="1"/>
  <c r="I349" i="1" l="1"/>
  <c r="J349" i="1"/>
  <c r="K349" i="1" s="1"/>
  <c r="H349" i="1"/>
  <c r="V349" i="1"/>
  <c r="P349" i="1"/>
  <c r="M349" i="1" s="1"/>
  <c r="D349" i="1"/>
  <c r="N349" i="1"/>
  <c r="F350" i="1" l="1"/>
  <c r="R350" i="1"/>
  <c r="B350" i="1"/>
  <c r="A350" i="1"/>
  <c r="L350" i="1" s="1"/>
  <c r="G350" i="1" s="1"/>
  <c r="V350" i="1" l="1"/>
  <c r="P350" i="1"/>
  <c r="M350" i="1" s="1"/>
  <c r="J350" i="1"/>
  <c r="K350" i="1" s="1"/>
  <c r="I350" i="1"/>
  <c r="D350" i="1"/>
  <c r="N350" i="1"/>
  <c r="H350" i="1"/>
  <c r="A351" i="1" l="1"/>
  <c r="B351" i="1"/>
  <c r="F351" i="1"/>
  <c r="R351" i="1"/>
  <c r="L351" i="1" l="1"/>
  <c r="V351" i="1" l="1"/>
  <c r="P351" i="1"/>
  <c r="G351" i="1"/>
  <c r="H351" i="1"/>
  <c r="J351" i="1" l="1"/>
  <c r="K351" i="1" s="1"/>
  <c r="D351" i="1"/>
  <c r="M351" i="1"/>
  <c r="I351" i="1"/>
  <c r="N351" i="1"/>
  <c r="R352" i="1" l="1"/>
  <c r="B352" i="1"/>
  <c r="A352" i="1"/>
  <c r="L352" i="1" s="1"/>
  <c r="F352" i="1"/>
  <c r="V352" i="1" l="1"/>
  <c r="P352" i="1"/>
  <c r="G352" i="1"/>
  <c r="D352" i="1"/>
  <c r="H352" i="1" l="1"/>
  <c r="J352" i="1"/>
  <c r="K352" i="1" s="1"/>
  <c r="I352" i="1"/>
  <c r="N352" i="1"/>
  <c r="F353" i="1" s="1"/>
  <c r="M352" i="1"/>
  <c r="B353" i="1" l="1"/>
  <c r="R353" i="1"/>
  <c r="A353" i="1"/>
  <c r="L353" i="1" s="1"/>
  <c r="G353" i="1" s="1"/>
  <c r="H353" i="1" l="1"/>
  <c r="V353" i="1"/>
  <c r="P353" i="1"/>
  <c r="M353" i="1" s="1"/>
  <c r="D353" i="1"/>
  <c r="N353" i="1"/>
  <c r="I353" i="1"/>
  <c r="J353" i="1"/>
  <c r="K353" i="1" s="1"/>
  <c r="B354" i="1" l="1"/>
  <c r="A354" i="1"/>
  <c r="R354" i="1"/>
  <c r="F354" i="1"/>
  <c r="L354" i="1" l="1"/>
  <c r="G354" i="1" l="1"/>
  <c r="P354" i="1"/>
  <c r="H354" i="1"/>
  <c r="V354" i="1"/>
  <c r="M354" i="1" l="1"/>
  <c r="N354" i="1"/>
  <c r="D354" i="1"/>
  <c r="I354" i="1"/>
  <c r="J354" i="1"/>
  <c r="K354" i="1" s="1"/>
  <c r="F355" i="1" l="1"/>
  <c r="B355" i="1"/>
  <c r="R355" i="1"/>
  <c r="A355" i="1"/>
  <c r="L355" i="1" l="1"/>
  <c r="G355" i="1" l="1"/>
  <c r="V355" i="1"/>
  <c r="H355" i="1"/>
  <c r="P355" i="1"/>
  <c r="M355" i="1" l="1"/>
  <c r="D355" i="1"/>
  <c r="J355" i="1"/>
  <c r="K355" i="1" s="1"/>
  <c r="I355" i="1"/>
  <c r="N355" i="1"/>
  <c r="F356" i="1" l="1"/>
  <c r="B356" i="1"/>
  <c r="R356" i="1"/>
  <c r="A356" i="1"/>
  <c r="L356" i="1" s="1"/>
  <c r="G356" i="1" l="1"/>
  <c r="V356" i="1"/>
  <c r="P356" i="1"/>
  <c r="M356" i="1" s="1"/>
  <c r="J356" i="1" l="1"/>
  <c r="K356" i="1" s="1"/>
  <c r="H356" i="1"/>
  <c r="D356" i="1"/>
  <c r="N356" i="1"/>
  <c r="I356" i="1"/>
  <c r="R357" i="1" l="1"/>
  <c r="F357" i="1"/>
  <c r="A357" i="1"/>
  <c r="B357" i="1"/>
  <c r="L357" i="1" l="1"/>
  <c r="G357" i="1" l="1"/>
  <c r="H357" i="1"/>
  <c r="V357" i="1"/>
  <c r="P357" i="1"/>
  <c r="M357" i="1" s="1"/>
  <c r="D357" i="1" l="1"/>
  <c r="J357" i="1"/>
  <c r="K357" i="1" s="1"/>
  <c r="N357" i="1"/>
  <c r="I357" i="1"/>
  <c r="L358" i="1" l="1"/>
  <c r="R358" i="1"/>
  <c r="A358" i="1"/>
  <c r="F358" i="1"/>
  <c r="B358" i="1"/>
  <c r="P358" i="1" l="1"/>
  <c r="V358" i="1"/>
  <c r="G358" i="1"/>
  <c r="H358" i="1" s="1"/>
  <c r="N358" i="1" l="1"/>
  <c r="J358" i="1"/>
  <c r="K358" i="1" s="1"/>
  <c r="D358" i="1"/>
  <c r="I358" i="1"/>
  <c r="M358" i="1"/>
  <c r="F359" i="1" l="1"/>
  <c r="A359" i="1"/>
  <c r="B359" i="1"/>
  <c r="L359" i="1" s="1"/>
  <c r="G359" i="1" s="1"/>
  <c r="R359" i="1"/>
  <c r="V359" i="1" l="1"/>
  <c r="P359" i="1"/>
  <c r="M359" i="1" s="1"/>
  <c r="H359" i="1"/>
  <c r="J359" i="1"/>
  <c r="K359" i="1" s="1"/>
  <c r="I359" i="1"/>
  <c r="N359" i="1"/>
  <c r="D359" i="1"/>
  <c r="A360" i="1" l="1"/>
  <c r="F360" i="1"/>
  <c r="B360" i="1"/>
  <c r="R360" i="1"/>
  <c r="L360" i="1"/>
  <c r="G360" i="1" s="1"/>
  <c r="N360" i="1" s="1"/>
  <c r="D360" i="1" l="1"/>
  <c r="J360" i="1"/>
  <c r="K360" i="1" s="1"/>
  <c r="I360" i="1"/>
  <c r="P360" i="1"/>
  <c r="M360" i="1" s="1"/>
  <c r="V360" i="1"/>
  <c r="H360" i="1"/>
  <c r="F361" i="1"/>
  <c r="R361" i="1"/>
  <c r="B361" i="1"/>
  <c r="A361" i="1"/>
  <c r="L361" i="1" l="1"/>
  <c r="V361" i="1" s="1"/>
  <c r="G361" i="1"/>
  <c r="P361" i="1" l="1"/>
  <c r="M361" i="1" s="1"/>
  <c r="H361" i="1"/>
  <c r="I361" i="1"/>
  <c r="J361" i="1"/>
  <c r="K361" i="1" s="1"/>
  <c r="N361" i="1"/>
  <c r="D361" i="1"/>
  <c r="B362" i="1" l="1"/>
  <c r="A362" i="1"/>
  <c r="L362" i="1" s="1"/>
  <c r="F362" i="1"/>
  <c r="R362" i="1"/>
  <c r="P362" i="1" l="1"/>
  <c r="V362" i="1"/>
  <c r="G362" i="1"/>
  <c r="D362" i="1"/>
  <c r="M362" i="1" l="1"/>
  <c r="H362" i="1"/>
  <c r="N362" i="1"/>
  <c r="J362" i="1"/>
  <c r="K362" i="1" s="1"/>
  <c r="I362" i="1"/>
  <c r="A363" i="1" l="1"/>
  <c r="L363" i="1" s="1"/>
  <c r="B363" i="1"/>
  <c r="R363" i="1"/>
  <c r="F363" i="1"/>
  <c r="G363" i="1"/>
  <c r="P363" i="1" l="1"/>
  <c r="M363" i="1" s="1"/>
  <c r="V363" i="1"/>
  <c r="J363" i="1"/>
  <c r="K363" i="1" s="1"/>
  <c r="D363" i="1"/>
  <c r="N363" i="1"/>
  <c r="I363" i="1"/>
  <c r="H363" i="1"/>
  <c r="F364" i="1" l="1"/>
  <c r="B364" i="1"/>
  <c r="R364" i="1"/>
  <c r="A364" i="1"/>
  <c r="L364" i="1" s="1"/>
  <c r="G364" i="1" l="1"/>
  <c r="P364" i="1"/>
  <c r="M364" i="1" s="1"/>
  <c r="H364" i="1"/>
  <c r="V364" i="1"/>
  <c r="N364" i="1" l="1"/>
  <c r="D364" i="1"/>
  <c r="J364" i="1"/>
  <c r="K364" i="1" s="1"/>
  <c r="I364" i="1"/>
  <c r="B365" i="1" l="1"/>
  <c r="F365" i="1"/>
  <c r="R365" i="1"/>
  <c r="A365" i="1"/>
  <c r="L365" i="1" l="1"/>
  <c r="G365" i="1" l="1"/>
  <c r="H365" i="1"/>
  <c r="P365" i="1"/>
  <c r="M365" i="1" s="1"/>
  <c r="V365" i="1"/>
  <c r="I365" i="1" l="1"/>
  <c r="N365" i="1"/>
  <c r="D365" i="1"/>
  <c r="J365" i="1"/>
  <c r="K365" i="1" s="1"/>
  <c r="B366" i="1" l="1"/>
  <c r="F366" i="1"/>
  <c r="A366" i="1"/>
  <c r="L366" i="1" s="1"/>
  <c r="R366" i="1"/>
  <c r="G366" i="1" l="1"/>
  <c r="V366" i="1"/>
  <c r="P366" i="1"/>
  <c r="H366" i="1"/>
  <c r="M366" i="1" l="1"/>
  <c r="J366" i="1"/>
  <c r="K366" i="1" s="1"/>
  <c r="I366" i="1"/>
  <c r="N366" i="1"/>
  <c r="D366" i="1"/>
  <c r="A367" i="1" l="1"/>
  <c r="B367" i="1"/>
  <c r="R367" i="1"/>
  <c r="F367" i="1"/>
  <c r="L367" i="1" l="1"/>
  <c r="V367" i="1" l="1"/>
  <c r="P367" i="1"/>
  <c r="G367" i="1"/>
  <c r="H367" i="1" s="1"/>
  <c r="M367" i="1" l="1"/>
  <c r="J367" i="1"/>
  <c r="K367" i="1" s="1"/>
  <c r="N367" i="1"/>
  <c r="I367" i="1"/>
  <c r="D367" i="1"/>
  <c r="R368" i="1" l="1"/>
  <c r="F368" i="1"/>
  <c r="B368" i="1"/>
  <c r="A368" i="1"/>
  <c r="L368" i="1" s="1"/>
  <c r="G368" i="1" s="1"/>
  <c r="J368" i="1" l="1"/>
  <c r="K368" i="1" s="1"/>
  <c r="I368" i="1"/>
  <c r="P368" i="1"/>
  <c r="M368" i="1" s="1"/>
  <c r="H368" i="1"/>
  <c r="V368" i="1"/>
  <c r="N368" i="1"/>
  <c r="D368" i="1"/>
  <c r="A369" i="1" l="1"/>
  <c r="R369" i="1"/>
  <c r="F369" i="1"/>
  <c r="B369" i="1"/>
  <c r="L369" i="1" l="1"/>
  <c r="P369" i="1" l="1"/>
  <c r="V369" i="1"/>
  <c r="G369" i="1"/>
  <c r="H369" i="1" s="1"/>
  <c r="N369" i="1" l="1"/>
  <c r="J369" i="1"/>
  <c r="K369" i="1" s="1"/>
  <c r="I369" i="1"/>
  <c r="D369" i="1"/>
  <c r="M369" i="1"/>
  <c r="A370" i="1" l="1"/>
  <c r="L370" i="1" s="1"/>
  <c r="G370" i="1" s="1"/>
  <c r="R370" i="1"/>
  <c r="F370" i="1"/>
  <c r="B370" i="1"/>
  <c r="I370" i="1" l="1"/>
  <c r="J370" i="1"/>
  <c r="K370" i="1" s="1"/>
  <c r="V370" i="1"/>
  <c r="P370" i="1"/>
  <c r="M370" i="1" s="1"/>
  <c r="H370" i="1"/>
  <c r="N370" i="1"/>
  <c r="D370" i="1"/>
  <c r="R371" i="1" l="1"/>
  <c r="A371" i="1"/>
  <c r="L371" i="1" s="1"/>
  <c r="G371" i="1" s="1"/>
  <c r="B371" i="1"/>
  <c r="F371" i="1"/>
  <c r="V371" i="1" l="1"/>
  <c r="H371" i="1"/>
  <c r="P371" i="1"/>
  <c r="M371" i="1" s="1"/>
  <c r="J371" i="1"/>
  <c r="K371" i="1" s="1"/>
  <c r="I371" i="1"/>
  <c r="N371" i="1"/>
  <c r="D371" i="1"/>
  <c r="A372" i="1" l="1"/>
  <c r="F372" i="1"/>
  <c r="R372" i="1"/>
  <c r="B372" i="1"/>
  <c r="L372" i="1" l="1"/>
  <c r="P372" i="1" l="1"/>
  <c r="V372" i="1"/>
  <c r="G372" i="1"/>
  <c r="H372" i="1" s="1"/>
  <c r="J372" i="1" l="1"/>
  <c r="K372" i="1" s="1"/>
  <c r="I372" i="1"/>
  <c r="N372" i="1"/>
  <c r="D372" i="1"/>
  <c r="M372" i="1"/>
  <c r="A373" i="1" l="1"/>
  <c r="L373" i="1" s="1"/>
  <c r="G373" i="1" s="1"/>
  <c r="D373" i="1" s="1"/>
  <c r="R373" i="1"/>
  <c r="F373" i="1"/>
  <c r="B373" i="1"/>
  <c r="I373" i="1" l="1"/>
  <c r="J373" i="1"/>
  <c r="K373" i="1" s="1"/>
  <c r="N373" i="1"/>
  <c r="P373" i="1"/>
  <c r="M373" i="1" s="1"/>
  <c r="V373" i="1"/>
  <c r="H373" i="1"/>
  <c r="A374" i="1" l="1"/>
  <c r="L374" i="1" s="1"/>
  <c r="G374" i="1" s="1"/>
  <c r="R374" i="1"/>
  <c r="B374" i="1"/>
  <c r="F374" i="1"/>
  <c r="H374" i="1" l="1"/>
  <c r="V374" i="1"/>
  <c r="P374" i="1"/>
  <c r="M374" i="1" s="1"/>
  <c r="I374" i="1"/>
  <c r="J374" i="1"/>
  <c r="K374" i="1" s="1"/>
  <c r="N374" i="1"/>
  <c r="D374" i="1"/>
  <c r="G375" i="1" l="1"/>
  <c r="N375" i="1" s="1"/>
  <c r="F375" i="1"/>
  <c r="R375" i="1"/>
  <c r="B375" i="1"/>
  <c r="A375" i="1"/>
  <c r="D375" i="1"/>
  <c r="L375" i="1"/>
  <c r="I375" i="1" l="1"/>
  <c r="J375" i="1"/>
  <c r="K375" i="1" s="1"/>
  <c r="G376" i="1"/>
  <c r="N376" i="1" s="1"/>
  <c r="D376" i="1"/>
  <c r="B376" i="1"/>
  <c r="F376" i="1"/>
  <c r="R376" i="1"/>
  <c r="A376" i="1"/>
  <c r="V375" i="1"/>
  <c r="P375" i="1"/>
  <c r="H375" i="1"/>
  <c r="G377" i="1" l="1"/>
  <c r="N377" i="1" s="1"/>
  <c r="B377" i="1"/>
  <c r="R377" i="1"/>
  <c r="F377" i="1"/>
  <c r="A377" i="1"/>
  <c r="D377" i="1"/>
  <c r="J376" i="1"/>
  <c r="M375" i="1"/>
  <c r="L376" i="1"/>
  <c r="I376" i="1" s="1"/>
  <c r="K376" i="1" l="1"/>
  <c r="J377" i="1"/>
  <c r="V376" i="1"/>
  <c r="H376" i="1"/>
  <c r="P376" i="1"/>
  <c r="G378" i="1"/>
  <c r="A378" i="1"/>
  <c r="F378" i="1"/>
  <c r="B378" i="1"/>
  <c r="R378" i="1"/>
  <c r="N378" i="1"/>
  <c r="D378" i="1"/>
  <c r="L377" i="1" l="1"/>
  <c r="M376" i="1"/>
  <c r="J378" i="1"/>
  <c r="B379" i="1"/>
  <c r="F379" i="1"/>
  <c r="A379" i="1"/>
  <c r="R379" i="1"/>
  <c r="G379" i="1"/>
  <c r="K377" i="1" l="1"/>
  <c r="I377" i="1"/>
  <c r="P377" i="1"/>
  <c r="V377" i="1"/>
  <c r="H377" i="1"/>
  <c r="N379" i="1"/>
  <c r="D379" i="1"/>
  <c r="J379" i="1"/>
  <c r="L378" i="1" l="1"/>
  <c r="M377" i="1"/>
  <c r="A380" i="1"/>
  <c r="B380" i="1"/>
  <c r="F380" i="1"/>
  <c r="R380" i="1"/>
  <c r="I378" i="1" l="1"/>
  <c r="K378" i="1"/>
  <c r="V378" i="1"/>
  <c r="P378" i="1"/>
  <c r="H378" i="1"/>
  <c r="D380" i="1"/>
  <c r="L379" i="1" l="1"/>
  <c r="M378" i="1"/>
  <c r="P379" i="1" l="1"/>
  <c r="K379" i="1"/>
  <c r="I379" i="1"/>
  <c r="V379" i="1"/>
  <c r="H379" i="1"/>
  <c r="L380" i="1" l="1"/>
  <c r="M379" i="1"/>
  <c r="P380" i="1" l="1"/>
  <c r="V380" i="1"/>
  <c r="H380" i="1"/>
  <c r="G380" i="1"/>
  <c r="M380" i="1" l="1"/>
  <c r="J380" i="1"/>
  <c r="K380" i="1" s="1"/>
  <c r="I380" i="1"/>
  <c r="N380" i="1"/>
  <c r="D381" i="1" l="1"/>
  <c r="B381" i="1"/>
  <c r="R381" i="1"/>
  <c r="F381" i="1"/>
  <c r="L381" i="1"/>
  <c r="A381" i="1"/>
  <c r="H381" i="1" l="1"/>
  <c r="P381" i="1"/>
  <c r="V381" i="1"/>
  <c r="G381" i="1"/>
  <c r="N381" i="1" l="1"/>
  <c r="J381" i="1"/>
  <c r="K381" i="1" s="1"/>
  <c r="I381" i="1"/>
  <c r="M381" i="1"/>
  <c r="F382" i="1" l="1"/>
  <c r="B382" i="1"/>
  <c r="R382" i="1"/>
  <c r="A382" i="1"/>
  <c r="L382" i="1"/>
  <c r="G382" i="1"/>
  <c r="N382" i="1" s="1"/>
  <c r="D382" i="1"/>
  <c r="H382" i="1" l="1"/>
  <c r="V382" i="1"/>
  <c r="P382" i="1"/>
  <c r="M382" i="1" s="1"/>
  <c r="I382" i="1"/>
  <c r="J382" i="1"/>
  <c r="K382" i="1" s="1"/>
  <c r="G383" i="1"/>
  <c r="N383" i="1" s="1"/>
  <c r="R383" i="1"/>
  <c r="A383" i="1"/>
  <c r="B383" i="1"/>
  <c r="F383" i="1"/>
  <c r="D383" i="1"/>
  <c r="J383" i="1" l="1"/>
  <c r="L383" i="1"/>
  <c r="A384" i="1"/>
  <c r="R384" i="1"/>
  <c r="B384" i="1"/>
  <c r="F384" i="1"/>
  <c r="G384" i="1"/>
  <c r="P383" i="1" l="1"/>
  <c r="V383" i="1"/>
  <c r="K383" i="1"/>
  <c r="I383" i="1"/>
  <c r="H383" i="1"/>
  <c r="N384" i="1"/>
  <c r="D384" i="1"/>
  <c r="J384" i="1"/>
  <c r="L384" i="1" l="1"/>
  <c r="M383" i="1"/>
  <c r="A385" i="1"/>
  <c r="F385" i="1"/>
  <c r="B385" i="1"/>
  <c r="R385" i="1"/>
  <c r="H384" i="1" l="1"/>
  <c r="K384" i="1"/>
  <c r="I384" i="1"/>
  <c r="P384" i="1"/>
  <c r="V384" i="1"/>
  <c r="G385" i="1"/>
  <c r="F15" i="5"/>
  <c r="F14" i="5"/>
  <c r="F12" i="5"/>
  <c r="E15" i="5"/>
  <c r="E14" i="5"/>
  <c r="E12" i="5"/>
  <c r="I15" i="5"/>
  <c r="I14" i="5"/>
  <c r="I12" i="5"/>
  <c r="L385" i="1" l="1"/>
  <c r="M384" i="1"/>
  <c r="H385" i="1"/>
  <c r="I385" i="1"/>
  <c r="J385" i="1"/>
  <c r="K385" i="1" s="1"/>
  <c r="N385" i="1"/>
  <c r="D385" i="1"/>
  <c r="G15" i="5"/>
  <c r="G14" i="5"/>
  <c r="G12" i="5"/>
  <c r="E17" i="5"/>
  <c r="F17" i="5"/>
  <c r="V385" i="1" l="1"/>
  <c r="P385" i="1"/>
  <c r="R386" i="1"/>
  <c r="B386" i="1"/>
  <c r="A386" i="1"/>
  <c r="F386" i="1"/>
  <c r="G17" i="5"/>
  <c r="M385" i="1" l="1"/>
  <c r="L386" i="1"/>
  <c r="D386" i="1"/>
  <c r="G386" i="1" l="1"/>
  <c r="N386" i="1" s="1"/>
  <c r="H386" i="1"/>
  <c r="V386" i="1"/>
  <c r="P386" i="1"/>
  <c r="M386" i="1" s="1"/>
  <c r="I386" i="1"/>
  <c r="J386" i="1"/>
  <c r="K386" i="1" s="1"/>
  <c r="B387" i="1" l="1"/>
  <c r="A387" i="1"/>
  <c r="L387" i="1" s="1"/>
  <c r="F387" i="1"/>
  <c r="R387" i="1"/>
  <c r="G387" i="1"/>
  <c r="H387" i="1"/>
  <c r="V387" i="1"/>
  <c r="P387" i="1"/>
  <c r="M387" i="1" s="1"/>
  <c r="J387" i="1"/>
  <c r="K387" i="1" s="1"/>
  <c r="D387" i="1"/>
  <c r="I387" i="1" l="1"/>
  <c r="N387" i="1"/>
  <c r="A388" i="1" l="1"/>
  <c r="L388" i="1" s="1"/>
  <c r="G388" i="1" s="1"/>
  <c r="N388" i="1" s="1"/>
  <c r="R388" i="1"/>
  <c r="F388" i="1"/>
  <c r="B388" i="1"/>
  <c r="V388" i="1"/>
  <c r="P388" i="1"/>
  <c r="M388" i="1" s="1"/>
  <c r="H388" i="1"/>
  <c r="I388" i="1"/>
  <c r="J388" i="1"/>
  <c r="K388" i="1" s="1"/>
  <c r="D388" i="1"/>
  <c r="B389" i="1" l="1"/>
  <c r="R389" i="1"/>
  <c r="F389" i="1"/>
  <c r="A389" i="1"/>
  <c r="L389" i="1"/>
  <c r="G389" i="1" s="1"/>
  <c r="N389" i="1" s="1"/>
  <c r="H389" i="1" l="1"/>
  <c r="V389" i="1"/>
  <c r="P389" i="1"/>
  <c r="M389" i="1" s="1"/>
  <c r="A390" i="1"/>
  <c r="B390" i="1"/>
  <c r="F390" i="1"/>
  <c r="R390" i="1"/>
  <c r="J389" i="1"/>
  <c r="K389" i="1" s="1"/>
  <c r="D389" i="1"/>
  <c r="I389" i="1"/>
  <c r="L390" i="1" l="1"/>
  <c r="V390" i="1" l="1"/>
  <c r="P390" i="1"/>
  <c r="G390" i="1"/>
  <c r="H390" i="1" s="1"/>
  <c r="N390" i="1" l="1"/>
  <c r="D390" i="1"/>
  <c r="J390" i="1"/>
  <c r="K390" i="1" s="1"/>
  <c r="I390" i="1"/>
  <c r="M390" i="1"/>
  <c r="A391" i="1" l="1"/>
  <c r="R391" i="1"/>
  <c r="F391" i="1"/>
  <c r="B391" i="1"/>
  <c r="L391" i="1" s="1"/>
  <c r="G391" i="1" l="1"/>
  <c r="H391" i="1" s="1"/>
  <c r="V391" i="1"/>
  <c r="P391" i="1"/>
  <c r="M391" i="1" l="1"/>
  <c r="I391" i="1"/>
  <c r="J391" i="1"/>
  <c r="K391" i="1" s="1"/>
  <c r="N391" i="1"/>
  <c r="D391" i="1"/>
  <c r="F392" i="1" l="1"/>
  <c r="R392" i="1"/>
  <c r="A392" i="1"/>
  <c r="B392" i="1"/>
  <c r="L392" i="1" s="1"/>
  <c r="G392" i="1" s="1"/>
  <c r="J392" i="1" l="1"/>
  <c r="K392" i="1" s="1"/>
  <c r="I392" i="1"/>
  <c r="V392" i="1"/>
  <c r="H392" i="1"/>
  <c r="P392" i="1"/>
  <c r="M392" i="1" s="1"/>
  <c r="D392" i="1"/>
  <c r="N392" i="1"/>
  <c r="F393" i="1" l="1"/>
  <c r="B393" i="1"/>
  <c r="R393" i="1"/>
  <c r="A393" i="1"/>
  <c r="L393" i="1" s="1"/>
  <c r="G393" i="1" l="1"/>
  <c r="J393" i="1" s="1"/>
  <c r="K393" i="1" s="1"/>
  <c r="V393" i="1"/>
  <c r="P393" i="1"/>
  <c r="M393" i="1" s="1"/>
  <c r="I393" i="1" l="1"/>
  <c r="N393" i="1"/>
  <c r="H393" i="1"/>
  <c r="D393" i="1"/>
  <c r="F394" i="1" l="1"/>
  <c r="R394" i="1"/>
  <c r="B394" i="1"/>
  <c r="A394" i="1"/>
  <c r="L394" i="1"/>
  <c r="G394" i="1" l="1"/>
  <c r="H394" i="1" s="1"/>
  <c r="P394" i="1"/>
  <c r="V394" i="1"/>
  <c r="M394" i="1" l="1"/>
  <c r="D394" i="1"/>
  <c r="N394" i="1"/>
  <c r="I394" i="1"/>
  <c r="J394" i="1"/>
  <c r="K394" i="1" s="1"/>
  <c r="R395" i="1" l="1"/>
  <c r="F395" i="1"/>
  <c r="A395" i="1"/>
  <c r="B395" i="1"/>
  <c r="L395" i="1" l="1"/>
  <c r="G395" i="1" l="1"/>
  <c r="P395" i="1"/>
  <c r="H395" i="1"/>
  <c r="V395" i="1"/>
  <c r="M395" i="1" l="1"/>
  <c r="N395" i="1"/>
  <c r="D395" i="1"/>
  <c r="J395" i="1"/>
  <c r="K395" i="1" s="1"/>
  <c r="I395" i="1"/>
  <c r="F396" i="1" l="1"/>
  <c r="A396" i="1"/>
  <c r="R396" i="1"/>
  <c r="B396" i="1"/>
  <c r="L396" i="1"/>
  <c r="G396" i="1" s="1"/>
  <c r="H396" i="1" l="1"/>
  <c r="V396" i="1"/>
  <c r="P396" i="1"/>
  <c r="M396" i="1" s="1"/>
  <c r="I396" i="1"/>
  <c r="J396" i="1"/>
  <c r="K396" i="1" s="1"/>
  <c r="D396" i="1"/>
  <c r="N396" i="1"/>
  <c r="R397" i="1" l="1"/>
  <c r="B397" i="1"/>
  <c r="A397" i="1"/>
  <c r="L397" i="1" s="1"/>
  <c r="G397" i="1" s="1"/>
  <c r="F397" i="1"/>
  <c r="H397" i="1" l="1"/>
  <c r="V397" i="1"/>
  <c r="P397" i="1"/>
  <c r="M397" i="1" s="1"/>
  <c r="I397" i="1"/>
  <c r="J397" i="1"/>
  <c r="K397" i="1" s="1"/>
  <c r="D397" i="1"/>
  <c r="N397" i="1"/>
  <c r="A398" i="1" l="1"/>
  <c r="B398" i="1"/>
  <c r="F398" i="1"/>
  <c r="R398" i="1"/>
  <c r="L398" i="1" l="1"/>
  <c r="G398" i="1" l="1"/>
  <c r="H398" i="1" s="1"/>
  <c r="P398" i="1"/>
  <c r="V398" i="1"/>
  <c r="M398" i="1" l="1"/>
  <c r="D398" i="1"/>
  <c r="N398" i="1"/>
  <c r="J398" i="1"/>
  <c r="K398" i="1" s="1"/>
  <c r="I398" i="1"/>
  <c r="B399" i="1" l="1"/>
  <c r="F399" i="1"/>
  <c r="A399" i="1"/>
  <c r="R399" i="1"/>
  <c r="L399" i="1" l="1"/>
  <c r="P399" i="1" s="1"/>
  <c r="G399" i="1" l="1"/>
  <c r="M399" i="1" s="1"/>
  <c r="V399" i="1"/>
  <c r="D399" i="1" l="1"/>
  <c r="H399" i="1"/>
  <c r="N399" i="1"/>
  <c r="J399" i="1"/>
  <c r="K399" i="1" s="1"/>
  <c r="I399" i="1"/>
  <c r="F400" i="1" l="1"/>
  <c r="R400" i="1"/>
  <c r="A400" i="1"/>
  <c r="L400" i="1" s="1"/>
  <c r="B400" i="1"/>
  <c r="V400" i="1" l="1"/>
  <c r="P400" i="1"/>
  <c r="G400" i="1"/>
  <c r="M400" i="1" l="1"/>
  <c r="H400" i="1"/>
  <c r="D400" i="1"/>
  <c r="N400" i="1"/>
  <c r="I400" i="1"/>
  <c r="J400" i="1"/>
  <c r="K400" i="1" s="1"/>
  <c r="R401" i="1" l="1"/>
  <c r="B401" i="1"/>
  <c r="A401" i="1"/>
  <c r="L401" i="1" s="1"/>
  <c r="F401" i="1"/>
  <c r="P401" i="1" l="1"/>
  <c r="G401" i="1"/>
  <c r="N401" i="1" s="1"/>
  <c r="V401" i="1"/>
  <c r="D401" i="1"/>
  <c r="H401" i="1"/>
  <c r="M401" i="1" l="1"/>
  <c r="I401" i="1"/>
  <c r="J401" i="1"/>
  <c r="K401" i="1" s="1"/>
  <c r="B402" i="1"/>
  <c r="R402" i="1"/>
  <c r="F402" i="1"/>
  <c r="A402" i="1"/>
  <c r="L402" i="1" l="1"/>
  <c r="G402" i="1" l="1"/>
  <c r="V402" i="1"/>
  <c r="P402" i="1"/>
  <c r="M402" i="1" l="1"/>
  <c r="D402" i="1"/>
  <c r="N402" i="1"/>
  <c r="J402" i="1"/>
  <c r="K402" i="1" s="1"/>
  <c r="I402" i="1"/>
  <c r="H402" i="1"/>
  <c r="B403" i="1" l="1"/>
  <c r="R403" i="1"/>
  <c r="F403" i="1"/>
  <c r="A403" i="1"/>
  <c r="L403" i="1" s="1"/>
  <c r="P403" i="1" l="1"/>
  <c r="G403" i="1"/>
  <c r="V403" i="1"/>
  <c r="D403" i="1"/>
  <c r="D14" i="5"/>
  <c r="D15" i="5"/>
  <c r="M403" i="1" l="1"/>
  <c r="H403" i="1"/>
  <c r="J403" i="1"/>
  <c r="K403" i="1" s="1"/>
  <c r="I403" i="1"/>
  <c r="N403" i="1"/>
  <c r="F404" i="1" s="1"/>
  <c r="D17" i="5"/>
  <c r="R404" i="1" l="1"/>
  <c r="A404" i="1"/>
  <c r="B404" i="1"/>
  <c r="L404" i="1"/>
  <c r="G404" i="1" l="1"/>
  <c r="H404" i="1" s="1"/>
  <c r="V404" i="1"/>
  <c r="P404" i="1"/>
  <c r="M404" i="1" l="1"/>
  <c r="N404" i="1"/>
  <c r="D404" i="1"/>
  <c r="J404" i="1"/>
  <c r="K404" i="1" s="1"/>
  <c r="I404" i="1"/>
  <c r="A405" i="1" l="1"/>
  <c r="B405" i="1"/>
  <c r="L405" i="1" s="1"/>
  <c r="G405" i="1" s="1"/>
  <c r="R405" i="1"/>
  <c r="F405" i="1"/>
  <c r="J405" i="1" l="1"/>
  <c r="K405" i="1" s="1"/>
  <c r="I405" i="1"/>
  <c r="H405" i="1"/>
  <c r="V405" i="1"/>
  <c r="P405" i="1"/>
  <c r="M405" i="1" s="1"/>
  <c r="N405" i="1"/>
  <c r="D405" i="1"/>
  <c r="B406" i="1" l="1"/>
  <c r="F406" i="1"/>
  <c r="R406" i="1"/>
  <c r="A406" i="1"/>
  <c r="L406" i="1" l="1"/>
  <c r="P406" i="1" s="1"/>
  <c r="V406" i="1" l="1"/>
  <c r="G406" i="1"/>
  <c r="H406" i="1" l="1"/>
  <c r="D406" i="1"/>
  <c r="N406" i="1"/>
  <c r="I406" i="1"/>
  <c r="J406" i="1"/>
  <c r="K406" i="1" s="1"/>
  <c r="M406" i="1"/>
  <c r="R407" i="1" l="1"/>
  <c r="A407" i="1"/>
  <c r="F407" i="1"/>
  <c r="B407" i="1"/>
  <c r="L407" i="1"/>
  <c r="P407" i="1" l="1"/>
  <c r="V407" i="1"/>
  <c r="G407" i="1"/>
  <c r="H407" i="1" s="1"/>
  <c r="I407" i="1" l="1"/>
  <c r="J407" i="1"/>
  <c r="K407" i="1" s="1"/>
  <c r="D407" i="1"/>
  <c r="N407" i="1"/>
  <c r="M407" i="1"/>
  <c r="A408" i="1" l="1"/>
  <c r="L408" i="1" s="1"/>
  <c r="G408" i="1" s="1"/>
  <c r="R408" i="1"/>
  <c r="B408" i="1"/>
  <c r="F408" i="1"/>
  <c r="H408" i="1" l="1"/>
  <c r="P408" i="1"/>
  <c r="M408" i="1" s="1"/>
  <c r="V408" i="1"/>
  <c r="J408" i="1"/>
  <c r="K408" i="1" s="1"/>
  <c r="I408" i="1"/>
  <c r="N408" i="1"/>
  <c r="D408" i="1"/>
  <c r="A409" i="1" l="1"/>
  <c r="F409" i="1"/>
  <c r="R409" i="1"/>
  <c r="B409" i="1"/>
  <c r="L409" i="1" l="1"/>
  <c r="G409" i="1" l="1"/>
  <c r="P409" i="1"/>
  <c r="M409" i="1" s="1"/>
  <c r="V409" i="1"/>
  <c r="H409" i="1"/>
  <c r="J409" i="1" l="1"/>
  <c r="K409" i="1" s="1"/>
  <c r="I409" i="1"/>
  <c r="D409" i="1"/>
  <c r="N409" i="1"/>
  <c r="R410" i="1" l="1"/>
  <c r="F410" i="1"/>
  <c r="B410" i="1"/>
  <c r="A410" i="1"/>
  <c r="L410" i="1" s="1"/>
  <c r="G410" i="1"/>
  <c r="P410" i="1" l="1"/>
  <c r="M410" i="1" s="1"/>
  <c r="V410" i="1"/>
  <c r="H410" i="1"/>
  <c r="I410" i="1"/>
  <c r="J410" i="1"/>
  <c r="K410" i="1" s="1"/>
  <c r="D410" i="1"/>
  <c r="N410" i="1"/>
  <c r="R411" i="1" l="1"/>
  <c r="B411" i="1"/>
  <c r="F411" i="1"/>
  <c r="A411" i="1"/>
  <c r="L411" i="1" s="1"/>
  <c r="G411" i="1" s="1"/>
  <c r="I411" i="1" l="1"/>
  <c r="J411" i="1"/>
  <c r="K411" i="1" s="1"/>
  <c r="H411" i="1"/>
  <c r="V411" i="1"/>
  <c r="P411" i="1"/>
  <c r="M411" i="1" s="1"/>
  <c r="N411" i="1"/>
  <c r="D411" i="1"/>
  <c r="F412" i="1" l="1"/>
  <c r="A412" i="1"/>
  <c r="R412" i="1"/>
  <c r="B412" i="1"/>
  <c r="L412" i="1" l="1"/>
  <c r="G412" i="1" l="1"/>
  <c r="P412" i="1"/>
  <c r="M412" i="1" s="1"/>
  <c r="V412" i="1"/>
  <c r="D412" i="1" l="1"/>
  <c r="I412" i="1"/>
  <c r="J412" i="1"/>
  <c r="K412" i="1" s="1"/>
  <c r="N412" i="1"/>
  <c r="H412" i="1"/>
  <c r="A413" i="1" l="1"/>
  <c r="F413" i="1"/>
  <c r="R413" i="1"/>
  <c r="B413" i="1"/>
  <c r="L413" i="1" l="1"/>
  <c r="G413" i="1" l="1"/>
  <c r="H413" i="1" s="1"/>
  <c r="V413" i="1"/>
  <c r="P413" i="1"/>
  <c r="M413" i="1" l="1"/>
  <c r="N413" i="1"/>
  <c r="J413" i="1"/>
  <c r="K413" i="1" s="1"/>
  <c r="D413" i="1"/>
  <c r="I413" i="1"/>
  <c r="L414" i="1" l="1"/>
  <c r="A414" i="1"/>
  <c r="B414" i="1"/>
  <c r="F414" i="1"/>
  <c r="R414" i="1"/>
  <c r="V414" i="1" l="1"/>
  <c r="P414" i="1"/>
  <c r="G414" i="1"/>
  <c r="H414" i="1" s="1"/>
  <c r="M414" i="1" l="1"/>
  <c r="N414" i="1"/>
  <c r="D414" i="1"/>
  <c r="J414" i="1"/>
  <c r="K414" i="1" s="1"/>
  <c r="I414" i="1"/>
  <c r="R415" i="1" l="1"/>
  <c r="A415" i="1"/>
  <c r="F415" i="1"/>
  <c r="B415" i="1"/>
  <c r="L415" i="1" l="1"/>
  <c r="P415" i="1" l="1"/>
  <c r="V415" i="1"/>
  <c r="G415" i="1"/>
  <c r="D415" i="1"/>
  <c r="M415" i="1" l="1"/>
  <c r="H415" i="1"/>
  <c r="I415" i="1"/>
  <c r="J415" i="1"/>
  <c r="K415" i="1" s="1"/>
  <c r="N415" i="1"/>
  <c r="A416" i="1" l="1"/>
  <c r="F416" i="1"/>
  <c r="B416" i="1"/>
  <c r="R416" i="1"/>
  <c r="L416" i="1"/>
  <c r="V416" i="1" s="1"/>
  <c r="P416" i="1" l="1"/>
  <c r="G416" i="1"/>
  <c r="D416" i="1"/>
  <c r="H416" i="1" l="1"/>
  <c r="N416" i="1"/>
  <c r="I416" i="1"/>
  <c r="J416" i="1"/>
  <c r="K416" i="1" s="1"/>
  <c r="M416" i="1"/>
  <c r="A417" i="1" l="1"/>
  <c r="F417" i="1"/>
  <c r="R417" i="1"/>
  <c r="B417" i="1"/>
  <c r="L417" i="1"/>
  <c r="V417" i="1" l="1"/>
  <c r="P417" i="1"/>
  <c r="G417" i="1"/>
  <c r="M417" i="1" l="1"/>
  <c r="H417" i="1"/>
  <c r="D417" i="1"/>
  <c r="N417" i="1"/>
  <c r="I417" i="1"/>
  <c r="J417" i="1"/>
  <c r="K417" i="1" s="1"/>
  <c r="F418" i="1" l="1"/>
  <c r="B418" i="1"/>
  <c r="A418" i="1"/>
  <c r="L418" i="1" s="1"/>
  <c r="R418" i="1"/>
  <c r="G418" i="1" l="1"/>
  <c r="V418" i="1"/>
  <c r="P418" i="1"/>
  <c r="D418" i="1"/>
  <c r="M418" i="1" l="1"/>
  <c r="H418" i="1"/>
  <c r="N418" i="1"/>
  <c r="J418" i="1"/>
  <c r="K418" i="1" s="1"/>
  <c r="I418" i="1"/>
  <c r="F419" i="1" l="1"/>
  <c r="B419" i="1"/>
  <c r="A419" i="1"/>
  <c r="L419" i="1" s="1"/>
  <c r="R419" i="1"/>
  <c r="D419" i="1"/>
  <c r="V419" i="1" l="1"/>
  <c r="P419" i="1"/>
  <c r="G419" i="1"/>
  <c r="H419" i="1"/>
  <c r="N419" i="1" l="1"/>
  <c r="D420" i="1" s="1"/>
  <c r="M419" i="1"/>
  <c r="J419" i="1"/>
  <c r="K419" i="1" s="1"/>
  <c r="I419" i="1"/>
  <c r="A420" i="1" l="1"/>
  <c r="L420" i="1" s="1"/>
  <c r="F420" i="1"/>
  <c r="B420" i="1"/>
  <c r="R420" i="1"/>
  <c r="H420" i="1" l="1"/>
  <c r="V420" i="1"/>
  <c r="P420" i="1"/>
  <c r="G420" i="1"/>
  <c r="M420" i="1" l="1"/>
  <c r="N420" i="1"/>
  <c r="D421" i="1" s="1"/>
  <c r="J420" i="1"/>
  <c r="K420" i="1" s="1"/>
  <c r="I420" i="1"/>
  <c r="G421" i="1" l="1"/>
  <c r="L421" i="1"/>
  <c r="R421" i="1"/>
  <c r="A421" i="1"/>
  <c r="B421" i="1"/>
  <c r="F421" i="1"/>
  <c r="N421" i="1" l="1"/>
  <c r="G422" i="1" s="1"/>
  <c r="J421" i="1"/>
  <c r="K421" i="1" s="1"/>
  <c r="I421" i="1"/>
  <c r="P421" i="1"/>
  <c r="M421" i="1" s="1"/>
  <c r="V421" i="1"/>
  <c r="H421" i="1"/>
  <c r="A422" i="1" l="1"/>
  <c r="L422" i="1" s="1"/>
  <c r="H422" i="1" s="1"/>
  <c r="R422" i="1"/>
  <c r="B422" i="1"/>
  <c r="F422" i="1"/>
  <c r="N422" i="1"/>
  <c r="D422" i="1"/>
  <c r="I422" i="1" l="1"/>
  <c r="J422" i="1"/>
  <c r="K422" i="1" s="1"/>
  <c r="V422" i="1"/>
  <c r="P422" i="1"/>
  <c r="M422" i="1" s="1"/>
  <c r="R423" i="1"/>
  <c r="F423" i="1"/>
  <c r="A423" i="1"/>
  <c r="B423" i="1"/>
  <c r="L423" i="1" l="1"/>
  <c r="G423" i="1"/>
  <c r="N423" i="1" s="1"/>
  <c r="D423" i="1"/>
  <c r="P423" i="1" l="1"/>
  <c r="M423" i="1" s="1"/>
  <c r="V423" i="1"/>
  <c r="I423" i="1"/>
  <c r="H423" i="1"/>
  <c r="J423" i="1"/>
  <c r="K423" i="1" s="1"/>
  <c r="B424" i="1"/>
  <c r="R424" i="1"/>
  <c r="F424" i="1"/>
  <c r="A424" i="1"/>
  <c r="L424" i="1" l="1"/>
  <c r="G424" i="1"/>
  <c r="H424" i="1" l="1"/>
  <c r="P424" i="1"/>
  <c r="M424" i="1" s="1"/>
  <c r="V424" i="1"/>
  <c r="D424" i="1"/>
  <c r="N424" i="1"/>
  <c r="I424" i="1"/>
  <c r="J424" i="1"/>
  <c r="K424" i="1" s="1"/>
  <c r="F425" i="1" l="1"/>
  <c r="R425" i="1"/>
  <c r="A425" i="1"/>
  <c r="L425" i="1" s="1"/>
  <c r="B425" i="1"/>
  <c r="G425" i="1" l="1"/>
  <c r="V425" i="1"/>
  <c r="P425" i="1"/>
  <c r="D425" i="1" l="1"/>
  <c r="N425" i="1"/>
  <c r="I425" i="1"/>
  <c r="J425" i="1"/>
  <c r="K425" i="1" s="1"/>
  <c r="H425" i="1"/>
  <c r="M425" i="1"/>
  <c r="F426" i="1" l="1"/>
  <c r="R426" i="1"/>
  <c r="A426" i="1"/>
  <c r="B426" i="1"/>
  <c r="L426" i="1" l="1"/>
  <c r="P426" i="1" l="1"/>
  <c r="V426" i="1"/>
  <c r="G426" i="1"/>
  <c r="H426" i="1" s="1"/>
  <c r="J426" i="1" l="1"/>
  <c r="K426" i="1" s="1"/>
  <c r="N426" i="1"/>
  <c r="D426" i="1"/>
  <c r="I426" i="1"/>
  <c r="M426" i="1"/>
  <c r="B427" i="1" l="1"/>
  <c r="A427" i="1"/>
  <c r="L427" i="1" s="1"/>
  <c r="R427" i="1"/>
  <c r="F427" i="1"/>
  <c r="V427" i="1" l="1"/>
  <c r="P427" i="1"/>
  <c r="G427" i="1"/>
  <c r="H427" i="1" s="1"/>
  <c r="I427" i="1" l="1"/>
  <c r="D427" i="1"/>
  <c r="N427" i="1"/>
  <c r="J427" i="1"/>
  <c r="K427" i="1" s="1"/>
  <c r="M427" i="1"/>
  <c r="B428" i="1" l="1"/>
  <c r="A428" i="1"/>
  <c r="L428" i="1" s="1"/>
  <c r="G428" i="1" s="1"/>
  <c r="R428" i="1"/>
  <c r="F428" i="1"/>
  <c r="I428" i="1" l="1"/>
  <c r="J428" i="1"/>
  <c r="K428" i="1" s="1"/>
  <c r="H428" i="1"/>
  <c r="P428" i="1"/>
  <c r="M428" i="1" s="1"/>
  <c r="V428" i="1"/>
  <c r="N428" i="1"/>
  <c r="D428" i="1"/>
  <c r="R429" i="1" l="1"/>
  <c r="F429" i="1"/>
  <c r="B429" i="1"/>
  <c r="A429" i="1"/>
  <c r="L429" i="1" s="1"/>
  <c r="V429" i="1" l="1"/>
  <c r="P429" i="1"/>
  <c r="G429" i="1"/>
  <c r="H429" i="1" s="1"/>
  <c r="D429" i="1" l="1"/>
  <c r="N429" i="1"/>
  <c r="J429" i="1"/>
  <c r="K429" i="1" s="1"/>
  <c r="I429" i="1"/>
  <c r="M429" i="1"/>
  <c r="F430" i="1" l="1"/>
  <c r="B430" i="1"/>
  <c r="A430" i="1"/>
  <c r="L430" i="1" s="1"/>
  <c r="R430" i="1"/>
  <c r="G430" i="1"/>
  <c r="P430" i="1" l="1"/>
  <c r="M430" i="1" s="1"/>
  <c r="V430" i="1"/>
  <c r="I430" i="1"/>
  <c r="J430" i="1"/>
  <c r="K430" i="1" s="1"/>
  <c r="H430" i="1"/>
  <c r="N430" i="1"/>
  <c r="D430" i="1"/>
  <c r="B431" i="1" l="1"/>
  <c r="A431" i="1"/>
  <c r="L431" i="1" s="1"/>
  <c r="R431" i="1"/>
  <c r="F431" i="1"/>
  <c r="V431" i="1" l="1"/>
  <c r="P431" i="1"/>
  <c r="G431" i="1"/>
  <c r="H431" i="1" s="1"/>
  <c r="N431" i="1" l="1"/>
  <c r="D431" i="1"/>
  <c r="I431" i="1"/>
  <c r="J431" i="1"/>
  <c r="K431" i="1" s="1"/>
  <c r="M431" i="1"/>
  <c r="A432" i="1" l="1"/>
  <c r="R432" i="1"/>
  <c r="F432" i="1"/>
  <c r="B432" i="1"/>
  <c r="L432" i="1"/>
  <c r="G432" i="1" s="1"/>
  <c r="J432" i="1" l="1"/>
  <c r="K432" i="1" s="1"/>
  <c r="I432" i="1"/>
  <c r="H432" i="1"/>
  <c r="V432" i="1"/>
  <c r="P432" i="1"/>
  <c r="M432" i="1" s="1"/>
  <c r="D432" i="1"/>
  <c r="N432" i="1"/>
  <c r="R433" i="1" l="1"/>
  <c r="A433" i="1"/>
  <c r="B433" i="1"/>
  <c r="F433" i="1"/>
  <c r="L433" i="1" l="1"/>
  <c r="V433" i="1" l="1"/>
  <c r="G433" i="1"/>
  <c r="H433" i="1" s="1"/>
  <c r="P433" i="1"/>
  <c r="M433" i="1" s="1"/>
  <c r="J433" i="1" l="1"/>
  <c r="K433" i="1" s="1"/>
  <c r="N433" i="1"/>
  <c r="D433" i="1"/>
  <c r="I433" i="1"/>
  <c r="F434" i="1" l="1"/>
  <c r="F5" i="1" s="1"/>
  <c r="A434" i="1"/>
  <c r="R434" i="1"/>
  <c r="R5" i="1" s="1"/>
  <c r="H8" i="1" s="1"/>
  <c r="AS8" i="1" s="1"/>
  <c r="B434" i="1"/>
  <c r="B5" i="1" s="1"/>
  <c r="A5" i="1" l="1"/>
  <c r="O10" i="1" s="1"/>
  <c r="C24" i="5" s="1"/>
  <c r="L434" i="1"/>
  <c r="L5" i="1" l="1"/>
  <c r="H434" i="1"/>
  <c r="V434" i="1"/>
  <c r="V10" i="1" s="1"/>
  <c r="P434" i="1"/>
  <c r="O9" i="1"/>
  <c r="O11" i="1" s="1"/>
  <c r="C34" i="5" s="1"/>
  <c r="G434" i="1"/>
  <c r="M434" i="1" l="1"/>
  <c r="V9" i="1"/>
  <c r="V13" i="1"/>
  <c r="D10" i="1" s="1"/>
  <c r="I434" i="1"/>
  <c r="G5" i="1"/>
  <c r="D434" i="1"/>
  <c r="N434" i="1"/>
  <c r="O7" i="1" s="1"/>
  <c r="J434" i="1"/>
  <c r="K434" i="1" s="1"/>
  <c r="E10" i="1" l="1"/>
  <c r="AM10" i="1"/>
  <c r="AN10" i="1" s="1"/>
  <c r="O8" i="1"/>
  <c r="C27" i="5"/>
  <c r="P7" i="1"/>
  <c r="P8" i="1" l="1"/>
  <c r="S8" i="1"/>
  <c r="C29" i="5"/>
</calcChain>
</file>

<file path=xl/sharedStrings.xml><?xml version="1.0" encoding="utf-8"?>
<sst xmlns="http://schemas.openxmlformats.org/spreadsheetml/2006/main" count="119" uniqueCount="94">
  <si>
    <t>Total pago</t>
  </si>
  <si>
    <t>AMORTIZAÇÃO</t>
  </si>
  <si>
    <t>JUROS</t>
  </si>
  <si>
    <t>Amortização</t>
  </si>
  <si>
    <t>At. Monetária</t>
  </si>
  <si>
    <t>https://www.habitacaodigital.caixa.gov.br/</t>
  </si>
  <si>
    <t>Documento Descritivo de Crédito</t>
  </si>
  <si>
    <t>Confira sempre os valores no seu Documento Descritivo de Crédito.</t>
  </si>
  <si>
    <t xml:space="preserve">Para chegar nos valores mais próximos, adicione as </t>
  </si>
  <si>
    <t>correções monetárias e o seguro a cada mês.</t>
  </si>
  <si>
    <t>ATENÇÃO: Esta planilha deve ser usada apenas para simulações.</t>
  </si>
  <si>
    <t>PRICE</t>
  </si>
  <si>
    <t>Juros</t>
  </si>
  <si>
    <t>Parcela</t>
  </si>
  <si>
    <t>Saldo Devedor</t>
  </si>
  <si>
    <t>Taxa</t>
  </si>
  <si>
    <t>Seguro</t>
  </si>
  <si>
    <t>Em quantos anos quer quitar?</t>
  </si>
  <si>
    <t>Parcela do banco</t>
  </si>
  <si>
    <r>
      <t>Autor</t>
    </r>
    <r>
      <rPr>
        <sz val="11"/>
        <color rgb="FF000000"/>
        <rFont val="Calibri"/>
        <family val="2"/>
        <scheme val="minor"/>
      </rPr>
      <t>: Alessandro Rodolpho Gonçalves da Silva</t>
    </r>
  </si>
  <si>
    <t>instagram.com/amigodopairico</t>
  </si>
  <si>
    <t>alessandrogon.com.br / amigodopairico.com.br</t>
  </si>
  <si>
    <t xml:space="preserve">O conteúdo e formato desta planilha encontram-se protegidos pelas </t>
  </si>
  <si>
    <t xml:space="preserve">leis brasileiras e internacionais sobre propriedade intelectual </t>
  </si>
  <si>
    <t xml:space="preserve">e industrial. É expressamente proibida a reprodução, transferência, </t>
  </si>
  <si>
    <t xml:space="preserve">negociação ou distribuição do conteúdo, total ou parcial, desta </t>
  </si>
  <si>
    <t xml:space="preserve">planilha sem o consentimento expresso e por escrito do proprietário, </t>
  </si>
  <si>
    <t>sujeitando-se o infrator às penalidades cíveis e criminais cabíveis.</t>
  </si>
  <si>
    <t>ANOS</t>
  </si>
  <si>
    <t>Faltam</t>
  </si>
  <si>
    <t>Ano</t>
  </si>
  <si>
    <t>Triênio</t>
  </si>
  <si>
    <t>PREV. AT. MON.</t>
  </si>
  <si>
    <t>TRIÊNIO</t>
  </si>
  <si>
    <t>TOTAIS</t>
  </si>
  <si>
    <t>ANO 1 AO 3</t>
  </si>
  <si>
    <t>ANO 4 AO 6</t>
  </si>
  <si>
    <t>ANO 7 AO 9</t>
  </si>
  <si>
    <t>ANO 10 AO 12</t>
  </si>
  <si>
    <t>ANO 13 AO 15</t>
  </si>
  <si>
    <t>ANO 16 AO 18</t>
  </si>
  <si>
    <t>ANO 19 AO 21</t>
  </si>
  <si>
    <t>ANO 22 AO 24</t>
  </si>
  <si>
    <t>ANO 25 AO 27</t>
  </si>
  <si>
    <t>ANO 28 AO 30</t>
  </si>
  <si>
    <t>PARCELAS</t>
  </si>
  <si>
    <t>DIF. DÍVIDA</t>
  </si>
  <si>
    <t>ADIANTAMENTO</t>
  </si>
  <si>
    <t>Financiado</t>
  </si>
  <si>
    <t>ACOMPANHAMENTO A CADA 3 ANOS</t>
  </si>
  <si>
    <t>Década</t>
  </si>
  <si>
    <t>Só parcela</t>
  </si>
  <si>
    <t>VALOR ÚTIL</t>
  </si>
  <si>
    <t>% VU</t>
  </si>
  <si>
    <t xml:space="preserve"> </t>
  </si>
  <si>
    <t>Caixa</t>
  </si>
  <si>
    <t>Itaú</t>
  </si>
  <si>
    <t>Santander</t>
  </si>
  <si>
    <t>Bradesco</t>
  </si>
  <si>
    <t>Outros</t>
  </si>
  <si>
    <t>BB</t>
  </si>
  <si>
    <t>VPL</t>
  </si>
  <si>
    <t>CET REAL</t>
  </si>
  <si>
    <t>Parcela na SAC</t>
  </si>
  <si>
    <t>ONDE TE AJUDO MAIS ➡️ amigodopairico.com.br/paq</t>
  </si>
  <si>
    <t>Pagaria em juros:</t>
  </si>
  <si>
    <t>Meses</t>
  </si>
  <si>
    <t>Amortize por mês pelo menos:</t>
  </si>
  <si>
    <t>Quita em:</t>
  </si>
  <si>
    <t>Passa a pagar em juros:</t>
  </si>
  <si>
    <t>Momento</t>
  </si>
  <si>
    <t>SE NÃO FIZER NADA</t>
  </si>
  <si>
    <t>COM ESTRATÉGIA</t>
  </si>
  <si>
    <t>Passa a quitar em</t>
  </si>
  <si>
    <t>Parcelas a menos</t>
  </si>
  <si>
    <t>Correção Monetária</t>
  </si>
  <si>
    <t>Valor financiado</t>
  </si>
  <si>
    <t>DADOS</t>
  </si>
  <si>
    <t>Juros previstos</t>
  </si>
  <si>
    <t>Total previsto</t>
  </si>
  <si>
    <t>Taxa de juros</t>
  </si>
  <si>
    <t>T/V</t>
  </si>
  <si>
    <t>cada parcela</t>
  </si>
  <si>
    <t>Correção monetária</t>
  </si>
  <si>
    <t>ECONOMIA TOTAL</t>
  </si>
  <si>
    <t>Total inicial</t>
  </si>
  <si>
    <t>meses a menos</t>
  </si>
  <si>
    <t>ECONOMIZA</t>
  </si>
  <si>
    <t>Juros totais pagos</t>
  </si>
  <si>
    <t>Juros pagos</t>
  </si>
  <si>
    <t>% Amort Parcela</t>
  </si>
  <si>
    <t>QUANTO É APROVEITADO</t>
  </si>
  <si>
    <t>DO VALOR QUE VOCÊ PAGA</t>
  </si>
  <si>
    <t xml:space="preserve">        ⬇️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</si>
</sst>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[$-416]mmm\-yy;@"/>
    <numFmt numFmtId="166" formatCode="&quot;R$&quot;\ #,##0"/>
  </numFmts>
  <fonts count="5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521B93"/>
      <name val="Calibri"/>
      <family val="2"/>
      <scheme val="minor"/>
    </font>
    <font>
      <sz val="12"/>
      <color rgb="FF008F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8F00"/>
      <name val="Calibri"/>
      <family val="2"/>
      <scheme val="minor"/>
    </font>
    <font>
      <b/>
      <sz val="14"/>
      <color rgb="FF008F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48">
    <xf numFmtId="0" fontId="0" fillId="0" borderId="0" xfId="0"/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0" fontId="18" fillId="0" borderId="0" xfId="0" applyFont="1" applyProtection="1">
      <protection locked="0"/>
    </xf>
    <xf numFmtId="4" fontId="0" fillId="0" borderId="0" xfId="0" applyNumberForma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" fontId="10" fillId="7" borderId="0" xfId="0" applyNumberFormat="1" applyFont="1" applyFill="1" applyProtection="1">
      <protection locked="0"/>
    </xf>
    <xf numFmtId="4" fontId="5" fillId="0" borderId="0" xfId="0" applyNumberFormat="1" applyFo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4" fontId="8" fillId="0" borderId="0" xfId="0" applyNumberFormat="1" applyFont="1" applyProtection="1">
      <protection locked="0"/>
    </xf>
    <xf numFmtId="4" fontId="10" fillId="0" borderId="0" xfId="0" applyNumberFormat="1" applyFont="1" applyProtection="1">
      <protection locked="0"/>
    </xf>
    <xf numFmtId="4" fontId="0" fillId="6" borderId="0" xfId="0" applyNumberFormat="1" applyFill="1" applyProtection="1">
      <protection locked="0"/>
    </xf>
    <xf numFmtId="0" fontId="1" fillId="0" borderId="0" xfId="0" applyFont="1" applyProtection="1">
      <protection locked="0"/>
    </xf>
    <xf numFmtId="4" fontId="7" fillId="0" borderId="0" xfId="0" applyNumberFormat="1" applyFont="1" applyProtection="1">
      <protection locked="0"/>
    </xf>
    <xf numFmtId="0" fontId="13" fillId="0" borderId="0" xfId="0" applyFont="1" applyProtection="1">
      <protection locked="0"/>
    </xf>
    <xf numFmtId="4" fontId="0" fillId="3" borderId="0" xfId="0" applyNumberFormat="1" applyFill="1" applyProtection="1">
      <protection locked="0"/>
    </xf>
    <xf numFmtId="0" fontId="15" fillId="0" borderId="0" xfId="0" applyFont="1" applyAlignment="1" applyProtection="1">
      <alignment vertical="center"/>
      <protection locked="0"/>
    </xf>
    <xf numFmtId="1" fontId="18" fillId="0" borderId="0" xfId="0" applyNumberFormat="1" applyFont="1" applyProtection="1">
      <protection locked="0"/>
    </xf>
    <xf numFmtId="0" fontId="0" fillId="0" borderId="1" xfId="0" applyBorder="1" applyProtection="1">
      <protection locked="0"/>
    </xf>
    <xf numFmtId="4" fontId="0" fillId="0" borderId="1" xfId="0" applyNumberForma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4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10" fontId="0" fillId="0" borderId="0" xfId="0" applyNumberFormat="1" applyProtection="1">
      <protection locked="0"/>
    </xf>
    <xf numFmtId="9" fontId="0" fillId="0" borderId="0" xfId="0" applyNumberFormat="1" applyProtection="1">
      <protection locked="0"/>
    </xf>
    <xf numFmtId="10" fontId="19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wrapText="1"/>
      <protection locked="0"/>
    </xf>
    <xf numFmtId="3" fontId="27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4" fontId="1" fillId="0" borderId="0" xfId="0" applyNumberFormat="1" applyFont="1" applyAlignment="1">
      <alignment horizontal="center" vertical="center"/>
    </xf>
    <xf numFmtId="4" fontId="4" fillId="11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/>
    </xf>
    <xf numFmtId="0" fontId="2" fillId="0" borderId="0" xfId="0" applyFont="1"/>
    <xf numFmtId="4" fontId="29" fillId="0" borderId="0" xfId="0" applyNumberFormat="1" applyFont="1"/>
    <xf numFmtId="0" fontId="29" fillId="0" borderId="0" xfId="0" applyFont="1"/>
    <xf numFmtId="4" fontId="2" fillId="0" borderId="0" xfId="0" applyNumberFormat="1" applyFont="1" applyAlignment="1">
      <alignment horizontal="right"/>
    </xf>
    <xf numFmtId="164" fontId="30" fillId="4" borderId="0" xfId="0" applyNumberFormat="1" applyFont="1" applyFill="1" applyProtection="1">
      <protection locked="0"/>
    </xf>
    <xf numFmtId="0" fontId="1" fillId="8" borderId="0" xfId="0" applyFont="1" applyFill="1" applyAlignment="1">
      <alignment vertical="center"/>
    </xf>
    <xf numFmtId="4" fontId="2" fillId="8" borderId="0" xfId="0" applyNumberFormat="1" applyFont="1" applyFill="1" applyAlignment="1">
      <alignment vertical="center"/>
    </xf>
    <xf numFmtId="0" fontId="29" fillId="8" borderId="0" xfId="0" applyFont="1" applyFill="1" applyAlignment="1">
      <alignment vertical="center"/>
    </xf>
    <xf numFmtId="10" fontId="17" fillId="0" borderId="0" xfId="0" applyNumberFormat="1" applyFont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4" fontId="29" fillId="2" borderId="0" xfId="0" applyNumberFormat="1" applyFont="1" applyFill="1" applyAlignment="1">
      <alignment vertical="center"/>
    </xf>
    <xf numFmtId="0" fontId="24" fillId="12" borderId="0" xfId="0" applyFont="1" applyFill="1" applyAlignment="1">
      <alignment horizontal="left" vertical="center"/>
    </xf>
    <xf numFmtId="4" fontId="29" fillId="12" borderId="0" xfId="0" applyNumberFormat="1" applyFont="1" applyFill="1" applyAlignment="1">
      <alignment vertical="center"/>
    </xf>
    <xf numFmtId="0" fontId="24" fillId="0" borderId="0" xfId="0" applyFont="1" applyAlignment="1">
      <alignment horizontal="left" vertical="center"/>
    </xf>
    <xf numFmtId="4" fontId="29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14" fillId="0" borderId="0" xfId="0" applyFont="1" applyAlignment="1" applyProtection="1">
      <alignment horizontal="right"/>
      <protection locked="0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4" fontId="11" fillId="10" borderId="0" xfId="0" applyNumberFormat="1" applyFont="1" applyFill="1" applyProtection="1">
      <protection locked="0"/>
    </xf>
    <xf numFmtId="10" fontId="7" fillId="0" borderId="0" xfId="0" applyNumberFormat="1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4" fontId="14" fillId="0" borderId="0" xfId="0" applyNumberFormat="1" applyFont="1" applyAlignment="1" applyProtection="1">
      <alignment horizontal="right" vertical="center"/>
      <protection locked="0"/>
    </xf>
    <xf numFmtId="4" fontId="9" fillId="0" borderId="0" xfId="0" applyNumberFormat="1" applyFont="1" applyProtection="1">
      <protection locked="0"/>
    </xf>
    <xf numFmtId="0" fontId="12" fillId="0" borderId="0" xfId="0" applyFont="1" applyProtection="1">
      <protection locked="0"/>
    </xf>
    <xf numFmtId="0" fontId="25" fillId="0" borderId="0" xfId="0" applyFont="1" applyProtection="1">
      <protection locked="0"/>
    </xf>
    <xf numFmtId="0" fontId="26" fillId="0" borderId="0" xfId="0" applyFont="1" applyProtection="1">
      <protection locked="0"/>
    </xf>
    <xf numFmtId="4" fontId="35" fillId="6" borderId="0" xfId="0" applyNumberFormat="1" applyFont="1" applyFill="1" applyProtection="1">
      <protection locked="0"/>
    </xf>
    <xf numFmtId="10" fontId="34" fillId="7" borderId="0" xfId="0" applyNumberFormat="1" applyFont="1" applyFill="1" applyAlignment="1" applyProtection="1">
      <alignment horizontal="center"/>
      <protection locked="0"/>
    </xf>
    <xf numFmtId="4" fontId="36" fillId="7" borderId="0" xfId="0" applyNumberFormat="1" applyFont="1" applyFill="1" applyProtection="1">
      <protection locked="0"/>
    </xf>
    <xf numFmtId="0" fontId="23" fillId="10" borderId="0" xfId="1" applyFont="1" applyFill="1" applyAlignment="1" applyProtection="1">
      <alignment vertical="center"/>
      <protection locked="0"/>
    </xf>
    <xf numFmtId="0" fontId="20" fillId="10" borderId="0" xfId="0" applyFont="1" applyFill="1" applyAlignment="1" applyProtection="1">
      <alignment vertical="center"/>
      <protection locked="0"/>
    </xf>
    <xf numFmtId="4" fontId="20" fillId="10" borderId="0" xfId="0" applyNumberFormat="1" applyFont="1" applyFill="1" applyAlignment="1" applyProtection="1">
      <alignment vertical="center"/>
      <protection locked="0"/>
    </xf>
    <xf numFmtId="0" fontId="31" fillId="10" borderId="0" xfId="0" applyFont="1" applyFill="1" applyAlignment="1" applyProtection="1">
      <alignment vertical="center"/>
      <protection locked="0"/>
    </xf>
    <xf numFmtId="0" fontId="32" fillId="10" borderId="0" xfId="0" applyFont="1" applyFill="1" applyAlignment="1" applyProtection="1">
      <alignment vertical="center"/>
      <protection locked="0"/>
    </xf>
    <xf numFmtId="0" fontId="32" fillId="10" borderId="0" xfId="0" applyFont="1" applyFill="1" applyAlignment="1" applyProtection="1">
      <alignment horizontal="left" vertical="center"/>
      <protection locked="0"/>
    </xf>
    <xf numFmtId="4" fontId="37" fillId="8" borderId="0" xfId="0" applyNumberFormat="1" applyFont="1" applyFill="1" applyProtection="1">
      <protection locked="0"/>
    </xf>
    <xf numFmtId="0" fontId="38" fillId="0" borderId="0" xfId="0" applyFont="1" applyAlignment="1" applyProtection="1">
      <alignment horizontal="center"/>
      <protection locked="0"/>
    </xf>
    <xf numFmtId="165" fontId="17" fillId="0" borderId="0" xfId="0" applyNumberFormat="1" applyFont="1" applyProtection="1">
      <protection locked="0"/>
    </xf>
    <xf numFmtId="165" fontId="17" fillId="5" borderId="0" xfId="0" applyNumberFormat="1" applyFont="1" applyFill="1" applyProtection="1">
      <protection locked="0"/>
    </xf>
    <xf numFmtId="0" fontId="0" fillId="5" borderId="0" xfId="0" applyFill="1" applyProtection="1">
      <protection locked="0"/>
    </xf>
    <xf numFmtId="4" fontId="36" fillId="5" borderId="0" xfId="0" applyNumberFormat="1" applyFont="1" applyFill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4" fontId="1" fillId="0" borderId="0" xfId="0" applyNumberFormat="1" applyFont="1" applyAlignment="1" applyProtection="1">
      <alignment vertical="center"/>
      <protection locked="0"/>
    </xf>
    <xf numFmtId="0" fontId="39" fillId="0" borderId="0" xfId="1" applyFont="1" applyFill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3" fontId="14" fillId="5" borderId="0" xfId="0" applyNumberFormat="1" applyFont="1" applyFill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right" vertical="center"/>
      <protection locked="0"/>
    </xf>
    <xf numFmtId="3" fontId="14" fillId="0" borderId="0" xfId="0" applyNumberFormat="1" applyFont="1" applyAlignment="1" applyProtection="1">
      <alignment vertical="center"/>
      <protection locked="0"/>
    </xf>
    <xf numFmtId="3" fontId="42" fillId="5" borderId="0" xfId="0" applyNumberFormat="1" applyFont="1" applyFill="1" applyAlignment="1" applyProtection="1">
      <alignment vertical="center"/>
      <protection locked="0"/>
    </xf>
    <xf numFmtId="164" fontId="14" fillId="5" borderId="0" xfId="0" applyNumberFormat="1" applyFont="1" applyFill="1" applyAlignment="1" applyProtection="1">
      <alignment vertical="center"/>
      <protection locked="0"/>
    </xf>
    <xf numFmtId="0" fontId="44" fillId="0" borderId="0" xfId="0" applyFont="1" applyAlignment="1" applyProtection="1">
      <alignment horizontal="center" vertical="center"/>
      <protection locked="0"/>
    </xf>
    <xf numFmtId="0" fontId="45" fillId="0" borderId="0" xfId="0" applyFont="1" applyAlignment="1" applyProtection="1">
      <alignment horizontal="center" vertical="center"/>
      <protection locked="0"/>
    </xf>
    <xf numFmtId="4" fontId="43" fillId="0" borderId="0" xfId="0" applyNumberFormat="1" applyFont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10" fontId="16" fillId="0" borderId="0" xfId="0" applyNumberFormat="1" applyFont="1" applyAlignment="1" applyProtection="1">
      <alignment horizontal="center"/>
      <protection locked="0"/>
    </xf>
    <xf numFmtId="4" fontId="14" fillId="0" borderId="0" xfId="0" applyNumberFormat="1" applyFont="1" applyAlignment="1" applyProtection="1">
      <alignment vertical="center"/>
      <protection locked="0"/>
    </xf>
    <xf numFmtId="0" fontId="46" fillId="0" borderId="0" xfId="1" applyFont="1" applyFill="1" applyAlignment="1" applyProtection="1">
      <alignment vertical="center"/>
      <protection locked="0"/>
    </xf>
    <xf numFmtId="10" fontId="32" fillId="10" borderId="0" xfId="0" applyNumberFormat="1" applyFont="1" applyFill="1" applyAlignment="1" applyProtection="1">
      <alignment horizontal="right" vertical="center"/>
      <protection locked="0"/>
    </xf>
    <xf numFmtId="4" fontId="14" fillId="14" borderId="0" xfId="0" applyNumberFormat="1" applyFont="1" applyFill="1" applyAlignment="1" applyProtection="1">
      <alignment horizontal="right"/>
      <protection locked="0"/>
    </xf>
    <xf numFmtId="3" fontId="14" fillId="5" borderId="0" xfId="0" applyNumberFormat="1" applyFont="1" applyFill="1" applyProtection="1">
      <protection locked="0"/>
    </xf>
    <xf numFmtId="1" fontId="47" fillId="0" borderId="0" xfId="0" applyNumberFormat="1" applyFont="1" applyAlignment="1" applyProtection="1">
      <alignment horizontal="left" vertical="center"/>
      <protection locked="0"/>
    </xf>
    <xf numFmtId="4" fontId="14" fillId="14" borderId="0" xfId="0" applyNumberFormat="1" applyFont="1" applyFill="1" applyProtection="1">
      <protection locked="0"/>
    </xf>
    <xf numFmtId="4" fontId="14" fillId="0" borderId="0" xfId="0" applyNumberFormat="1" applyFont="1" applyAlignment="1" applyProtection="1">
      <alignment horizontal="center"/>
      <protection locked="0"/>
    </xf>
    <xf numFmtId="4" fontId="16" fillId="7" borderId="0" xfId="0" applyNumberFormat="1" applyFont="1" applyFill="1" applyAlignment="1" applyProtection="1">
      <alignment horizontal="center"/>
      <protection locked="0"/>
    </xf>
    <xf numFmtId="10" fontId="16" fillId="7" borderId="0" xfId="0" applyNumberFormat="1" applyFont="1" applyFill="1" applyAlignment="1" applyProtection="1">
      <alignment horizontal="center"/>
      <protection locked="0"/>
    </xf>
    <xf numFmtId="10" fontId="34" fillId="0" borderId="0" xfId="0" applyNumberFormat="1" applyFont="1" applyAlignment="1" applyProtection="1">
      <alignment horizontal="center"/>
      <protection locked="0"/>
    </xf>
    <xf numFmtId="10" fontId="14" fillId="5" borderId="0" xfId="0" applyNumberFormat="1" applyFont="1" applyFill="1" applyAlignment="1" applyProtection="1">
      <alignment vertical="center"/>
      <protection locked="0"/>
    </xf>
    <xf numFmtId="3" fontId="41" fillId="0" borderId="0" xfId="0" applyNumberFormat="1" applyFont="1" applyAlignment="1" applyProtection="1">
      <alignment vertical="center"/>
      <protection locked="0"/>
    </xf>
    <xf numFmtId="3" fontId="32" fillId="10" borderId="0" xfId="0" applyNumberFormat="1" applyFont="1" applyFill="1" applyAlignment="1" applyProtection="1">
      <alignment vertical="center"/>
      <protection locked="0"/>
    </xf>
    <xf numFmtId="3" fontId="43" fillId="0" borderId="0" xfId="0" applyNumberFormat="1" applyFont="1" applyAlignment="1" applyProtection="1">
      <alignment horizontal="center" vertical="center"/>
      <protection locked="0"/>
    </xf>
    <xf numFmtId="3" fontId="44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>
      <alignment horizontal="right"/>
    </xf>
    <xf numFmtId="4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48" fillId="0" borderId="0" xfId="0" applyFont="1" applyAlignment="1">
      <alignment horizontal="right"/>
    </xf>
    <xf numFmtId="166" fontId="48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3" fontId="49" fillId="0" borderId="0" xfId="0" applyNumberFormat="1" applyFont="1" applyAlignment="1" applyProtection="1">
      <alignment horizontal="center" vertical="center"/>
      <protection locked="0"/>
    </xf>
    <xf numFmtId="4" fontId="50" fillId="0" borderId="0" xfId="0" applyNumberFormat="1" applyFont="1" applyAlignment="1" applyProtection="1">
      <alignment horizontal="right" vertical="center"/>
      <protection locked="0"/>
    </xf>
    <xf numFmtId="1" fontId="24" fillId="0" borderId="0" xfId="0" applyNumberFormat="1" applyFont="1" applyAlignment="1" applyProtection="1">
      <alignment horizontal="left" vertical="center"/>
      <protection locked="0"/>
    </xf>
    <xf numFmtId="10" fontId="0" fillId="0" borderId="0" xfId="0" applyNumberFormat="1"/>
    <xf numFmtId="0" fontId="38" fillId="0" borderId="0" xfId="0" applyFont="1" applyAlignment="1">
      <alignment horizontal="center"/>
    </xf>
    <xf numFmtId="4" fontId="8" fillId="0" borderId="0" xfId="0" applyNumberFormat="1" applyFont="1"/>
    <xf numFmtId="4" fontId="9" fillId="0" borderId="0" xfId="0" applyNumberFormat="1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4" fontId="28" fillId="10" borderId="0" xfId="0" applyNumberFormat="1" applyFont="1" applyFill="1"/>
    <xf numFmtId="10" fontId="33" fillId="13" borderId="0" xfId="0" applyNumberFormat="1" applyFont="1" applyFill="1"/>
    <xf numFmtId="4" fontId="10" fillId="7" borderId="0" xfId="0" applyNumberFormat="1" applyFont="1" applyFill="1"/>
    <xf numFmtId="4" fontId="5" fillId="0" borderId="0" xfId="0" applyNumberFormat="1" applyFont="1"/>
    <xf numFmtId="4" fontId="11" fillId="10" borderId="0" xfId="0" applyNumberFormat="1" applyFont="1" applyFill="1"/>
    <xf numFmtId="4" fontId="0" fillId="3" borderId="0" xfId="0" applyNumberFormat="1" applyFill="1"/>
    <xf numFmtId="10" fontId="32" fillId="10" borderId="0" xfId="0" applyNumberFormat="1" applyFont="1" applyFill="1" applyAlignment="1">
      <alignment horizontal="right" vertical="center"/>
    </xf>
    <xf numFmtId="3" fontId="28" fillId="10" borderId="0" xfId="0" applyNumberFormat="1" applyFont="1" applyFill="1"/>
    <xf numFmtId="1" fontId="12" fillId="0" borderId="0" xfId="0" applyNumberFormat="1" applyFont="1" applyAlignment="1" applyProtection="1">
      <alignment horizontal="left" vertical="center"/>
      <protection locked="0"/>
    </xf>
    <xf numFmtId="3" fontId="40" fillId="0" borderId="0" xfId="0" applyNumberFormat="1" applyFont="1" applyProtection="1">
      <protection locked="0"/>
    </xf>
    <xf numFmtId="3" fontId="40" fillId="0" borderId="0" xfId="0" applyNumberFormat="1" applyFont="1" applyAlignment="1" applyProtection="1">
      <alignment horizontal="right"/>
      <protection locked="0"/>
    </xf>
    <xf numFmtId="166" fontId="14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32" fillId="10" borderId="0" xfId="0" applyFont="1" applyFill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/>
      <protection locked="0"/>
    </xf>
    <xf numFmtId="0" fontId="32" fillId="9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3" fontId="14" fillId="5" borderId="0" xfId="0" applyNumberFormat="1" applyFont="1" applyFill="1" applyAlignment="1" applyProtection="1">
      <alignment horizontal="center" vertical="center"/>
      <protection locked="0"/>
    </xf>
    <xf numFmtId="3" fontId="14" fillId="0" borderId="0" xfId="0" applyNumberFormat="1" applyFont="1" applyAlignment="1">
      <alignment horizontal="right" vertical="center"/>
    </xf>
    <xf numFmtId="3" fontId="41" fillId="0" borderId="0" xfId="0" applyNumberFormat="1" applyFont="1" applyAlignment="1">
      <alignment horizontal="right" vertical="center"/>
    </xf>
  </cellXfs>
  <cellStyles count="2">
    <cellStyle name="Hiperlink" xfId="1" builtinId="8"/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ill>
        <patternFill>
          <bgColor rgb="FFFFB8B6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B8B6"/>
        </patternFill>
      </fill>
    </dxf>
  </dxfs>
  <tableStyles count="0" defaultTableStyle="TableStyleMedium2" defaultPivotStyle="PivotStyleLight16"/>
  <colors>
    <mruColors>
      <color rgb="FF008F00"/>
      <color rgb="FF083D8D"/>
      <color rgb="FF521B93"/>
      <color rgb="FF8EA4C0"/>
      <color rgb="FF0B4992"/>
      <color rgb="FFFF7E79"/>
      <color rgb="FFFFC4AB"/>
      <color rgb="FFC51252"/>
      <color rgb="FFFFB8B6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chemeClr val="tx1"/>
                </a:solidFill>
              </a:rPr>
              <a:t>Evolução do Saldo Devedor e Dinheiro Investido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PRICE @amigodopairico'!$N$13</c:f>
              <c:strCache>
                <c:ptCount val="1"/>
                <c:pt idx="0">
                  <c:v>Saldo Devedor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'BASE PRICE @amigodopairico'!$N$14:$N$374</c:f>
              <c:numCache>
                <c:formatCode>#,##0.00</c:formatCode>
                <c:ptCount val="361"/>
                <c:pt idx="1">
                  <c:v>99512.492996009998</c:v>
                </c:pt>
                <c:pt idx="2">
                  <c:v>99017.784298121478</c:v>
                </c:pt>
                <c:pt idx="3">
                  <c:v>98515.799749276266</c:v>
                </c:pt>
                <c:pt idx="4">
                  <c:v>98006.464461297699</c:v>
                </c:pt>
                <c:pt idx="5">
                  <c:v>97489.702807601469</c:v>
                </c:pt>
                <c:pt idx="6">
                  <c:v>96965.438415827317</c:v>
                </c:pt>
                <c:pt idx="7">
                  <c:v>96433.594160390669</c:v>
                </c:pt>
                <c:pt idx="8">
                  <c:v>95894.092154952639</c:v>
                </c:pt>
                <c:pt idx="9">
                  <c:v>95346.853744807333</c:v>
                </c:pt>
                <c:pt idx="10">
                  <c:v>94791.799499185014</c:v>
                </c:pt>
                <c:pt idx="11">
                  <c:v>94228.849203469799</c:v>
                </c:pt>
                <c:pt idx="12">
                  <c:v>93657.921851330364</c:v>
                </c:pt>
                <c:pt idx="13">
                  <c:v>93078.935636762224</c:v>
                </c:pt>
                <c:pt idx="14">
                  <c:v>92491.80794603996</c:v>
                </c:pt>
                <c:pt idx="15">
                  <c:v>91896.455349577926</c:v>
                </c:pt>
                <c:pt idx="16">
                  <c:v>91292.793593697585</c:v>
                </c:pt>
                <c:pt idx="17">
                  <c:v>90680.737592299745</c:v>
                </c:pt>
                <c:pt idx="18">
                  <c:v>90060.201418439974</c:v>
                </c:pt>
                <c:pt idx="19">
                  <c:v>89431.098295805044</c:v>
                </c:pt>
                <c:pt idx="20">
                  <c:v>88793.340590088672</c:v>
                </c:pt>
                <c:pt idx="21">
                  <c:v>88146.839800264177</c:v>
                </c:pt>
                <c:pt idx="22">
                  <c:v>87491.506549751983</c:v>
                </c:pt>
                <c:pt idx="23">
                  <c:v>86827.250577479615</c:v>
                </c:pt>
                <c:pt idx="24">
                  <c:v>86153.980728831637</c:v>
                </c:pt>
                <c:pt idx="25">
                  <c:v>85471.604946487088</c:v>
                </c:pt>
                <c:pt idx="26">
                  <c:v>84780.030261141525</c:v>
                </c:pt>
                <c:pt idx="27">
                  <c:v>84079.162782110783</c:v>
                </c:pt>
                <c:pt idx="28">
                  <c:v>83368.907687813553</c:v>
                </c:pt>
                <c:pt idx="29">
                  <c:v>82649.169216129216</c:v>
                </c:pt>
                <c:pt idx="30">
                  <c:v>81919.850654627706</c:v>
                </c:pt>
                <c:pt idx="31">
                  <c:v>81180.854330667513</c:v>
                </c:pt>
                <c:pt idx="32">
                  <c:v>80432.081601358062</c:v>
                </c:pt>
                <c:pt idx="33">
                  <c:v>79673.432843382034</c:v>
                </c:pt>
                <c:pt idx="34">
                  <c:v>78904.807442673264</c:v>
                </c:pt>
                <c:pt idx="35">
                  <c:v>78126.103783945175</c:v>
                </c:pt>
                <c:pt idx="36">
                  <c:v>77337.219240064805</c:v>
                </c:pt>
                <c:pt idx="37">
                  <c:v>76538.050161266481</c:v>
                </c:pt>
                <c:pt idx="38">
                  <c:v>75728.491864199212</c:v>
                </c:pt>
                <c:pt idx="39">
                  <c:v>74908.438620801346</c:v>
                </c:pt>
                <c:pt idx="40">
                  <c:v>74077.783646995085</c:v>
                </c:pt>
                <c:pt idx="41">
                  <c:v>73236.419091193369</c:v>
                </c:pt>
                <c:pt idx="42">
                  <c:v>72384.23602261061</c:v>
                </c:pt>
                <c:pt idx="43">
                  <c:v>71521.12441936809</c:v>
                </c:pt>
                <c:pt idx="44">
                  <c:v>70646.973156384091</c:v>
                </c:pt>
                <c:pt idx="45">
                  <c:v>69761.669993037576</c:v>
                </c:pt>
                <c:pt idx="46">
                  <c:v>68865.101560593597</c:v>
                </c:pt>
                <c:pt idx="47">
                  <c:v>67957.153349376924</c:v>
                </c:pt>
                <c:pt idx="48">
                  <c:v>67037.709695679543</c:v>
                </c:pt>
                <c:pt idx="49">
                  <c:v>66106.653768385542</c:v>
                </c:pt>
                <c:pt idx="50">
                  <c:v>65163.867555295612</c:v>
                </c:pt>
                <c:pt idx="51">
                  <c:v>64209.231849131305</c:v>
                </c:pt>
                <c:pt idx="52">
                  <c:v>63242.62623319673</c:v>
                </c:pt>
                <c:pt idx="53">
                  <c:v>62263.929066672907</c:v>
                </c:pt>
                <c:pt idx="54">
                  <c:v>61273.017469517181</c:v>
                </c:pt>
                <c:pt idx="55">
                  <c:v>60269.767306936286</c:v>
                </c:pt>
                <c:pt idx="56">
                  <c:v>59254.053173398192</c:v>
                </c:pt>
                <c:pt idx="57">
                  <c:v>58225.748376142859</c:v>
                </c:pt>
                <c:pt idx="58">
                  <c:v>57184.724918147171</c:v>
                </c:pt>
                <c:pt idx="59">
                  <c:v>56130.85348049274</c:v>
                </c:pt>
                <c:pt idx="60">
                  <c:v>55064.003404078554</c:v>
                </c:pt>
                <c:pt idx="61">
                  <c:v>53984.04267061159</c:v>
                </c:pt>
                <c:pt idx="62">
                  <c:v>52890.837882798922</c:v>
                </c:pt>
                <c:pt idx="63">
                  <c:v>51784.254243653071</c:v>
                </c:pt>
                <c:pt idx="64">
                  <c:v>50664.155534808349</c:v>
                </c:pt>
                <c:pt idx="65">
                  <c:v>49530.404093729565</c:v>
                </c:pt>
                <c:pt idx="66">
                  <c:v>48382.860789674603</c:v>
                </c:pt>
                <c:pt idx="67">
                  <c:v>47221.384998248475</c:v>
                </c:pt>
                <c:pt idx="68">
                  <c:v>46045.834574357774</c:v>
                </c:pt>
                <c:pt idx="69">
                  <c:v>44856.065823339239</c:v>
                </c:pt>
                <c:pt idx="70">
                  <c:v>43651.933469993404</c:v>
                </c:pt>
                <c:pt idx="71">
                  <c:v>42433.290625201465</c:v>
                </c:pt>
                <c:pt idx="72">
                  <c:v>41199.988749738201</c:v>
                </c:pt>
                <c:pt idx="73">
                  <c:v>39951.877614812154</c:v>
                </c:pt>
                <c:pt idx="74">
                  <c:v>38688.805258762019</c:v>
                </c:pt>
                <c:pt idx="75">
                  <c:v>37410.617939208321</c:v>
                </c:pt>
                <c:pt idx="76">
                  <c:v>36117.16007979375</c:v>
                </c:pt>
                <c:pt idx="77">
                  <c:v>34808.27421043213</c:v>
                </c:pt>
                <c:pt idx="78">
                  <c:v>33483.80089970788</c:v>
                </c:pt>
                <c:pt idx="79">
                  <c:v>32143.578677702255</c:v>
                </c:pt>
                <c:pt idx="80">
                  <c:v>30787.443947036354</c:v>
                </c:pt>
                <c:pt idx="81">
                  <c:v>29415.230879265593</c:v>
                </c:pt>
                <c:pt idx="82">
                  <c:v>28026.771292865826</c:v>
                </c:pt>
                <c:pt idx="83">
                  <c:v>26621.894507811525</c:v>
                </c:pt>
                <c:pt idx="84">
                  <c:v>25200.427170000341</c:v>
                </c:pt>
                <c:pt idx="85">
                  <c:v>23762.193036273839</c:v>
                </c:pt>
                <c:pt idx="86">
                  <c:v>22307.012707119771</c:v>
                </c:pt>
                <c:pt idx="87">
                  <c:v>20834.703288657412</c:v>
                </c:pt>
                <c:pt idx="88">
                  <c:v>19345.077957091537</c:v>
                </c:pt>
                <c:pt idx="89">
                  <c:v>17837.945385528714</c:v>
                </c:pt>
                <c:pt idx="90">
                  <c:v>16313.10897135559</c:v>
                </c:pt>
                <c:pt idx="91">
                  <c:v>14770.365765599017</c:v>
                </c:pt>
                <c:pt idx="92">
                  <c:v>13209.504940487988</c:v>
                </c:pt>
                <c:pt idx="93">
                  <c:v>11630.305509560187</c:v>
                </c:pt>
                <c:pt idx="94">
                  <c:v>10032.532771708387</c:v>
                </c:pt>
                <c:pt idx="95">
                  <c:v>8415.9324261136608</c:v>
                </c:pt>
                <c:pt idx="96">
                  <c:v>6780.2200516628363</c:v>
                </c:pt>
                <c:pt idx="97">
                  <c:v>5125.0602153294312</c:v>
                </c:pt>
                <c:pt idx="98">
                  <c:v>3450.0181194630327</c:v>
                </c:pt>
                <c:pt idx="99">
                  <c:v>1754.4161057895979</c:v>
                </c:pt>
                <c:pt idx="100">
                  <c:v>33.64810187540921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7-7544-9CC3-46D2198B4A1E}"/>
            </c:ext>
          </c:extLst>
        </c:ser>
        <c:ser>
          <c:idx val="1"/>
          <c:order val="1"/>
          <c:tx>
            <c:strRef>
              <c:f>'BASE PRICE @amigodopairico'!#REF!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'BASE PRICE @amigodopairico'!#REF!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17-7544-9CC3-46D2198B4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445056"/>
        <c:axId val="690684800"/>
      </c:lineChart>
      <c:catAx>
        <c:axId val="692445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684800"/>
        <c:crosses val="autoZero"/>
        <c:auto val="1"/>
        <c:lblAlgn val="ctr"/>
        <c:lblOffset val="100"/>
        <c:noMultiLvlLbl val="0"/>
      </c:catAx>
      <c:valAx>
        <c:axId val="69068480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44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525283</xdr:colOff>
      <xdr:row>5</xdr:row>
      <xdr:rowOff>14443</xdr:rowOff>
    </xdr:from>
    <xdr:to>
      <xdr:col>31</xdr:col>
      <xdr:colOff>285163</xdr:colOff>
      <xdr:row>8</xdr:row>
      <xdr:rowOff>283028</xdr:rowOff>
    </xdr:to>
    <xdr:sp macro="" textlink="">
      <xdr:nvSpPr>
        <xdr:cNvPr id="3" name="CaixaDeTexto 3">
          <a:extLst>
            <a:ext uri="{FF2B5EF4-FFF2-40B4-BE49-F238E27FC236}">
              <a16:creationId xmlns:a16="http://schemas.microsoft.com/office/drawing/2014/main" id="{6E629530-DE37-5747-9E99-0F6D53DB65BE}"/>
            </a:ext>
          </a:extLst>
        </xdr:cNvPr>
        <xdr:cNvSpPr txBox="1"/>
      </xdr:nvSpPr>
      <xdr:spPr>
        <a:xfrm>
          <a:off x="17644883" y="493414"/>
          <a:ext cx="1008109" cy="1270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⚓️ 0% a 15%</a:t>
          </a:r>
          <a:r>
            <a:rPr lang="pt-BR" sz="1100"/>
            <a:t> 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🐢 15% a 30%</a:t>
          </a:r>
          <a:r>
            <a:rPr lang="pt-BR" sz="1100"/>
            <a:t>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🛵 30% a 50%</a:t>
          </a:r>
          <a:r>
            <a:rPr lang="pt-BR" sz="1100"/>
            <a:t> 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🚙 50% a 70%</a:t>
          </a:r>
          <a:r>
            <a:rPr lang="pt-BR" sz="1100"/>
            <a:t>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🏎</a:t>
          </a:r>
          <a:r>
            <a:rPr lang="pt-BR" sz="1100"/>
            <a:t> </a:t>
          </a:r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70% a 90%</a:t>
          </a:r>
          <a:r>
            <a:rPr lang="pt-BR" sz="1100"/>
            <a:t>  </a:t>
          </a:r>
        </a:p>
        <a:p>
          <a:r>
            <a:rPr lang="pt-B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🛩 + de 90%</a:t>
          </a:r>
          <a:r>
            <a:rPr lang="pt-BR" sz="1100"/>
            <a:t>  </a:t>
          </a:r>
        </a:p>
      </xdr:txBody>
    </xdr:sp>
    <xdr:clientData/>
  </xdr:twoCellAnchor>
  <xdr:twoCellAnchor>
    <xdr:from>
      <xdr:col>31</xdr:col>
      <xdr:colOff>341008</xdr:colOff>
      <xdr:row>5</xdr:row>
      <xdr:rowOff>14444</xdr:rowOff>
    </xdr:from>
    <xdr:to>
      <xdr:col>32</xdr:col>
      <xdr:colOff>714284</xdr:colOff>
      <xdr:row>8</xdr:row>
      <xdr:rowOff>283029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20457FB-188D-284F-8398-CD4822B400C8}"/>
            </a:ext>
          </a:extLst>
        </xdr:cNvPr>
        <xdr:cNvSpPr txBox="1"/>
      </xdr:nvSpPr>
      <xdr:spPr>
        <a:xfrm>
          <a:off x="18708837" y="493415"/>
          <a:ext cx="1200590" cy="1270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🔙  Abaixo de 0%</a:t>
          </a:r>
        </a:p>
        <a:p>
          <a:r>
            <a:rPr lang="pt-BR" sz="1100"/>
            <a:t>🥾 De 0% a 10%</a:t>
          </a:r>
        </a:p>
        <a:p>
          <a:r>
            <a:rPr lang="pt-BR" sz="1100"/>
            <a:t>🛴 De 10% a 20%</a:t>
          </a:r>
        </a:p>
        <a:p>
          <a:r>
            <a:rPr lang="pt-BR" sz="1100"/>
            <a:t>🚴‍♂️</a:t>
          </a:r>
          <a:r>
            <a:rPr lang="pt-BR" sz="1100" baseline="0"/>
            <a:t> De 20% a 50%</a:t>
          </a:r>
          <a:endParaRPr lang="pt-BR" sz="1100"/>
        </a:p>
        <a:p>
          <a:r>
            <a:rPr lang="pt-BR" sz="1100"/>
            <a:t>🚖 De 50% a 75%</a:t>
          </a:r>
        </a:p>
        <a:p>
          <a:r>
            <a:rPr lang="pt-BR" sz="1100"/>
            <a:t>🚁 Acima de 75%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586152</xdr:colOff>
      <xdr:row>19</xdr:row>
      <xdr:rowOff>29305</xdr:rowOff>
    </xdr:from>
    <xdr:to>
      <xdr:col>9</xdr:col>
      <xdr:colOff>996461</xdr:colOff>
      <xdr:row>38</xdr:row>
      <xdr:rowOff>87922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673936-1C05-2C48-838C-C617FB548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amigodopairico.com.br/paq" TargetMode="External"/><Relationship Id="rId1" Type="http://schemas.openxmlformats.org/officeDocument/2006/relationships/hyperlink" Target="https://www.amigodopairico.com.br/paq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CF67-68E1-BA49-815F-8F839C182D13}">
  <sheetPr codeName="Planilha1"/>
  <dimension ref="A1:AX434"/>
  <sheetViews>
    <sheetView showGridLines="0" tabSelected="1" topLeftCell="A4" zoomScale="170" zoomScaleNormal="170" workbookViewId="0">
      <pane ySplit="10" topLeftCell="A14" activePane="bottomLeft" state="frozenSplit"/>
      <selection activeCell="A10" sqref="A10"/>
      <selection pane="bottomLeft" activeCell="D8" sqref="D8"/>
    </sheetView>
  </sheetViews>
  <sheetFormatPr baseColWidth="10" defaultColWidth="10.83203125" defaultRowHeight="19" outlineLevelRow="1" outlineLevelCol="1" x14ac:dyDescent="0.2"/>
  <cols>
    <col min="1" max="2" width="5.1640625" style="18" customWidth="1"/>
    <col min="3" max="3" width="11.1640625" style="18" customWidth="1"/>
    <col min="4" max="4" width="11.83203125" style="5" customWidth="1"/>
    <col min="5" max="5" width="5.5" style="7" customWidth="1"/>
    <col min="6" max="6" width="10.6640625" style="5" customWidth="1"/>
    <col min="7" max="7" width="12" style="5" customWidth="1"/>
    <col min="8" max="8" width="6.83203125" style="20" customWidth="1"/>
    <col min="9" max="9" width="5.5" style="59" customWidth="1"/>
    <col min="10" max="10" width="10.83203125" style="10" hidden="1" customWidth="1" outlineLevel="1"/>
    <col min="11" max="11" width="6.5" style="10" hidden="1" customWidth="1" outlineLevel="1"/>
    <col min="12" max="12" width="11.83203125" style="8" customWidth="1" collapsed="1"/>
    <col min="13" max="13" width="13" style="10" hidden="1" customWidth="1" outlineLevel="1"/>
    <col min="14" max="14" width="14.33203125" style="5" customWidth="1" collapsed="1"/>
    <col min="15" max="15" width="12.5" style="5" customWidth="1"/>
    <col min="16" max="16" width="5.83203125" style="5" customWidth="1"/>
    <col min="17" max="17" width="4" style="5" customWidth="1"/>
    <col min="18" max="18" width="10.6640625" style="11" customWidth="1"/>
    <col min="19" max="19" width="10.83203125" style="5"/>
    <col min="20" max="20" width="9.5" style="5" customWidth="1"/>
    <col min="21" max="21" width="11.1640625" style="5" customWidth="1"/>
    <col min="22" max="22" width="11.83203125" style="10" hidden="1" customWidth="1" outlineLevel="1"/>
    <col min="23" max="23" width="11.1640625" style="5" customWidth="1" collapsed="1"/>
    <col min="24" max="24" width="19.5" style="5" customWidth="1"/>
    <col min="25" max="25" width="14.6640625" style="5" customWidth="1"/>
    <col min="26" max="26" width="10" style="5" customWidth="1"/>
    <col min="27" max="27" width="8.83203125" style="18" hidden="1" customWidth="1"/>
    <col min="28" max="29" width="6.6640625" style="18" hidden="1" customWidth="1"/>
    <col min="30" max="31" width="8.1640625" style="5" customWidth="1"/>
    <col min="32" max="35" width="10.83203125" style="5"/>
    <col min="36" max="50" width="10.83203125" style="5" hidden="1" customWidth="1"/>
    <col min="51" max="16384" width="10.83203125" style="5"/>
  </cols>
  <sheetData>
    <row r="1" spans="1:50" hidden="1" x14ac:dyDescent="0.2">
      <c r="R1" s="5"/>
    </row>
    <row r="2" spans="1:50" hidden="1" x14ac:dyDescent="0.2">
      <c r="R2" s="5"/>
    </row>
    <row r="3" spans="1:50" hidden="1" x14ac:dyDescent="0.2">
      <c r="R3" s="5"/>
    </row>
    <row r="4" spans="1:50" s="70" customFormat="1" x14ac:dyDescent="0.2">
      <c r="E4" s="72"/>
      <c r="F4" s="69" t="s">
        <v>64</v>
      </c>
      <c r="H4" s="73"/>
      <c r="I4" s="74"/>
      <c r="J4" s="71"/>
      <c r="K4" s="71"/>
      <c r="L4" s="71"/>
      <c r="M4" s="71"/>
      <c r="O4" s="69"/>
      <c r="V4" s="71"/>
      <c r="X4" s="69" t="s">
        <v>64</v>
      </c>
      <c r="Y4" s="69"/>
    </row>
    <row r="5" spans="1:50" s="81" customFormat="1" ht="26" x14ac:dyDescent="0.3">
      <c r="A5" s="110">
        <f>SUM(A15:A434)</f>
        <v>2525</v>
      </c>
      <c r="B5" s="110">
        <f>SUM(B15:B434)</f>
        <v>7575</v>
      </c>
      <c r="C5" s="111"/>
      <c r="D5" s="138" t="s">
        <v>11</v>
      </c>
      <c r="E5" s="137"/>
      <c r="F5" s="110">
        <f>SUM(F15:F434)</f>
        <v>48371.802285953214</v>
      </c>
      <c r="G5" s="110">
        <f>SUM(G15:G434)</f>
        <v>110312.28487688585</v>
      </c>
      <c r="J5" s="111"/>
      <c r="K5" s="111"/>
      <c r="L5" s="110">
        <f>SUM(L15:L434)</f>
        <v>168784.08716283899</v>
      </c>
      <c r="M5" s="111"/>
      <c r="N5" s="111"/>
      <c r="O5" s="110">
        <f>SUM(O15:O434)</f>
        <v>0</v>
      </c>
      <c r="P5" s="111"/>
      <c r="Q5" s="111"/>
      <c r="R5" s="110">
        <f>SUM(R15:R434)</f>
        <v>10312.342078659025</v>
      </c>
      <c r="V5" s="82"/>
      <c r="X5" s="83"/>
      <c r="Y5" s="83"/>
      <c r="AJ5" s="93">
        <f>SUM(AJ15:AJ434)</f>
        <v>2525</v>
      </c>
      <c r="AK5" s="93">
        <f>SUM(AK15:AK434)</f>
        <v>7575</v>
      </c>
      <c r="AL5" s="91"/>
      <c r="AN5" s="92"/>
      <c r="AO5" s="93">
        <f>SUM(AO15:AO434)</f>
        <v>48371.802285953214</v>
      </c>
      <c r="AP5" s="93">
        <f>SUM(AP15:AP434)</f>
        <v>110312.28487688585</v>
      </c>
      <c r="AQ5" s="142" t="s">
        <v>11</v>
      </c>
      <c r="AR5" s="142"/>
      <c r="AS5" s="93">
        <f>SUM(AS15:AS434)</f>
        <v>168784.08716283899</v>
      </c>
      <c r="AT5" s="91"/>
      <c r="AU5" s="93">
        <f>SUM(AU15:AU434)</f>
        <v>0</v>
      </c>
      <c r="AV5" s="91"/>
      <c r="AW5" s="91"/>
      <c r="AX5" s="93">
        <f>SUM(AX15:AX434)</f>
        <v>10312.342078659025</v>
      </c>
    </row>
    <row r="6" spans="1:50" s="84" customFormat="1" ht="22" customHeight="1" outlineLevel="1" x14ac:dyDescent="0.25">
      <c r="B6" s="141" t="s">
        <v>77</v>
      </c>
      <c r="C6" s="141"/>
      <c r="D6" s="141"/>
      <c r="F6" s="143" t="s">
        <v>71</v>
      </c>
      <c r="G6" s="143"/>
      <c r="H6" s="143"/>
      <c r="I6" s="143"/>
      <c r="J6" s="96"/>
      <c r="K6" s="96"/>
      <c r="M6" s="111"/>
      <c r="N6" s="144" t="s">
        <v>72</v>
      </c>
      <c r="O6" s="144"/>
      <c r="X6" s="97"/>
      <c r="Y6" s="99" t="s">
        <v>17</v>
      </c>
      <c r="Z6" s="100">
        <v>5</v>
      </c>
      <c r="AK6" s="141" t="s">
        <v>77</v>
      </c>
      <c r="AL6" s="141"/>
      <c r="AM6" s="141"/>
      <c r="AP6" s="143" t="s">
        <v>71</v>
      </c>
      <c r="AQ6" s="143"/>
      <c r="AR6" s="143"/>
      <c r="AS6" s="143"/>
    </row>
    <row r="7" spans="1:50" s="84" customFormat="1" ht="22" customHeight="1" outlineLevel="1" x14ac:dyDescent="0.25">
      <c r="B7" s="61"/>
      <c r="C7" s="61" t="s">
        <v>80</v>
      </c>
      <c r="D7" s="90">
        <v>0.1</v>
      </c>
      <c r="E7" s="106">
        <f>((1+D7)^(1/12))-1</f>
        <v>7.9741404289037643E-3</v>
      </c>
      <c r="G7" s="61" t="s">
        <v>66</v>
      </c>
      <c r="H7" s="145">
        <v>100</v>
      </c>
      <c r="I7" s="145"/>
      <c r="J7" s="96"/>
      <c r="K7" s="96"/>
      <c r="M7" s="96"/>
      <c r="N7" s="61" t="s">
        <v>73</v>
      </c>
      <c r="O7" s="135">
        <f>COUNTIF(N15:N434,"&gt;10")+IF(COUNTIF(N15:N434,"&gt;10")+1&gt;H7,0,1)</f>
        <v>100</v>
      </c>
      <c r="P7" s="121" t="str">
        <f>" "&amp;TEXT(O7/12,"0,0") &amp;  " anos"</f>
        <v xml:space="preserve"> 8,3 anos</v>
      </c>
      <c r="X7" s="97"/>
      <c r="Y7" s="99" t="s">
        <v>67</v>
      </c>
      <c r="Z7" s="102">
        <f>-PMT(E7,Z6*12,D8)-L15+A15+B15</f>
        <v>648.63710976796528</v>
      </c>
      <c r="AE7" s="61"/>
      <c r="AK7" s="61"/>
      <c r="AL7" s="61" t="s">
        <v>80</v>
      </c>
      <c r="AM7" s="90">
        <f>D7</f>
        <v>0.1</v>
      </c>
      <c r="AN7" s="106">
        <f>E7</f>
        <v>7.9741404289037643E-3</v>
      </c>
      <c r="AP7" s="61"/>
      <c r="AR7" s="61" t="s">
        <v>66</v>
      </c>
      <c r="AS7" s="86">
        <f>H7</f>
        <v>100</v>
      </c>
    </row>
    <row r="8" spans="1:50" s="84" customFormat="1" ht="22" customHeight="1" outlineLevel="1" x14ac:dyDescent="0.25">
      <c r="B8" s="97"/>
      <c r="C8" s="87" t="s">
        <v>76</v>
      </c>
      <c r="D8" s="89">
        <v>100000</v>
      </c>
      <c r="G8" s="61" t="s">
        <v>83</v>
      </c>
      <c r="H8" s="146">
        <f>R5</f>
        <v>10312.342078659025</v>
      </c>
      <c r="I8" s="146"/>
      <c r="J8" s="140" t="s">
        <v>91</v>
      </c>
      <c r="M8" s="96"/>
      <c r="N8" s="61" t="s">
        <v>74</v>
      </c>
      <c r="O8" s="135">
        <f>H7-O7</f>
        <v>0</v>
      </c>
      <c r="P8" s="136" t="str">
        <f>" "&amp;TEXT(O8/12,"0,0") &amp;  " anos a menos"</f>
        <v xml:space="preserve"> 0,0 anos a menos</v>
      </c>
      <c r="S8" s="139">
        <f>IF(O8&gt;0,O5/O8,0)</f>
        <v>0</v>
      </c>
      <c r="T8" s="101" t="s">
        <v>82</v>
      </c>
      <c r="V8" s="103" t="s">
        <v>61</v>
      </c>
      <c r="X8" s="97"/>
      <c r="Y8" s="97"/>
      <c r="AE8" s="97"/>
      <c r="AK8" s="97"/>
      <c r="AL8" s="87" t="s">
        <v>76</v>
      </c>
      <c r="AM8" s="89">
        <f>D8</f>
        <v>100000</v>
      </c>
      <c r="AR8" s="61" t="s">
        <v>83</v>
      </c>
      <c r="AS8" s="88">
        <f>H8</f>
        <v>10312.342078659025</v>
      </c>
    </row>
    <row r="9" spans="1:50" s="84" customFormat="1" ht="22" customHeight="1" outlineLevel="1" x14ac:dyDescent="0.25">
      <c r="B9" s="97"/>
      <c r="C9" s="87" t="s">
        <v>75</v>
      </c>
      <c r="D9" s="107">
        <v>1.6999999999999999E-3</v>
      </c>
      <c r="G9" s="61" t="s">
        <v>85</v>
      </c>
      <c r="H9" s="146">
        <f>AS10</f>
        <v>168784.08716283899</v>
      </c>
      <c r="I9" s="146"/>
      <c r="J9" s="140" t="s">
        <v>92</v>
      </c>
      <c r="N9" s="61" t="s">
        <v>0</v>
      </c>
      <c r="O9" s="109">
        <f>SUM(L15:L434)+SUM(O15:O434)</f>
        <v>168784.08716283899</v>
      </c>
      <c r="Q9" s="96"/>
      <c r="V9" s="104">
        <f>NPV(V10,V15:V434)</f>
        <v>-100000.00000001786</v>
      </c>
      <c r="X9" s="97"/>
      <c r="Y9" s="97"/>
      <c r="AE9" s="97"/>
      <c r="AK9" s="97"/>
      <c r="AL9" s="87" t="s">
        <v>75</v>
      </c>
      <c r="AM9" s="107">
        <f>D9</f>
        <v>1.6999999999999999E-3</v>
      </c>
      <c r="AR9" s="61" t="s">
        <v>78</v>
      </c>
      <c r="AS9" s="108">
        <f>AO5+AJ5+AK5</f>
        <v>58471.802285953214</v>
      </c>
    </row>
    <row r="10" spans="1:50" s="84" customFormat="1" ht="22" customHeight="1" outlineLevel="1" x14ac:dyDescent="0.25">
      <c r="B10" s="97"/>
      <c r="C10" s="61" t="s">
        <v>62</v>
      </c>
      <c r="D10" s="134">
        <f>V13</f>
        <v>0.14199141141511284</v>
      </c>
      <c r="E10" s="106">
        <f>(1+D10)^(1/12)-1</f>
        <v>1.1125903464311859E-2</v>
      </c>
      <c r="F10" s="97"/>
      <c r="G10" s="61" t="s">
        <v>88</v>
      </c>
      <c r="H10" s="147">
        <f>AS9</f>
        <v>58471.802285953214</v>
      </c>
      <c r="I10" s="147"/>
      <c r="J10" s="84" t="s">
        <v>93</v>
      </c>
      <c r="M10" s="96"/>
      <c r="N10" s="87" t="s">
        <v>89</v>
      </c>
      <c r="O10" s="109">
        <f>SUM(F15:F434)+A5+B5</f>
        <v>58471.802285953214</v>
      </c>
      <c r="Q10" s="96"/>
      <c r="V10" s="105">
        <f>IRR(V14:V434)</f>
        <v>1.1125903464311859E-2</v>
      </c>
      <c r="X10" s="97"/>
      <c r="Y10" s="97"/>
      <c r="AE10" s="97"/>
      <c r="AK10" s="97"/>
      <c r="AL10" s="61" t="s">
        <v>62</v>
      </c>
      <c r="AM10" s="98">
        <f>D10</f>
        <v>0.14199141141511284</v>
      </c>
      <c r="AN10" s="106">
        <f>(1+AM10)^(1/12)-1</f>
        <v>1.1125903464311859E-2</v>
      </c>
      <c r="AO10" s="97"/>
      <c r="AR10" s="61" t="s">
        <v>79</v>
      </c>
      <c r="AS10" s="88">
        <f>AS5</f>
        <v>168784.08716283899</v>
      </c>
    </row>
    <row r="11" spans="1:50" s="84" customFormat="1" ht="22" customHeight="1" outlineLevel="1" x14ac:dyDescent="0.25">
      <c r="B11" s="97"/>
      <c r="C11" s="61"/>
      <c r="D11" s="95"/>
      <c r="E11" s="95"/>
      <c r="F11" s="97"/>
      <c r="N11" s="120" t="s">
        <v>84</v>
      </c>
      <c r="O11" s="119">
        <f>H9-O9</f>
        <v>0</v>
      </c>
      <c r="V11" s="105"/>
      <c r="X11" s="97"/>
      <c r="Y11" s="97"/>
      <c r="AE11" s="97"/>
      <c r="AK11" s="97"/>
      <c r="AL11" s="61"/>
      <c r="AM11" s="95"/>
      <c r="AN11" s="95"/>
      <c r="AO11" s="97"/>
    </row>
    <row r="12" spans="1:50" s="81" customFormat="1" ht="8" customHeight="1" outlineLevel="1" x14ac:dyDescent="0.2">
      <c r="X12" s="83"/>
      <c r="Y12" s="83"/>
      <c r="AQ12" s="84"/>
      <c r="AR12" s="85"/>
      <c r="AS12" s="82"/>
      <c r="AT12" s="84"/>
      <c r="AU12" s="84"/>
      <c r="AV12" s="84"/>
      <c r="AW12" s="84"/>
    </row>
    <row r="13" spans="1:50" s="22" customFormat="1" ht="21" customHeight="1" x14ac:dyDescent="0.2">
      <c r="A13" s="24" t="s">
        <v>15</v>
      </c>
      <c r="B13" s="24" t="s">
        <v>16</v>
      </c>
      <c r="C13" s="24" t="s">
        <v>70</v>
      </c>
      <c r="D13" s="24" t="s">
        <v>90</v>
      </c>
      <c r="F13" s="24" t="s">
        <v>12</v>
      </c>
      <c r="G13" s="25" t="s">
        <v>3</v>
      </c>
      <c r="H13" s="94"/>
      <c r="I13" s="94"/>
      <c r="J13" s="25" t="s">
        <v>52</v>
      </c>
      <c r="K13" s="25" t="s">
        <v>53</v>
      </c>
      <c r="L13" s="25" t="s">
        <v>18</v>
      </c>
      <c r="M13" s="25" t="s">
        <v>63</v>
      </c>
      <c r="N13" s="24" t="s">
        <v>14</v>
      </c>
      <c r="O13" s="24" t="s">
        <v>3</v>
      </c>
      <c r="P13" s="24" t="s">
        <v>29</v>
      </c>
      <c r="Q13" s="24" t="s">
        <v>81</v>
      </c>
      <c r="R13" s="26" t="s">
        <v>4</v>
      </c>
      <c r="V13" s="67">
        <f>(1+V10)^12-1</f>
        <v>0.14199141141511284</v>
      </c>
      <c r="Y13" s="23"/>
      <c r="AA13" s="25" t="s">
        <v>50</v>
      </c>
      <c r="AB13" s="25" t="s">
        <v>31</v>
      </c>
      <c r="AC13" s="25" t="s">
        <v>30</v>
      </c>
      <c r="AJ13" s="24" t="s">
        <v>15</v>
      </c>
      <c r="AK13" s="24" t="s">
        <v>16</v>
      </c>
      <c r="AL13" s="24" t="s">
        <v>70</v>
      </c>
      <c r="AM13" s="21">
        <f>AV7/12</f>
        <v>0</v>
      </c>
      <c r="AO13" s="24" t="s">
        <v>12</v>
      </c>
      <c r="AP13" s="25" t="s">
        <v>3</v>
      </c>
      <c r="AQ13" s="94"/>
      <c r="AR13" s="94"/>
      <c r="AS13" s="25" t="s">
        <v>18</v>
      </c>
      <c r="AT13" s="24" t="s">
        <v>14</v>
      </c>
      <c r="AU13" s="24" t="s">
        <v>3</v>
      </c>
      <c r="AV13" s="24" t="s">
        <v>29</v>
      </c>
      <c r="AW13" s="24" t="s">
        <v>81</v>
      </c>
      <c r="AX13" s="26" t="s">
        <v>4</v>
      </c>
    </row>
    <row r="14" spans="1:50" ht="3" customHeight="1" x14ac:dyDescent="0.2">
      <c r="B14" s="6"/>
      <c r="D14" s="4"/>
      <c r="F14" s="58"/>
      <c r="G14" s="58"/>
      <c r="H14" s="58"/>
      <c r="I14" s="30"/>
      <c r="J14" s="8"/>
      <c r="K14" s="17"/>
      <c r="L14" s="61"/>
      <c r="M14" s="14"/>
      <c r="O14" s="29"/>
      <c r="P14" s="11"/>
      <c r="R14" s="5"/>
      <c r="V14" s="68">
        <f>D8</f>
        <v>100000</v>
      </c>
      <c r="AA14" s="4"/>
      <c r="AB14" s="4"/>
      <c r="AC14" s="4"/>
      <c r="AJ14" s="18"/>
      <c r="AK14" s="6"/>
      <c r="AL14" s="18"/>
      <c r="AM14" s="4" t="s">
        <v>51</v>
      </c>
      <c r="AN14" s="7"/>
      <c r="AO14" s="58"/>
      <c r="AP14" s="58"/>
      <c r="AQ14" s="58"/>
      <c r="AR14" s="30"/>
      <c r="AS14" s="61"/>
      <c r="AU14" s="29"/>
      <c r="AV14" s="11"/>
    </row>
    <row r="15" spans="1:50" x14ac:dyDescent="0.25">
      <c r="A15" s="79">
        <v>25</v>
      </c>
      <c r="B15" s="79">
        <v>75</v>
      </c>
      <c r="C15" s="78">
        <v>46054</v>
      </c>
      <c r="D15" s="122">
        <f>IF(D8&gt;0,G15/D8,"")</f>
        <v>6.575070039899971E-3</v>
      </c>
      <c r="E15" s="123">
        <v>1</v>
      </c>
      <c r="F15" s="124">
        <f>IF(D8&gt;0,D8*$E$7,0)</f>
        <v>797.41404289037644</v>
      </c>
      <c r="G15" s="125">
        <f>IF(D8&gt;G14,L15-F15-A15-B15,D8)</f>
        <v>657.50700398999709</v>
      </c>
      <c r="H15" s="126" t="str">
        <f t="shared" ref="H15:H78" si="0">IF(L15&lt;1,"",IF(G15/L15&gt;90%,"🛩",IF(G15/L15&gt;70%,"🏎",IF(G15/L15&gt;50%,"🚙",IF(G15/L15&gt;30%,"🛵",IF(G15/L15&gt;15%,"🐢","⚓️"))))))</f>
        <v>🛵</v>
      </c>
      <c r="I15" s="127" t="str">
        <f t="shared" ref="I15:I78" si="1">IFERROR(IF((G15+O15-R15)/L15&lt;0,"🗑️",IF((G15+O15-R15)/L15&lt;10%,"🥾",IF((G15+O15-R15)/L15&lt;20%,"🛴",IF((G15+O15-R15)/L15&lt;50%,"🚴‍♂️",IF((G15+O15-R15)/L15&lt;75%,"🚖","🚁"))))),"")</f>
        <v>🚴‍♂️</v>
      </c>
      <c r="J15" s="128">
        <f t="shared" ref="J15:J78" si="2">G15+O15-R15</f>
        <v>487.50700398999709</v>
      </c>
      <c r="K15" s="129">
        <f t="shared" ref="K15:K78" si="3">IFERROR(J15/(L15+O15),0)</f>
        <v>0.31352524616479965</v>
      </c>
      <c r="L15" s="1">
        <f>-PMT(E$7,$H$7,D8)+A15+B15</f>
        <v>1554.9210468803735</v>
      </c>
      <c r="M15" s="130">
        <f>IFERROR(D8/P15-G15+L15,0)</f>
        <v>1907.5150529913867</v>
      </c>
      <c r="N15" s="131">
        <f>IF(D8-O15-G15&lt;0,0,IF(D8-G15&gt;0,D8-G15,0)-IF(D8-G15&gt;0,O15-R15,0))</f>
        <v>99512.492996009998</v>
      </c>
      <c r="O15" s="15"/>
      <c r="P15" s="32">
        <f>NPER($E$7,-L15+A15+B15,D8)-1</f>
        <v>98.999999999999986</v>
      </c>
      <c r="Q15" s="33"/>
      <c r="R15" s="75">
        <f>D8*$D$9</f>
        <v>170</v>
      </c>
      <c r="V15" s="80">
        <f t="shared" ref="V15:V78" si="4">-L15-O15</f>
        <v>-1554.9210468803735</v>
      </c>
      <c r="X15" s="63" t="s">
        <v>10</v>
      </c>
      <c r="Y15" s="8"/>
      <c r="AA15" s="4">
        <f t="shared" ref="AA15:AA78" si="5">ROUNDUP(E15/120,0)</f>
        <v>1</v>
      </c>
      <c r="AB15" s="4">
        <f t="shared" ref="AB15:AB78" si="6">ROUNDUP(E15/36,0)</f>
        <v>1</v>
      </c>
      <c r="AC15" s="12">
        <f t="shared" ref="AC15:AC78" si="7">ROUNDUP(E15/12,0)</f>
        <v>1</v>
      </c>
      <c r="AJ15" s="79">
        <v>25</v>
      </c>
      <c r="AK15" s="79">
        <f>B15</f>
        <v>75</v>
      </c>
      <c r="AL15" s="78">
        <v>46054</v>
      </c>
      <c r="AM15" s="27">
        <f>IF(AM8&gt;0,AP15/AM8,"")</f>
        <v>6.575070039899971E-3</v>
      </c>
      <c r="AN15" s="76">
        <v>1</v>
      </c>
      <c r="AO15" s="13">
        <f>IF(AM8&gt;0,AM8*$E$7,0)</f>
        <v>797.41404289037644</v>
      </c>
      <c r="AP15" s="62">
        <f>IF(AM8&gt;AP14,AS15-AO15-AJ15-AK15,AM8)</f>
        <v>657.50700398999709</v>
      </c>
      <c r="AQ15" s="9" t="str">
        <f t="shared" ref="AQ15:AQ78" si="8">IF(AS15&lt;1,"",IF(AP15/AS15&gt;90%,"🛩",IF(AP15/AS15&gt;70%,"🏎",IF(AP15/AS15&gt;50%,"🚙",IF(AP15/AS15&gt;30%,"🛵",IF(AP15/AS15&gt;15%,"🐢","⚓️"))))))</f>
        <v>🛵</v>
      </c>
      <c r="AR15" s="60" t="str">
        <f t="shared" ref="AR15:AR78" si="9">IFERROR(IF((AP15+AU15-AX15)/AS15&lt;0,"🗑️",IF((AP15+AU15-AX15)/AS15&lt;10%,"🥾",IF((AP15+AU15-AX15)/AS15&lt;20%,"🛴",IF((AP15+AU15-AX15)/AS15&lt;50%,"🚴‍♂️",IF((AP15+AU15-AX15)/AS15&lt;75%,"🚖","🚁"))))),"")</f>
        <v>🚴‍♂️</v>
      </c>
      <c r="AS15" s="8">
        <f>-PMT(AN$7,$H$7,AM8)+AJ15+AK15</f>
        <v>1554.9210468803735</v>
      </c>
      <c r="AT15" s="11">
        <f>IF(AM8-AU15-AP15&lt;0,0,IF(AM8-AP15&gt;0,AM8-AP15,0)-IF(AM8-AP15&gt;0,AU15-AX15,0))</f>
        <v>99512.492996009998</v>
      </c>
      <c r="AU15" s="15">
        <v>0</v>
      </c>
      <c r="AV15" s="32">
        <f>NPER($E$7,-AS15+AJ15+AK15,AM8)-1</f>
        <v>98.999999999999986</v>
      </c>
      <c r="AW15" s="33"/>
      <c r="AX15" s="75">
        <f>AM8*$D$9</f>
        <v>170</v>
      </c>
    </row>
    <row r="16" spans="1:50" x14ac:dyDescent="0.25">
      <c r="A16" s="5">
        <f>IF(INT(N15)=0,0,A15)</f>
        <v>25</v>
      </c>
      <c r="B16" s="5">
        <f t="shared" ref="B16:B79" si="10">IF(N15&lt;1,0,B15)</f>
        <v>75</v>
      </c>
      <c r="C16" s="77">
        <f>DATE(YEAR(C15),MONTH(C15)+1,1)</f>
        <v>46082</v>
      </c>
      <c r="D16" s="122">
        <f t="shared" ref="D16:D78" si="11">IF(N15&gt;0,G16/N15,"")</f>
        <v>6.6713225243825404E-3</v>
      </c>
      <c r="E16" s="123">
        <f t="shared" ref="E16:E79" si="12">E15+1</f>
        <v>2</v>
      </c>
      <c r="F16" s="124">
        <f t="shared" ref="F16:F79" si="13">IF(N15&gt;0,N15*$E$7,0)</f>
        <v>793.52659358048595</v>
      </c>
      <c r="G16" s="125">
        <f t="shared" ref="G16:G79" si="14">IF(N15&gt;G15,L16-F16-A16-B16,N15)</f>
        <v>663.87993598174126</v>
      </c>
      <c r="H16" s="126" t="str">
        <f t="shared" si="0"/>
        <v>🛵</v>
      </c>
      <c r="I16" s="127" t="str">
        <f t="shared" si="1"/>
        <v>🚴‍♂️</v>
      </c>
      <c r="J16" s="128">
        <f t="shared" si="2"/>
        <v>494.70869788852428</v>
      </c>
      <c r="K16" s="129">
        <f t="shared" si="3"/>
        <v>0.31764904570393859</v>
      </c>
      <c r="L16" s="1">
        <f t="shared" ref="L16:L79" si="15">IF(INT(N15)=0,0,IF(N15&lt;G15,N15+F16+A16+B16,-PMT($E$7,IF(Q15="V",P15,NPER($E$7,-L15+A16+B16,N15)),N15+R15)+A16+B16))+IF(INT(P15)=1,R16,0)</f>
        <v>1557.4065295622272</v>
      </c>
      <c r="M16" s="130">
        <f t="shared" ref="M16:M78" si="16">IFERROR(N15/P16-G16+L16,0)</f>
        <v>1906.2960739364382</v>
      </c>
      <c r="N16" s="131">
        <f t="shared" ref="N16:N78" si="17">IF(N15-O16-G16&lt;0,0,IF(N15-G16&gt;0,N15-G16,0)-IF(N15-G16&gt;0,O16-R16,0))</f>
        <v>99017.784298121478</v>
      </c>
      <c r="O16" s="15"/>
      <c r="P16" s="32">
        <f t="shared" ref="P16:P79" si="18">IFERROR(NPER($E$7,-L16+A15+B15,N15+R15)-1,0)</f>
        <v>98.257792050600614</v>
      </c>
      <c r="Q16" s="33"/>
      <c r="R16" s="75">
        <f t="shared" ref="R16:R79" si="19">N15*$D$9</f>
        <v>169.171238093217</v>
      </c>
      <c r="V16" s="68">
        <f t="shared" si="4"/>
        <v>-1557.4065295622272</v>
      </c>
      <c r="X16" s="63" t="s">
        <v>7</v>
      </c>
      <c r="Y16" s="27"/>
      <c r="AA16" s="4">
        <f t="shared" si="5"/>
        <v>1</v>
      </c>
      <c r="AB16" s="4">
        <f t="shared" si="6"/>
        <v>1</v>
      </c>
      <c r="AC16" s="12">
        <f t="shared" si="7"/>
        <v>1</v>
      </c>
      <c r="AJ16" s="5">
        <f>IF(INT(AT15)=0,0,AJ15)</f>
        <v>25</v>
      </c>
      <c r="AK16" s="5">
        <f t="shared" ref="AK16:AK79" si="20">IF(AT15&lt;1,0,AK15)</f>
        <v>75</v>
      </c>
      <c r="AL16" s="77">
        <f>DATE(YEAR(AL15),MONTH(AL15)+1,1)</f>
        <v>46082</v>
      </c>
      <c r="AM16" s="27">
        <f t="shared" ref="AM16:AM79" si="21">IF(AT15&gt;0,AP16/AT15,"")</f>
        <v>6.6713225243825404E-3</v>
      </c>
      <c r="AN16" s="76">
        <f t="shared" ref="AN16:AN79" si="22">AN15+1</f>
        <v>2</v>
      </c>
      <c r="AO16" s="13">
        <f t="shared" ref="AO16:AO79" si="23">IF(AT15&gt;0,AT15*$E$7,0)</f>
        <v>793.52659358048595</v>
      </c>
      <c r="AP16" s="62">
        <f t="shared" ref="AP16:AP79" si="24">IF(AT15&gt;AP15,AS16-AO16-AJ16-AK16,AT15)</f>
        <v>663.87993598174126</v>
      </c>
      <c r="AQ16" s="9" t="str">
        <f t="shared" si="8"/>
        <v>🛵</v>
      </c>
      <c r="AR16" s="60" t="str">
        <f t="shared" si="9"/>
        <v>🚴‍♂️</v>
      </c>
      <c r="AS16" s="8">
        <f t="shared" ref="AS16:AS79" si="25">IF(INT(AT15)=0,0,IF(AT15&lt;AP15,AT15+AO16+AJ16+AK16,-PMT($E$7,IF(AW15="V",AV15,NPER($E$7,-AS15+AJ16+AK16,AT15)),AT15+AX15)+AJ16+AK16))+IF(INT(AV15)=1,AX16,0)</f>
        <v>1557.4065295622272</v>
      </c>
      <c r="AT16" s="11">
        <f t="shared" ref="AT16:AT79" si="26">IF(AT15-AU16-AP16&lt;0,0,IF(AT15-AP16&gt;0,AT15-AP16,0)-IF(AT15-AP16&gt;0,AU16-AX16,0))</f>
        <v>99017.784298121478</v>
      </c>
      <c r="AU16" s="15">
        <v>0</v>
      </c>
      <c r="AV16" s="32">
        <f t="shared" ref="AV16:AV79" si="27">IFERROR(NPER($E$7,-AS16+AJ15+AK15,AT15+AX15)-1,0)</f>
        <v>98.257792050600614</v>
      </c>
      <c r="AW16" s="33"/>
      <c r="AX16" s="75">
        <f t="shared" ref="AX16:AX79" si="28">AT15*$D$9</f>
        <v>169.171238093217</v>
      </c>
    </row>
    <row r="17" spans="1:50" x14ac:dyDescent="0.25">
      <c r="A17" s="5">
        <f t="shared" ref="A17:A80" si="29">IF(N16&lt;1,0,A16)</f>
        <v>25</v>
      </c>
      <c r="B17" s="5">
        <f t="shared" si="10"/>
        <v>75</v>
      </c>
      <c r="C17" s="77">
        <f>DATE(YEAR(C16),MONTH(C16)+1,1)</f>
        <v>46113</v>
      </c>
      <c r="D17" s="122">
        <f t="shared" si="11"/>
        <v>6.7696402914233424E-3</v>
      </c>
      <c r="E17" s="123">
        <f t="shared" si="12"/>
        <v>3</v>
      </c>
      <c r="F17" s="124">
        <f t="shared" si="13"/>
        <v>789.58171695212286</v>
      </c>
      <c r="G17" s="125">
        <f t="shared" si="14"/>
        <v>670.31478215202878</v>
      </c>
      <c r="H17" s="126" t="str">
        <f t="shared" si="0"/>
        <v>🛵</v>
      </c>
      <c r="I17" s="127" t="str">
        <f t="shared" si="1"/>
        <v>🚴‍♂️</v>
      </c>
      <c r="J17" s="128">
        <f t="shared" si="2"/>
        <v>501.98454884522232</v>
      </c>
      <c r="K17" s="129">
        <f t="shared" si="3"/>
        <v>0.32180631800475989</v>
      </c>
      <c r="L17" s="1">
        <f t="shared" si="15"/>
        <v>1559.8964991041516</v>
      </c>
      <c r="M17" s="130">
        <f t="shared" si="16"/>
        <v>1907.712251102665</v>
      </c>
      <c r="N17" s="131">
        <f t="shared" si="17"/>
        <v>98515.799749276266</v>
      </c>
      <c r="O17" s="15"/>
      <c r="P17" s="32">
        <f t="shared" si="18"/>
        <v>97.254508117404683</v>
      </c>
      <c r="Q17" s="33"/>
      <c r="R17" s="75">
        <f t="shared" si="19"/>
        <v>168.33023330680649</v>
      </c>
      <c r="V17" s="68">
        <f t="shared" si="4"/>
        <v>-1559.8964991041516</v>
      </c>
      <c r="X17" s="63" t="s">
        <v>8</v>
      </c>
      <c r="Y17" s="27"/>
      <c r="AA17" s="4">
        <f t="shared" si="5"/>
        <v>1</v>
      </c>
      <c r="AB17" s="4">
        <f t="shared" si="6"/>
        <v>1</v>
      </c>
      <c r="AC17" s="12">
        <f t="shared" si="7"/>
        <v>1</v>
      </c>
      <c r="AJ17" s="5">
        <f t="shared" ref="AJ17:AJ80" si="30">IF(AT16&lt;1,0,AJ16)</f>
        <v>25</v>
      </c>
      <c r="AK17" s="5">
        <f t="shared" si="20"/>
        <v>75</v>
      </c>
      <c r="AL17" s="77">
        <f>DATE(YEAR(AL16),MONTH(AL16)+1,1)</f>
        <v>46113</v>
      </c>
      <c r="AM17" s="27">
        <f t="shared" si="21"/>
        <v>6.7696402914233424E-3</v>
      </c>
      <c r="AN17" s="76">
        <f t="shared" si="22"/>
        <v>3</v>
      </c>
      <c r="AO17" s="13">
        <f t="shared" si="23"/>
        <v>789.58171695212286</v>
      </c>
      <c r="AP17" s="62">
        <f t="shared" si="24"/>
        <v>670.31478215202878</v>
      </c>
      <c r="AQ17" s="9" t="str">
        <f t="shared" si="8"/>
        <v>🛵</v>
      </c>
      <c r="AR17" s="60" t="str">
        <f t="shared" si="9"/>
        <v>🚴‍♂️</v>
      </c>
      <c r="AS17" s="8">
        <f t="shared" si="25"/>
        <v>1559.8964991041516</v>
      </c>
      <c r="AT17" s="11">
        <f t="shared" si="26"/>
        <v>98515.799749276266</v>
      </c>
      <c r="AU17" s="15">
        <v>0</v>
      </c>
      <c r="AV17" s="32">
        <f t="shared" si="27"/>
        <v>97.254508117404683</v>
      </c>
      <c r="AW17" s="33"/>
      <c r="AX17" s="75">
        <f t="shared" si="28"/>
        <v>168.33023330680649</v>
      </c>
    </row>
    <row r="18" spans="1:50" x14ac:dyDescent="0.25">
      <c r="A18" s="5">
        <f t="shared" si="29"/>
        <v>25</v>
      </c>
      <c r="B18" s="5">
        <f t="shared" si="10"/>
        <v>75</v>
      </c>
      <c r="C18" s="77">
        <f t="shared" ref="C18:C81" si="31">DATE(YEAR(C17),MONTH(C17)+1,1)</f>
        <v>46143</v>
      </c>
      <c r="D18" s="122">
        <f t="shared" si="11"/>
        <v>6.8700873288835987E-3</v>
      </c>
      <c r="E18" s="123">
        <f t="shared" si="12"/>
        <v>4</v>
      </c>
      <c r="F18" s="124">
        <f t="shared" si="13"/>
        <v>785.57882166649119</v>
      </c>
      <c r="G18" s="125">
        <f t="shared" si="14"/>
        <v>676.81214755233691</v>
      </c>
      <c r="H18" s="126" t="str">
        <f t="shared" si="0"/>
        <v>🛵</v>
      </c>
      <c r="I18" s="127" t="str">
        <f t="shared" si="1"/>
        <v>🚴‍♂️</v>
      </c>
      <c r="J18" s="128">
        <f t="shared" si="2"/>
        <v>509.33528797856729</v>
      </c>
      <c r="K18" s="129">
        <f t="shared" si="3"/>
        <v>0.32599733230231565</v>
      </c>
      <c r="L18" s="1">
        <f t="shared" si="15"/>
        <v>1562.3909692188281</v>
      </c>
      <c r="M18" s="130">
        <f t="shared" si="16"/>
        <v>1909.1063331955625</v>
      </c>
      <c r="N18" s="131">
        <f t="shared" si="17"/>
        <v>98006.464461297699</v>
      </c>
      <c r="O18" s="15"/>
      <c r="P18" s="32">
        <f t="shared" si="18"/>
        <v>96.251247416008638</v>
      </c>
      <c r="Q18" s="33"/>
      <c r="R18" s="75">
        <f t="shared" si="19"/>
        <v>167.47685957376964</v>
      </c>
      <c r="V18" s="68">
        <f t="shared" si="4"/>
        <v>-1562.3909692188281</v>
      </c>
      <c r="X18" s="63" t="s">
        <v>9</v>
      </c>
      <c r="Y18" s="27"/>
      <c r="AA18" s="4">
        <f t="shared" si="5"/>
        <v>1</v>
      </c>
      <c r="AB18" s="4">
        <f t="shared" si="6"/>
        <v>1</v>
      </c>
      <c r="AC18" s="12">
        <f t="shared" si="7"/>
        <v>1</v>
      </c>
      <c r="AJ18" s="5">
        <f t="shared" si="30"/>
        <v>25</v>
      </c>
      <c r="AK18" s="5">
        <f t="shared" si="20"/>
        <v>75</v>
      </c>
      <c r="AL18" s="77">
        <f t="shared" ref="AL18:AL81" si="32">DATE(YEAR(AL17),MONTH(AL17)+1,1)</f>
        <v>46143</v>
      </c>
      <c r="AM18" s="27">
        <f t="shared" si="21"/>
        <v>6.8700873288835987E-3</v>
      </c>
      <c r="AN18" s="76">
        <f t="shared" si="22"/>
        <v>4</v>
      </c>
      <c r="AO18" s="13">
        <f t="shared" si="23"/>
        <v>785.57882166649119</v>
      </c>
      <c r="AP18" s="62">
        <f t="shared" si="24"/>
        <v>676.81214755233691</v>
      </c>
      <c r="AQ18" s="9" t="str">
        <f t="shared" si="8"/>
        <v>🛵</v>
      </c>
      <c r="AR18" s="60" t="str">
        <f t="shared" si="9"/>
        <v>🚴‍♂️</v>
      </c>
      <c r="AS18" s="8">
        <f t="shared" si="25"/>
        <v>1562.3909692188281</v>
      </c>
      <c r="AT18" s="11">
        <f t="shared" si="26"/>
        <v>98006.464461297699</v>
      </c>
      <c r="AU18" s="15">
        <v>0</v>
      </c>
      <c r="AV18" s="32">
        <f t="shared" si="27"/>
        <v>96.251247416008638</v>
      </c>
      <c r="AW18" s="33"/>
      <c r="AX18" s="75">
        <f t="shared" si="28"/>
        <v>167.47685957376964</v>
      </c>
    </row>
    <row r="19" spans="1:50" x14ac:dyDescent="0.25">
      <c r="A19" s="5">
        <f t="shared" si="29"/>
        <v>25</v>
      </c>
      <c r="B19" s="5">
        <f t="shared" si="10"/>
        <v>75</v>
      </c>
      <c r="C19" s="77">
        <f t="shared" si="31"/>
        <v>46174</v>
      </c>
      <c r="D19" s="122">
        <f t="shared" si="11"/>
        <v>6.9727302891362513E-3</v>
      </c>
      <c r="E19" s="123">
        <f t="shared" si="12"/>
        <v>5</v>
      </c>
      <c r="F19" s="124">
        <f t="shared" si="13"/>
        <v>781.51731055475398</v>
      </c>
      <c r="G19" s="125">
        <f t="shared" si="14"/>
        <v>683.37264328044603</v>
      </c>
      <c r="H19" s="126" t="str">
        <f t="shared" si="0"/>
        <v>🛵</v>
      </c>
      <c r="I19" s="127" t="str">
        <f t="shared" si="1"/>
        <v>🚴‍♂️</v>
      </c>
      <c r="J19" s="128">
        <f t="shared" si="2"/>
        <v>516.76165369623993</v>
      </c>
      <c r="K19" s="129">
        <f t="shared" si="3"/>
        <v>0.33022236000031258</v>
      </c>
      <c r="L19" s="1">
        <f t="shared" si="15"/>
        <v>1564.8899538352</v>
      </c>
      <c r="M19" s="130">
        <f t="shared" si="16"/>
        <v>1910.478070015246</v>
      </c>
      <c r="N19" s="131">
        <f t="shared" si="17"/>
        <v>97489.702807601469</v>
      </c>
      <c r="O19" s="15"/>
      <c r="P19" s="32">
        <f t="shared" si="18"/>
        <v>95.248009761504179</v>
      </c>
      <c r="Q19" s="33"/>
      <c r="R19" s="75">
        <f t="shared" si="19"/>
        <v>166.61098958420607</v>
      </c>
      <c r="V19" s="68">
        <f t="shared" si="4"/>
        <v>-1564.8899538352</v>
      </c>
      <c r="X19" s="5" t="s">
        <v>5</v>
      </c>
      <c r="Y19" s="8"/>
      <c r="AA19" s="4">
        <f t="shared" si="5"/>
        <v>1</v>
      </c>
      <c r="AB19" s="4">
        <f t="shared" si="6"/>
        <v>1</v>
      </c>
      <c r="AC19" s="12">
        <f t="shared" si="7"/>
        <v>1</v>
      </c>
      <c r="AJ19" s="5">
        <f t="shared" si="30"/>
        <v>25</v>
      </c>
      <c r="AK19" s="5">
        <f t="shared" si="20"/>
        <v>75</v>
      </c>
      <c r="AL19" s="77">
        <f t="shared" si="32"/>
        <v>46174</v>
      </c>
      <c r="AM19" s="27">
        <f t="shared" si="21"/>
        <v>6.9727302891362513E-3</v>
      </c>
      <c r="AN19" s="76">
        <f t="shared" si="22"/>
        <v>5</v>
      </c>
      <c r="AO19" s="13">
        <f t="shared" si="23"/>
        <v>781.51731055475398</v>
      </c>
      <c r="AP19" s="62">
        <f t="shared" si="24"/>
        <v>683.37264328044603</v>
      </c>
      <c r="AQ19" s="9" t="str">
        <f t="shared" si="8"/>
        <v>🛵</v>
      </c>
      <c r="AR19" s="60" t="str">
        <f t="shared" si="9"/>
        <v>🚴‍♂️</v>
      </c>
      <c r="AS19" s="8">
        <f t="shared" si="25"/>
        <v>1564.8899538352</v>
      </c>
      <c r="AT19" s="11">
        <f t="shared" si="26"/>
        <v>97489.702807601469</v>
      </c>
      <c r="AU19" s="15">
        <v>0</v>
      </c>
      <c r="AV19" s="32">
        <f t="shared" si="27"/>
        <v>95.248009761504179</v>
      </c>
      <c r="AW19" s="33"/>
      <c r="AX19" s="75">
        <f t="shared" si="28"/>
        <v>166.61098958420607</v>
      </c>
    </row>
    <row r="20" spans="1:50" x14ac:dyDescent="0.25">
      <c r="A20" s="5">
        <f t="shared" si="29"/>
        <v>25</v>
      </c>
      <c r="B20" s="5">
        <f t="shared" si="10"/>
        <v>75</v>
      </c>
      <c r="C20" s="77">
        <f t="shared" si="31"/>
        <v>46204</v>
      </c>
      <c r="D20" s="122">
        <f t="shared" si="11"/>
        <v>7.0776386292693595E-3</v>
      </c>
      <c r="E20" s="123">
        <f t="shared" si="12"/>
        <v>6</v>
      </c>
      <c r="F20" s="124">
        <f t="shared" si="13"/>
        <v>777.39658055990765</v>
      </c>
      <c r="G20" s="125">
        <f t="shared" si="14"/>
        <v>689.99688654706972</v>
      </c>
      <c r="H20" s="126" t="str">
        <f t="shared" si="0"/>
        <v>🛵</v>
      </c>
      <c r="I20" s="127" t="str">
        <f t="shared" si="1"/>
        <v>🚴‍♂️</v>
      </c>
      <c r="J20" s="128">
        <f t="shared" si="2"/>
        <v>524.26439177414727</v>
      </c>
      <c r="K20" s="129">
        <f t="shared" si="3"/>
        <v>0.33448167468874956</v>
      </c>
      <c r="L20" s="1">
        <f t="shared" si="15"/>
        <v>1567.3934671069774</v>
      </c>
      <c r="M20" s="130">
        <f t="shared" si="16"/>
        <v>1911.8272123858355</v>
      </c>
      <c r="N20" s="131">
        <f t="shared" si="17"/>
        <v>96965.438415827317</v>
      </c>
      <c r="O20" s="15"/>
      <c r="P20" s="32">
        <f t="shared" si="18"/>
        <v>94.244794970463403</v>
      </c>
      <c r="Q20" s="33"/>
      <c r="R20" s="75">
        <f t="shared" si="19"/>
        <v>165.73249477292248</v>
      </c>
      <c r="V20" s="68">
        <f t="shared" si="4"/>
        <v>-1567.3934671069774</v>
      </c>
      <c r="X20" s="5" t="s">
        <v>6</v>
      </c>
      <c r="Y20" s="8"/>
      <c r="AA20" s="4">
        <f t="shared" si="5"/>
        <v>1</v>
      </c>
      <c r="AB20" s="4">
        <f t="shared" si="6"/>
        <v>1</v>
      </c>
      <c r="AC20" s="12">
        <f t="shared" si="7"/>
        <v>1</v>
      </c>
      <c r="AJ20" s="5">
        <f t="shared" si="30"/>
        <v>25</v>
      </c>
      <c r="AK20" s="5">
        <f t="shared" si="20"/>
        <v>75</v>
      </c>
      <c r="AL20" s="77">
        <f t="shared" si="32"/>
        <v>46204</v>
      </c>
      <c r="AM20" s="27">
        <f t="shared" si="21"/>
        <v>7.0776386292693595E-3</v>
      </c>
      <c r="AN20" s="76">
        <f t="shared" si="22"/>
        <v>6</v>
      </c>
      <c r="AO20" s="13">
        <f t="shared" si="23"/>
        <v>777.39658055990765</v>
      </c>
      <c r="AP20" s="62">
        <f t="shared" si="24"/>
        <v>689.99688654706972</v>
      </c>
      <c r="AQ20" s="9" t="str">
        <f t="shared" si="8"/>
        <v>🛵</v>
      </c>
      <c r="AR20" s="60" t="str">
        <f t="shared" si="9"/>
        <v>🚴‍♂️</v>
      </c>
      <c r="AS20" s="8">
        <f t="shared" si="25"/>
        <v>1567.3934671069774</v>
      </c>
      <c r="AT20" s="11">
        <f t="shared" si="26"/>
        <v>96965.438415827317</v>
      </c>
      <c r="AU20" s="15">
        <v>0</v>
      </c>
      <c r="AV20" s="32">
        <f t="shared" si="27"/>
        <v>94.244794970463403</v>
      </c>
      <c r="AW20" s="33"/>
      <c r="AX20" s="75">
        <f t="shared" si="28"/>
        <v>165.73249477292248</v>
      </c>
    </row>
    <row r="21" spans="1:50" x14ac:dyDescent="0.25">
      <c r="A21" s="5">
        <f t="shared" si="29"/>
        <v>25</v>
      </c>
      <c r="B21" s="5">
        <f t="shared" si="10"/>
        <v>75</v>
      </c>
      <c r="C21" s="77">
        <f t="shared" si="31"/>
        <v>46235</v>
      </c>
      <c r="D21" s="122">
        <f t="shared" si="11"/>
        <v>7.1848847602367649E-3</v>
      </c>
      <c r="E21" s="123">
        <f t="shared" si="12"/>
        <v>7</v>
      </c>
      <c r="F21" s="124">
        <f t="shared" si="13"/>
        <v>773.21602267802677</v>
      </c>
      <c r="G21" s="125">
        <f t="shared" si="14"/>
        <v>696.68550074355426</v>
      </c>
      <c r="H21" s="126" t="str">
        <f t="shared" si="0"/>
        <v>🛵</v>
      </c>
      <c r="I21" s="127" t="str">
        <f t="shared" si="1"/>
        <v>🚴‍♂️</v>
      </c>
      <c r="J21" s="128">
        <f t="shared" si="2"/>
        <v>531.84425543664781</v>
      </c>
      <c r="K21" s="129">
        <f t="shared" si="3"/>
        <v>0.33877555216170491</v>
      </c>
      <c r="L21" s="1">
        <f t="shared" si="15"/>
        <v>1569.901523421581</v>
      </c>
      <c r="M21" s="130">
        <f t="shared" si="16"/>
        <v>1913.1535123890812</v>
      </c>
      <c r="N21" s="131">
        <f t="shared" si="17"/>
        <v>96433.594160390669</v>
      </c>
      <c r="O21" s="15"/>
      <c r="P21" s="32">
        <f t="shared" si="18"/>
        <v>93.241602860926832</v>
      </c>
      <c r="Q21" s="33"/>
      <c r="R21" s="75">
        <f t="shared" si="19"/>
        <v>164.84124530690642</v>
      </c>
      <c r="V21" s="68">
        <f t="shared" si="4"/>
        <v>-1569.901523421581</v>
      </c>
      <c r="Y21" s="27"/>
      <c r="AA21" s="4">
        <f t="shared" si="5"/>
        <v>1</v>
      </c>
      <c r="AB21" s="4">
        <f t="shared" si="6"/>
        <v>1</v>
      </c>
      <c r="AC21" s="12">
        <f t="shared" si="7"/>
        <v>1</v>
      </c>
      <c r="AJ21" s="5">
        <f t="shared" si="30"/>
        <v>25</v>
      </c>
      <c r="AK21" s="5">
        <f t="shared" si="20"/>
        <v>75</v>
      </c>
      <c r="AL21" s="77">
        <f t="shared" si="32"/>
        <v>46235</v>
      </c>
      <c r="AM21" s="27">
        <f t="shared" si="21"/>
        <v>7.1848847602367649E-3</v>
      </c>
      <c r="AN21" s="76">
        <f t="shared" si="22"/>
        <v>7</v>
      </c>
      <c r="AO21" s="13">
        <f t="shared" si="23"/>
        <v>773.21602267802677</v>
      </c>
      <c r="AP21" s="62">
        <f t="shared" si="24"/>
        <v>696.68550074355426</v>
      </c>
      <c r="AQ21" s="9" t="str">
        <f t="shared" si="8"/>
        <v>🛵</v>
      </c>
      <c r="AR21" s="60" t="str">
        <f t="shared" si="9"/>
        <v>🚴‍♂️</v>
      </c>
      <c r="AS21" s="8">
        <f t="shared" si="25"/>
        <v>1569.901523421581</v>
      </c>
      <c r="AT21" s="11">
        <f t="shared" si="26"/>
        <v>96433.594160390669</v>
      </c>
      <c r="AU21" s="15">
        <v>0</v>
      </c>
      <c r="AV21" s="32">
        <f t="shared" si="27"/>
        <v>93.241602860926832</v>
      </c>
      <c r="AW21" s="33"/>
      <c r="AX21" s="75">
        <f t="shared" si="28"/>
        <v>164.84124530690642</v>
      </c>
    </row>
    <row r="22" spans="1:50" x14ac:dyDescent="0.25">
      <c r="A22" s="5">
        <f t="shared" si="29"/>
        <v>25</v>
      </c>
      <c r="B22" s="5">
        <f t="shared" si="10"/>
        <v>75</v>
      </c>
      <c r="C22" s="77">
        <f t="shared" si="31"/>
        <v>46266</v>
      </c>
      <c r="D22" s="122">
        <f t="shared" si="11"/>
        <v>7.2945442056294475E-3</v>
      </c>
      <c r="E22" s="123">
        <f t="shared" si="12"/>
        <v>8</v>
      </c>
      <c r="F22" s="124">
        <f t="shared" si="13"/>
        <v>768.97502189886916</v>
      </c>
      <c r="G22" s="125">
        <f t="shared" si="14"/>
        <v>703.43911551069948</v>
      </c>
      <c r="H22" s="126" t="str">
        <f t="shared" si="0"/>
        <v>🛵</v>
      </c>
      <c r="I22" s="127" t="str">
        <f t="shared" si="1"/>
        <v>🚴‍♂️</v>
      </c>
      <c r="J22" s="128">
        <f t="shared" si="2"/>
        <v>539.50200543803533</v>
      </c>
      <c r="K22" s="129">
        <f t="shared" si="3"/>
        <v>0.3431042704352833</v>
      </c>
      <c r="L22" s="1">
        <f t="shared" si="15"/>
        <v>1572.4141374095686</v>
      </c>
      <c r="M22" s="130">
        <f t="shared" si="16"/>
        <v>1914.4567236155472</v>
      </c>
      <c r="N22" s="131">
        <f t="shared" si="17"/>
        <v>95894.092154952639</v>
      </c>
      <c r="O22" s="15"/>
      <c r="P22" s="32">
        <f t="shared" si="18"/>
        <v>92.238433252391658</v>
      </c>
      <c r="Q22" s="33"/>
      <c r="R22" s="75">
        <f t="shared" si="19"/>
        <v>163.93711007266413</v>
      </c>
      <c r="V22" s="68">
        <f t="shared" si="4"/>
        <v>-1572.4141374095686</v>
      </c>
      <c r="X22" s="64" t="s">
        <v>19</v>
      </c>
      <c r="Y22" s="27"/>
      <c r="Z22" s="28"/>
      <c r="AA22" s="4">
        <f t="shared" si="5"/>
        <v>1</v>
      </c>
      <c r="AB22" s="4">
        <f t="shared" si="6"/>
        <v>1</v>
      </c>
      <c r="AC22" s="12">
        <f t="shared" si="7"/>
        <v>1</v>
      </c>
      <c r="AJ22" s="5">
        <f t="shared" si="30"/>
        <v>25</v>
      </c>
      <c r="AK22" s="5">
        <f t="shared" si="20"/>
        <v>75</v>
      </c>
      <c r="AL22" s="77">
        <f t="shared" si="32"/>
        <v>46266</v>
      </c>
      <c r="AM22" s="27">
        <f t="shared" si="21"/>
        <v>7.2945442056294475E-3</v>
      </c>
      <c r="AN22" s="76">
        <f t="shared" si="22"/>
        <v>8</v>
      </c>
      <c r="AO22" s="13">
        <f t="shared" si="23"/>
        <v>768.97502189886916</v>
      </c>
      <c r="AP22" s="62">
        <f t="shared" si="24"/>
        <v>703.43911551069948</v>
      </c>
      <c r="AQ22" s="9" t="str">
        <f t="shared" si="8"/>
        <v>🛵</v>
      </c>
      <c r="AR22" s="60" t="str">
        <f t="shared" si="9"/>
        <v>🚴‍♂️</v>
      </c>
      <c r="AS22" s="8">
        <f t="shared" si="25"/>
        <v>1572.4141374095686</v>
      </c>
      <c r="AT22" s="11">
        <f t="shared" si="26"/>
        <v>95894.092154952639</v>
      </c>
      <c r="AU22" s="15">
        <v>0</v>
      </c>
      <c r="AV22" s="32">
        <f t="shared" si="27"/>
        <v>92.238433252391658</v>
      </c>
      <c r="AW22" s="33"/>
      <c r="AX22" s="75">
        <f t="shared" si="28"/>
        <v>163.93711007266413</v>
      </c>
    </row>
    <row r="23" spans="1:50" x14ac:dyDescent="0.25">
      <c r="A23" s="5">
        <f t="shared" si="29"/>
        <v>25</v>
      </c>
      <c r="B23" s="5">
        <f t="shared" si="10"/>
        <v>75</v>
      </c>
      <c r="C23" s="77">
        <f t="shared" si="31"/>
        <v>46296</v>
      </c>
      <c r="D23" s="122">
        <f t="shared" si="11"/>
        <v>7.4066957707993814E-3</v>
      </c>
      <c r="E23" s="123">
        <f t="shared" si="12"/>
        <v>9</v>
      </c>
      <c r="F23" s="124">
        <f t="shared" si="13"/>
        <v>764.67295714583111</v>
      </c>
      <c r="G23" s="125">
        <f t="shared" si="14"/>
        <v>710.25836680873385</v>
      </c>
      <c r="H23" s="126" t="str">
        <f t="shared" si="0"/>
        <v>🛵</v>
      </c>
      <c r="I23" s="127" t="str">
        <f t="shared" si="1"/>
        <v>🚴‍♂️</v>
      </c>
      <c r="J23" s="128">
        <f t="shared" si="2"/>
        <v>547.23841014531445</v>
      </c>
      <c r="K23" s="129">
        <f t="shared" si="3"/>
        <v>0.34746810976571935</v>
      </c>
      <c r="L23" s="1">
        <f t="shared" si="15"/>
        <v>1574.931323954565</v>
      </c>
      <c r="M23" s="130">
        <f t="shared" si="16"/>
        <v>1915.7366014347238</v>
      </c>
      <c r="N23" s="131">
        <f t="shared" si="17"/>
        <v>95346.853744807333</v>
      </c>
      <c r="O23" s="15"/>
      <c r="P23" s="32">
        <f t="shared" si="18"/>
        <v>91.235285965799648</v>
      </c>
      <c r="Q23" s="33"/>
      <c r="R23" s="75">
        <f t="shared" si="19"/>
        <v>163.01995666341946</v>
      </c>
      <c r="V23" s="68">
        <f t="shared" si="4"/>
        <v>-1574.931323954565</v>
      </c>
      <c r="X23" s="64" t="s">
        <v>20</v>
      </c>
      <c r="Y23" s="27"/>
      <c r="Z23" s="27"/>
      <c r="AA23" s="4">
        <f t="shared" si="5"/>
        <v>1</v>
      </c>
      <c r="AB23" s="4">
        <f t="shared" si="6"/>
        <v>1</v>
      </c>
      <c r="AC23" s="12">
        <f t="shared" si="7"/>
        <v>1</v>
      </c>
      <c r="AJ23" s="5">
        <f t="shared" si="30"/>
        <v>25</v>
      </c>
      <c r="AK23" s="5">
        <f t="shared" si="20"/>
        <v>75</v>
      </c>
      <c r="AL23" s="77">
        <f t="shared" si="32"/>
        <v>46296</v>
      </c>
      <c r="AM23" s="27">
        <f t="shared" si="21"/>
        <v>7.4066957707993814E-3</v>
      </c>
      <c r="AN23" s="76">
        <f t="shared" si="22"/>
        <v>9</v>
      </c>
      <c r="AO23" s="13">
        <f t="shared" si="23"/>
        <v>764.67295714583111</v>
      </c>
      <c r="AP23" s="62">
        <f t="shared" si="24"/>
        <v>710.25836680873385</v>
      </c>
      <c r="AQ23" s="9" t="str">
        <f t="shared" si="8"/>
        <v>🛵</v>
      </c>
      <c r="AR23" s="60" t="str">
        <f t="shared" si="9"/>
        <v>🚴‍♂️</v>
      </c>
      <c r="AS23" s="8">
        <f t="shared" si="25"/>
        <v>1574.931323954565</v>
      </c>
      <c r="AT23" s="11">
        <f t="shared" si="26"/>
        <v>95346.853744807333</v>
      </c>
      <c r="AU23" s="15">
        <v>0</v>
      </c>
      <c r="AV23" s="32">
        <f t="shared" si="27"/>
        <v>91.235285965799648</v>
      </c>
      <c r="AW23" s="33"/>
      <c r="AX23" s="75">
        <f t="shared" si="28"/>
        <v>163.01995666341946</v>
      </c>
    </row>
    <row r="24" spans="1:50" x14ac:dyDescent="0.25">
      <c r="A24" s="5">
        <f t="shared" si="29"/>
        <v>25</v>
      </c>
      <c r="B24" s="5">
        <f t="shared" si="10"/>
        <v>75</v>
      </c>
      <c r="C24" s="77">
        <f t="shared" si="31"/>
        <v>46327</v>
      </c>
      <c r="D24" s="122">
        <f t="shared" si="11"/>
        <v>7.5214217231320485E-3</v>
      </c>
      <c r="E24" s="123">
        <f t="shared" si="12"/>
        <v>10</v>
      </c>
      <c r="F24" s="124">
        <f t="shared" si="13"/>
        <v>760.30920121524241</v>
      </c>
      <c r="G24" s="125">
        <f t="shared" si="14"/>
        <v>717.14389698848822</v>
      </c>
      <c r="H24" s="126" t="str">
        <f t="shared" si="0"/>
        <v>🛵</v>
      </c>
      <c r="I24" s="127" t="str">
        <f t="shared" si="1"/>
        <v>🚴‍♂️</v>
      </c>
      <c r="J24" s="128">
        <f t="shared" si="2"/>
        <v>555.05424562231576</v>
      </c>
      <c r="K24" s="129">
        <f t="shared" si="3"/>
        <v>0.35186735266764146</v>
      </c>
      <c r="L24" s="1">
        <f t="shared" si="15"/>
        <v>1577.4530982037306</v>
      </c>
      <c r="M24" s="130">
        <f t="shared" si="16"/>
        <v>1916.9929032855571</v>
      </c>
      <c r="N24" s="131">
        <f t="shared" si="17"/>
        <v>94791.799499185014</v>
      </c>
      <c r="O24" s="15"/>
      <c r="P24" s="32">
        <f t="shared" si="18"/>
        <v>90.232160823525874</v>
      </c>
      <c r="Q24" s="33"/>
      <c r="R24" s="75">
        <f t="shared" si="19"/>
        <v>162.08965136617246</v>
      </c>
      <c r="V24" s="68">
        <f t="shared" si="4"/>
        <v>-1577.4530982037306</v>
      </c>
      <c r="X24" s="65" t="s">
        <v>21</v>
      </c>
      <c r="Y24" s="8"/>
      <c r="AA24" s="4">
        <f t="shared" si="5"/>
        <v>1</v>
      </c>
      <c r="AB24" s="4">
        <f t="shared" si="6"/>
        <v>1</v>
      </c>
      <c r="AC24" s="12">
        <f t="shared" si="7"/>
        <v>1</v>
      </c>
      <c r="AJ24" s="5">
        <f t="shared" si="30"/>
        <v>25</v>
      </c>
      <c r="AK24" s="5">
        <f t="shared" si="20"/>
        <v>75</v>
      </c>
      <c r="AL24" s="77">
        <f t="shared" si="32"/>
        <v>46327</v>
      </c>
      <c r="AM24" s="27">
        <f t="shared" si="21"/>
        <v>7.5214217231320485E-3</v>
      </c>
      <c r="AN24" s="76">
        <f t="shared" si="22"/>
        <v>10</v>
      </c>
      <c r="AO24" s="13">
        <f t="shared" si="23"/>
        <v>760.30920121524241</v>
      </c>
      <c r="AP24" s="62">
        <f t="shared" si="24"/>
        <v>717.14389698848822</v>
      </c>
      <c r="AQ24" s="9" t="str">
        <f t="shared" si="8"/>
        <v>🛵</v>
      </c>
      <c r="AR24" s="60" t="str">
        <f t="shared" si="9"/>
        <v>🚴‍♂️</v>
      </c>
      <c r="AS24" s="8">
        <f t="shared" si="25"/>
        <v>1577.4530982037306</v>
      </c>
      <c r="AT24" s="11">
        <f t="shared" si="26"/>
        <v>94791.799499185014</v>
      </c>
      <c r="AU24" s="15">
        <v>0</v>
      </c>
      <c r="AV24" s="32">
        <f t="shared" si="27"/>
        <v>90.232160823525874</v>
      </c>
      <c r="AW24" s="33"/>
      <c r="AX24" s="75">
        <f t="shared" si="28"/>
        <v>162.08965136617246</v>
      </c>
    </row>
    <row r="25" spans="1:50" x14ac:dyDescent="0.25">
      <c r="A25" s="5">
        <f t="shared" si="29"/>
        <v>25</v>
      </c>
      <c r="B25" s="5">
        <f t="shared" si="10"/>
        <v>75</v>
      </c>
      <c r="C25" s="77">
        <f t="shared" si="31"/>
        <v>46357</v>
      </c>
      <c r="D25" s="122">
        <f t="shared" si="11"/>
        <v>7.6388079843345922E-3</v>
      </c>
      <c r="E25" s="123">
        <f t="shared" si="12"/>
        <v>11</v>
      </c>
      <c r="F25" s="124">
        <f t="shared" si="13"/>
        <v>755.88312071499081</v>
      </c>
      <c r="G25" s="125">
        <f t="shared" si="14"/>
        <v>724.09635486381831</v>
      </c>
      <c r="H25" s="126" t="str">
        <f t="shared" si="0"/>
        <v>🛵</v>
      </c>
      <c r="I25" s="127" t="str">
        <f t="shared" si="1"/>
        <v>🚴‍♂️</v>
      </c>
      <c r="J25" s="128">
        <f t="shared" si="2"/>
        <v>562.95029571520377</v>
      </c>
      <c r="K25" s="129">
        <f t="shared" si="3"/>
        <v>0.3563022839325003</v>
      </c>
      <c r="L25" s="1">
        <f t="shared" si="15"/>
        <v>1579.9794755788091</v>
      </c>
      <c r="M25" s="130">
        <f t="shared" si="16"/>
        <v>1918.2253889890485</v>
      </c>
      <c r="N25" s="131">
        <f t="shared" si="17"/>
        <v>94228.849203469799</v>
      </c>
      <c r="O25" s="15"/>
      <c r="P25" s="32">
        <f t="shared" si="18"/>
        <v>89.229057649366837</v>
      </c>
      <c r="Q25" s="33"/>
      <c r="R25" s="75">
        <f t="shared" si="19"/>
        <v>161.14605914861451</v>
      </c>
      <c r="V25" s="68">
        <f t="shared" si="4"/>
        <v>-1579.9794755788091</v>
      </c>
      <c r="AA25" s="4">
        <f t="shared" si="5"/>
        <v>1</v>
      </c>
      <c r="AB25" s="4">
        <f t="shared" si="6"/>
        <v>1</v>
      </c>
      <c r="AC25" s="12">
        <f t="shared" si="7"/>
        <v>1</v>
      </c>
      <c r="AJ25" s="5">
        <f t="shared" si="30"/>
        <v>25</v>
      </c>
      <c r="AK25" s="5">
        <f t="shared" si="20"/>
        <v>75</v>
      </c>
      <c r="AL25" s="77">
        <f t="shared" si="32"/>
        <v>46357</v>
      </c>
      <c r="AM25" s="27">
        <f t="shared" si="21"/>
        <v>7.6388079843345922E-3</v>
      </c>
      <c r="AN25" s="76">
        <f t="shared" si="22"/>
        <v>11</v>
      </c>
      <c r="AO25" s="13">
        <f t="shared" si="23"/>
        <v>755.88312071499081</v>
      </c>
      <c r="AP25" s="62">
        <f t="shared" si="24"/>
        <v>724.09635486381831</v>
      </c>
      <c r="AQ25" s="9" t="str">
        <f t="shared" si="8"/>
        <v>🛵</v>
      </c>
      <c r="AR25" s="60" t="str">
        <f t="shared" si="9"/>
        <v>🚴‍♂️</v>
      </c>
      <c r="AS25" s="8">
        <f t="shared" si="25"/>
        <v>1579.9794755788091</v>
      </c>
      <c r="AT25" s="11">
        <f t="shared" si="26"/>
        <v>94228.849203469799</v>
      </c>
      <c r="AU25" s="15">
        <v>0</v>
      </c>
      <c r="AV25" s="32">
        <f t="shared" si="27"/>
        <v>89.229057649366837</v>
      </c>
      <c r="AW25" s="33"/>
      <c r="AX25" s="75">
        <f t="shared" si="28"/>
        <v>161.14605914861451</v>
      </c>
    </row>
    <row r="26" spans="1:50" x14ac:dyDescent="0.25">
      <c r="A26" s="5">
        <f t="shared" si="29"/>
        <v>25</v>
      </c>
      <c r="B26" s="5">
        <f t="shared" si="10"/>
        <v>75</v>
      </c>
      <c r="C26" s="77">
        <f t="shared" si="31"/>
        <v>46388</v>
      </c>
      <c r="D26" s="122">
        <f t="shared" si="11"/>
        <v>7.7589443356844111E-3</v>
      </c>
      <c r="E26" s="123">
        <f t="shared" si="12"/>
        <v>12</v>
      </c>
      <c r="F26" s="124">
        <f t="shared" si="13"/>
        <v>751.39407600246477</v>
      </c>
      <c r="G26" s="125">
        <f t="shared" si="14"/>
        <v>731.11639578532254</v>
      </c>
      <c r="H26" s="126" t="str">
        <f t="shared" si="0"/>
        <v>🛵</v>
      </c>
      <c r="I26" s="127" t="str">
        <f t="shared" si="1"/>
        <v>🚴‍♂️</v>
      </c>
      <c r="J26" s="128">
        <f t="shared" si="2"/>
        <v>570.92735213942387</v>
      </c>
      <c r="K26" s="129">
        <f t="shared" si="3"/>
        <v>0.36077319064716085</v>
      </c>
      <c r="L26" s="1">
        <f t="shared" si="15"/>
        <v>1582.5104717877873</v>
      </c>
      <c r="M26" s="130">
        <f t="shared" si="16"/>
        <v>1919.4338210846847</v>
      </c>
      <c r="N26" s="131">
        <f t="shared" si="17"/>
        <v>93657.921851330364</v>
      </c>
      <c r="O26" s="15"/>
      <c r="P26" s="32">
        <f t="shared" si="18"/>
        <v>88.225976268529095</v>
      </c>
      <c r="Q26" s="33"/>
      <c r="R26" s="75">
        <f t="shared" si="19"/>
        <v>160.18904364589864</v>
      </c>
      <c r="V26" s="68">
        <f t="shared" si="4"/>
        <v>-1582.5104717877873</v>
      </c>
      <c r="X26" s="65" t="s">
        <v>22</v>
      </c>
      <c r="Y26" s="27"/>
      <c r="AA26" s="4">
        <f t="shared" si="5"/>
        <v>1</v>
      </c>
      <c r="AB26" s="4">
        <f t="shared" si="6"/>
        <v>1</v>
      </c>
      <c r="AC26" s="12">
        <f t="shared" si="7"/>
        <v>1</v>
      </c>
      <c r="AJ26" s="5">
        <f t="shared" si="30"/>
        <v>25</v>
      </c>
      <c r="AK26" s="5">
        <f t="shared" si="20"/>
        <v>75</v>
      </c>
      <c r="AL26" s="77">
        <f t="shared" si="32"/>
        <v>46388</v>
      </c>
      <c r="AM26" s="27">
        <f t="shared" si="21"/>
        <v>7.7589443356844111E-3</v>
      </c>
      <c r="AN26" s="76">
        <f t="shared" si="22"/>
        <v>12</v>
      </c>
      <c r="AO26" s="13">
        <f t="shared" si="23"/>
        <v>751.39407600246477</v>
      </c>
      <c r="AP26" s="62">
        <f t="shared" si="24"/>
        <v>731.11639578532254</v>
      </c>
      <c r="AQ26" s="9" t="str">
        <f t="shared" si="8"/>
        <v>🛵</v>
      </c>
      <c r="AR26" s="60" t="str">
        <f t="shared" si="9"/>
        <v>🚴‍♂️</v>
      </c>
      <c r="AS26" s="8">
        <f t="shared" si="25"/>
        <v>1582.5104717877873</v>
      </c>
      <c r="AT26" s="11">
        <f t="shared" si="26"/>
        <v>93657.921851330364</v>
      </c>
      <c r="AU26" s="15">
        <v>0</v>
      </c>
      <c r="AV26" s="32">
        <f t="shared" si="27"/>
        <v>88.225976268529095</v>
      </c>
      <c r="AW26" s="33"/>
      <c r="AX26" s="75">
        <f t="shared" si="28"/>
        <v>160.18904364589864</v>
      </c>
    </row>
    <row r="27" spans="1:50" x14ac:dyDescent="0.25">
      <c r="A27" s="5">
        <f t="shared" si="29"/>
        <v>25</v>
      </c>
      <c r="B27" s="5">
        <f t="shared" si="10"/>
        <v>75</v>
      </c>
      <c r="C27" s="77">
        <f t="shared" si="31"/>
        <v>46419</v>
      </c>
      <c r="D27" s="122">
        <f t="shared" si="11"/>
        <v>7.8819246372689184E-3</v>
      </c>
      <c r="E27" s="123">
        <f t="shared" si="12"/>
        <v>13</v>
      </c>
      <c r="F27" s="124">
        <f t="shared" si="13"/>
        <v>746.8414211218028</v>
      </c>
      <c r="G27" s="125">
        <f t="shared" si="14"/>
        <v>738.20468171540779</v>
      </c>
      <c r="H27" s="126" t="str">
        <f t="shared" si="0"/>
        <v>🛵</v>
      </c>
      <c r="I27" s="127" t="str">
        <f t="shared" si="1"/>
        <v>🚴‍♂️</v>
      </c>
      <c r="J27" s="128">
        <f t="shared" si="2"/>
        <v>578.98621456814612</v>
      </c>
      <c r="K27" s="129">
        <f t="shared" si="3"/>
        <v>0.36528036221266297</v>
      </c>
      <c r="L27" s="1">
        <f t="shared" si="15"/>
        <v>1585.0461028372106</v>
      </c>
      <c r="M27" s="130">
        <f t="shared" si="16"/>
        <v>1920.6179651926543</v>
      </c>
      <c r="N27" s="131">
        <f t="shared" si="17"/>
        <v>93078.935636762224</v>
      </c>
      <c r="O27" s="15"/>
      <c r="P27" s="32">
        <f t="shared" si="18"/>
        <v>87.222916507617896</v>
      </c>
      <c r="Q27" s="33"/>
      <c r="R27" s="75">
        <f t="shared" si="19"/>
        <v>159.21846714726161</v>
      </c>
      <c r="V27" s="68">
        <f t="shared" si="4"/>
        <v>-1585.0461028372106</v>
      </c>
      <c r="X27" s="5" t="s">
        <v>23</v>
      </c>
      <c r="Y27" s="27"/>
      <c r="AA27" s="4">
        <f t="shared" si="5"/>
        <v>1</v>
      </c>
      <c r="AB27" s="4">
        <f t="shared" si="6"/>
        <v>1</v>
      </c>
      <c r="AC27" s="12">
        <f t="shared" si="7"/>
        <v>2</v>
      </c>
      <c r="AJ27" s="5">
        <f t="shared" si="30"/>
        <v>25</v>
      </c>
      <c r="AK27" s="5">
        <f t="shared" si="20"/>
        <v>75</v>
      </c>
      <c r="AL27" s="77">
        <f t="shared" si="32"/>
        <v>46419</v>
      </c>
      <c r="AM27" s="27">
        <f t="shared" si="21"/>
        <v>7.8819246372689184E-3</v>
      </c>
      <c r="AN27" s="76">
        <f t="shared" si="22"/>
        <v>13</v>
      </c>
      <c r="AO27" s="13">
        <f t="shared" si="23"/>
        <v>746.8414211218028</v>
      </c>
      <c r="AP27" s="62">
        <f t="shared" si="24"/>
        <v>738.20468171540779</v>
      </c>
      <c r="AQ27" s="9" t="str">
        <f t="shared" si="8"/>
        <v>🛵</v>
      </c>
      <c r="AR27" s="60" t="str">
        <f t="shared" si="9"/>
        <v>🚴‍♂️</v>
      </c>
      <c r="AS27" s="8">
        <f t="shared" si="25"/>
        <v>1585.0461028372106</v>
      </c>
      <c r="AT27" s="11">
        <f t="shared" si="26"/>
        <v>93078.935636762224</v>
      </c>
      <c r="AU27" s="15">
        <v>0</v>
      </c>
      <c r="AV27" s="32">
        <f t="shared" si="27"/>
        <v>87.222916507617896</v>
      </c>
      <c r="AW27" s="33"/>
      <c r="AX27" s="75">
        <f t="shared" si="28"/>
        <v>159.21846714726161</v>
      </c>
    </row>
    <row r="28" spans="1:50" x14ac:dyDescent="0.25">
      <c r="A28" s="5">
        <f t="shared" si="29"/>
        <v>25</v>
      </c>
      <c r="B28" s="5">
        <f t="shared" si="10"/>
        <v>75</v>
      </c>
      <c r="C28" s="77">
        <f t="shared" si="31"/>
        <v>46447</v>
      </c>
      <c r="D28" s="122">
        <f t="shared" si="11"/>
        <v>8.0078470623419773E-3</v>
      </c>
      <c r="E28" s="123">
        <f t="shared" si="12"/>
        <v>14</v>
      </c>
      <c r="F28" s="124">
        <f t="shared" si="13"/>
        <v>742.22450374043694</v>
      </c>
      <c r="G28" s="125">
        <f t="shared" si="14"/>
        <v>745.36188130476432</v>
      </c>
      <c r="H28" s="126" t="str">
        <f t="shared" si="0"/>
        <v>🛵</v>
      </c>
      <c r="I28" s="127" t="str">
        <f t="shared" si="1"/>
        <v>🚴‍♂️</v>
      </c>
      <c r="J28" s="128">
        <f t="shared" si="2"/>
        <v>587.12769072226854</v>
      </c>
      <c r="K28" s="129">
        <f t="shared" si="3"/>
        <v>0.36982409036315339</v>
      </c>
      <c r="L28" s="1">
        <f t="shared" si="15"/>
        <v>1587.5863850452013</v>
      </c>
      <c r="M28" s="130">
        <f t="shared" si="16"/>
        <v>1921.7775904039709</v>
      </c>
      <c r="N28" s="131">
        <f t="shared" si="17"/>
        <v>92491.80794603996</v>
      </c>
      <c r="O28" s="15"/>
      <c r="P28" s="32">
        <f t="shared" si="18"/>
        <v>86.219878194625821</v>
      </c>
      <c r="Q28" s="33"/>
      <c r="R28" s="75">
        <f t="shared" si="19"/>
        <v>158.23419058249578</v>
      </c>
      <c r="V28" s="68">
        <f t="shared" si="4"/>
        <v>-1587.5863850452013</v>
      </c>
      <c r="X28" s="5" t="s">
        <v>24</v>
      </c>
      <c r="AA28" s="4">
        <f t="shared" si="5"/>
        <v>1</v>
      </c>
      <c r="AB28" s="4">
        <f t="shared" si="6"/>
        <v>1</v>
      </c>
      <c r="AC28" s="12">
        <f t="shared" si="7"/>
        <v>2</v>
      </c>
      <c r="AJ28" s="5">
        <f t="shared" si="30"/>
        <v>25</v>
      </c>
      <c r="AK28" s="5">
        <f t="shared" si="20"/>
        <v>75</v>
      </c>
      <c r="AL28" s="77">
        <f t="shared" si="32"/>
        <v>46447</v>
      </c>
      <c r="AM28" s="27">
        <f t="shared" si="21"/>
        <v>8.0078470623419773E-3</v>
      </c>
      <c r="AN28" s="76">
        <f t="shared" si="22"/>
        <v>14</v>
      </c>
      <c r="AO28" s="13">
        <f t="shared" si="23"/>
        <v>742.22450374043694</v>
      </c>
      <c r="AP28" s="62">
        <f t="shared" si="24"/>
        <v>745.36188130476432</v>
      </c>
      <c r="AQ28" s="9" t="str">
        <f t="shared" si="8"/>
        <v>🛵</v>
      </c>
      <c r="AR28" s="60" t="str">
        <f t="shared" si="9"/>
        <v>🚴‍♂️</v>
      </c>
      <c r="AS28" s="8">
        <f t="shared" si="25"/>
        <v>1587.5863850452013</v>
      </c>
      <c r="AT28" s="11">
        <f t="shared" si="26"/>
        <v>92491.80794603996</v>
      </c>
      <c r="AU28" s="15">
        <v>0</v>
      </c>
      <c r="AV28" s="32">
        <f t="shared" si="27"/>
        <v>86.219878194625821</v>
      </c>
      <c r="AW28" s="33"/>
      <c r="AX28" s="75">
        <f t="shared" si="28"/>
        <v>158.23419058249578</v>
      </c>
    </row>
    <row r="29" spans="1:50" x14ac:dyDescent="0.25">
      <c r="A29" s="5">
        <f t="shared" si="29"/>
        <v>25</v>
      </c>
      <c r="B29" s="5">
        <f t="shared" si="10"/>
        <v>75</v>
      </c>
      <c r="C29" s="77">
        <f t="shared" si="31"/>
        <v>46478</v>
      </c>
      <c r="D29" s="122">
        <f t="shared" si="11"/>
        <v>8.1368143480270803E-3</v>
      </c>
      <c r="E29" s="123">
        <f t="shared" si="12"/>
        <v>15</v>
      </c>
      <c r="F29" s="124">
        <f t="shared" si="13"/>
        <v>737.54266508491969</v>
      </c>
      <c r="G29" s="125">
        <f t="shared" si="14"/>
        <v>752.58866997030304</v>
      </c>
      <c r="H29" s="126" t="str">
        <f t="shared" si="0"/>
        <v>🛵</v>
      </c>
      <c r="I29" s="127" t="str">
        <f t="shared" si="1"/>
        <v>🚴‍♂️</v>
      </c>
      <c r="J29" s="128">
        <f t="shared" si="2"/>
        <v>595.35259646203508</v>
      </c>
      <c r="K29" s="129">
        <f t="shared" si="3"/>
        <v>0.37440466918498871</v>
      </c>
      <c r="L29" s="1">
        <f t="shared" si="15"/>
        <v>1590.1313350552227</v>
      </c>
      <c r="M29" s="130">
        <f t="shared" si="16"/>
        <v>1922.9124697008308</v>
      </c>
      <c r="N29" s="131">
        <f t="shared" si="17"/>
        <v>91896.455349577926</v>
      </c>
      <c r="O29" s="15"/>
      <c r="P29" s="32">
        <f t="shared" si="18"/>
        <v>85.216861158921603</v>
      </c>
      <c r="Q29" s="33"/>
      <c r="R29" s="75">
        <f t="shared" si="19"/>
        <v>157.23607350826794</v>
      </c>
      <c r="V29" s="68">
        <f t="shared" si="4"/>
        <v>-1590.1313350552227</v>
      </c>
      <c r="X29" s="5" t="s">
        <v>25</v>
      </c>
      <c r="AA29" s="4">
        <f t="shared" si="5"/>
        <v>1</v>
      </c>
      <c r="AB29" s="4">
        <f t="shared" si="6"/>
        <v>1</v>
      </c>
      <c r="AC29" s="12">
        <f t="shared" si="7"/>
        <v>2</v>
      </c>
      <c r="AJ29" s="5">
        <f t="shared" si="30"/>
        <v>25</v>
      </c>
      <c r="AK29" s="5">
        <f t="shared" si="20"/>
        <v>75</v>
      </c>
      <c r="AL29" s="77">
        <f t="shared" si="32"/>
        <v>46478</v>
      </c>
      <c r="AM29" s="27">
        <f t="shared" si="21"/>
        <v>8.1368143480270803E-3</v>
      </c>
      <c r="AN29" s="76">
        <f t="shared" si="22"/>
        <v>15</v>
      </c>
      <c r="AO29" s="13">
        <f t="shared" si="23"/>
        <v>737.54266508491969</v>
      </c>
      <c r="AP29" s="62">
        <f t="shared" si="24"/>
        <v>752.58866997030304</v>
      </c>
      <c r="AQ29" s="9" t="str">
        <f t="shared" si="8"/>
        <v>🛵</v>
      </c>
      <c r="AR29" s="60" t="str">
        <f t="shared" si="9"/>
        <v>🚴‍♂️</v>
      </c>
      <c r="AS29" s="8">
        <f t="shared" si="25"/>
        <v>1590.1313350552227</v>
      </c>
      <c r="AT29" s="11">
        <f t="shared" si="26"/>
        <v>91896.455349577926</v>
      </c>
      <c r="AU29" s="15">
        <v>0</v>
      </c>
      <c r="AV29" s="32">
        <f t="shared" si="27"/>
        <v>85.216861158921603</v>
      </c>
      <c r="AW29" s="33"/>
      <c r="AX29" s="75">
        <f t="shared" si="28"/>
        <v>157.23607350826794</v>
      </c>
    </row>
    <row r="30" spans="1:50" x14ac:dyDescent="0.25">
      <c r="A30" s="5">
        <f t="shared" si="29"/>
        <v>25</v>
      </c>
      <c r="B30" s="5">
        <f t="shared" si="10"/>
        <v>75</v>
      </c>
      <c r="C30" s="77">
        <f t="shared" si="31"/>
        <v>46508</v>
      </c>
      <c r="D30" s="122">
        <f t="shared" si="11"/>
        <v>8.2689340637132763E-3</v>
      </c>
      <c r="E30" s="123">
        <f t="shared" si="12"/>
        <v>16</v>
      </c>
      <c r="F30" s="124">
        <f t="shared" si="13"/>
        <v>732.79523987601897</v>
      </c>
      <c r="G30" s="125">
        <f t="shared" si="14"/>
        <v>759.88572997463098</v>
      </c>
      <c r="H30" s="126" t="str">
        <f t="shared" si="0"/>
        <v>🛵</v>
      </c>
      <c r="I30" s="127" t="str">
        <f t="shared" si="1"/>
        <v>🚴‍♂️</v>
      </c>
      <c r="J30" s="128">
        <f t="shared" si="2"/>
        <v>603.66175588034855</v>
      </c>
      <c r="K30" s="129">
        <f t="shared" si="3"/>
        <v>0.37902239513601743</v>
      </c>
      <c r="L30" s="1">
        <f t="shared" si="15"/>
        <v>1592.6809698506499</v>
      </c>
      <c r="M30" s="130">
        <f t="shared" si="16"/>
        <v>1924.0223804097498</v>
      </c>
      <c r="N30" s="131">
        <f t="shared" si="17"/>
        <v>91292.793593697585</v>
      </c>
      <c r="O30" s="15"/>
      <c r="P30" s="32">
        <f t="shared" si="18"/>
        <v>84.213865231239026</v>
      </c>
      <c r="Q30" s="33"/>
      <c r="R30" s="75">
        <f t="shared" si="19"/>
        <v>156.22397409428245</v>
      </c>
      <c r="V30" s="68">
        <f t="shared" si="4"/>
        <v>-1592.6809698506499</v>
      </c>
      <c r="X30" s="5" t="s">
        <v>26</v>
      </c>
      <c r="AA30" s="4">
        <f t="shared" si="5"/>
        <v>1</v>
      </c>
      <c r="AB30" s="4">
        <f t="shared" si="6"/>
        <v>1</v>
      </c>
      <c r="AC30" s="12">
        <f t="shared" si="7"/>
        <v>2</v>
      </c>
      <c r="AJ30" s="5">
        <f t="shared" si="30"/>
        <v>25</v>
      </c>
      <c r="AK30" s="5">
        <f t="shared" si="20"/>
        <v>75</v>
      </c>
      <c r="AL30" s="77">
        <f t="shared" si="32"/>
        <v>46508</v>
      </c>
      <c r="AM30" s="27">
        <f t="shared" si="21"/>
        <v>8.2689340637132763E-3</v>
      </c>
      <c r="AN30" s="76">
        <f t="shared" si="22"/>
        <v>16</v>
      </c>
      <c r="AO30" s="13">
        <f t="shared" si="23"/>
        <v>732.79523987601897</v>
      </c>
      <c r="AP30" s="62">
        <f t="shared" si="24"/>
        <v>759.88572997463098</v>
      </c>
      <c r="AQ30" s="9" t="str">
        <f t="shared" si="8"/>
        <v>🛵</v>
      </c>
      <c r="AR30" s="60" t="str">
        <f t="shared" si="9"/>
        <v>🚴‍♂️</v>
      </c>
      <c r="AS30" s="8">
        <f t="shared" si="25"/>
        <v>1592.6809698506499</v>
      </c>
      <c r="AT30" s="11">
        <f t="shared" si="26"/>
        <v>91292.793593697585</v>
      </c>
      <c r="AU30" s="15">
        <v>0</v>
      </c>
      <c r="AV30" s="32">
        <f t="shared" si="27"/>
        <v>84.213865231239026</v>
      </c>
      <c r="AW30" s="33"/>
      <c r="AX30" s="75">
        <f t="shared" si="28"/>
        <v>156.22397409428245</v>
      </c>
    </row>
    <row r="31" spans="1:50" ht="18.75" customHeight="1" x14ac:dyDescent="0.25">
      <c r="A31" s="5">
        <f t="shared" si="29"/>
        <v>25</v>
      </c>
      <c r="B31" s="5">
        <f t="shared" si="10"/>
        <v>75</v>
      </c>
      <c r="C31" s="77">
        <f t="shared" si="31"/>
        <v>46539</v>
      </c>
      <c r="D31" s="122">
        <f t="shared" si="11"/>
        <v>8.4043188986178009E-3</v>
      </c>
      <c r="E31" s="123">
        <f t="shared" si="12"/>
        <v>17</v>
      </c>
      <c r="F31" s="124">
        <f t="shared" si="13"/>
        <v>727.9815562630705</v>
      </c>
      <c r="G31" s="125">
        <f t="shared" si="14"/>
        <v>767.25375050712671</v>
      </c>
      <c r="H31" s="126" t="str">
        <f t="shared" si="0"/>
        <v>🛵</v>
      </c>
      <c r="I31" s="127" t="str">
        <f t="shared" si="1"/>
        <v>🚴‍♂️</v>
      </c>
      <c r="J31" s="128">
        <f t="shared" si="2"/>
        <v>612.05600139784087</v>
      </c>
      <c r="K31" s="129">
        <f t="shared" si="3"/>
        <v>0.3836775670650393</v>
      </c>
      <c r="L31" s="1">
        <f t="shared" si="15"/>
        <v>1595.2353067701972</v>
      </c>
      <c r="M31" s="130">
        <f t="shared" si="16"/>
        <v>1925.1071046902703</v>
      </c>
      <c r="N31" s="131">
        <f t="shared" si="17"/>
        <v>90680.737592299745</v>
      </c>
      <c r="O31" s="15"/>
      <c r="P31" s="32">
        <f t="shared" si="18"/>
        <v>83.210890243665986</v>
      </c>
      <c r="Q31" s="33"/>
      <c r="R31" s="75">
        <f t="shared" si="19"/>
        <v>155.19774910928589</v>
      </c>
      <c r="V31" s="68">
        <f t="shared" si="4"/>
        <v>-1595.2353067701972</v>
      </c>
      <c r="X31" s="5" t="s">
        <v>27</v>
      </c>
      <c r="AA31" s="4">
        <f t="shared" si="5"/>
        <v>1</v>
      </c>
      <c r="AB31" s="4">
        <f t="shared" si="6"/>
        <v>1</v>
      </c>
      <c r="AC31" s="12">
        <f t="shared" si="7"/>
        <v>2</v>
      </c>
      <c r="AJ31" s="5">
        <f t="shared" si="30"/>
        <v>25</v>
      </c>
      <c r="AK31" s="5">
        <f t="shared" si="20"/>
        <v>75</v>
      </c>
      <c r="AL31" s="77">
        <f t="shared" si="32"/>
        <v>46539</v>
      </c>
      <c r="AM31" s="27">
        <f t="shared" si="21"/>
        <v>8.4043188986178009E-3</v>
      </c>
      <c r="AN31" s="76">
        <f t="shared" si="22"/>
        <v>17</v>
      </c>
      <c r="AO31" s="13">
        <f t="shared" si="23"/>
        <v>727.9815562630705</v>
      </c>
      <c r="AP31" s="62">
        <f t="shared" si="24"/>
        <v>767.25375050712671</v>
      </c>
      <c r="AQ31" s="9" t="str">
        <f t="shared" si="8"/>
        <v>🛵</v>
      </c>
      <c r="AR31" s="60" t="str">
        <f t="shared" si="9"/>
        <v>🚴‍♂️</v>
      </c>
      <c r="AS31" s="8">
        <f t="shared" si="25"/>
        <v>1595.2353067701972</v>
      </c>
      <c r="AT31" s="11">
        <f t="shared" si="26"/>
        <v>90680.737592299745</v>
      </c>
      <c r="AU31" s="15">
        <v>0</v>
      </c>
      <c r="AV31" s="32">
        <f t="shared" si="27"/>
        <v>83.210890243665986</v>
      </c>
      <c r="AW31" s="33"/>
      <c r="AX31" s="75">
        <f t="shared" si="28"/>
        <v>155.19774910928589</v>
      </c>
    </row>
    <row r="32" spans="1:50" x14ac:dyDescent="0.25">
      <c r="A32" s="5">
        <f t="shared" si="29"/>
        <v>25</v>
      </c>
      <c r="B32" s="5">
        <f t="shared" si="10"/>
        <v>75</v>
      </c>
      <c r="C32" s="77">
        <f t="shared" si="31"/>
        <v>46569</v>
      </c>
      <c r="D32" s="122">
        <f t="shared" si="11"/>
        <v>8.543086970131555E-3</v>
      </c>
      <c r="E32" s="123">
        <f t="shared" si="12"/>
        <v>18</v>
      </c>
      <c r="F32" s="124">
        <f t="shared" si="13"/>
        <v>723.10093575757082</v>
      </c>
      <c r="G32" s="125">
        <f t="shared" si="14"/>
        <v>774.69342776669464</v>
      </c>
      <c r="H32" s="126" t="str">
        <f t="shared" si="0"/>
        <v>🛵</v>
      </c>
      <c r="I32" s="127" t="str">
        <f t="shared" si="1"/>
        <v>🚴‍♂️</v>
      </c>
      <c r="J32" s="128">
        <f t="shared" si="2"/>
        <v>620.53617385978509</v>
      </c>
      <c r="K32" s="129">
        <f t="shared" si="3"/>
        <v>0.38837048623144743</v>
      </c>
      <c r="L32" s="1">
        <f t="shared" si="15"/>
        <v>1597.7943635242655</v>
      </c>
      <c r="M32" s="130">
        <f t="shared" si="16"/>
        <v>1926.1664300623077</v>
      </c>
      <c r="N32" s="131">
        <f t="shared" si="17"/>
        <v>90060.201418439974</v>
      </c>
      <c r="O32" s="15"/>
      <c r="P32" s="32">
        <f t="shared" si="18"/>
        <v>82.207936029633402</v>
      </c>
      <c r="Q32" s="33"/>
      <c r="R32" s="75">
        <f t="shared" si="19"/>
        <v>154.15725390690955</v>
      </c>
      <c r="V32" s="68">
        <f t="shared" si="4"/>
        <v>-1597.7943635242655</v>
      </c>
      <c r="X32" s="16"/>
      <c r="Y32" s="27"/>
      <c r="AA32" s="4">
        <f t="shared" si="5"/>
        <v>1</v>
      </c>
      <c r="AB32" s="4">
        <f t="shared" si="6"/>
        <v>1</v>
      </c>
      <c r="AC32" s="12">
        <f t="shared" si="7"/>
        <v>2</v>
      </c>
      <c r="AJ32" s="5">
        <f t="shared" si="30"/>
        <v>25</v>
      </c>
      <c r="AK32" s="5">
        <f t="shared" si="20"/>
        <v>75</v>
      </c>
      <c r="AL32" s="77">
        <f t="shared" si="32"/>
        <v>46569</v>
      </c>
      <c r="AM32" s="27">
        <f t="shared" si="21"/>
        <v>8.543086970131555E-3</v>
      </c>
      <c r="AN32" s="76">
        <f t="shared" si="22"/>
        <v>18</v>
      </c>
      <c r="AO32" s="13">
        <f t="shared" si="23"/>
        <v>723.10093575757082</v>
      </c>
      <c r="AP32" s="62">
        <f t="shared" si="24"/>
        <v>774.69342776669464</v>
      </c>
      <c r="AQ32" s="9" t="str">
        <f t="shared" si="8"/>
        <v>🛵</v>
      </c>
      <c r="AR32" s="60" t="str">
        <f t="shared" si="9"/>
        <v>🚴‍♂️</v>
      </c>
      <c r="AS32" s="8">
        <f t="shared" si="25"/>
        <v>1597.7943635242655</v>
      </c>
      <c r="AT32" s="11">
        <f t="shared" si="26"/>
        <v>90060.201418439974</v>
      </c>
      <c r="AU32" s="15">
        <v>0</v>
      </c>
      <c r="AV32" s="32">
        <f t="shared" si="27"/>
        <v>82.207936029633402</v>
      </c>
      <c r="AW32" s="33"/>
      <c r="AX32" s="75">
        <f t="shared" si="28"/>
        <v>154.15725390690955</v>
      </c>
    </row>
    <row r="33" spans="1:50" x14ac:dyDescent="0.25">
      <c r="A33" s="5">
        <f t="shared" si="29"/>
        <v>25</v>
      </c>
      <c r="B33" s="5">
        <f t="shared" si="10"/>
        <v>75</v>
      </c>
      <c r="C33" s="77">
        <f t="shared" si="31"/>
        <v>46600</v>
      </c>
      <c r="D33" s="122">
        <f t="shared" si="11"/>
        <v>8.6853621547211442E-3</v>
      </c>
      <c r="E33" s="123">
        <f t="shared" si="12"/>
        <v>19</v>
      </c>
      <c r="F33" s="124">
        <f t="shared" si="13"/>
        <v>718.15269316599836</v>
      </c>
      <c r="G33" s="125">
        <f t="shared" si="14"/>
        <v>782.20546504628203</v>
      </c>
      <c r="H33" s="126" t="str">
        <f t="shared" si="0"/>
        <v>🛵</v>
      </c>
      <c r="I33" s="127" t="str">
        <f t="shared" si="1"/>
        <v>🚴‍♂️</v>
      </c>
      <c r="J33" s="128">
        <f t="shared" si="2"/>
        <v>629.10312263493415</v>
      </c>
      <c r="K33" s="129">
        <f t="shared" si="3"/>
        <v>0.3931014563250575</v>
      </c>
      <c r="L33" s="1">
        <f t="shared" si="15"/>
        <v>1600.3581582122804</v>
      </c>
      <c r="M33" s="130">
        <f t="shared" si="16"/>
        <v>1927.2001499754901</v>
      </c>
      <c r="N33" s="131">
        <f t="shared" si="17"/>
        <v>89431.098295805044</v>
      </c>
      <c r="O33" s="15"/>
      <c r="P33" s="32">
        <f t="shared" si="18"/>
        <v>81.20500242390456</v>
      </c>
      <c r="Q33" s="33"/>
      <c r="R33" s="75">
        <f t="shared" si="19"/>
        <v>153.10234241134793</v>
      </c>
      <c r="V33" s="68">
        <f t="shared" si="4"/>
        <v>-1600.3581582122804</v>
      </c>
      <c r="AA33" s="4">
        <f t="shared" si="5"/>
        <v>1</v>
      </c>
      <c r="AB33" s="4">
        <f t="shared" si="6"/>
        <v>1</v>
      </c>
      <c r="AC33" s="12">
        <f t="shared" si="7"/>
        <v>2</v>
      </c>
      <c r="AJ33" s="5">
        <f t="shared" si="30"/>
        <v>25</v>
      </c>
      <c r="AK33" s="5">
        <f t="shared" si="20"/>
        <v>75</v>
      </c>
      <c r="AL33" s="77">
        <f t="shared" si="32"/>
        <v>46600</v>
      </c>
      <c r="AM33" s="27">
        <f t="shared" si="21"/>
        <v>8.6853621547211442E-3</v>
      </c>
      <c r="AN33" s="76">
        <f t="shared" si="22"/>
        <v>19</v>
      </c>
      <c r="AO33" s="13">
        <f t="shared" si="23"/>
        <v>718.15269316599836</v>
      </c>
      <c r="AP33" s="62">
        <f t="shared" si="24"/>
        <v>782.20546504628203</v>
      </c>
      <c r="AQ33" s="9" t="str">
        <f t="shared" si="8"/>
        <v>🛵</v>
      </c>
      <c r="AR33" s="60" t="str">
        <f t="shared" si="9"/>
        <v>🚴‍♂️</v>
      </c>
      <c r="AS33" s="8">
        <f t="shared" si="25"/>
        <v>1600.3581582122804</v>
      </c>
      <c r="AT33" s="11">
        <f t="shared" si="26"/>
        <v>89431.098295805044</v>
      </c>
      <c r="AU33" s="15">
        <v>0</v>
      </c>
      <c r="AV33" s="32">
        <f t="shared" si="27"/>
        <v>81.20500242390456</v>
      </c>
      <c r="AW33" s="33"/>
      <c r="AX33" s="75">
        <f t="shared" si="28"/>
        <v>153.10234241134793</v>
      </c>
    </row>
    <row r="34" spans="1:50" x14ac:dyDescent="0.25">
      <c r="A34" s="5">
        <f t="shared" si="29"/>
        <v>25</v>
      </c>
      <c r="B34" s="5">
        <f t="shared" si="10"/>
        <v>75</v>
      </c>
      <c r="C34" s="77">
        <f t="shared" si="31"/>
        <v>46631</v>
      </c>
      <c r="D34" s="122">
        <f t="shared" si="11"/>
        <v>8.8312744433363434E-3</v>
      </c>
      <c r="E34" s="123">
        <f t="shared" si="12"/>
        <v>20</v>
      </c>
      <c r="F34" s="124">
        <f t="shared" si="13"/>
        <v>713.13613652184551</v>
      </c>
      <c r="G34" s="125">
        <f t="shared" si="14"/>
        <v>789.79057281924349</v>
      </c>
      <c r="H34" s="126" t="str">
        <f t="shared" si="0"/>
        <v>🛵</v>
      </c>
      <c r="I34" s="127" t="str">
        <f t="shared" si="1"/>
        <v>🚴‍♂️</v>
      </c>
      <c r="J34" s="128">
        <f t="shared" si="2"/>
        <v>637.75770571637486</v>
      </c>
      <c r="K34" s="129">
        <f t="shared" si="3"/>
        <v>0.39787078348612476</v>
      </c>
      <c r="L34" s="1">
        <f t="shared" si="15"/>
        <v>1602.926709341089</v>
      </c>
      <c r="M34" s="130">
        <f t="shared" si="16"/>
        <v>1928.208064424211</v>
      </c>
      <c r="N34" s="131">
        <f t="shared" si="17"/>
        <v>88793.340590088672</v>
      </c>
      <c r="O34" s="15"/>
      <c r="P34" s="32">
        <f t="shared" si="18"/>
        <v>80.202089262564186</v>
      </c>
      <c r="Q34" s="33"/>
      <c r="R34" s="75">
        <f t="shared" si="19"/>
        <v>152.03286710286858</v>
      </c>
      <c r="V34" s="68">
        <f t="shared" si="4"/>
        <v>-1602.926709341089</v>
      </c>
      <c r="AA34" s="4">
        <f t="shared" si="5"/>
        <v>1</v>
      </c>
      <c r="AB34" s="4">
        <f t="shared" si="6"/>
        <v>1</v>
      </c>
      <c r="AC34" s="12">
        <f t="shared" si="7"/>
        <v>2</v>
      </c>
      <c r="AJ34" s="5">
        <f t="shared" si="30"/>
        <v>25</v>
      </c>
      <c r="AK34" s="5">
        <f t="shared" si="20"/>
        <v>75</v>
      </c>
      <c r="AL34" s="77">
        <f t="shared" si="32"/>
        <v>46631</v>
      </c>
      <c r="AM34" s="27">
        <f t="shared" si="21"/>
        <v>8.8312744433363434E-3</v>
      </c>
      <c r="AN34" s="76">
        <f t="shared" si="22"/>
        <v>20</v>
      </c>
      <c r="AO34" s="13">
        <f t="shared" si="23"/>
        <v>713.13613652184551</v>
      </c>
      <c r="AP34" s="62">
        <f t="shared" si="24"/>
        <v>789.79057281924349</v>
      </c>
      <c r="AQ34" s="9" t="str">
        <f t="shared" si="8"/>
        <v>🛵</v>
      </c>
      <c r="AR34" s="60" t="str">
        <f t="shared" si="9"/>
        <v>🚴‍♂️</v>
      </c>
      <c r="AS34" s="8">
        <f t="shared" si="25"/>
        <v>1602.926709341089</v>
      </c>
      <c r="AT34" s="11">
        <f t="shared" si="26"/>
        <v>88793.340590088672</v>
      </c>
      <c r="AU34" s="15">
        <v>0</v>
      </c>
      <c r="AV34" s="32">
        <f t="shared" si="27"/>
        <v>80.202089262564186</v>
      </c>
      <c r="AW34" s="33"/>
      <c r="AX34" s="75">
        <f t="shared" si="28"/>
        <v>152.03286710286858</v>
      </c>
    </row>
    <row r="35" spans="1:50" x14ac:dyDescent="0.25">
      <c r="A35" s="5">
        <f t="shared" si="29"/>
        <v>25</v>
      </c>
      <c r="B35" s="5">
        <f t="shared" si="10"/>
        <v>75</v>
      </c>
      <c r="C35" s="77">
        <f t="shared" si="31"/>
        <v>46661</v>
      </c>
      <c r="D35" s="122">
        <f t="shared" si="11"/>
        <v>8.9809603234666732E-3</v>
      </c>
      <c r="E35" s="123">
        <f t="shared" si="12"/>
        <v>21</v>
      </c>
      <c r="F35" s="124">
        <f t="shared" si="13"/>
        <v>708.05056701684771</v>
      </c>
      <c r="G35" s="125">
        <f t="shared" si="14"/>
        <v>797.4494688276493</v>
      </c>
      <c r="H35" s="126" t="str">
        <f t="shared" si="0"/>
        <v>🛵</v>
      </c>
      <c r="I35" s="127" t="str">
        <f t="shared" si="1"/>
        <v>🚴‍♂️</v>
      </c>
      <c r="J35" s="128">
        <f t="shared" si="2"/>
        <v>646.5007898244985</v>
      </c>
      <c r="K35" s="129">
        <f t="shared" si="3"/>
        <v>0.4026787763255561</v>
      </c>
      <c r="L35" s="1">
        <f t="shared" si="15"/>
        <v>1605.500035844497</v>
      </c>
      <c r="M35" s="130">
        <f t="shared" si="16"/>
        <v>1929.1899806124518</v>
      </c>
      <c r="N35" s="131">
        <f t="shared" si="17"/>
        <v>88146.839800264177</v>
      </c>
      <c r="O35" s="15"/>
      <c r="P35" s="32">
        <f t="shared" si="18"/>
        <v>79.199196383008001</v>
      </c>
      <c r="Q35" s="33"/>
      <c r="R35" s="75">
        <f t="shared" si="19"/>
        <v>150.94867900315074</v>
      </c>
      <c r="V35" s="68">
        <f t="shared" si="4"/>
        <v>-1605.500035844497</v>
      </c>
      <c r="AA35" s="4">
        <f t="shared" si="5"/>
        <v>1</v>
      </c>
      <c r="AB35" s="4">
        <f t="shared" si="6"/>
        <v>1</v>
      </c>
      <c r="AC35" s="12">
        <f t="shared" si="7"/>
        <v>2</v>
      </c>
      <c r="AJ35" s="5">
        <f t="shared" si="30"/>
        <v>25</v>
      </c>
      <c r="AK35" s="5">
        <f t="shared" si="20"/>
        <v>75</v>
      </c>
      <c r="AL35" s="77">
        <f t="shared" si="32"/>
        <v>46661</v>
      </c>
      <c r="AM35" s="27">
        <f t="shared" si="21"/>
        <v>8.9809603234666732E-3</v>
      </c>
      <c r="AN35" s="76">
        <f t="shared" si="22"/>
        <v>21</v>
      </c>
      <c r="AO35" s="13">
        <f t="shared" si="23"/>
        <v>708.05056701684771</v>
      </c>
      <c r="AP35" s="62">
        <f t="shared" si="24"/>
        <v>797.4494688276493</v>
      </c>
      <c r="AQ35" s="9" t="str">
        <f t="shared" si="8"/>
        <v>🛵</v>
      </c>
      <c r="AR35" s="60" t="str">
        <f t="shared" si="9"/>
        <v>🚴‍♂️</v>
      </c>
      <c r="AS35" s="8">
        <f t="shared" si="25"/>
        <v>1605.500035844497</v>
      </c>
      <c r="AT35" s="11">
        <f t="shared" si="26"/>
        <v>88146.839800264177</v>
      </c>
      <c r="AU35" s="15">
        <v>0</v>
      </c>
      <c r="AV35" s="32">
        <f t="shared" si="27"/>
        <v>79.199196383008001</v>
      </c>
      <c r="AW35" s="33"/>
      <c r="AX35" s="75">
        <f t="shared" si="28"/>
        <v>150.94867900315074</v>
      </c>
    </row>
    <row r="36" spans="1:50" x14ac:dyDescent="0.25">
      <c r="A36" s="5">
        <f t="shared" si="29"/>
        <v>25</v>
      </c>
      <c r="B36" s="5">
        <f t="shared" si="10"/>
        <v>75</v>
      </c>
      <c r="C36" s="77">
        <f t="shared" si="31"/>
        <v>46692</v>
      </c>
      <c r="D36" s="122">
        <f t="shared" si="11"/>
        <v>9.1345631902078617E-3</v>
      </c>
      <c r="E36" s="123">
        <f t="shared" si="12"/>
        <v>22</v>
      </c>
      <c r="F36" s="124">
        <f t="shared" si="13"/>
        <v>702.89527893138995</v>
      </c>
      <c r="G36" s="125">
        <f t="shared" si="14"/>
        <v>805.18287817264252</v>
      </c>
      <c r="H36" s="126" t="str">
        <f t="shared" si="0"/>
        <v>🚙</v>
      </c>
      <c r="I36" s="127" t="str">
        <f t="shared" si="1"/>
        <v>🚴‍♂️</v>
      </c>
      <c r="J36" s="128">
        <f t="shared" si="2"/>
        <v>655.33325051219344</v>
      </c>
      <c r="K36" s="129">
        <f t="shared" si="3"/>
        <v>0.40752574594531821</v>
      </c>
      <c r="L36" s="1">
        <f t="shared" si="15"/>
        <v>1608.0781571040325</v>
      </c>
      <c r="M36" s="130">
        <f t="shared" si="16"/>
        <v>1930.1457136728868</v>
      </c>
      <c r="N36" s="131">
        <f t="shared" si="17"/>
        <v>87491.506549751983</v>
      </c>
      <c r="O36" s="15"/>
      <c r="P36" s="32">
        <f t="shared" si="18"/>
        <v>78.196323623932045</v>
      </c>
      <c r="Q36" s="33"/>
      <c r="R36" s="75">
        <f t="shared" si="19"/>
        <v>149.8496276604491</v>
      </c>
      <c r="V36" s="68">
        <f t="shared" si="4"/>
        <v>-1608.0781571040325</v>
      </c>
      <c r="AA36" s="4">
        <f t="shared" si="5"/>
        <v>1</v>
      </c>
      <c r="AB36" s="4">
        <f t="shared" si="6"/>
        <v>1</v>
      </c>
      <c r="AC36" s="12">
        <f t="shared" si="7"/>
        <v>2</v>
      </c>
      <c r="AJ36" s="5">
        <f t="shared" si="30"/>
        <v>25</v>
      </c>
      <c r="AK36" s="5">
        <f t="shared" si="20"/>
        <v>75</v>
      </c>
      <c r="AL36" s="77">
        <f t="shared" si="32"/>
        <v>46692</v>
      </c>
      <c r="AM36" s="27">
        <f t="shared" si="21"/>
        <v>9.1345631902078617E-3</v>
      </c>
      <c r="AN36" s="76">
        <f t="shared" si="22"/>
        <v>22</v>
      </c>
      <c r="AO36" s="13">
        <f t="shared" si="23"/>
        <v>702.89527893138995</v>
      </c>
      <c r="AP36" s="62">
        <f t="shared" si="24"/>
        <v>805.18287817264252</v>
      </c>
      <c r="AQ36" s="9" t="str">
        <f t="shared" si="8"/>
        <v>🚙</v>
      </c>
      <c r="AR36" s="60" t="str">
        <f t="shared" si="9"/>
        <v>🚴‍♂️</v>
      </c>
      <c r="AS36" s="8">
        <f t="shared" si="25"/>
        <v>1608.0781571040325</v>
      </c>
      <c r="AT36" s="11">
        <f t="shared" si="26"/>
        <v>87491.506549751983</v>
      </c>
      <c r="AU36" s="15">
        <v>0</v>
      </c>
      <c r="AV36" s="32">
        <f t="shared" si="27"/>
        <v>78.196323623932045</v>
      </c>
      <c r="AW36" s="33"/>
      <c r="AX36" s="75">
        <f t="shared" si="28"/>
        <v>149.8496276604491</v>
      </c>
    </row>
    <row r="37" spans="1:50" x14ac:dyDescent="0.25">
      <c r="A37" s="5">
        <f t="shared" si="29"/>
        <v>25</v>
      </c>
      <c r="B37" s="5">
        <f t="shared" si="10"/>
        <v>75</v>
      </c>
      <c r="C37" s="77">
        <f t="shared" si="31"/>
        <v>46722</v>
      </c>
      <c r="D37" s="122">
        <f t="shared" si="11"/>
        <v>9.2922337889409339E-3</v>
      </c>
      <c r="E37" s="123">
        <f t="shared" si="12"/>
        <v>23</v>
      </c>
      <c r="F37" s="124">
        <f t="shared" si="13"/>
        <v>697.66955956407583</v>
      </c>
      <c r="G37" s="125">
        <f t="shared" si="14"/>
        <v>812.99153340695239</v>
      </c>
      <c r="H37" s="126" t="str">
        <f t="shared" si="0"/>
        <v>🚙</v>
      </c>
      <c r="I37" s="127" t="str">
        <f t="shared" si="1"/>
        <v>🚴‍♂️</v>
      </c>
      <c r="J37" s="128">
        <f t="shared" si="2"/>
        <v>664.25597227237404</v>
      </c>
      <c r="K37" s="129">
        <f t="shared" si="3"/>
        <v>0.41241200595904776</v>
      </c>
      <c r="L37" s="1">
        <f t="shared" si="15"/>
        <v>1610.6610929710282</v>
      </c>
      <c r="M37" s="130">
        <f t="shared" si="16"/>
        <v>1931.0750874452201</v>
      </c>
      <c r="N37" s="131">
        <f t="shared" si="17"/>
        <v>86827.250577479615</v>
      </c>
      <c r="O37" s="15"/>
      <c r="P37" s="32">
        <f t="shared" si="18"/>
        <v>77.193470825322166</v>
      </c>
      <c r="Q37" s="33"/>
      <c r="R37" s="75">
        <f t="shared" si="19"/>
        <v>148.73556113457838</v>
      </c>
      <c r="V37" s="68">
        <f t="shared" si="4"/>
        <v>-1610.6610929710282</v>
      </c>
      <c r="AA37" s="4">
        <f t="shared" si="5"/>
        <v>1</v>
      </c>
      <c r="AB37" s="4">
        <f t="shared" si="6"/>
        <v>1</v>
      </c>
      <c r="AC37" s="12">
        <f t="shared" si="7"/>
        <v>2</v>
      </c>
      <c r="AJ37" s="5">
        <f t="shared" si="30"/>
        <v>25</v>
      </c>
      <c r="AK37" s="5">
        <f t="shared" si="20"/>
        <v>75</v>
      </c>
      <c r="AL37" s="77">
        <f t="shared" si="32"/>
        <v>46722</v>
      </c>
      <c r="AM37" s="27">
        <f t="shared" si="21"/>
        <v>9.2922337889409339E-3</v>
      </c>
      <c r="AN37" s="76">
        <f t="shared" si="22"/>
        <v>23</v>
      </c>
      <c r="AO37" s="13">
        <f t="shared" si="23"/>
        <v>697.66955956407583</v>
      </c>
      <c r="AP37" s="62">
        <f t="shared" si="24"/>
        <v>812.99153340695239</v>
      </c>
      <c r="AQ37" s="9" t="str">
        <f t="shared" si="8"/>
        <v>🚙</v>
      </c>
      <c r="AR37" s="60" t="str">
        <f t="shared" si="9"/>
        <v>🚴‍♂️</v>
      </c>
      <c r="AS37" s="8">
        <f t="shared" si="25"/>
        <v>1610.6610929710282</v>
      </c>
      <c r="AT37" s="11">
        <f t="shared" si="26"/>
        <v>86827.250577479615</v>
      </c>
      <c r="AU37" s="15">
        <v>0</v>
      </c>
      <c r="AV37" s="32">
        <f t="shared" si="27"/>
        <v>77.193470825322166</v>
      </c>
      <c r="AW37" s="33"/>
      <c r="AX37" s="75">
        <f t="shared" si="28"/>
        <v>148.73556113457838</v>
      </c>
    </row>
    <row r="38" spans="1:50" x14ac:dyDescent="0.25">
      <c r="A38" s="5">
        <f t="shared" si="29"/>
        <v>25</v>
      </c>
      <c r="B38" s="5">
        <f t="shared" si="10"/>
        <v>75</v>
      </c>
      <c r="C38" s="77">
        <f t="shared" si="31"/>
        <v>46753</v>
      </c>
      <c r="D38" s="122">
        <f t="shared" si="11"/>
        <v>9.4541306924971584E-3</v>
      </c>
      <c r="E38" s="123">
        <f t="shared" si="12"/>
        <v>24</v>
      </c>
      <c r="F38" s="124">
        <f t="shared" si="13"/>
        <v>692.37268916043797</v>
      </c>
      <c r="G38" s="125">
        <f t="shared" si="14"/>
        <v>820.87617462969172</v>
      </c>
      <c r="H38" s="126" t="str">
        <f t="shared" si="0"/>
        <v>🚙</v>
      </c>
      <c r="I38" s="127" t="str">
        <f t="shared" si="1"/>
        <v>🚴‍♂️</v>
      </c>
      <c r="J38" s="128">
        <f t="shared" si="2"/>
        <v>673.26984864797635</v>
      </c>
      <c r="K38" s="129">
        <f t="shared" si="3"/>
        <v>0.41733787251286925</v>
      </c>
      <c r="L38" s="1">
        <f t="shared" si="15"/>
        <v>1613.2488637901297</v>
      </c>
      <c r="M38" s="130">
        <f t="shared" si="16"/>
        <v>1931.9779353192389</v>
      </c>
      <c r="N38" s="131">
        <f t="shared" si="17"/>
        <v>86153.980728831637</v>
      </c>
      <c r="O38" s="15"/>
      <c r="P38" s="32">
        <f t="shared" si="18"/>
        <v>76.190637828443698</v>
      </c>
      <c r="Q38" s="33"/>
      <c r="R38" s="75">
        <f t="shared" si="19"/>
        <v>147.60632598171534</v>
      </c>
      <c r="V38" s="68">
        <f t="shared" si="4"/>
        <v>-1613.2488637901297</v>
      </c>
      <c r="AA38" s="4">
        <f t="shared" si="5"/>
        <v>1</v>
      </c>
      <c r="AB38" s="4">
        <f t="shared" si="6"/>
        <v>1</v>
      </c>
      <c r="AC38" s="12">
        <f t="shared" si="7"/>
        <v>2</v>
      </c>
      <c r="AJ38" s="5">
        <f t="shared" si="30"/>
        <v>25</v>
      </c>
      <c r="AK38" s="5">
        <f t="shared" si="20"/>
        <v>75</v>
      </c>
      <c r="AL38" s="77">
        <f t="shared" si="32"/>
        <v>46753</v>
      </c>
      <c r="AM38" s="27">
        <f t="shared" si="21"/>
        <v>9.4541306924971584E-3</v>
      </c>
      <c r="AN38" s="76">
        <f t="shared" si="22"/>
        <v>24</v>
      </c>
      <c r="AO38" s="13">
        <f t="shared" si="23"/>
        <v>692.37268916043797</v>
      </c>
      <c r="AP38" s="62">
        <f t="shared" si="24"/>
        <v>820.87617462969172</v>
      </c>
      <c r="AQ38" s="9" t="str">
        <f t="shared" si="8"/>
        <v>🚙</v>
      </c>
      <c r="AR38" s="60" t="str">
        <f t="shared" si="9"/>
        <v>🚴‍♂️</v>
      </c>
      <c r="AS38" s="8">
        <f t="shared" si="25"/>
        <v>1613.2488637901297</v>
      </c>
      <c r="AT38" s="11">
        <f t="shared" si="26"/>
        <v>86153.980728831637</v>
      </c>
      <c r="AU38" s="15">
        <v>0</v>
      </c>
      <c r="AV38" s="32">
        <f t="shared" si="27"/>
        <v>76.190637828443698</v>
      </c>
      <c r="AW38" s="33"/>
      <c r="AX38" s="75">
        <f t="shared" si="28"/>
        <v>147.60632598171534</v>
      </c>
    </row>
    <row r="39" spans="1:50" x14ac:dyDescent="0.25">
      <c r="A39" s="5">
        <f t="shared" si="29"/>
        <v>25</v>
      </c>
      <c r="B39" s="5">
        <f t="shared" si="10"/>
        <v>75</v>
      </c>
      <c r="C39" s="77">
        <f t="shared" si="31"/>
        <v>46784</v>
      </c>
      <c r="D39" s="122">
        <f t="shared" si="11"/>
        <v>9.6204208159842604E-3</v>
      </c>
      <c r="E39" s="123">
        <f t="shared" si="12"/>
        <v>25</v>
      </c>
      <c r="F39" s="124">
        <f t="shared" si="13"/>
        <v>687.0039408407722</v>
      </c>
      <c r="G39" s="125">
        <f t="shared" si="14"/>
        <v>828.83754958355871</v>
      </c>
      <c r="H39" s="126" t="str">
        <f t="shared" si="0"/>
        <v>🚙</v>
      </c>
      <c r="I39" s="127" t="str">
        <f t="shared" si="1"/>
        <v>🚴‍♂️</v>
      </c>
      <c r="J39" s="128">
        <f t="shared" si="2"/>
        <v>682.37578234454497</v>
      </c>
      <c r="K39" s="129">
        <f t="shared" si="3"/>
        <v>0.42230366430642186</v>
      </c>
      <c r="L39" s="1">
        <f t="shared" si="15"/>
        <v>1615.8414904243309</v>
      </c>
      <c r="M39" s="130">
        <f t="shared" si="16"/>
        <v>1932.8541011486486</v>
      </c>
      <c r="N39" s="131">
        <f t="shared" si="17"/>
        <v>85471.604946487088</v>
      </c>
      <c r="O39" s="15"/>
      <c r="P39" s="32">
        <f t="shared" si="18"/>
        <v>75.187824475831178</v>
      </c>
      <c r="Q39" s="33"/>
      <c r="R39" s="75">
        <f t="shared" si="19"/>
        <v>146.46176723901377</v>
      </c>
      <c r="V39" s="68">
        <f t="shared" si="4"/>
        <v>-1615.8414904243309</v>
      </c>
      <c r="AA39" s="4">
        <f t="shared" si="5"/>
        <v>1</v>
      </c>
      <c r="AB39" s="4">
        <f t="shared" si="6"/>
        <v>1</v>
      </c>
      <c r="AC39" s="12">
        <f t="shared" si="7"/>
        <v>3</v>
      </c>
      <c r="AJ39" s="5">
        <f t="shared" si="30"/>
        <v>25</v>
      </c>
      <c r="AK39" s="5">
        <f t="shared" si="20"/>
        <v>75</v>
      </c>
      <c r="AL39" s="77">
        <f t="shared" si="32"/>
        <v>46784</v>
      </c>
      <c r="AM39" s="27">
        <f t="shared" si="21"/>
        <v>9.6204208159842604E-3</v>
      </c>
      <c r="AN39" s="76">
        <f t="shared" si="22"/>
        <v>25</v>
      </c>
      <c r="AO39" s="13">
        <f t="shared" si="23"/>
        <v>687.0039408407722</v>
      </c>
      <c r="AP39" s="62">
        <f t="shared" si="24"/>
        <v>828.83754958355871</v>
      </c>
      <c r="AQ39" s="9" t="str">
        <f t="shared" si="8"/>
        <v>🚙</v>
      </c>
      <c r="AR39" s="60" t="str">
        <f t="shared" si="9"/>
        <v>🚴‍♂️</v>
      </c>
      <c r="AS39" s="8">
        <f t="shared" si="25"/>
        <v>1615.8414904243309</v>
      </c>
      <c r="AT39" s="11">
        <f t="shared" si="26"/>
        <v>85471.604946487088</v>
      </c>
      <c r="AU39" s="15">
        <v>0</v>
      </c>
      <c r="AV39" s="32">
        <f t="shared" si="27"/>
        <v>75.187824475831178</v>
      </c>
      <c r="AW39" s="33"/>
      <c r="AX39" s="75">
        <f t="shared" si="28"/>
        <v>146.46176723901377</v>
      </c>
    </row>
    <row r="40" spans="1:50" x14ac:dyDescent="0.25">
      <c r="A40" s="5">
        <f t="shared" si="29"/>
        <v>25</v>
      </c>
      <c r="B40" s="5">
        <f t="shared" si="10"/>
        <v>75</v>
      </c>
      <c r="C40" s="77">
        <f t="shared" si="31"/>
        <v>46813</v>
      </c>
      <c r="D40" s="122">
        <f t="shared" si="11"/>
        <v>9.7912799727881538E-3</v>
      </c>
      <c r="E40" s="123">
        <f t="shared" si="12"/>
        <v>26</v>
      </c>
      <c r="F40" s="124">
        <f t="shared" si="13"/>
        <v>681.56258052707369</v>
      </c>
      <c r="G40" s="125">
        <f t="shared" si="14"/>
        <v>836.87641375459987</v>
      </c>
      <c r="H40" s="126" t="str">
        <f t="shared" si="0"/>
        <v>🚙</v>
      </c>
      <c r="I40" s="127" t="str">
        <f t="shared" si="1"/>
        <v>🚴‍♂️</v>
      </c>
      <c r="J40" s="128">
        <f t="shared" si="2"/>
        <v>691.57468534557188</v>
      </c>
      <c r="K40" s="129">
        <f t="shared" si="3"/>
        <v>0.42730970261410423</v>
      </c>
      <c r="L40" s="1">
        <f t="shared" si="15"/>
        <v>1618.4389942816736</v>
      </c>
      <c r="M40" s="130">
        <f t="shared" si="16"/>
        <v>1933.7034402424197</v>
      </c>
      <c r="N40" s="131">
        <f t="shared" si="17"/>
        <v>84780.030261141525</v>
      </c>
      <c r="O40" s="15"/>
      <c r="P40" s="32">
        <f t="shared" si="18"/>
        <v>74.185030611278009</v>
      </c>
      <c r="Q40" s="33" t="s">
        <v>54</v>
      </c>
      <c r="R40" s="75">
        <f t="shared" si="19"/>
        <v>145.30172840902804</v>
      </c>
      <c r="V40" s="68">
        <f t="shared" si="4"/>
        <v>-1618.4389942816736</v>
      </c>
      <c r="AA40" s="4">
        <f t="shared" si="5"/>
        <v>1</v>
      </c>
      <c r="AB40" s="4">
        <f t="shared" si="6"/>
        <v>1</v>
      </c>
      <c r="AC40" s="12">
        <f t="shared" si="7"/>
        <v>3</v>
      </c>
      <c r="AJ40" s="5">
        <f t="shared" si="30"/>
        <v>25</v>
      </c>
      <c r="AK40" s="5">
        <f t="shared" si="20"/>
        <v>75</v>
      </c>
      <c r="AL40" s="77">
        <f t="shared" si="32"/>
        <v>46813</v>
      </c>
      <c r="AM40" s="27">
        <f t="shared" si="21"/>
        <v>9.7912799727881538E-3</v>
      </c>
      <c r="AN40" s="76">
        <f t="shared" si="22"/>
        <v>26</v>
      </c>
      <c r="AO40" s="13">
        <f t="shared" si="23"/>
        <v>681.56258052707369</v>
      </c>
      <c r="AP40" s="62">
        <f t="shared" si="24"/>
        <v>836.87641375459987</v>
      </c>
      <c r="AQ40" s="9" t="str">
        <f t="shared" si="8"/>
        <v>🚙</v>
      </c>
      <c r="AR40" s="60" t="str">
        <f t="shared" si="9"/>
        <v>🚴‍♂️</v>
      </c>
      <c r="AS40" s="8">
        <f t="shared" si="25"/>
        <v>1618.4389942816736</v>
      </c>
      <c r="AT40" s="11">
        <f t="shared" si="26"/>
        <v>84780.030261141525</v>
      </c>
      <c r="AU40" s="15">
        <v>0</v>
      </c>
      <c r="AV40" s="32">
        <f t="shared" si="27"/>
        <v>74.185030611278009</v>
      </c>
      <c r="AW40" s="33" t="s">
        <v>54</v>
      </c>
      <c r="AX40" s="75">
        <f t="shared" si="28"/>
        <v>145.30172840902804</v>
      </c>
    </row>
    <row r="41" spans="1:50" x14ac:dyDescent="0.25">
      <c r="A41" s="5">
        <f t="shared" si="29"/>
        <v>25</v>
      </c>
      <c r="B41" s="5">
        <f t="shared" si="10"/>
        <v>75</v>
      </c>
      <c r="C41" s="77">
        <f t="shared" si="31"/>
        <v>46844</v>
      </c>
      <c r="D41" s="122">
        <f t="shared" si="11"/>
        <v>9.9668934756440512E-3</v>
      </c>
      <c r="E41" s="123">
        <f t="shared" si="12"/>
        <v>27</v>
      </c>
      <c r="F41" s="124">
        <f t="shared" si="13"/>
        <v>676.04786686905322</v>
      </c>
      <c r="G41" s="125">
        <f t="shared" si="14"/>
        <v>844.99353047467662</v>
      </c>
      <c r="H41" s="126" t="str">
        <f t="shared" si="0"/>
        <v>🚙</v>
      </c>
      <c r="I41" s="127" t="str">
        <f t="shared" si="1"/>
        <v>🚴‍♂️</v>
      </c>
      <c r="J41" s="128">
        <f t="shared" si="2"/>
        <v>700.86747903073604</v>
      </c>
      <c r="K41" s="129">
        <f t="shared" si="3"/>
        <v>0.43235631130654112</v>
      </c>
      <c r="L41" s="1">
        <f t="shared" si="15"/>
        <v>1621.0413973437298</v>
      </c>
      <c r="M41" s="130">
        <f t="shared" si="16"/>
        <v>1934.5258204410816</v>
      </c>
      <c r="N41" s="131">
        <f t="shared" si="17"/>
        <v>84079.162782110783</v>
      </c>
      <c r="O41" s="15"/>
      <c r="P41" s="32">
        <f t="shared" si="18"/>
        <v>73.182256079826487</v>
      </c>
      <c r="Q41" s="33"/>
      <c r="R41" s="75">
        <f t="shared" si="19"/>
        <v>144.12605144394058</v>
      </c>
      <c r="V41" s="68">
        <f t="shared" si="4"/>
        <v>-1621.0413973437298</v>
      </c>
      <c r="AA41" s="4">
        <f t="shared" si="5"/>
        <v>1</v>
      </c>
      <c r="AB41" s="4">
        <f t="shared" si="6"/>
        <v>1</v>
      </c>
      <c r="AC41" s="12">
        <f t="shared" si="7"/>
        <v>3</v>
      </c>
      <c r="AJ41" s="5">
        <f t="shared" si="30"/>
        <v>25</v>
      </c>
      <c r="AK41" s="5">
        <f t="shared" si="20"/>
        <v>75</v>
      </c>
      <c r="AL41" s="77">
        <f t="shared" si="32"/>
        <v>46844</v>
      </c>
      <c r="AM41" s="27">
        <f t="shared" si="21"/>
        <v>9.9668934756440512E-3</v>
      </c>
      <c r="AN41" s="76">
        <f t="shared" si="22"/>
        <v>27</v>
      </c>
      <c r="AO41" s="13">
        <f t="shared" si="23"/>
        <v>676.04786686905322</v>
      </c>
      <c r="AP41" s="62">
        <f t="shared" si="24"/>
        <v>844.99353047467662</v>
      </c>
      <c r="AQ41" s="9" t="str">
        <f t="shared" si="8"/>
        <v>🚙</v>
      </c>
      <c r="AR41" s="60" t="str">
        <f t="shared" si="9"/>
        <v>🚴‍♂️</v>
      </c>
      <c r="AS41" s="8">
        <f t="shared" si="25"/>
        <v>1621.0413973437298</v>
      </c>
      <c r="AT41" s="11">
        <f t="shared" si="26"/>
        <v>84079.162782110783</v>
      </c>
      <c r="AU41" s="15">
        <v>0</v>
      </c>
      <c r="AV41" s="32">
        <f t="shared" si="27"/>
        <v>73.182256079826487</v>
      </c>
      <c r="AW41" s="33"/>
      <c r="AX41" s="75">
        <f t="shared" si="28"/>
        <v>144.12605144394058</v>
      </c>
    </row>
    <row r="42" spans="1:50" x14ac:dyDescent="0.25">
      <c r="A42" s="5">
        <f t="shared" si="29"/>
        <v>25</v>
      </c>
      <c r="B42" s="5">
        <f t="shared" si="10"/>
        <v>75</v>
      </c>
      <c r="C42" s="77">
        <f t="shared" si="31"/>
        <v>46874</v>
      </c>
      <c r="D42" s="122">
        <f t="shared" si="11"/>
        <v>1.0147456787097602E-2</v>
      </c>
      <c r="E42" s="123">
        <f t="shared" si="12"/>
        <v>28</v>
      </c>
      <c r="F42" s="124">
        <f t="shared" si="13"/>
        <v>670.45905116921028</v>
      </c>
      <c r="G42" s="125">
        <f t="shared" si="14"/>
        <v>853.18967102681415</v>
      </c>
      <c r="H42" s="126" t="str">
        <f t="shared" si="0"/>
        <v>🚙</v>
      </c>
      <c r="I42" s="127" t="str">
        <f t="shared" si="1"/>
        <v>🚴‍♂️</v>
      </c>
      <c r="J42" s="128">
        <f t="shared" si="2"/>
        <v>710.25509429722581</v>
      </c>
      <c r="K42" s="129">
        <f t="shared" si="3"/>
        <v>0.43744381687227796</v>
      </c>
      <c r="L42" s="1">
        <f t="shared" si="15"/>
        <v>1623.6487221960244</v>
      </c>
      <c r="M42" s="130">
        <f t="shared" si="16"/>
        <v>1935.3211232862714</v>
      </c>
      <c r="N42" s="131">
        <f t="shared" si="17"/>
        <v>83368.907687813553</v>
      </c>
      <c r="O42" s="15"/>
      <c r="P42" s="32">
        <f t="shared" si="18"/>
        <v>72.179500727757713</v>
      </c>
      <c r="Q42" s="33"/>
      <c r="R42" s="75">
        <f t="shared" si="19"/>
        <v>142.93457672958831</v>
      </c>
      <c r="V42" s="68">
        <f t="shared" si="4"/>
        <v>-1623.6487221960244</v>
      </c>
      <c r="AA42" s="4">
        <f t="shared" si="5"/>
        <v>1</v>
      </c>
      <c r="AB42" s="4">
        <f t="shared" si="6"/>
        <v>1</v>
      </c>
      <c r="AC42" s="12">
        <f t="shared" si="7"/>
        <v>3</v>
      </c>
      <c r="AJ42" s="5">
        <f t="shared" si="30"/>
        <v>25</v>
      </c>
      <c r="AK42" s="5">
        <f t="shared" si="20"/>
        <v>75</v>
      </c>
      <c r="AL42" s="77">
        <f t="shared" si="32"/>
        <v>46874</v>
      </c>
      <c r="AM42" s="27">
        <f t="shared" si="21"/>
        <v>1.0147456787097602E-2</v>
      </c>
      <c r="AN42" s="76">
        <f t="shared" si="22"/>
        <v>28</v>
      </c>
      <c r="AO42" s="13">
        <f t="shared" si="23"/>
        <v>670.45905116921028</v>
      </c>
      <c r="AP42" s="62">
        <f t="shared" si="24"/>
        <v>853.18967102681415</v>
      </c>
      <c r="AQ42" s="9" t="str">
        <f t="shared" si="8"/>
        <v>🚙</v>
      </c>
      <c r="AR42" s="60" t="str">
        <f t="shared" si="9"/>
        <v>🚴‍♂️</v>
      </c>
      <c r="AS42" s="8">
        <f t="shared" si="25"/>
        <v>1623.6487221960244</v>
      </c>
      <c r="AT42" s="11">
        <f t="shared" si="26"/>
        <v>83368.907687813553</v>
      </c>
      <c r="AU42" s="15">
        <v>0</v>
      </c>
      <c r="AV42" s="32">
        <f t="shared" si="27"/>
        <v>72.179500727757713</v>
      </c>
      <c r="AW42" s="33"/>
      <c r="AX42" s="75">
        <f t="shared" si="28"/>
        <v>142.93457672958831</v>
      </c>
    </row>
    <row r="43" spans="1:50" x14ac:dyDescent="0.25">
      <c r="A43" s="5">
        <f t="shared" si="29"/>
        <v>25</v>
      </c>
      <c r="B43" s="5">
        <f t="shared" si="10"/>
        <v>75</v>
      </c>
      <c r="C43" s="77">
        <f t="shared" si="31"/>
        <v>46905</v>
      </c>
      <c r="D43" s="122">
        <f t="shared" si="11"/>
        <v>1.0333176224156519E-2</v>
      </c>
      <c r="E43" s="123">
        <f t="shared" si="12"/>
        <v>29</v>
      </c>
      <c r="F43" s="124">
        <f t="shared" si="13"/>
        <v>664.79537730693994</v>
      </c>
      <c r="G43" s="125">
        <f t="shared" si="14"/>
        <v>861.46561475361466</v>
      </c>
      <c r="H43" s="126" t="str">
        <f t="shared" si="0"/>
        <v>🚙</v>
      </c>
      <c r="I43" s="127" t="str">
        <f t="shared" si="1"/>
        <v>🚴‍♂️</v>
      </c>
      <c r="J43" s="128">
        <f t="shared" si="2"/>
        <v>719.73847168433167</v>
      </c>
      <c r="K43" s="129">
        <f t="shared" si="3"/>
        <v>0.44257254843971061</v>
      </c>
      <c r="L43" s="1">
        <f t="shared" si="15"/>
        <v>1626.2609920605546</v>
      </c>
      <c r="M43" s="130">
        <f t="shared" si="16"/>
        <v>1936.0892452927365</v>
      </c>
      <c r="N43" s="131">
        <f t="shared" si="17"/>
        <v>82649.169216129216</v>
      </c>
      <c r="O43" s="15"/>
      <c r="P43" s="32">
        <f t="shared" si="18"/>
        <v>71.176764402581597</v>
      </c>
      <c r="Q43" s="33"/>
      <c r="R43" s="75">
        <f t="shared" si="19"/>
        <v>141.72714306928304</v>
      </c>
      <c r="V43" s="68">
        <f t="shared" si="4"/>
        <v>-1626.2609920605546</v>
      </c>
      <c r="AA43" s="4">
        <f t="shared" si="5"/>
        <v>1</v>
      </c>
      <c r="AB43" s="4">
        <f t="shared" si="6"/>
        <v>1</v>
      </c>
      <c r="AC43" s="12">
        <f t="shared" si="7"/>
        <v>3</v>
      </c>
      <c r="AJ43" s="5">
        <f t="shared" si="30"/>
        <v>25</v>
      </c>
      <c r="AK43" s="5">
        <f t="shared" si="20"/>
        <v>75</v>
      </c>
      <c r="AL43" s="77">
        <f t="shared" si="32"/>
        <v>46905</v>
      </c>
      <c r="AM43" s="27">
        <f t="shared" si="21"/>
        <v>1.0333176224156519E-2</v>
      </c>
      <c r="AN43" s="76">
        <f t="shared" si="22"/>
        <v>29</v>
      </c>
      <c r="AO43" s="13">
        <f t="shared" si="23"/>
        <v>664.79537730693994</v>
      </c>
      <c r="AP43" s="62">
        <f t="shared" si="24"/>
        <v>861.46561475361466</v>
      </c>
      <c r="AQ43" s="9" t="str">
        <f t="shared" si="8"/>
        <v>🚙</v>
      </c>
      <c r="AR43" s="60" t="str">
        <f t="shared" si="9"/>
        <v>🚴‍♂️</v>
      </c>
      <c r="AS43" s="8">
        <f t="shared" si="25"/>
        <v>1626.2609920605546</v>
      </c>
      <c r="AT43" s="11">
        <f t="shared" si="26"/>
        <v>82649.169216129216</v>
      </c>
      <c r="AU43" s="15">
        <v>0</v>
      </c>
      <c r="AV43" s="32">
        <f t="shared" si="27"/>
        <v>71.176764402581597</v>
      </c>
      <c r="AW43" s="33"/>
      <c r="AX43" s="75">
        <f t="shared" si="28"/>
        <v>141.72714306928304</v>
      </c>
    </row>
    <row r="44" spans="1:50" x14ac:dyDescent="0.25">
      <c r="A44" s="5">
        <f t="shared" si="29"/>
        <v>25</v>
      </c>
      <c r="B44" s="5">
        <f t="shared" si="10"/>
        <v>75</v>
      </c>
      <c r="C44" s="77">
        <f t="shared" si="31"/>
        <v>46935</v>
      </c>
      <c r="D44" s="122">
        <f t="shared" si="11"/>
        <v>1.052426972247396E-2</v>
      </c>
      <c r="E44" s="123">
        <f t="shared" si="12"/>
        <v>30</v>
      </c>
      <c r="F44" s="124">
        <f t="shared" si="13"/>
        <v>659.05608166164438</v>
      </c>
      <c r="G44" s="125">
        <f t="shared" si="14"/>
        <v>869.82214916893554</v>
      </c>
      <c r="H44" s="126" t="str">
        <f t="shared" si="0"/>
        <v>🚙</v>
      </c>
      <c r="I44" s="127" t="str">
        <f t="shared" si="1"/>
        <v>🚴‍♂️</v>
      </c>
      <c r="J44" s="128">
        <f t="shared" si="2"/>
        <v>729.31856150151589</v>
      </c>
      <c r="K44" s="129">
        <f t="shared" si="3"/>
        <v>0.44774283779925628</v>
      </c>
      <c r="L44" s="1">
        <f t="shared" si="15"/>
        <v>1628.8782308305799</v>
      </c>
      <c r="M44" s="130">
        <f t="shared" si="16"/>
        <v>1936.8300993330613</v>
      </c>
      <c r="N44" s="131">
        <f t="shared" si="17"/>
        <v>81919.850654627706</v>
      </c>
      <c r="O44" s="15"/>
      <c r="P44" s="32">
        <f t="shared" si="18"/>
        <v>70.174046953026959</v>
      </c>
      <c r="Q44" s="33"/>
      <c r="R44" s="75">
        <f t="shared" si="19"/>
        <v>140.50358766741965</v>
      </c>
      <c r="V44" s="68">
        <f t="shared" si="4"/>
        <v>-1628.8782308305799</v>
      </c>
      <c r="AA44" s="4">
        <f t="shared" si="5"/>
        <v>1</v>
      </c>
      <c r="AB44" s="4">
        <f t="shared" si="6"/>
        <v>1</v>
      </c>
      <c r="AC44" s="12">
        <f t="shared" si="7"/>
        <v>3</v>
      </c>
      <c r="AJ44" s="5">
        <f t="shared" si="30"/>
        <v>25</v>
      </c>
      <c r="AK44" s="5">
        <f t="shared" si="20"/>
        <v>75</v>
      </c>
      <c r="AL44" s="77">
        <f t="shared" si="32"/>
        <v>46935</v>
      </c>
      <c r="AM44" s="27">
        <f t="shared" si="21"/>
        <v>1.052426972247396E-2</v>
      </c>
      <c r="AN44" s="76">
        <f t="shared" si="22"/>
        <v>30</v>
      </c>
      <c r="AO44" s="13">
        <f t="shared" si="23"/>
        <v>659.05608166164438</v>
      </c>
      <c r="AP44" s="62">
        <f t="shared" si="24"/>
        <v>869.82214916893554</v>
      </c>
      <c r="AQ44" s="9" t="str">
        <f t="shared" si="8"/>
        <v>🚙</v>
      </c>
      <c r="AR44" s="60" t="str">
        <f t="shared" si="9"/>
        <v>🚴‍♂️</v>
      </c>
      <c r="AS44" s="8">
        <f t="shared" si="25"/>
        <v>1628.8782308305799</v>
      </c>
      <c r="AT44" s="11">
        <f t="shared" si="26"/>
        <v>81919.850654627706</v>
      </c>
      <c r="AU44" s="15">
        <v>0</v>
      </c>
      <c r="AV44" s="32">
        <f t="shared" si="27"/>
        <v>70.174046953026959</v>
      </c>
      <c r="AW44" s="33"/>
      <c r="AX44" s="75">
        <f t="shared" si="28"/>
        <v>140.50358766741965</v>
      </c>
    </row>
    <row r="45" spans="1:50" x14ac:dyDescent="0.25">
      <c r="A45" s="5">
        <f t="shared" si="29"/>
        <v>25</v>
      </c>
      <c r="B45" s="5">
        <f t="shared" si="10"/>
        <v>75</v>
      </c>
      <c r="C45" s="77">
        <f t="shared" si="31"/>
        <v>46966</v>
      </c>
      <c r="D45" s="122">
        <f t="shared" si="11"/>
        <v>1.0720967666015185E-2</v>
      </c>
      <c r="E45" s="123">
        <f t="shared" si="12"/>
        <v>31</v>
      </c>
      <c r="F45" s="124">
        <f t="shared" si="13"/>
        <v>653.24039303482527</v>
      </c>
      <c r="G45" s="125">
        <f t="shared" si="14"/>
        <v>878.26007007305657</v>
      </c>
      <c r="H45" s="126" t="str">
        <f t="shared" si="0"/>
        <v>🚙</v>
      </c>
      <c r="I45" s="127" t="str">
        <f t="shared" si="1"/>
        <v>🚴‍♂️</v>
      </c>
      <c r="J45" s="128">
        <f t="shared" si="2"/>
        <v>738.99632396018944</v>
      </c>
      <c r="K45" s="129">
        <f t="shared" si="3"/>
        <v>0.45295501942577371</v>
      </c>
      <c r="L45" s="1">
        <f t="shared" si="15"/>
        <v>1631.5004631078818</v>
      </c>
      <c r="M45" s="130">
        <f t="shared" si="16"/>
        <v>1937.5436161465761</v>
      </c>
      <c r="N45" s="131">
        <f t="shared" si="17"/>
        <v>81180.854330667513</v>
      </c>
      <c r="O45" s="15"/>
      <c r="P45" s="32">
        <f t="shared" si="18"/>
        <v>69.171348229031835</v>
      </c>
      <c r="Q45" s="33"/>
      <c r="R45" s="75">
        <f t="shared" si="19"/>
        <v>139.2637461128671</v>
      </c>
      <c r="V45" s="68">
        <f t="shared" si="4"/>
        <v>-1631.5004631078818</v>
      </c>
      <c r="AA45" s="4">
        <f t="shared" si="5"/>
        <v>1</v>
      </c>
      <c r="AB45" s="4">
        <f t="shared" si="6"/>
        <v>1</v>
      </c>
      <c r="AC45" s="12">
        <f t="shared" si="7"/>
        <v>3</v>
      </c>
      <c r="AJ45" s="5">
        <f t="shared" si="30"/>
        <v>25</v>
      </c>
      <c r="AK45" s="5">
        <f t="shared" si="20"/>
        <v>75</v>
      </c>
      <c r="AL45" s="77">
        <f t="shared" si="32"/>
        <v>46966</v>
      </c>
      <c r="AM45" s="27">
        <f t="shared" si="21"/>
        <v>1.0720967666015185E-2</v>
      </c>
      <c r="AN45" s="76">
        <f t="shared" si="22"/>
        <v>31</v>
      </c>
      <c r="AO45" s="13">
        <f t="shared" si="23"/>
        <v>653.24039303482527</v>
      </c>
      <c r="AP45" s="62">
        <f t="shared" si="24"/>
        <v>878.26007007305657</v>
      </c>
      <c r="AQ45" s="9" t="str">
        <f t="shared" si="8"/>
        <v>🚙</v>
      </c>
      <c r="AR45" s="60" t="str">
        <f t="shared" si="9"/>
        <v>🚴‍♂️</v>
      </c>
      <c r="AS45" s="8">
        <f t="shared" si="25"/>
        <v>1631.5004631078818</v>
      </c>
      <c r="AT45" s="11">
        <f t="shared" si="26"/>
        <v>81180.854330667513</v>
      </c>
      <c r="AU45" s="15">
        <v>0</v>
      </c>
      <c r="AV45" s="32">
        <f t="shared" si="27"/>
        <v>69.171348229031835</v>
      </c>
      <c r="AW45" s="33"/>
      <c r="AX45" s="75">
        <f t="shared" si="28"/>
        <v>139.2637461128671</v>
      </c>
    </row>
    <row r="46" spans="1:50" x14ac:dyDescent="0.25">
      <c r="A46" s="5">
        <f t="shared" si="29"/>
        <v>25</v>
      </c>
      <c r="B46" s="5">
        <f t="shared" si="10"/>
        <v>75</v>
      </c>
      <c r="C46" s="77">
        <f t="shared" si="31"/>
        <v>46997</v>
      </c>
      <c r="D46" s="122">
        <f t="shared" si="11"/>
        <v>1.0923513788848893E-2</v>
      </c>
      <c r="E46" s="123">
        <f t="shared" si="12"/>
        <v>32</v>
      </c>
      <c r="F46" s="124">
        <f t="shared" si="13"/>
        <v>647.347532571123</v>
      </c>
      <c r="G46" s="125">
        <f t="shared" si="14"/>
        <v>886.78018167157995</v>
      </c>
      <c r="H46" s="126" t="str">
        <f t="shared" si="0"/>
        <v>🚙</v>
      </c>
      <c r="I46" s="127" t="str">
        <f t="shared" si="1"/>
        <v>🚴‍♂️</v>
      </c>
      <c r="J46" s="128">
        <f t="shared" si="2"/>
        <v>748.77272930944514</v>
      </c>
      <c r="K46" s="129">
        <f t="shared" si="3"/>
        <v>0.45820943050124191</v>
      </c>
      <c r="L46" s="1">
        <f t="shared" si="15"/>
        <v>1634.127714242703</v>
      </c>
      <c r="M46" s="130">
        <f t="shared" si="16"/>
        <v>1938.2297459852443</v>
      </c>
      <c r="N46" s="131">
        <f t="shared" si="17"/>
        <v>80432.081601358062</v>
      </c>
      <c r="O46" s="15"/>
      <c r="P46" s="32">
        <f t="shared" si="18"/>
        <v>68.168668081733642</v>
      </c>
      <c r="Q46" s="33"/>
      <c r="R46" s="75">
        <f t="shared" si="19"/>
        <v>138.00745236213476</v>
      </c>
      <c r="V46" s="68">
        <f t="shared" si="4"/>
        <v>-1634.127714242703</v>
      </c>
      <c r="AA46" s="4">
        <f t="shared" si="5"/>
        <v>1</v>
      </c>
      <c r="AB46" s="4">
        <f t="shared" si="6"/>
        <v>1</v>
      </c>
      <c r="AC46" s="12">
        <f t="shared" si="7"/>
        <v>3</v>
      </c>
      <c r="AJ46" s="5">
        <f t="shared" si="30"/>
        <v>25</v>
      </c>
      <c r="AK46" s="5">
        <f t="shared" si="20"/>
        <v>75</v>
      </c>
      <c r="AL46" s="77">
        <f t="shared" si="32"/>
        <v>46997</v>
      </c>
      <c r="AM46" s="27">
        <f t="shared" si="21"/>
        <v>1.0923513788848893E-2</v>
      </c>
      <c r="AN46" s="76">
        <f t="shared" si="22"/>
        <v>32</v>
      </c>
      <c r="AO46" s="13">
        <f t="shared" si="23"/>
        <v>647.347532571123</v>
      </c>
      <c r="AP46" s="62">
        <f t="shared" si="24"/>
        <v>886.78018167157995</v>
      </c>
      <c r="AQ46" s="9" t="str">
        <f t="shared" si="8"/>
        <v>🚙</v>
      </c>
      <c r="AR46" s="60" t="str">
        <f t="shared" si="9"/>
        <v>🚴‍♂️</v>
      </c>
      <c r="AS46" s="8">
        <f t="shared" si="25"/>
        <v>1634.127714242703</v>
      </c>
      <c r="AT46" s="11">
        <f t="shared" si="26"/>
        <v>80432.081601358062</v>
      </c>
      <c r="AU46" s="15">
        <v>0</v>
      </c>
      <c r="AV46" s="32">
        <f t="shared" si="27"/>
        <v>68.168668081733642</v>
      </c>
      <c r="AW46" s="33"/>
      <c r="AX46" s="75">
        <f t="shared" si="28"/>
        <v>138.00745236213476</v>
      </c>
    </row>
    <row r="47" spans="1:50" x14ac:dyDescent="0.25">
      <c r="A47" s="5">
        <f t="shared" si="29"/>
        <v>25</v>
      </c>
      <c r="B47" s="5">
        <f t="shared" si="10"/>
        <v>75</v>
      </c>
      <c r="C47" s="77">
        <f t="shared" si="31"/>
        <v>47027</v>
      </c>
      <c r="D47" s="122">
        <f t="shared" si="11"/>
        <v>1.113216615648561E-2</v>
      </c>
      <c r="E47" s="123">
        <f t="shared" si="12"/>
        <v>33</v>
      </c>
      <c r="F47" s="124">
        <f t="shared" si="13"/>
        <v>641.37671367827591</v>
      </c>
      <c r="G47" s="125">
        <f t="shared" si="14"/>
        <v>895.38329669832717</v>
      </c>
      <c r="H47" s="126" t="str">
        <f t="shared" si="0"/>
        <v>🚙</v>
      </c>
      <c r="I47" s="127" t="str">
        <f t="shared" si="1"/>
        <v>🚴‍♂️</v>
      </c>
      <c r="J47" s="128">
        <f t="shared" si="2"/>
        <v>758.64875797601849</v>
      </c>
      <c r="K47" s="129">
        <f t="shared" si="3"/>
        <v>0.46350641093770401</v>
      </c>
      <c r="L47" s="1">
        <f t="shared" si="15"/>
        <v>1636.7600103766031</v>
      </c>
      <c r="M47" s="130">
        <f t="shared" si="16"/>
        <v>1938.8884604108539</v>
      </c>
      <c r="N47" s="131">
        <f t="shared" si="17"/>
        <v>79673.432843382034</v>
      </c>
      <c r="O47" s="15"/>
      <c r="P47" s="32">
        <f t="shared" si="18"/>
        <v>67.166006363459687</v>
      </c>
      <c r="Q47" s="33"/>
      <c r="R47" s="75">
        <f t="shared" si="19"/>
        <v>136.73453872230868</v>
      </c>
      <c r="V47" s="68">
        <f t="shared" si="4"/>
        <v>-1636.7600103766031</v>
      </c>
      <c r="AA47" s="4">
        <f t="shared" si="5"/>
        <v>1</v>
      </c>
      <c r="AB47" s="4">
        <f t="shared" si="6"/>
        <v>1</v>
      </c>
      <c r="AC47" s="12">
        <f t="shared" si="7"/>
        <v>3</v>
      </c>
      <c r="AJ47" s="5">
        <f t="shared" si="30"/>
        <v>25</v>
      </c>
      <c r="AK47" s="5">
        <f t="shared" si="20"/>
        <v>75</v>
      </c>
      <c r="AL47" s="77">
        <f t="shared" si="32"/>
        <v>47027</v>
      </c>
      <c r="AM47" s="27">
        <f t="shared" si="21"/>
        <v>1.113216615648561E-2</v>
      </c>
      <c r="AN47" s="76">
        <f t="shared" si="22"/>
        <v>33</v>
      </c>
      <c r="AO47" s="13">
        <f t="shared" si="23"/>
        <v>641.37671367827591</v>
      </c>
      <c r="AP47" s="62">
        <f t="shared" si="24"/>
        <v>895.38329669832717</v>
      </c>
      <c r="AQ47" s="9" t="str">
        <f t="shared" si="8"/>
        <v>🚙</v>
      </c>
      <c r="AR47" s="60" t="str">
        <f t="shared" si="9"/>
        <v>🚴‍♂️</v>
      </c>
      <c r="AS47" s="8">
        <f t="shared" si="25"/>
        <v>1636.7600103766031</v>
      </c>
      <c r="AT47" s="11">
        <f t="shared" si="26"/>
        <v>79673.432843382034</v>
      </c>
      <c r="AU47" s="15">
        <v>0</v>
      </c>
      <c r="AV47" s="32">
        <f t="shared" si="27"/>
        <v>67.166006363459687</v>
      </c>
      <c r="AW47" s="33"/>
      <c r="AX47" s="75">
        <f t="shared" si="28"/>
        <v>136.73453872230868</v>
      </c>
    </row>
    <row r="48" spans="1:50" x14ac:dyDescent="0.25">
      <c r="A48" s="5">
        <f t="shared" si="29"/>
        <v>25</v>
      </c>
      <c r="B48" s="5">
        <f t="shared" si="10"/>
        <v>75</v>
      </c>
      <c r="C48" s="77">
        <f t="shared" si="31"/>
        <v>47058</v>
      </c>
      <c r="D48" s="122">
        <f t="shared" si="11"/>
        <v>1.1347198235071706E-2</v>
      </c>
      <c r="E48" s="123">
        <f t="shared" si="12"/>
        <v>34</v>
      </c>
      <c r="F48" s="124">
        <f t="shared" si="13"/>
        <v>635.32714194596167</v>
      </c>
      <c r="G48" s="125">
        <f t="shared" si="14"/>
        <v>904.07023654252873</v>
      </c>
      <c r="H48" s="126" t="str">
        <f t="shared" si="0"/>
        <v>🚙</v>
      </c>
      <c r="I48" s="127" t="str">
        <f t="shared" si="1"/>
        <v>🚴‍♂️</v>
      </c>
      <c r="J48" s="128">
        <f t="shared" si="2"/>
        <v>768.62540070877935</v>
      </c>
      <c r="K48" s="129">
        <f t="shared" si="3"/>
        <v>0.46884630340048794</v>
      </c>
      <c r="L48" s="1">
        <f t="shared" si="15"/>
        <v>1639.3973784884904</v>
      </c>
      <c r="M48" s="130">
        <f t="shared" si="16"/>
        <v>1939.5197542595774</v>
      </c>
      <c r="N48" s="131">
        <f t="shared" si="17"/>
        <v>78904.807442673264</v>
      </c>
      <c r="O48" s="15"/>
      <c r="P48" s="32">
        <f t="shared" si="18"/>
        <v>66.163362927717543</v>
      </c>
      <c r="Q48" s="33"/>
      <c r="R48" s="75">
        <f t="shared" si="19"/>
        <v>135.44483583374944</v>
      </c>
      <c r="V48" s="68">
        <f t="shared" si="4"/>
        <v>-1639.3973784884904</v>
      </c>
      <c r="AA48" s="4">
        <f t="shared" si="5"/>
        <v>1</v>
      </c>
      <c r="AB48" s="4">
        <f t="shared" si="6"/>
        <v>1</v>
      </c>
      <c r="AC48" s="12">
        <f t="shared" si="7"/>
        <v>3</v>
      </c>
      <c r="AJ48" s="5">
        <f t="shared" si="30"/>
        <v>25</v>
      </c>
      <c r="AK48" s="5">
        <f t="shared" si="20"/>
        <v>75</v>
      </c>
      <c r="AL48" s="77">
        <f t="shared" si="32"/>
        <v>47058</v>
      </c>
      <c r="AM48" s="27">
        <f t="shared" si="21"/>
        <v>1.1347198235071706E-2</v>
      </c>
      <c r="AN48" s="76">
        <f t="shared" si="22"/>
        <v>34</v>
      </c>
      <c r="AO48" s="13">
        <f t="shared" si="23"/>
        <v>635.32714194596167</v>
      </c>
      <c r="AP48" s="62">
        <f t="shared" si="24"/>
        <v>904.07023654252873</v>
      </c>
      <c r="AQ48" s="9" t="str">
        <f t="shared" si="8"/>
        <v>🚙</v>
      </c>
      <c r="AR48" s="60" t="str">
        <f t="shared" si="9"/>
        <v>🚴‍♂️</v>
      </c>
      <c r="AS48" s="8">
        <f t="shared" si="25"/>
        <v>1639.3973784884904</v>
      </c>
      <c r="AT48" s="11">
        <f t="shared" si="26"/>
        <v>78904.807442673264</v>
      </c>
      <c r="AU48" s="15">
        <v>0</v>
      </c>
      <c r="AV48" s="32">
        <f t="shared" si="27"/>
        <v>66.163362927717543</v>
      </c>
      <c r="AW48" s="33"/>
      <c r="AX48" s="75">
        <f t="shared" si="28"/>
        <v>135.44483583374944</v>
      </c>
    </row>
    <row r="49" spans="1:50" x14ac:dyDescent="0.25">
      <c r="A49" s="5">
        <f t="shared" si="29"/>
        <v>25</v>
      </c>
      <c r="B49" s="5">
        <f t="shared" si="10"/>
        <v>75</v>
      </c>
      <c r="C49" s="77">
        <f t="shared" si="31"/>
        <v>47088</v>
      </c>
      <c r="D49" s="122">
        <f t="shared" si="11"/>
        <v>1.1568900057754255E-2</v>
      </c>
      <c r="E49" s="123">
        <f t="shared" si="12"/>
        <v>35</v>
      </c>
      <c r="F49" s="124">
        <f t="shared" si="13"/>
        <v>629.19801506348756</v>
      </c>
      <c r="G49" s="125">
        <f t="shared" si="14"/>
        <v>912.84183138063111</v>
      </c>
      <c r="H49" s="126" t="str">
        <f t="shared" si="0"/>
        <v>🚙</v>
      </c>
      <c r="I49" s="127" t="str">
        <f t="shared" si="1"/>
        <v>🚴‍♂️</v>
      </c>
      <c r="J49" s="128">
        <f t="shared" si="2"/>
        <v>778.70365872808657</v>
      </c>
      <c r="K49" s="129">
        <f t="shared" si="3"/>
        <v>0.47422945333171435</v>
      </c>
      <c r="L49" s="1">
        <f t="shared" si="15"/>
        <v>1642.0398464441187</v>
      </c>
      <c r="M49" s="130">
        <f t="shared" si="16"/>
        <v>1940.1236477919242</v>
      </c>
      <c r="N49" s="131">
        <f t="shared" si="17"/>
        <v>78126.103783945175</v>
      </c>
      <c r="O49" s="15"/>
      <c r="P49" s="32">
        <f t="shared" si="18"/>
        <v>65.160737629185633</v>
      </c>
      <c r="Q49" s="33"/>
      <c r="R49" s="75">
        <f t="shared" si="19"/>
        <v>134.13817265254454</v>
      </c>
      <c r="V49" s="68">
        <f t="shared" si="4"/>
        <v>-1642.0398464441187</v>
      </c>
      <c r="AA49" s="4">
        <f t="shared" si="5"/>
        <v>1</v>
      </c>
      <c r="AB49" s="4">
        <f t="shared" si="6"/>
        <v>1</v>
      </c>
      <c r="AC49" s="12">
        <f t="shared" si="7"/>
        <v>3</v>
      </c>
      <c r="AJ49" s="5">
        <f t="shared" si="30"/>
        <v>25</v>
      </c>
      <c r="AK49" s="5">
        <f t="shared" si="20"/>
        <v>75</v>
      </c>
      <c r="AL49" s="77">
        <f t="shared" si="32"/>
        <v>47088</v>
      </c>
      <c r="AM49" s="27">
        <f t="shared" si="21"/>
        <v>1.1568900057754255E-2</v>
      </c>
      <c r="AN49" s="76">
        <f t="shared" si="22"/>
        <v>35</v>
      </c>
      <c r="AO49" s="13">
        <f t="shared" si="23"/>
        <v>629.19801506348756</v>
      </c>
      <c r="AP49" s="62">
        <f t="shared" si="24"/>
        <v>912.84183138063111</v>
      </c>
      <c r="AQ49" s="9" t="str">
        <f t="shared" si="8"/>
        <v>🚙</v>
      </c>
      <c r="AR49" s="60" t="str">
        <f t="shared" si="9"/>
        <v>🚴‍♂️</v>
      </c>
      <c r="AS49" s="8">
        <f t="shared" si="25"/>
        <v>1642.0398464441187</v>
      </c>
      <c r="AT49" s="11">
        <f t="shared" si="26"/>
        <v>78126.103783945175</v>
      </c>
      <c r="AU49" s="15">
        <v>0</v>
      </c>
      <c r="AV49" s="32">
        <f t="shared" si="27"/>
        <v>65.160737629185633</v>
      </c>
      <c r="AW49" s="33"/>
      <c r="AX49" s="75">
        <f t="shared" si="28"/>
        <v>134.13817265254454</v>
      </c>
    </row>
    <row r="50" spans="1:50" x14ac:dyDescent="0.25">
      <c r="A50" s="5">
        <f t="shared" si="29"/>
        <v>25</v>
      </c>
      <c r="B50" s="5">
        <f t="shared" si="10"/>
        <v>75</v>
      </c>
      <c r="C50" s="77">
        <f t="shared" si="31"/>
        <v>47119</v>
      </c>
      <c r="D50" s="122">
        <f t="shared" si="11"/>
        <v>1.1797579498678181E-2</v>
      </c>
      <c r="E50" s="123">
        <f t="shared" si="12"/>
        <v>36</v>
      </c>
      <c r="F50" s="124">
        <f t="shared" si="13"/>
        <v>622.98852273628859</v>
      </c>
      <c r="G50" s="125">
        <f t="shared" si="14"/>
        <v>921.6989203130754</v>
      </c>
      <c r="H50" s="126" t="str">
        <f t="shared" si="0"/>
        <v>🚙</v>
      </c>
      <c r="I50" s="127" t="str">
        <f t="shared" si="1"/>
        <v>🚴‍♂️</v>
      </c>
      <c r="J50" s="128">
        <f t="shared" si="2"/>
        <v>788.8845438803686</v>
      </c>
      <c r="K50" s="129">
        <f t="shared" si="3"/>
        <v>0.47965620897410283</v>
      </c>
      <c r="L50" s="1">
        <f t="shared" si="15"/>
        <v>1644.687443049364</v>
      </c>
      <c r="M50" s="130">
        <f t="shared" si="16"/>
        <v>1940.7001890483734</v>
      </c>
      <c r="N50" s="131">
        <f t="shared" si="17"/>
        <v>77337.219240064805</v>
      </c>
      <c r="O50" s="15"/>
      <c r="P50" s="32">
        <f t="shared" si="18"/>
        <v>64.15813032370373</v>
      </c>
      <c r="Q50" s="33"/>
      <c r="R50" s="75">
        <f t="shared" si="19"/>
        <v>132.81437643270678</v>
      </c>
      <c r="V50" s="68">
        <f t="shared" si="4"/>
        <v>-1644.687443049364</v>
      </c>
      <c r="AA50" s="4">
        <f t="shared" si="5"/>
        <v>1</v>
      </c>
      <c r="AB50" s="4">
        <f t="shared" si="6"/>
        <v>1</v>
      </c>
      <c r="AC50" s="12">
        <f t="shared" si="7"/>
        <v>3</v>
      </c>
      <c r="AJ50" s="5">
        <f t="shared" si="30"/>
        <v>25</v>
      </c>
      <c r="AK50" s="5">
        <f t="shared" si="20"/>
        <v>75</v>
      </c>
      <c r="AL50" s="77">
        <f t="shared" si="32"/>
        <v>47119</v>
      </c>
      <c r="AM50" s="27">
        <f t="shared" si="21"/>
        <v>1.1797579498678181E-2</v>
      </c>
      <c r="AN50" s="76">
        <f t="shared" si="22"/>
        <v>36</v>
      </c>
      <c r="AO50" s="13">
        <f t="shared" si="23"/>
        <v>622.98852273628859</v>
      </c>
      <c r="AP50" s="62">
        <f t="shared" si="24"/>
        <v>921.6989203130754</v>
      </c>
      <c r="AQ50" s="9" t="str">
        <f t="shared" si="8"/>
        <v>🚙</v>
      </c>
      <c r="AR50" s="60" t="str">
        <f t="shared" si="9"/>
        <v>🚴‍♂️</v>
      </c>
      <c r="AS50" s="8">
        <f t="shared" si="25"/>
        <v>1644.687443049364</v>
      </c>
      <c r="AT50" s="11">
        <f t="shared" si="26"/>
        <v>77337.219240064805</v>
      </c>
      <c r="AU50" s="15">
        <v>0</v>
      </c>
      <c r="AV50" s="32">
        <f t="shared" si="27"/>
        <v>64.15813032370373</v>
      </c>
      <c r="AW50" s="33"/>
      <c r="AX50" s="75">
        <f t="shared" si="28"/>
        <v>132.81437643270678</v>
      </c>
    </row>
    <row r="51" spans="1:50" x14ac:dyDescent="0.25">
      <c r="A51" s="5">
        <f t="shared" si="29"/>
        <v>25</v>
      </c>
      <c r="B51" s="5">
        <f t="shared" si="10"/>
        <v>75</v>
      </c>
      <c r="C51" s="77">
        <f t="shared" si="31"/>
        <v>47150</v>
      </c>
      <c r="D51" s="122">
        <f t="shared" si="11"/>
        <v>1.2033563666384353E-2</v>
      </c>
      <c r="E51" s="123">
        <f t="shared" si="12"/>
        <v>37</v>
      </c>
      <c r="F51" s="124">
        <f t="shared" si="13"/>
        <v>616.69784660119478</v>
      </c>
      <c r="G51" s="125">
        <f t="shared" si="14"/>
        <v>930.64235150644481</v>
      </c>
      <c r="H51" s="126" t="str">
        <f t="shared" si="0"/>
        <v>🚙</v>
      </c>
      <c r="I51" s="127" t="str">
        <f t="shared" si="1"/>
        <v>🚴‍♂️</v>
      </c>
      <c r="J51" s="128">
        <f t="shared" si="2"/>
        <v>799.16907879833468</v>
      </c>
      <c r="K51" s="129">
        <f t="shared" si="3"/>
        <v>0.48512692139508862</v>
      </c>
      <c r="L51" s="1">
        <f t="shared" si="15"/>
        <v>1647.3401981076397</v>
      </c>
      <c r="M51" s="130">
        <f t="shared" si="16"/>
        <v>1941.2494564335379</v>
      </c>
      <c r="N51" s="131">
        <f t="shared" si="17"/>
        <v>76538.050161266481</v>
      </c>
      <c r="O51" s="15"/>
      <c r="P51" s="32">
        <f t="shared" si="18"/>
        <v>63.155540868263827</v>
      </c>
      <c r="Q51" s="33"/>
      <c r="R51" s="75">
        <f t="shared" si="19"/>
        <v>131.47327270811016</v>
      </c>
      <c r="V51" s="68">
        <f t="shared" si="4"/>
        <v>-1647.3401981076397</v>
      </c>
      <c r="AA51" s="4">
        <f t="shared" si="5"/>
        <v>1</v>
      </c>
      <c r="AB51" s="4">
        <f t="shared" si="6"/>
        <v>2</v>
      </c>
      <c r="AC51" s="12">
        <f t="shared" si="7"/>
        <v>4</v>
      </c>
      <c r="AJ51" s="5">
        <f t="shared" si="30"/>
        <v>25</v>
      </c>
      <c r="AK51" s="5">
        <f t="shared" si="20"/>
        <v>75</v>
      </c>
      <c r="AL51" s="77">
        <f t="shared" si="32"/>
        <v>47150</v>
      </c>
      <c r="AM51" s="27">
        <f t="shared" si="21"/>
        <v>1.2033563666384353E-2</v>
      </c>
      <c r="AN51" s="76">
        <f t="shared" si="22"/>
        <v>37</v>
      </c>
      <c r="AO51" s="13">
        <f t="shared" si="23"/>
        <v>616.69784660119478</v>
      </c>
      <c r="AP51" s="62">
        <f t="shared" si="24"/>
        <v>930.64235150644481</v>
      </c>
      <c r="AQ51" s="9" t="str">
        <f t="shared" si="8"/>
        <v>🚙</v>
      </c>
      <c r="AR51" s="60" t="str">
        <f t="shared" si="9"/>
        <v>🚴‍♂️</v>
      </c>
      <c r="AS51" s="8">
        <f t="shared" si="25"/>
        <v>1647.3401981076397</v>
      </c>
      <c r="AT51" s="11">
        <f t="shared" si="26"/>
        <v>76538.050161266481</v>
      </c>
      <c r="AU51" s="15">
        <v>0</v>
      </c>
      <c r="AV51" s="32">
        <f t="shared" si="27"/>
        <v>63.155540868263827</v>
      </c>
      <c r="AW51" s="33"/>
      <c r="AX51" s="75">
        <f t="shared" si="28"/>
        <v>131.47327270811016</v>
      </c>
    </row>
    <row r="52" spans="1:50" x14ac:dyDescent="0.25">
      <c r="A52" s="5">
        <f t="shared" si="29"/>
        <v>25</v>
      </c>
      <c r="B52" s="5">
        <f t="shared" si="10"/>
        <v>75</v>
      </c>
      <c r="C52" s="77">
        <f t="shared" si="31"/>
        <v>47178</v>
      </c>
      <c r="D52" s="122">
        <f t="shared" si="11"/>
        <v>1.2277200429871356E-2</v>
      </c>
      <c r="E52" s="123">
        <f t="shared" si="12"/>
        <v>38</v>
      </c>
      <c r="F52" s="124">
        <f t="shared" si="13"/>
        <v>610.32516014041937</v>
      </c>
      <c r="G52" s="125">
        <f t="shared" si="14"/>
        <v>939.67298234141617</v>
      </c>
      <c r="H52" s="126" t="str">
        <f t="shared" si="0"/>
        <v>🚙</v>
      </c>
      <c r="I52" s="127" t="str">
        <f t="shared" si="1"/>
        <v>🚴‍♂️</v>
      </c>
      <c r="J52" s="128">
        <f t="shared" si="2"/>
        <v>809.5582970672632</v>
      </c>
      <c r="K52" s="129">
        <f t="shared" si="3"/>
        <v>0.49064194451126503</v>
      </c>
      <c r="L52" s="1">
        <f t="shared" si="15"/>
        <v>1649.9981424818357</v>
      </c>
      <c r="M52" s="130">
        <f t="shared" si="16"/>
        <v>1941.7715615546535</v>
      </c>
      <c r="N52" s="131">
        <f t="shared" si="17"/>
        <v>75728.491864199212</v>
      </c>
      <c r="O52" s="15"/>
      <c r="P52" s="32">
        <f t="shared" si="18"/>
        <v>62.152969121000829</v>
      </c>
      <c r="Q52" s="33"/>
      <c r="R52" s="75">
        <f t="shared" si="19"/>
        <v>130.114685274153</v>
      </c>
      <c r="V52" s="68">
        <f t="shared" si="4"/>
        <v>-1649.9981424818357</v>
      </c>
      <c r="AA52" s="4">
        <f t="shared" si="5"/>
        <v>1</v>
      </c>
      <c r="AB52" s="4">
        <f t="shared" si="6"/>
        <v>2</v>
      </c>
      <c r="AC52" s="12">
        <f t="shared" si="7"/>
        <v>4</v>
      </c>
      <c r="AJ52" s="5">
        <f t="shared" si="30"/>
        <v>25</v>
      </c>
      <c r="AK52" s="5">
        <f t="shared" si="20"/>
        <v>75</v>
      </c>
      <c r="AL52" s="77">
        <f t="shared" si="32"/>
        <v>47178</v>
      </c>
      <c r="AM52" s="27">
        <f t="shared" si="21"/>
        <v>1.2277200429871356E-2</v>
      </c>
      <c r="AN52" s="76">
        <f t="shared" si="22"/>
        <v>38</v>
      </c>
      <c r="AO52" s="13">
        <f t="shared" si="23"/>
        <v>610.32516014041937</v>
      </c>
      <c r="AP52" s="62">
        <f t="shared" si="24"/>
        <v>939.67298234141617</v>
      </c>
      <c r="AQ52" s="9" t="str">
        <f t="shared" si="8"/>
        <v>🚙</v>
      </c>
      <c r="AR52" s="60" t="str">
        <f t="shared" si="9"/>
        <v>🚴‍♂️</v>
      </c>
      <c r="AS52" s="8">
        <f t="shared" si="25"/>
        <v>1649.9981424818357</v>
      </c>
      <c r="AT52" s="11">
        <f t="shared" si="26"/>
        <v>75728.491864199212</v>
      </c>
      <c r="AU52" s="15">
        <v>0</v>
      </c>
      <c r="AV52" s="32">
        <f t="shared" si="27"/>
        <v>62.152969121000829</v>
      </c>
      <c r="AW52" s="33"/>
      <c r="AX52" s="75">
        <f t="shared" si="28"/>
        <v>130.114685274153</v>
      </c>
    </row>
    <row r="53" spans="1:50" x14ac:dyDescent="0.25">
      <c r="A53" s="5">
        <f t="shared" si="29"/>
        <v>25</v>
      </c>
      <c r="B53" s="5">
        <f t="shared" si="10"/>
        <v>75</v>
      </c>
      <c r="C53" s="77">
        <f t="shared" si="31"/>
        <v>47209</v>
      </c>
      <c r="D53" s="122">
        <f t="shared" si="11"/>
        <v>1.2528860092294352E-2</v>
      </c>
      <c r="E53" s="123">
        <f t="shared" si="12"/>
        <v>39</v>
      </c>
      <c r="F53" s="124">
        <f t="shared" si="13"/>
        <v>603.86962859422067</v>
      </c>
      <c r="G53" s="125">
        <f t="shared" si="14"/>
        <v>948.79167956700303</v>
      </c>
      <c r="H53" s="126" t="str">
        <f t="shared" si="0"/>
        <v>🚙</v>
      </c>
      <c r="I53" s="127" t="str">
        <f t="shared" si="1"/>
        <v>🚴‍♂️</v>
      </c>
      <c r="J53" s="128">
        <f t="shared" si="2"/>
        <v>820.05324339786443</v>
      </c>
      <c r="K53" s="129">
        <f t="shared" si="3"/>
        <v>0.49620163511316684</v>
      </c>
      <c r="L53" s="1">
        <f t="shared" si="15"/>
        <v>1652.6613081612236</v>
      </c>
      <c r="M53" s="130">
        <f t="shared" si="16"/>
        <v>1942.2666523435687</v>
      </c>
      <c r="N53" s="131">
        <f t="shared" si="17"/>
        <v>74908.438620801346</v>
      </c>
      <c r="O53" s="15"/>
      <c r="P53" s="32">
        <f t="shared" si="18"/>
        <v>61.150414941183413</v>
      </c>
      <c r="Q53" s="33"/>
      <c r="R53" s="75">
        <f t="shared" si="19"/>
        <v>128.73843616913865</v>
      </c>
      <c r="V53" s="68">
        <f t="shared" si="4"/>
        <v>-1652.6613081612236</v>
      </c>
      <c r="AA53" s="4">
        <f t="shared" si="5"/>
        <v>1</v>
      </c>
      <c r="AB53" s="4">
        <f t="shared" si="6"/>
        <v>2</v>
      </c>
      <c r="AC53" s="12">
        <f t="shared" si="7"/>
        <v>4</v>
      </c>
      <c r="AJ53" s="5">
        <f t="shared" si="30"/>
        <v>25</v>
      </c>
      <c r="AK53" s="5">
        <f t="shared" si="20"/>
        <v>75</v>
      </c>
      <c r="AL53" s="77">
        <f t="shared" si="32"/>
        <v>47209</v>
      </c>
      <c r="AM53" s="27">
        <f t="shared" si="21"/>
        <v>1.2528860092294352E-2</v>
      </c>
      <c r="AN53" s="76">
        <f t="shared" si="22"/>
        <v>39</v>
      </c>
      <c r="AO53" s="13">
        <f t="shared" si="23"/>
        <v>603.86962859422067</v>
      </c>
      <c r="AP53" s="62">
        <f t="shared" si="24"/>
        <v>948.79167956700303</v>
      </c>
      <c r="AQ53" s="9" t="str">
        <f t="shared" si="8"/>
        <v>🚙</v>
      </c>
      <c r="AR53" s="60" t="str">
        <f t="shared" si="9"/>
        <v>🚴‍♂️</v>
      </c>
      <c r="AS53" s="8">
        <f t="shared" si="25"/>
        <v>1652.6613081612236</v>
      </c>
      <c r="AT53" s="11">
        <f t="shared" si="26"/>
        <v>74908.438620801346</v>
      </c>
      <c r="AU53" s="15">
        <v>0</v>
      </c>
      <c r="AV53" s="32">
        <f t="shared" si="27"/>
        <v>61.150414941183413</v>
      </c>
      <c r="AW53" s="33"/>
      <c r="AX53" s="75">
        <f t="shared" si="28"/>
        <v>128.73843616913865</v>
      </c>
    </row>
    <row r="54" spans="1:50" x14ac:dyDescent="0.25">
      <c r="A54" s="5">
        <f t="shared" si="29"/>
        <v>25</v>
      </c>
      <c r="B54" s="5">
        <f t="shared" si="10"/>
        <v>75</v>
      </c>
      <c r="C54" s="77">
        <f t="shared" si="31"/>
        <v>47239</v>
      </c>
      <c r="D54" s="122">
        <f t="shared" si="11"/>
        <v>1.2788937229237593E-2</v>
      </c>
      <c r="E54" s="123">
        <f t="shared" si="12"/>
        <v>40</v>
      </c>
      <c r="F54" s="124">
        <f t="shared" si="13"/>
        <v>597.33040887218817</v>
      </c>
      <c r="G54" s="125">
        <f t="shared" si="14"/>
        <v>957.99931946162542</v>
      </c>
      <c r="H54" s="126" t="str">
        <f t="shared" si="0"/>
        <v>🚙</v>
      </c>
      <c r="I54" s="127" t="str">
        <f t="shared" si="1"/>
        <v>🚖</v>
      </c>
      <c r="J54" s="128">
        <f t="shared" si="2"/>
        <v>830.65497380626311</v>
      </c>
      <c r="K54" s="129">
        <f t="shared" si="3"/>
        <v>0.50180635289040931</v>
      </c>
      <c r="L54" s="1">
        <f t="shared" si="15"/>
        <v>1655.3297283338136</v>
      </c>
      <c r="M54" s="130">
        <f t="shared" si="16"/>
        <v>1942.7349164952925</v>
      </c>
      <c r="N54" s="131">
        <f t="shared" si="17"/>
        <v>74077.783646995085</v>
      </c>
      <c r="O54" s="15"/>
      <c r="P54" s="32">
        <f t="shared" si="18"/>
        <v>60.147878189205024</v>
      </c>
      <c r="Q54" s="33"/>
      <c r="R54" s="75">
        <f t="shared" si="19"/>
        <v>127.34434565536228</v>
      </c>
      <c r="V54" s="68">
        <f t="shared" si="4"/>
        <v>-1655.3297283338136</v>
      </c>
      <c r="AA54" s="4">
        <f t="shared" si="5"/>
        <v>1</v>
      </c>
      <c r="AB54" s="4">
        <f t="shared" si="6"/>
        <v>2</v>
      </c>
      <c r="AC54" s="12">
        <f t="shared" si="7"/>
        <v>4</v>
      </c>
      <c r="AJ54" s="5">
        <f t="shared" si="30"/>
        <v>25</v>
      </c>
      <c r="AK54" s="5">
        <f t="shared" si="20"/>
        <v>75</v>
      </c>
      <c r="AL54" s="77">
        <f t="shared" si="32"/>
        <v>47239</v>
      </c>
      <c r="AM54" s="27">
        <f t="shared" si="21"/>
        <v>1.2788937229237593E-2</v>
      </c>
      <c r="AN54" s="76">
        <f t="shared" si="22"/>
        <v>40</v>
      </c>
      <c r="AO54" s="13">
        <f t="shared" si="23"/>
        <v>597.33040887218817</v>
      </c>
      <c r="AP54" s="62">
        <f t="shared" si="24"/>
        <v>957.99931946162542</v>
      </c>
      <c r="AQ54" s="9" t="str">
        <f t="shared" si="8"/>
        <v>🚙</v>
      </c>
      <c r="AR54" s="60" t="str">
        <f t="shared" si="9"/>
        <v>🚖</v>
      </c>
      <c r="AS54" s="8">
        <f t="shared" si="25"/>
        <v>1655.3297283338136</v>
      </c>
      <c r="AT54" s="11">
        <f t="shared" si="26"/>
        <v>74077.783646995085</v>
      </c>
      <c r="AU54" s="15">
        <v>0</v>
      </c>
      <c r="AV54" s="32">
        <f t="shared" si="27"/>
        <v>60.147878189205024</v>
      </c>
      <c r="AW54" s="33"/>
      <c r="AX54" s="75">
        <f t="shared" si="28"/>
        <v>127.34434565536228</v>
      </c>
    </row>
    <row r="55" spans="1:50" x14ac:dyDescent="0.25">
      <c r="A55" s="5">
        <f t="shared" si="29"/>
        <v>25</v>
      </c>
      <c r="B55" s="5">
        <f t="shared" si="10"/>
        <v>75</v>
      </c>
      <c r="C55" s="77">
        <f t="shared" si="31"/>
        <v>47270</v>
      </c>
      <c r="D55" s="122">
        <f t="shared" si="11"/>
        <v>1.3057852710754672E-2</v>
      </c>
      <c r="E55" s="123">
        <f t="shared" si="12"/>
        <v>41</v>
      </c>
      <c r="F55" s="124">
        <f t="shared" si="13"/>
        <v>590.70664946308966</v>
      </c>
      <c r="G55" s="125">
        <f t="shared" si="14"/>
        <v>967.29678800161287</v>
      </c>
      <c r="H55" s="126" t="str">
        <f t="shared" si="0"/>
        <v>🚙</v>
      </c>
      <c r="I55" s="127" t="str">
        <f t="shared" si="1"/>
        <v>🚖</v>
      </c>
      <c r="J55" s="128">
        <f t="shared" si="2"/>
        <v>841.36455580172128</v>
      </c>
      <c r="K55" s="129">
        <f t="shared" si="3"/>
        <v>0.50745646045720771</v>
      </c>
      <c r="L55" s="1">
        <f t="shared" si="15"/>
        <v>1658.0034374647025</v>
      </c>
      <c r="M55" s="130">
        <f t="shared" si="16"/>
        <v>1943.1765852606218</v>
      </c>
      <c r="N55" s="131">
        <f t="shared" si="17"/>
        <v>73236.419091193369</v>
      </c>
      <c r="O55" s="15"/>
      <c r="P55" s="32">
        <f t="shared" si="18"/>
        <v>59.145358726574756</v>
      </c>
      <c r="Q55" s="33"/>
      <c r="R55" s="75">
        <f t="shared" si="19"/>
        <v>125.93223219989164</v>
      </c>
      <c r="V55" s="68">
        <f t="shared" si="4"/>
        <v>-1658.0034374647025</v>
      </c>
      <c r="AA55" s="4">
        <f t="shared" si="5"/>
        <v>1</v>
      </c>
      <c r="AB55" s="4">
        <f t="shared" si="6"/>
        <v>2</v>
      </c>
      <c r="AC55" s="12">
        <f t="shared" si="7"/>
        <v>4</v>
      </c>
      <c r="AJ55" s="5">
        <f t="shared" si="30"/>
        <v>25</v>
      </c>
      <c r="AK55" s="5">
        <f t="shared" si="20"/>
        <v>75</v>
      </c>
      <c r="AL55" s="77">
        <f t="shared" si="32"/>
        <v>47270</v>
      </c>
      <c r="AM55" s="27">
        <f t="shared" si="21"/>
        <v>1.3057852710754672E-2</v>
      </c>
      <c r="AN55" s="76">
        <f t="shared" si="22"/>
        <v>41</v>
      </c>
      <c r="AO55" s="13">
        <f t="shared" si="23"/>
        <v>590.70664946308966</v>
      </c>
      <c r="AP55" s="62">
        <f t="shared" si="24"/>
        <v>967.29678800161287</v>
      </c>
      <c r="AQ55" s="9" t="str">
        <f t="shared" si="8"/>
        <v>🚙</v>
      </c>
      <c r="AR55" s="60" t="str">
        <f t="shared" si="9"/>
        <v>🚖</v>
      </c>
      <c r="AS55" s="8">
        <f t="shared" si="25"/>
        <v>1658.0034374647025</v>
      </c>
      <c r="AT55" s="11">
        <f t="shared" si="26"/>
        <v>73236.419091193369</v>
      </c>
      <c r="AU55" s="15">
        <v>0</v>
      </c>
      <c r="AV55" s="32">
        <f t="shared" si="27"/>
        <v>59.145358726574756</v>
      </c>
      <c r="AW55" s="33"/>
      <c r="AX55" s="75">
        <f t="shared" si="28"/>
        <v>125.93223219989164</v>
      </c>
    </row>
    <row r="56" spans="1:50" x14ac:dyDescent="0.25">
      <c r="A56" s="5">
        <f t="shared" si="29"/>
        <v>25</v>
      </c>
      <c r="B56" s="5">
        <f t="shared" si="10"/>
        <v>75</v>
      </c>
      <c r="C56" s="77">
        <f t="shared" si="31"/>
        <v>47300</v>
      </c>
      <c r="D56" s="122">
        <f t="shared" si="11"/>
        <v>1.3336055928972124E-2</v>
      </c>
      <c r="E56" s="123">
        <f t="shared" si="12"/>
        <v>42</v>
      </c>
      <c r="F56" s="124">
        <f t="shared" si="13"/>
        <v>583.99749034322451</v>
      </c>
      <c r="G56" s="125">
        <f t="shared" si="14"/>
        <v>976.68498103779666</v>
      </c>
      <c r="H56" s="126" t="str">
        <f t="shared" si="0"/>
        <v>🚙</v>
      </c>
      <c r="I56" s="127" t="str">
        <f t="shared" si="1"/>
        <v>🚖</v>
      </c>
      <c r="J56" s="128">
        <f t="shared" si="2"/>
        <v>852.18306858276799</v>
      </c>
      <c r="K56" s="129">
        <f t="shared" si="3"/>
        <v>0.51315232337828776</v>
      </c>
      <c r="L56" s="1">
        <f t="shared" si="15"/>
        <v>1660.6824713810213</v>
      </c>
      <c r="M56" s="130">
        <f t="shared" si="16"/>
        <v>1943.5919376355491</v>
      </c>
      <c r="N56" s="131">
        <f t="shared" si="17"/>
        <v>72384.23602261061</v>
      </c>
      <c r="O56" s="15"/>
      <c r="P56" s="32">
        <f t="shared" si="18"/>
        <v>58.142856415908589</v>
      </c>
      <c r="Q56" s="33"/>
      <c r="R56" s="75">
        <f t="shared" si="19"/>
        <v>124.50191245502872</v>
      </c>
      <c r="V56" s="68">
        <f t="shared" si="4"/>
        <v>-1660.6824713810213</v>
      </c>
      <c r="AA56" s="4">
        <f t="shared" si="5"/>
        <v>1</v>
      </c>
      <c r="AB56" s="4">
        <f t="shared" si="6"/>
        <v>2</v>
      </c>
      <c r="AC56" s="12">
        <f t="shared" si="7"/>
        <v>4</v>
      </c>
      <c r="AJ56" s="5">
        <f t="shared" si="30"/>
        <v>25</v>
      </c>
      <c r="AK56" s="5">
        <f t="shared" si="20"/>
        <v>75</v>
      </c>
      <c r="AL56" s="77">
        <f t="shared" si="32"/>
        <v>47300</v>
      </c>
      <c r="AM56" s="27">
        <f t="shared" si="21"/>
        <v>1.3336055928972124E-2</v>
      </c>
      <c r="AN56" s="76">
        <f t="shared" si="22"/>
        <v>42</v>
      </c>
      <c r="AO56" s="13">
        <f t="shared" si="23"/>
        <v>583.99749034322451</v>
      </c>
      <c r="AP56" s="62">
        <f t="shared" si="24"/>
        <v>976.68498103779666</v>
      </c>
      <c r="AQ56" s="9" t="str">
        <f t="shared" si="8"/>
        <v>🚙</v>
      </c>
      <c r="AR56" s="60" t="str">
        <f t="shared" si="9"/>
        <v>🚖</v>
      </c>
      <c r="AS56" s="8">
        <f t="shared" si="25"/>
        <v>1660.6824713810213</v>
      </c>
      <c r="AT56" s="11">
        <f t="shared" si="26"/>
        <v>72384.23602261061</v>
      </c>
      <c r="AU56" s="15">
        <v>0</v>
      </c>
      <c r="AV56" s="32">
        <f t="shared" si="27"/>
        <v>58.142856415908589</v>
      </c>
      <c r="AW56" s="33"/>
      <c r="AX56" s="75">
        <f t="shared" si="28"/>
        <v>124.50191245502872</v>
      </c>
    </row>
    <row r="57" spans="1:50" x14ac:dyDescent="0.25">
      <c r="A57" s="5">
        <f t="shared" si="29"/>
        <v>25</v>
      </c>
      <c r="B57" s="5">
        <f t="shared" si="10"/>
        <v>75</v>
      </c>
      <c r="C57" s="77">
        <f t="shared" si="31"/>
        <v>47331</v>
      </c>
      <c r="D57" s="122">
        <f t="shared" si="11"/>
        <v>1.362402725605759E-2</v>
      </c>
      <c r="E57" s="123">
        <f t="shared" si="12"/>
        <v>43</v>
      </c>
      <c r="F57" s="124">
        <f t="shared" si="13"/>
        <v>577.20206288321151</v>
      </c>
      <c r="G57" s="125">
        <f t="shared" si="14"/>
        <v>986.16480448095263</v>
      </c>
      <c r="H57" s="126" t="str">
        <f t="shared" si="0"/>
        <v>🚙</v>
      </c>
      <c r="I57" s="127" t="str">
        <f t="shared" si="1"/>
        <v>🚖</v>
      </c>
      <c r="J57" s="128">
        <f t="shared" si="2"/>
        <v>863.11160324251455</v>
      </c>
      <c r="K57" s="129">
        <f t="shared" si="3"/>
        <v>0.51889431019522159</v>
      </c>
      <c r="L57" s="1">
        <f t="shared" si="15"/>
        <v>1663.3668673641641</v>
      </c>
      <c r="M57" s="130">
        <f t="shared" si="16"/>
        <v>1943.9813049961285</v>
      </c>
      <c r="N57" s="131">
        <f t="shared" si="17"/>
        <v>71521.12441936809</v>
      </c>
      <c r="O57" s="15"/>
      <c r="P57" s="32">
        <f t="shared" si="18"/>
        <v>57.140371120920598</v>
      </c>
      <c r="Q57" s="33"/>
      <c r="R57" s="75">
        <f t="shared" si="19"/>
        <v>123.05320123843804</v>
      </c>
      <c r="V57" s="68">
        <f t="shared" si="4"/>
        <v>-1663.3668673641641</v>
      </c>
      <c r="AA57" s="4">
        <f t="shared" si="5"/>
        <v>1</v>
      </c>
      <c r="AB57" s="4">
        <f t="shared" si="6"/>
        <v>2</v>
      </c>
      <c r="AC57" s="12">
        <f t="shared" si="7"/>
        <v>4</v>
      </c>
      <c r="AJ57" s="5">
        <f t="shared" si="30"/>
        <v>25</v>
      </c>
      <c r="AK57" s="5">
        <f t="shared" si="20"/>
        <v>75</v>
      </c>
      <c r="AL57" s="77">
        <f t="shared" si="32"/>
        <v>47331</v>
      </c>
      <c r="AM57" s="27">
        <f t="shared" si="21"/>
        <v>1.362402725605759E-2</v>
      </c>
      <c r="AN57" s="76">
        <f t="shared" si="22"/>
        <v>43</v>
      </c>
      <c r="AO57" s="13">
        <f t="shared" si="23"/>
        <v>577.20206288321151</v>
      </c>
      <c r="AP57" s="62">
        <f t="shared" si="24"/>
        <v>986.16480448095263</v>
      </c>
      <c r="AQ57" s="9" t="str">
        <f t="shared" si="8"/>
        <v>🚙</v>
      </c>
      <c r="AR57" s="60" t="str">
        <f t="shared" si="9"/>
        <v>🚖</v>
      </c>
      <c r="AS57" s="8">
        <f t="shared" si="25"/>
        <v>1663.3668673641641</v>
      </c>
      <c r="AT57" s="11">
        <f t="shared" si="26"/>
        <v>71521.12441936809</v>
      </c>
      <c r="AU57" s="15">
        <v>0</v>
      </c>
      <c r="AV57" s="32">
        <f t="shared" si="27"/>
        <v>57.140371120920598</v>
      </c>
      <c r="AW57" s="33"/>
      <c r="AX57" s="75">
        <f t="shared" si="28"/>
        <v>123.05320123843804</v>
      </c>
    </row>
    <row r="58" spans="1:50" x14ac:dyDescent="0.25">
      <c r="A58" s="5">
        <f t="shared" si="29"/>
        <v>25</v>
      </c>
      <c r="B58" s="5">
        <f t="shared" si="10"/>
        <v>75</v>
      </c>
      <c r="C58" s="77">
        <f t="shared" si="31"/>
        <v>47362</v>
      </c>
      <c r="D58" s="122">
        <f t="shared" si="11"/>
        <v>1.3922280760833182E-2</v>
      </c>
      <c r="E58" s="123">
        <f t="shared" si="12"/>
        <v>44</v>
      </c>
      <c r="F58" s="124">
        <f t="shared" si="13"/>
        <v>570.31948975313935</v>
      </c>
      <c r="G58" s="125">
        <f t="shared" si="14"/>
        <v>995.73717449692458</v>
      </c>
      <c r="H58" s="126" t="str">
        <f t="shared" si="0"/>
        <v>🚙</v>
      </c>
      <c r="I58" s="127" t="str">
        <f t="shared" si="1"/>
        <v>🚖</v>
      </c>
      <c r="J58" s="128">
        <f t="shared" si="2"/>
        <v>874.15126298399878</v>
      </c>
      <c r="K58" s="129">
        <f t="shared" si="3"/>
        <v>0.52468279245320704</v>
      </c>
      <c r="L58" s="1">
        <f t="shared" si="15"/>
        <v>1666.0566642500639</v>
      </c>
      <c r="M58" s="130">
        <f t="shared" si="16"/>
        <v>1944.3450762344173</v>
      </c>
      <c r="N58" s="131">
        <f t="shared" si="17"/>
        <v>70646.973156384091</v>
      </c>
      <c r="O58" s="15"/>
      <c r="P58" s="32">
        <f t="shared" si="18"/>
        <v>56.137902706414053</v>
      </c>
      <c r="Q58" s="33"/>
      <c r="R58" s="75">
        <f t="shared" si="19"/>
        <v>121.58591151292575</v>
      </c>
      <c r="V58" s="68">
        <f t="shared" si="4"/>
        <v>-1666.0566642500639</v>
      </c>
      <c r="AA58" s="4">
        <f t="shared" si="5"/>
        <v>1</v>
      </c>
      <c r="AB58" s="4">
        <f t="shared" si="6"/>
        <v>2</v>
      </c>
      <c r="AC58" s="12">
        <f t="shared" si="7"/>
        <v>4</v>
      </c>
      <c r="AJ58" s="5">
        <f t="shared" si="30"/>
        <v>25</v>
      </c>
      <c r="AK58" s="5">
        <f t="shared" si="20"/>
        <v>75</v>
      </c>
      <c r="AL58" s="77">
        <f t="shared" si="32"/>
        <v>47362</v>
      </c>
      <c r="AM58" s="27">
        <f t="shared" si="21"/>
        <v>1.3922280760833182E-2</v>
      </c>
      <c r="AN58" s="76">
        <f t="shared" si="22"/>
        <v>44</v>
      </c>
      <c r="AO58" s="13">
        <f t="shared" si="23"/>
        <v>570.31948975313935</v>
      </c>
      <c r="AP58" s="62">
        <f t="shared" si="24"/>
        <v>995.73717449692458</v>
      </c>
      <c r="AQ58" s="9" t="str">
        <f t="shared" si="8"/>
        <v>🚙</v>
      </c>
      <c r="AR58" s="60" t="str">
        <f t="shared" si="9"/>
        <v>🚖</v>
      </c>
      <c r="AS58" s="8">
        <f t="shared" si="25"/>
        <v>1666.0566642500639</v>
      </c>
      <c r="AT58" s="11">
        <f t="shared" si="26"/>
        <v>70646.973156384091</v>
      </c>
      <c r="AU58" s="15">
        <v>0</v>
      </c>
      <c r="AV58" s="32">
        <f t="shared" si="27"/>
        <v>56.137902706414053</v>
      </c>
      <c r="AW58" s="33"/>
      <c r="AX58" s="75">
        <f t="shared" si="28"/>
        <v>121.58591151292575</v>
      </c>
    </row>
    <row r="59" spans="1:50" x14ac:dyDescent="0.25">
      <c r="A59" s="5">
        <f t="shared" si="29"/>
        <v>25</v>
      </c>
      <c r="B59" s="5">
        <f t="shared" si="10"/>
        <v>75</v>
      </c>
      <c r="C59" s="77">
        <f t="shared" si="31"/>
        <v>47392</v>
      </c>
      <c r="D59" s="122">
        <f t="shared" si="11"/>
        <v>1.4231367216353418E-2</v>
      </c>
      <c r="E59" s="123">
        <f t="shared" si="12"/>
        <v>45</v>
      </c>
      <c r="F59" s="124">
        <f t="shared" si="13"/>
        <v>563.34888482600138</v>
      </c>
      <c r="G59" s="125">
        <f t="shared" si="14"/>
        <v>1005.4030177123645</v>
      </c>
      <c r="H59" s="126" t="str">
        <f t="shared" si="0"/>
        <v>🚙</v>
      </c>
      <c r="I59" s="127" t="str">
        <f t="shared" si="1"/>
        <v>🚖</v>
      </c>
      <c r="J59" s="128">
        <f t="shared" si="2"/>
        <v>885.30316334651161</v>
      </c>
      <c r="K59" s="129">
        <f t="shared" si="3"/>
        <v>0.53051814472832215</v>
      </c>
      <c r="L59" s="1">
        <f t="shared" si="15"/>
        <v>1668.7519025383658</v>
      </c>
      <c r="M59" s="130">
        <f t="shared" si="16"/>
        <v>1944.6837034591824</v>
      </c>
      <c r="N59" s="131">
        <f t="shared" si="17"/>
        <v>69761.669993037576</v>
      </c>
      <c r="O59" s="15"/>
      <c r="P59" s="32">
        <f t="shared" si="18"/>
        <v>55.135451038272933</v>
      </c>
      <c r="Q59" s="33"/>
      <c r="R59" s="75">
        <f t="shared" si="19"/>
        <v>120.09985436585295</v>
      </c>
      <c r="V59" s="68">
        <f t="shared" si="4"/>
        <v>-1668.7519025383658</v>
      </c>
      <c r="AA59" s="4">
        <f t="shared" si="5"/>
        <v>1</v>
      </c>
      <c r="AB59" s="4">
        <f t="shared" si="6"/>
        <v>2</v>
      </c>
      <c r="AC59" s="12">
        <f t="shared" si="7"/>
        <v>4</v>
      </c>
      <c r="AJ59" s="5">
        <f t="shared" si="30"/>
        <v>25</v>
      </c>
      <c r="AK59" s="5">
        <f t="shared" si="20"/>
        <v>75</v>
      </c>
      <c r="AL59" s="77">
        <f t="shared" si="32"/>
        <v>47392</v>
      </c>
      <c r="AM59" s="27">
        <f t="shared" si="21"/>
        <v>1.4231367216353418E-2</v>
      </c>
      <c r="AN59" s="76">
        <f t="shared" si="22"/>
        <v>45</v>
      </c>
      <c r="AO59" s="13">
        <f t="shared" si="23"/>
        <v>563.34888482600138</v>
      </c>
      <c r="AP59" s="62">
        <f t="shared" si="24"/>
        <v>1005.4030177123645</v>
      </c>
      <c r="AQ59" s="9" t="str">
        <f t="shared" si="8"/>
        <v>🚙</v>
      </c>
      <c r="AR59" s="60" t="str">
        <f t="shared" si="9"/>
        <v>🚖</v>
      </c>
      <c r="AS59" s="8">
        <f t="shared" si="25"/>
        <v>1668.7519025383658</v>
      </c>
      <c r="AT59" s="11">
        <f t="shared" si="26"/>
        <v>69761.669993037576</v>
      </c>
      <c r="AU59" s="15">
        <v>0</v>
      </c>
      <c r="AV59" s="32">
        <f t="shared" si="27"/>
        <v>55.135451038272933</v>
      </c>
      <c r="AW59" s="33"/>
      <c r="AX59" s="75">
        <f t="shared" si="28"/>
        <v>120.09985436585295</v>
      </c>
    </row>
    <row r="60" spans="1:50" x14ac:dyDescent="0.25">
      <c r="A60" s="5">
        <f t="shared" si="29"/>
        <v>25</v>
      </c>
      <c r="B60" s="5">
        <f t="shared" si="10"/>
        <v>75</v>
      </c>
      <c r="C60" s="77">
        <f t="shared" si="31"/>
        <v>47423</v>
      </c>
      <c r="D60" s="122">
        <f t="shared" si="11"/>
        <v>1.4551877435466612E-2</v>
      </c>
      <c r="E60" s="123">
        <f t="shared" si="12"/>
        <v>46</v>
      </c>
      <c r="F60" s="124">
        <f t="shared" si="13"/>
        <v>556.28935307932352</v>
      </c>
      <c r="G60" s="125">
        <f t="shared" si="14"/>
        <v>1015.1632714321518</v>
      </c>
      <c r="H60" s="126" t="str">
        <f t="shared" si="0"/>
        <v>🚙</v>
      </c>
      <c r="I60" s="127" t="str">
        <f t="shared" si="1"/>
        <v>🚖</v>
      </c>
      <c r="J60" s="128">
        <f t="shared" si="2"/>
        <v>896.56843244398783</v>
      </c>
      <c r="K60" s="129">
        <f t="shared" si="3"/>
        <v>0.5364007446552862</v>
      </c>
      <c r="L60" s="1">
        <f t="shared" si="15"/>
        <v>1671.4526245114753</v>
      </c>
      <c r="M60" s="130">
        <f t="shared" si="16"/>
        <v>1944.9977083344888</v>
      </c>
      <c r="N60" s="131">
        <f t="shared" si="17"/>
        <v>68865.101560593597</v>
      </c>
      <c r="O60" s="15"/>
      <c r="P60" s="32">
        <f t="shared" si="18"/>
        <v>54.13301598345322</v>
      </c>
      <c r="Q60" s="33"/>
      <c r="R60" s="75">
        <f t="shared" si="19"/>
        <v>118.59483898816387</v>
      </c>
      <c r="V60" s="68">
        <f t="shared" si="4"/>
        <v>-1671.4526245114753</v>
      </c>
      <c r="AA60" s="4">
        <f t="shared" si="5"/>
        <v>1</v>
      </c>
      <c r="AB60" s="4">
        <f t="shared" si="6"/>
        <v>2</v>
      </c>
      <c r="AC60" s="12">
        <f t="shared" si="7"/>
        <v>4</v>
      </c>
      <c r="AJ60" s="5">
        <f t="shared" si="30"/>
        <v>25</v>
      </c>
      <c r="AK60" s="5">
        <f t="shared" si="20"/>
        <v>75</v>
      </c>
      <c r="AL60" s="77">
        <f t="shared" si="32"/>
        <v>47423</v>
      </c>
      <c r="AM60" s="27">
        <f t="shared" si="21"/>
        <v>1.4551877435466612E-2</v>
      </c>
      <c r="AN60" s="76">
        <f t="shared" si="22"/>
        <v>46</v>
      </c>
      <c r="AO60" s="13">
        <f t="shared" si="23"/>
        <v>556.28935307932352</v>
      </c>
      <c r="AP60" s="62">
        <f t="shared" si="24"/>
        <v>1015.1632714321518</v>
      </c>
      <c r="AQ60" s="9" t="str">
        <f t="shared" si="8"/>
        <v>🚙</v>
      </c>
      <c r="AR60" s="60" t="str">
        <f t="shared" si="9"/>
        <v>🚖</v>
      </c>
      <c r="AS60" s="8">
        <f t="shared" si="25"/>
        <v>1671.4526245114753</v>
      </c>
      <c r="AT60" s="11">
        <f t="shared" si="26"/>
        <v>68865.101560593597</v>
      </c>
      <c r="AU60" s="15">
        <v>0</v>
      </c>
      <c r="AV60" s="32">
        <f t="shared" si="27"/>
        <v>54.13301598345322</v>
      </c>
      <c r="AW60" s="33"/>
      <c r="AX60" s="75">
        <f t="shared" si="28"/>
        <v>118.59483898816387</v>
      </c>
    </row>
    <row r="61" spans="1:50" x14ac:dyDescent="0.25">
      <c r="A61" s="5">
        <f t="shared" si="29"/>
        <v>25</v>
      </c>
      <c r="B61" s="5">
        <f t="shared" si="10"/>
        <v>75</v>
      </c>
      <c r="C61" s="77">
        <f t="shared" si="31"/>
        <v>47453</v>
      </c>
      <c r="D61" s="122">
        <f t="shared" si="11"/>
        <v>1.4884445976860587E-2</v>
      </c>
      <c r="E61" s="123">
        <f t="shared" si="12"/>
        <v>47</v>
      </c>
      <c r="F61" s="124">
        <f t="shared" si="13"/>
        <v>549.13999049489314</v>
      </c>
      <c r="G61" s="125">
        <f t="shared" si="14"/>
        <v>1025.0188838696731</v>
      </c>
      <c r="H61" s="126" t="str">
        <f t="shared" si="0"/>
        <v>🚙</v>
      </c>
      <c r="I61" s="127" t="str">
        <f t="shared" si="1"/>
        <v>🚖</v>
      </c>
      <c r="J61" s="128">
        <f t="shared" si="2"/>
        <v>907.94821121666405</v>
      </c>
      <c r="K61" s="129">
        <f t="shared" si="3"/>
        <v>0.54233097295576527</v>
      </c>
      <c r="L61" s="1">
        <f t="shared" si="15"/>
        <v>1674.1588743645664</v>
      </c>
      <c r="M61" s="130">
        <f t="shared" si="16"/>
        <v>1945.287689140293</v>
      </c>
      <c r="N61" s="131">
        <f t="shared" si="17"/>
        <v>67957.153349376924</v>
      </c>
      <c r="O61" s="15"/>
      <c r="P61" s="32">
        <f t="shared" si="18"/>
        <v>53.130597409974435</v>
      </c>
      <c r="Q61" s="33"/>
      <c r="R61" s="75">
        <f t="shared" si="19"/>
        <v>117.07067265300911</v>
      </c>
      <c r="V61" s="68">
        <f t="shared" si="4"/>
        <v>-1674.1588743645664</v>
      </c>
      <c r="AA61" s="4">
        <f t="shared" si="5"/>
        <v>1</v>
      </c>
      <c r="AB61" s="4">
        <f t="shared" si="6"/>
        <v>2</v>
      </c>
      <c r="AC61" s="12">
        <f t="shared" si="7"/>
        <v>4</v>
      </c>
      <c r="AJ61" s="5">
        <f t="shared" si="30"/>
        <v>25</v>
      </c>
      <c r="AK61" s="5">
        <f t="shared" si="20"/>
        <v>75</v>
      </c>
      <c r="AL61" s="77">
        <f t="shared" si="32"/>
        <v>47453</v>
      </c>
      <c r="AM61" s="27">
        <f t="shared" si="21"/>
        <v>1.4884445976860587E-2</v>
      </c>
      <c r="AN61" s="76">
        <f t="shared" si="22"/>
        <v>47</v>
      </c>
      <c r="AO61" s="13">
        <f t="shared" si="23"/>
        <v>549.13999049489314</v>
      </c>
      <c r="AP61" s="62">
        <f t="shared" si="24"/>
        <v>1025.0188838696731</v>
      </c>
      <c r="AQ61" s="9" t="str">
        <f t="shared" si="8"/>
        <v>🚙</v>
      </c>
      <c r="AR61" s="60" t="str">
        <f t="shared" si="9"/>
        <v>🚖</v>
      </c>
      <c r="AS61" s="8">
        <f t="shared" si="25"/>
        <v>1674.1588743645664</v>
      </c>
      <c r="AT61" s="11">
        <f t="shared" si="26"/>
        <v>67957.153349376924</v>
      </c>
      <c r="AU61" s="15">
        <v>0</v>
      </c>
      <c r="AV61" s="32">
        <f t="shared" si="27"/>
        <v>53.130597409974435</v>
      </c>
      <c r="AW61" s="33"/>
      <c r="AX61" s="75">
        <f t="shared" si="28"/>
        <v>117.07067265300911</v>
      </c>
    </row>
    <row r="62" spans="1:50" x14ac:dyDescent="0.25">
      <c r="A62" s="5">
        <f t="shared" si="29"/>
        <v>25</v>
      </c>
      <c r="B62" s="5">
        <f t="shared" si="10"/>
        <v>75</v>
      </c>
      <c r="C62" s="77">
        <f t="shared" si="31"/>
        <v>47484</v>
      </c>
      <c r="D62" s="122">
        <f t="shared" si="11"/>
        <v>1.5229755270506795E-2</v>
      </c>
      <c r="E62" s="123">
        <f t="shared" si="12"/>
        <v>48</v>
      </c>
      <c r="F62" s="124">
        <f t="shared" si="13"/>
        <v>541.89988395647936</v>
      </c>
      <c r="G62" s="125">
        <f t="shared" si="14"/>
        <v>1034.9708143913117</v>
      </c>
      <c r="H62" s="126" t="str">
        <f t="shared" si="0"/>
        <v>🚙</v>
      </c>
      <c r="I62" s="127" t="str">
        <f t="shared" si="1"/>
        <v>🚖</v>
      </c>
      <c r="J62" s="128">
        <f t="shared" si="2"/>
        <v>919.44365369737091</v>
      </c>
      <c r="K62" s="129">
        <f t="shared" si="3"/>
        <v>0.54830921346725914</v>
      </c>
      <c r="L62" s="1">
        <f t="shared" si="15"/>
        <v>1676.8706983477912</v>
      </c>
      <c r="M62" s="130">
        <f t="shared" si="16"/>
        <v>1945.554328652084</v>
      </c>
      <c r="N62" s="131">
        <f t="shared" si="17"/>
        <v>67037.709695679543</v>
      </c>
      <c r="O62" s="15"/>
      <c r="P62" s="32">
        <f t="shared" si="18"/>
        <v>52.128195186911292</v>
      </c>
      <c r="Q62" s="33"/>
      <c r="R62" s="75">
        <f t="shared" si="19"/>
        <v>115.52716069394076</v>
      </c>
      <c r="V62" s="68">
        <f t="shared" si="4"/>
        <v>-1676.8706983477912</v>
      </c>
      <c r="AA62" s="4">
        <f t="shared" si="5"/>
        <v>1</v>
      </c>
      <c r="AB62" s="4">
        <f t="shared" si="6"/>
        <v>2</v>
      </c>
      <c r="AC62" s="12">
        <f t="shared" si="7"/>
        <v>4</v>
      </c>
      <c r="AJ62" s="5">
        <f t="shared" si="30"/>
        <v>25</v>
      </c>
      <c r="AK62" s="5">
        <f t="shared" si="20"/>
        <v>75</v>
      </c>
      <c r="AL62" s="77">
        <f t="shared" si="32"/>
        <v>47484</v>
      </c>
      <c r="AM62" s="27">
        <f t="shared" si="21"/>
        <v>1.5229755270506795E-2</v>
      </c>
      <c r="AN62" s="76">
        <f t="shared" si="22"/>
        <v>48</v>
      </c>
      <c r="AO62" s="13">
        <f t="shared" si="23"/>
        <v>541.89988395647936</v>
      </c>
      <c r="AP62" s="62">
        <f t="shared" si="24"/>
        <v>1034.9708143913117</v>
      </c>
      <c r="AQ62" s="9" t="str">
        <f t="shared" si="8"/>
        <v>🚙</v>
      </c>
      <c r="AR62" s="60" t="str">
        <f t="shared" si="9"/>
        <v>🚖</v>
      </c>
      <c r="AS62" s="8">
        <f t="shared" si="25"/>
        <v>1676.8706983477912</v>
      </c>
      <c r="AT62" s="11">
        <f t="shared" si="26"/>
        <v>67037.709695679543</v>
      </c>
      <c r="AU62" s="15">
        <v>0</v>
      </c>
      <c r="AV62" s="32">
        <f t="shared" si="27"/>
        <v>52.128195186911292</v>
      </c>
      <c r="AW62" s="33"/>
      <c r="AX62" s="75">
        <f t="shared" si="28"/>
        <v>115.52716069394076</v>
      </c>
    </row>
    <row r="63" spans="1:50" x14ac:dyDescent="0.25">
      <c r="A63" s="5">
        <f t="shared" si="29"/>
        <v>25</v>
      </c>
      <c r="B63" s="5">
        <f t="shared" si="10"/>
        <v>75</v>
      </c>
      <c r="C63" s="77">
        <f t="shared" si="31"/>
        <v>47515</v>
      </c>
      <c r="D63" s="122">
        <f t="shared" si="11"/>
        <v>1.5588540218939056E-2</v>
      </c>
      <c r="E63" s="123">
        <f t="shared" si="12"/>
        <v>49</v>
      </c>
      <c r="F63" s="124">
        <f t="shared" si="13"/>
        <v>534.56811114543211</v>
      </c>
      <c r="G63" s="125">
        <f t="shared" si="14"/>
        <v>1045.0200337766612</v>
      </c>
      <c r="H63" s="126" t="str">
        <f t="shared" si="0"/>
        <v>🚙</v>
      </c>
      <c r="I63" s="127" t="str">
        <f t="shared" si="1"/>
        <v>🚖</v>
      </c>
      <c r="J63" s="128">
        <f t="shared" si="2"/>
        <v>931.05592729400598</v>
      </c>
      <c r="K63" s="129">
        <f t="shared" si="3"/>
        <v>0.55433585317261957</v>
      </c>
      <c r="L63" s="1">
        <f t="shared" si="15"/>
        <v>1679.5881449220933</v>
      </c>
      <c r="M63" s="130">
        <f t="shared" si="16"/>
        <v>1945.7984029518286</v>
      </c>
      <c r="N63" s="131">
        <f t="shared" si="17"/>
        <v>66106.653768385542</v>
      </c>
      <c r="O63" s="15"/>
      <c r="P63" s="32">
        <f t="shared" si="18"/>
        <v>51.125809184385197</v>
      </c>
      <c r="Q63" s="33"/>
      <c r="R63" s="75">
        <f t="shared" si="19"/>
        <v>113.96410648265521</v>
      </c>
      <c r="V63" s="68">
        <f t="shared" si="4"/>
        <v>-1679.5881449220933</v>
      </c>
      <c r="AA63" s="4">
        <f t="shared" si="5"/>
        <v>1</v>
      </c>
      <c r="AB63" s="4">
        <f t="shared" si="6"/>
        <v>2</v>
      </c>
      <c r="AC63" s="12">
        <f t="shared" si="7"/>
        <v>5</v>
      </c>
      <c r="AJ63" s="5">
        <f t="shared" si="30"/>
        <v>25</v>
      </c>
      <c r="AK63" s="5">
        <f t="shared" si="20"/>
        <v>75</v>
      </c>
      <c r="AL63" s="77">
        <f t="shared" si="32"/>
        <v>47515</v>
      </c>
      <c r="AM63" s="27">
        <f t="shared" si="21"/>
        <v>1.5588540218939056E-2</v>
      </c>
      <c r="AN63" s="76">
        <f t="shared" si="22"/>
        <v>49</v>
      </c>
      <c r="AO63" s="13">
        <f t="shared" si="23"/>
        <v>534.56811114543211</v>
      </c>
      <c r="AP63" s="62">
        <f t="shared" si="24"/>
        <v>1045.0200337766612</v>
      </c>
      <c r="AQ63" s="9" t="str">
        <f t="shared" si="8"/>
        <v>🚙</v>
      </c>
      <c r="AR63" s="60" t="str">
        <f t="shared" si="9"/>
        <v>🚖</v>
      </c>
      <c r="AS63" s="8">
        <f t="shared" si="25"/>
        <v>1679.5881449220933</v>
      </c>
      <c r="AT63" s="11">
        <f t="shared" si="26"/>
        <v>66106.653768385542</v>
      </c>
      <c r="AU63" s="15">
        <v>0</v>
      </c>
      <c r="AV63" s="32">
        <f t="shared" si="27"/>
        <v>51.125809184385197</v>
      </c>
      <c r="AW63" s="33"/>
      <c r="AX63" s="75">
        <f t="shared" si="28"/>
        <v>113.96410648265521</v>
      </c>
    </row>
    <row r="64" spans="1:50" x14ac:dyDescent="0.25">
      <c r="A64" s="5">
        <f t="shared" si="29"/>
        <v>25</v>
      </c>
      <c r="B64" s="5">
        <f t="shared" si="10"/>
        <v>75</v>
      </c>
      <c r="C64" s="77">
        <f t="shared" si="31"/>
        <v>47543</v>
      </c>
      <c r="D64" s="122">
        <f t="shared" si="11"/>
        <v>1.596159333965267E-2</v>
      </c>
      <c r="E64" s="123">
        <f t="shared" si="12"/>
        <v>50</v>
      </c>
      <c r="F64" s="124">
        <f t="shared" si="13"/>
        <v>527.14374043402654</v>
      </c>
      <c r="G64" s="125">
        <f t="shared" si="14"/>
        <v>1055.1675244961878</v>
      </c>
      <c r="H64" s="126" t="str">
        <f t="shared" si="0"/>
        <v>🚙</v>
      </c>
      <c r="I64" s="127" t="str">
        <f t="shared" si="1"/>
        <v>🚖</v>
      </c>
      <c r="J64" s="128">
        <f t="shared" si="2"/>
        <v>942.78621308993229</v>
      </c>
      <c r="K64" s="129">
        <f t="shared" si="3"/>
        <v>0.56041128223024828</v>
      </c>
      <c r="L64" s="1">
        <f t="shared" si="15"/>
        <v>1682.3112649302143</v>
      </c>
      <c r="M64" s="130">
        <f t="shared" si="16"/>
        <v>1946.020791300359</v>
      </c>
      <c r="N64" s="131">
        <f t="shared" si="17"/>
        <v>65163.867555295612</v>
      </c>
      <c r="O64" s="15"/>
      <c r="P64" s="32">
        <f t="shared" si="18"/>
        <v>50.12343927355623</v>
      </c>
      <c r="Q64" s="33"/>
      <c r="R64" s="75">
        <f t="shared" si="19"/>
        <v>112.38131140625542</v>
      </c>
      <c r="V64" s="68">
        <f t="shared" si="4"/>
        <v>-1682.3112649302143</v>
      </c>
      <c r="AA64" s="4">
        <f t="shared" si="5"/>
        <v>1</v>
      </c>
      <c r="AB64" s="4">
        <f t="shared" si="6"/>
        <v>2</v>
      </c>
      <c r="AC64" s="12">
        <f t="shared" si="7"/>
        <v>5</v>
      </c>
      <c r="AJ64" s="5">
        <f t="shared" si="30"/>
        <v>25</v>
      </c>
      <c r="AK64" s="5">
        <f t="shared" si="20"/>
        <v>75</v>
      </c>
      <c r="AL64" s="77">
        <f t="shared" si="32"/>
        <v>47543</v>
      </c>
      <c r="AM64" s="27">
        <f t="shared" si="21"/>
        <v>1.596159333965267E-2</v>
      </c>
      <c r="AN64" s="76">
        <f t="shared" si="22"/>
        <v>50</v>
      </c>
      <c r="AO64" s="13">
        <f t="shared" si="23"/>
        <v>527.14374043402654</v>
      </c>
      <c r="AP64" s="62">
        <f t="shared" si="24"/>
        <v>1055.1675244961878</v>
      </c>
      <c r="AQ64" s="9" t="str">
        <f t="shared" si="8"/>
        <v>🚙</v>
      </c>
      <c r="AR64" s="60" t="str">
        <f t="shared" si="9"/>
        <v>🚖</v>
      </c>
      <c r="AS64" s="8">
        <f t="shared" si="25"/>
        <v>1682.3112649302143</v>
      </c>
      <c r="AT64" s="11">
        <f t="shared" si="26"/>
        <v>65163.867555295612</v>
      </c>
      <c r="AU64" s="15">
        <v>0</v>
      </c>
      <c r="AV64" s="32">
        <f t="shared" si="27"/>
        <v>50.12343927355623</v>
      </c>
      <c r="AW64" s="33"/>
      <c r="AX64" s="75">
        <f t="shared" si="28"/>
        <v>112.38131140625542</v>
      </c>
    </row>
    <row r="65" spans="1:50" x14ac:dyDescent="0.25">
      <c r="A65" s="5">
        <f t="shared" si="29"/>
        <v>25</v>
      </c>
      <c r="B65" s="5">
        <f t="shared" si="10"/>
        <v>75</v>
      </c>
      <c r="C65" s="77">
        <f t="shared" si="31"/>
        <v>47574</v>
      </c>
      <c r="D65" s="122">
        <f t="shared" si="11"/>
        <v>1.634977052435135E-2</v>
      </c>
      <c r="E65" s="123">
        <f t="shared" si="12"/>
        <v>51</v>
      </c>
      <c r="F65" s="124">
        <f t="shared" si="13"/>
        <v>519.62583077641307</v>
      </c>
      <c r="G65" s="125">
        <f t="shared" si="14"/>
        <v>1065.4142810083074</v>
      </c>
      <c r="H65" s="126" t="str">
        <f t="shared" si="0"/>
        <v>🚙</v>
      </c>
      <c r="I65" s="127" t="str">
        <f t="shared" si="1"/>
        <v>🚖</v>
      </c>
      <c r="J65" s="128">
        <f t="shared" si="2"/>
        <v>954.63570616430491</v>
      </c>
      <c r="K65" s="129">
        <f t="shared" si="3"/>
        <v>0.56653589400503745</v>
      </c>
      <c r="L65" s="1">
        <f t="shared" si="15"/>
        <v>1685.0401117847205</v>
      </c>
      <c r="M65" s="130">
        <f t="shared" si="16"/>
        <v>1946.2224872226132</v>
      </c>
      <c r="N65" s="131">
        <f t="shared" si="17"/>
        <v>64209.231849131305</v>
      </c>
      <c r="O65" s="15"/>
      <c r="P65" s="32">
        <f t="shared" si="18"/>
        <v>49.12108532661474</v>
      </c>
      <c r="Q65" s="33"/>
      <c r="R65" s="75">
        <f t="shared" si="19"/>
        <v>110.77857484400253</v>
      </c>
      <c r="V65" s="68">
        <f t="shared" si="4"/>
        <v>-1685.0401117847205</v>
      </c>
      <c r="AA65" s="4">
        <f t="shared" si="5"/>
        <v>1</v>
      </c>
      <c r="AB65" s="4">
        <f t="shared" si="6"/>
        <v>2</v>
      </c>
      <c r="AC65" s="12">
        <f t="shared" si="7"/>
        <v>5</v>
      </c>
      <c r="AJ65" s="5">
        <f t="shared" si="30"/>
        <v>25</v>
      </c>
      <c r="AK65" s="5">
        <f t="shared" si="20"/>
        <v>75</v>
      </c>
      <c r="AL65" s="77">
        <f t="shared" si="32"/>
        <v>47574</v>
      </c>
      <c r="AM65" s="27">
        <f t="shared" si="21"/>
        <v>1.634977052435135E-2</v>
      </c>
      <c r="AN65" s="76">
        <f t="shared" si="22"/>
        <v>51</v>
      </c>
      <c r="AO65" s="13">
        <f t="shared" si="23"/>
        <v>519.62583077641307</v>
      </c>
      <c r="AP65" s="62">
        <f t="shared" si="24"/>
        <v>1065.4142810083074</v>
      </c>
      <c r="AQ65" s="9" t="str">
        <f t="shared" si="8"/>
        <v>🚙</v>
      </c>
      <c r="AR65" s="60" t="str">
        <f t="shared" si="9"/>
        <v>🚖</v>
      </c>
      <c r="AS65" s="8">
        <f t="shared" si="25"/>
        <v>1685.0401117847205</v>
      </c>
      <c r="AT65" s="11">
        <f t="shared" si="26"/>
        <v>64209.231849131305</v>
      </c>
      <c r="AU65" s="15">
        <v>0</v>
      </c>
      <c r="AV65" s="32">
        <f t="shared" si="27"/>
        <v>49.12108532661474</v>
      </c>
      <c r="AW65" s="33"/>
      <c r="AX65" s="75">
        <f t="shared" si="28"/>
        <v>110.77857484400253</v>
      </c>
    </row>
    <row r="66" spans="1:50" x14ac:dyDescent="0.25">
      <c r="A66" s="5">
        <f t="shared" si="29"/>
        <v>25</v>
      </c>
      <c r="B66" s="5">
        <f t="shared" si="10"/>
        <v>75</v>
      </c>
      <c r="C66" s="77">
        <f t="shared" si="31"/>
        <v>47604</v>
      </c>
      <c r="D66" s="122">
        <f t="shared" si="11"/>
        <v>1.6753997503127872E-2</v>
      </c>
      <c r="E66" s="123">
        <f t="shared" si="12"/>
        <v>52</v>
      </c>
      <c r="F66" s="124">
        <f t="shared" si="13"/>
        <v>512.0134315970131</v>
      </c>
      <c r="G66" s="125">
        <f t="shared" si="14"/>
        <v>1075.7613100781045</v>
      </c>
      <c r="H66" s="126" t="str">
        <f t="shared" si="0"/>
        <v>🚙</v>
      </c>
      <c r="I66" s="127" t="str">
        <f t="shared" si="1"/>
        <v>🚖</v>
      </c>
      <c r="J66" s="128">
        <f t="shared" si="2"/>
        <v>966.60561593458135</v>
      </c>
      <c r="K66" s="129">
        <f t="shared" si="3"/>
        <v>0.57271008510011512</v>
      </c>
      <c r="L66" s="1">
        <f t="shared" si="15"/>
        <v>1687.7747416751176</v>
      </c>
      <c r="M66" s="130">
        <f t="shared" si="16"/>
        <v>1946.4046109822718</v>
      </c>
      <c r="N66" s="131">
        <f t="shared" si="17"/>
        <v>63242.62623319673</v>
      </c>
      <c r="O66" s="15"/>
      <c r="P66" s="32">
        <f t="shared" si="18"/>
        <v>48.118747216773336</v>
      </c>
      <c r="Q66" s="33"/>
      <c r="R66" s="75">
        <f t="shared" si="19"/>
        <v>109.15569414352321</v>
      </c>
      <c r="V66" s="68">
        <f t="shared" si="4"/>
        <v>-1687.7747416751176</v>
      </c>
      <c r="AA66" s="4">
        <f t="shared" si="5"/>
        <v>1</v>
      </c>
      <c r="AB66" s="4">
        <f t="shared" si="6"/>
        <v>2</v>
      </c>
      <c r="AC66" s="12">
        <f t="shared" si="7"/>
        <v>5</v>
      </c>
      <c r="AJ66" s="5">
        <f t="shared" si="30"/>
        <v>25</v>
      </c>
      <c r="AK66" s="5">
        <f t="shared" si="20"/>
        <v>75</v>
      </c>
      <c r="AL66" s="77">
        <f t="shared" si="32"/>
        <v>47604</v>
      </c>
      <c r="AM66" s="27">
        <f t="shared" si="21"/>
        <v>1.6753997503127872E-2</v>
      </c>
      <c r="AN66" s="76">
        <f t="shared" si="22"/>
        <v>52</v>
      </c>
      <c r="AO66" s="13">
        <f t="shared" si="23"/>
        <v>512.0134315970131</v>
      </c>
      <c r="AP66" s="62">
        <f t="shared" si="24"/>
        <v>1075.7613100781045</v>
      </c>
      <c r="AQ66" s="9" t="str">
        <f t="shared" si="8"/>
        <v>🚙</v>
      </c>
      <c r="AR66" s="60" t="str">
        <f t="shared" si="9"/>
        <v>🚖</v>
      </c>
      <c r="AS66" s="8">
        <f t="shared" si="25"/>
        <v>1687.7747416751176</v>
      </c>
      <c r="AT66" s="11">
        <f t="shared" si="26"/>
        <v>63242.62623319673</v>
      </c>
      <c r="AU66" s="15">
        <v>0</v>
      </c>
      <c r="AV66" s="32">
        <f t="shared" si="27"/>
        <v>48.118747216773336</v>
      </c>
      <c r="AW66" s="33"/>
      <c r="AX66" s="75">
        <f t="shared" si="28"/>
        <v>109.15569414352321</v>
      </c>
    </row>
    <row r="67" spans="1:50" x14ac:dyDescent="0.25">
      <c r="A67" s="5">
        <f t="shared" si="29"/>
        <v>25</v>
      </c>
      <c r="B67" s="5">
        <f t="shared" si="10"/>
        <v>75</v>
      </c>
      <c r="C67" s="77">
        <f t="shared" si="31"/>
        <v>47635</v>
      </c>
      <c r="D67" s="122">
        <f t="shared" si="11"/>
        <v>1.7175277116339774E-2</v>
      </c>
      <c r="E67" s="123">
        <f t="shared" si="12"/>
        <v>53</v>
      </c>
      <c r="F67" s="124">
        <f t="shared" si="13"/>
        <v>504.3055826761838</v>
      </c>
      <c r="G67" s="125">
        <f t="shared" si="14"/>
        <v>1086.2096311202533</v>
      </c>
      <c r="H67" s="126" t="str">
        <f t="shared" si="0"/>
        <v>🚙</v>
      </c>
      <c r="I67" s="127" t="str">
        <f t="shared" si="1"/>
        <v>🚖</v>
      </c>
      <c r="J67" s="128">
        <f t="shared" si="2"/>
        <v>978.69716652381885</v>
      </c>
      <c r="K67" s="129">
        <f t="shared" si="3"/>
        <v>0.57893425538947463</v>
      </c>
      <c r="L67" s="1">
        <f t="shared" si="15"/>
        <v>1690.5152137964371</v>
      </c>
      <c r="M67" s="130">
        <f t="shared" si="16"/>
        <v>1946.5684236523596</v>
      </c>
      <c r="N67" s="131">
        <f t="shared" si="17"/>
        <v>62263.929066672907</v>
      </c>
      <c r="O67" s="15"/>
      <c r="P67" s="32">
        <f t="shared" si="18"/>
        <v>47.116424818259006</v>
      </c>
      <c r="Q67" s="33"/>
      <c r="R67" s="75">
        <f t="shared" si="19"/>
        <v>107.51246459643444</v>
      </c>
      <c r="V67" s="68">
        <f t="shared" si="4"/>
        <v>-1690.5152137964371</v>
      </c>
      <c r="AA67" s="4">
        <f t="shared" si="5"/>
        <v>1</v>
      </c>
      <c r="AB67" s="4">
        <f t="shared" si="6"/>
        <v>2</v>
      </c>
      <c r="AC67" s="12">
        <f t="shared" si="7"/>
        <v>5</v>
      </c>
      <c r="AJ67" s="5">
        <f t="shared" si="30"/>
        <v>25</v>
      </c>
      <c r="AK67" s="5">
        <f t="shared" si="20"/>
        <v>75</v>
      </c>
      <c r="AL67" s="77">
        <f t="shared" si="32"/>
        <v>47635</v>
      </c>
      <c r="AM67" s="27">
        <f t="shared" si="21"/>
        <v>1.7175277116339774E-2</v>
      </c>
      <c r="AN67" s="76">
        <f t="shared" si="22"/>
        <v>53</v>
      </c>
      <c r="AO67" s="13">
        <f t="shared" si="23"/>
        <v>504.3055826761838</v>
      </c>
      <c r="AP67" s="62">
        <f t="shared" si="24"/>
        <v>1086.2096311202533</v>
      </c>
      <c r="AQ67" s="9" t="str">
        <f t="shared" si="8"/>
        <v>🚙</v>
      </c>
      <c r="AR67" s="60" t="str">
        <f t="shared" si="9"/>
        <v>🚖</v>
      </c>
      <c r="AS67" s="8">
        <f t="shared" si="25"/>
        <v>1690.5152137964371</v>
      </c>
      <c r="AT67" s="11">
        <f t="shared" si="26"/>
        <v>62263.929066672907</v>
      </c>
      <c r="AU67" s="15">
        <v>0</v>
      </c>
      <c r="AV67" s="32">
        <f t="shared" si="27"/>
        <v>47.116424818259006</v>
      </c>
      <c r="AW67" s="33"/>
      <c r="AX67" s="75">
        <f t="shared" si="28"/>
        <v>107.51246459643444</v>
      </c>
    </row>
    <row r="68" spans="1:50" x14ac:dyDescent="0.25">
      <c r="A68" s="5">
        <f t="shared" si="29"/>
        <v>25</v>
      </c>
      <c r="B68" s="5">
        <f t="shared" si="10"/>
        <v>75</v>
      </c>
      <c r="C68" s="77">
        <f t="shared" si="31"/>
        <v>47665</v>
      </c>
      <c r="D68" s="122">
        <f t="shared" si="11"/>
        <v>1.7614697514425202E-2</v>
      </c>
      <c r="E68" s="123">
        <f t="shared" si="12"/>
        <v>54</v>
      </c>
      <c r="F68" s="124">
        <f t="shared" si="13"/>
        <v>496.50131403295262</v>
      </c>
      <c r="G68" s="125">
        <f t="shared" si="14"/>
        <v>1096.7602765690704</v>
      </c>
      <c r="H68" s="126" t="str">
        <f t="shared" si="0"/>
        <v>🚙</v>
      </c>
      <c r="I68" s="127" t="str">
        <f t="shared" si="1"/>
        <v>🚖</v>
      </c>
      <c r="J68" s="128">
        <f t="shared" si="2"/>
        <v>990.91159715572644</v>
      </c>
      <c r="K68" s="129">
        <f t="shared" si="3"/>
        <v>0.58520880805157649</v>
      </c>
      <c r="L68" s="1">
        <f t="shared" si="15"/>
        <v>1693.261590602023</v>
      </c>
      <c r="M68" s="130">
        <f t="shared" si="16"/>
        <v>1946.7153430242417</v>
      </c>
      <c r="N68" s="131">
        <f t="shared" si="17"/>
        <v>61273.017469517181</v>
      </c>
      <c r="O68" s="15"/>
      <c r="P68" s="32">
        <f t="shared" si="18"/>
        <v>46.114118006305063</v>
      </c>
      <c r="Q68" s="33"/>
      <c r="R68" s="75">
        <f t="shared" si="19"/>
        <v>105.84867941334393</v>
      </c>
      <c r="V68" s="68">
        <f t="shared" si="4"/>
        <v>-1693.261590602023</v>
      </c>
      <c r="AA68" s="4">
        <f t="shared" si="5"/>
        <v>1</v>
      </c>
      <c r="AB68" s="4">
        <f t="shared" si="6"/>
        <v>2</v>
      </c>
      <c r="AC68" s="12">
        <f t="shared" si="7"/>
        <v>5</v>
      </c>
      <c r="AJ68" s="5">
        <f t="shared" si="30"/>
        <v>25</v>
      </c>
      <c r="AK68" s="5">
        <f t="shared" si="20"/>
        <v>75</v>
      </c>
      <c r="AL68" s="77">
        <f t="shared" si="32"/>
        <v>47665</v>
      </c>
      <c r="AM68" s="27">
        <f t="shared" si="21"/>
        <v>1.7614697514425202E-2</v>
      </c>
      <c r="AN68" s="76">
        <f t="shared" si="22"/>
        <v>54</v>
      </c>
      <c r="AO68" s="13">
        <f t="shared" si="23"/>
        <v>496.50131403295262</v>
      </c>
      <c r="AP68" s="62">
        <f t="shared" si="24"/>
        <v>1096.7602765690704</v>
      </c>
      <c r="AQ68" s="9" t="str">
        <f t="shared" si="8"/>
        <v>🚙</v>
      </c>
      <c r="AR68" s="60" t="str">
        <f t="shared" si="9"/>
        <v>🚖</v>
      </c>
      <c r="AS68" s="8">
        <f t="shared" si="25"/>
        <v>1693.261590602023</v>
      </c>
      <c r="AT68" s="11">
        <f t="shared" si="26"/>
        <v>61273.017469517181</v>
      </c>
      <c r="AU68" s="15">
        <v>0</v>
      </c>
      <c r="AV68" s="32">
        <f t="shared" si="27"/>
        <v>46.114118006305063</v>
      </c>
      <c r="AW68" s="33"/>
      <c r="AX68" s="75">
        <f t="shared" si="28"/>
        <v>105.84867941334393</v>
      </c>
    </row>
    <row r="69" spans="1:50" x14ac:dyDescent="0.25">
      <c r="A69" s="5">
        <f t="shared" si="29"/>
        <v>25</v>
      </c>
      <c r="B69" s="5">
        <f t="shared" si="10"/>
        <v>75</v>
      </c>
      <c r="C69" s="77">
        <f t="shared" si="31"/>
        <v>47696</v>
      </c>
      <c r="D69" s="122">
        <f t="shared" si="11"/>
        <v>1.8073441426807443E-2</v>
      </c>
      <c r="E69" s="123">
        <f t="shared" si="12"/>
        <v>55</v>
      </c>
      <c r="F69" s="124">
        <f t="shared" si="13"/>
        <v>488.5996458046036</v>
      </c>
      <c r="G69" s="125">
        <f t="shared" si="14"/>
        <v>1107.4142922790679</v>
      </c>
      <c r="H69" s="126" t="str">
        <f t="shared" si="0"/>
        <v>🚙</v>
      </c>
      <c r="I69" s="127" t="str">
        <f t="shared" si="1"/>
        <v>🚖</v>
      </c>
      <c r="J69" s="128">
        <f t="shared" si="2"/>
        <v>1003.2501625808887</v>
      </c>
      <c r="K69" s="129">
        <f t="shared" si="3"/>
        <v>0.59153414960401951</v>
      </c>
      <c r="L69" s="1">
        <f t="shared" si="15"/>
        <v>1696.0139380836715</v>
      </c>
      <c r="M69" s="130">
        <f t="shared" si="16"/>
        <v>1946.8469616404545</v>
      </c>
      <c r="N69" s="131">
        <f t="shared" si="17"/>
        <v>60269.767306936286</v>
      </c>
      <c r="O69" s="15"/>
      <c r="P69" s="32">
        <f t="shared" si="18"/>
        <v>45.111826657143375</v>
      </c>
      <c r="Q69" s="33"/>
      <c r="R69" s="75">
        <f t="shared" si="19"/>
        <v>104.1641296981792</v>
      </c>
      <c r="V69" s="68">
        <f t="shared" si="4"/>
        <v>-1696.0139380836715</v>
      </c>
      <c r="AA69" s="4">
        <f t="shared" si="5"/>
        <v>1</v>
      </c>
      <c r="AB69" s="4">
        <f t="shared" si="6"/>
        <v>2</v>
      </c>
      <c r="AC69" s="12">
        <f t="shared" si="7"/>
        <v>5</v>
      </c>
      <c r="AJ69" s="5">
        <f t="shared" si="30"/>
        <v>25</v>
      </c>
      <c r="AK69" s="5">
        <f t="shared" si="20"/>
        <v>75</v>
      </c>
      <c r="AL69" s="77">
        <f t="shared" si="32"/>
        <v>47696</v>
      </c>
      <c r="AM69" s="27">
        <f t="shared" si="21"/>
        <v>1.8073441426807443E-2</v>
      </c>
      <c r="AN69" s="76">
        <f t="shared" si="22"/>
        <v>55</v>
      </c>
      <c r="AO69" s="13">
        <f t="shared" si="23"/>
        <v>488.5996458046036</v>
      </c>
      <c r="AP69" s="62">
        <f t="shared" si="24"/>
        <v>1107.4142922790679</v>
      </c>
      <c r="AQ69" s="9" t="str">
        <f t="shared" si="8"/>
        <v>🚙</v>
      </c>
      <c r="AR69" s="60" t="str">
        <f t="shared" si="9"/>
        <v>🚖</v>
      </c>
      <c r="AS69" s="8">
        <f t="shared" si="25"/>
        <v>1696.0139380836715</v>
      </c>
      <c r="AT69" s="11">
        <f t="shared" si="26"/>
        <v>60269.767306936286</v>
      </c>
      <c r="AU69" s="15">
        <v>0</v>
      </c>
      <c r="AV69" s="32">
        <f t="shared" si="27"/>
        <v>45.111826657143375</v>
      </c>
      <c r="AW69" s="33"/>
      <c r="AX69" s="75">
        <f t="shared" si="28"/>
        <v>104.1641296981792</v>
      </c>
    </row>
    <row r="70" spans="1:50" x14ac:dyDescent="0.25">
      <c r="A70" s="5">
        <f t="shared" si="29"/>
        <v>25</v>
      </c>
      <c r="B70" s="5">
        <f t="shared" si="10"/>
        <v>75</v>
      </c>
      <c r="C70" s="77">
        <f t="shared" si="31"/>
        <v>47727</v>
      </c>
      <c r="D70" s="122">
        <f t="shared" si="11"/>
        <v>1.8552796666118837E-2</v>
      </c>
      <c r="E70" s="123">
        <f t="shared" si="12"/>
        <v>56</v>
      </c>
      <c r="F70" s="124">
        <f t="shared" si="13"/>
        <v>480.599588122863</v>
      </c>
      <c r="G70" s="125">
        <f t="shared" si="14"/>
        <v>1118.1727379598856</v>
      </c>
      <c r="H70" s="126" t="str">
        <f t="shared" si="0"/>
        <v>🚙</v>
      </c>
      <c r="I70" s="127" t="str">
        <f t="shared" si="1"/>
        <v>🚖</v>
      </c>
      <c r="J70" s="128">
        <f t="shared" si="2"/>
        <v>1015.7141335380938</v>
      </c>
      <c r="K70" s="129">
        <f t="shared" si="3"/>
        <v>0.597910689939399</v>
      </c>
      <c r="L70" s="1">
        <f t="shared" si="15"/>
        <v>1698.7723260827486</v>
      </c>
      <c r="M70" s="130">
        <f t="shared" si="16"/>
        <v>1946.9650672886246</v>
      </c>
      <c r="N70" s="131">
        <f t="shared" si="17"/>
        <v>59254.053173398192</v>
      </c>
      <c r="O70" s="15"/>
      <c r="P70" s="32">
        <f t="shared" si="18"/>
        <v>44.109550647996585</v>
      </c>
      <c r="Q70" s="33"/>
      <c r="R70" s="75">
        <f t="shared" si="19"/>
        <v>102.45860442179168</v>
      </c>
      <c r="V70" s="68">
        <f t="shared" si="4"/>
        <v>-1698.7723260827486</v>
      </c>
      <c r="AA70" s="4">
        <f t="shared" si="5"/>
        <v>1</v>
      </c>
      <c r="AB70" s="4">
        <f t="shared" si="6"/>
        <v>2</v>
      </c>
      <c r="AC70" s="12">
        <f t="shared" si="7"/>
        <v>5</v>
      </c>
      <c r="AJ70" s="5">
        <f t="shared" si="30"/>
        <v>25</v>
      </c>
      <c r="AK70" s="5">
        <f t="shared" si="20"/>
        <v>75</v>
      </c>
      <c r="AL70" s="77">
        <f t="shared" si="32"/>
        <v>47727</v>
      </c>
      <c r="AM70" s="27">
        <f t="shared" si="21"/>
        <v>1.8552796666118837E-2</v>
      </c>
      <c r="AN70" s="76">
        <f t="shared" si="22"/>
        <v>56</v>
      </c>
      <c r="AO70" s="13">
        <f t="shared" si="23"/>
        <v>480.599588122863</v>
      </c>
      <c r="AP70" s="62">
        <f t="shared" si="24"/>
        <v>1118.1727379598856</v>
      </c>
      <c r="AQ70" s="9" t="str">
        <f t="shared" si="8"/>
        <v>🚙</v>
      </c>
      <c r="AR70" s="60" t="str">
        <f t="shared" si="9"/>
        <v>🚖</v>
      </c>
      <c r="AS70" s="8">
        <f t="shared" si="25"/>
        <v>1698.7723260827486</v>
      </c>
      <c r="AT70" s="11">
        <f t="shared" si="26"/>
        <v>59254.053173398192</v>
      </c>
      <c r="AU70" s="15">
        <v>0</v>
      </c>
      <c r="AV70" s="32">
        <f t="shared" si="27"/>
        <v>44.109550647996585</v>
      </c>
      <c r="AW70" s="33"/>
      <c r="AX70" s="75">
        <f t="shared" si="28"/>
        <v>102.45860442179168</v>
      </c>
    </row>
    <row r="71" spans="1:50" x14ac:dyDescent="0.25">
      <c r="A71" s="5">
        <f t="shared" si="29"/>
        <v>25</v>
      </c>
      <c r="B71" s="5">
        <f t="shared" si="10"/>
        <v>75</v>
      </c>
      <c r="C71" s="77">
        <f t="shared" si="31"/>
        <v>47757</v>
      </c>
      <c r="D71" s="122">
        <f t="shared" si="11"/>
        <v>1.9054168064185334E-2</v>
      </c>
      <c r="E71" s="123">
        <f t="shared" si="12"/>
        <v>57</v>
      </c>
      <c r="F71" s="124">
        <f t="shared" si="13"/>
        <v>472.50014098640793</v>
      </c>
      <c r="G71" s="125">
        <f t="shared" si="14"/>
        <v>1129.0366876501034</v>
      </c>
      <c r="H71" s="126" t="str">
        <f t="shared" si="0"/>
        <v>🚙</v>
      </c>
      <c r="I71" s="127" t="str">
        <f t="shared" si="1"/>
        <v>🚖</v>
      </c>
      <c r="J71" s="128">
        <f t="shared" si="2"/>
        <v>1028.3047972553265</v>
      </c>
      <c r="K71" s="129">
        <f t="shared" si="3"/>
        <v>0.60433884236248692</v>
      </c>
      <c r="L71" s="1">
        <f t="shared" si="15"/>
        <v>1701.5368286365115</v>
      </c>
      <c r="M71" s="130">
        <f t="shared" si="16"/>
        <v>1947.0716663563646</v>
      </c>
      <c r="N71" s="131">
        <f t="shared" si="17"/>
        <v>58225.748376142859</v>
      </c>
      <c r="O71" s="15"/>
      <c r="P71" s="32">
        <f t="shared" si="18"/>
        <v>43.107289857070455</v>
      </c>
      <c r="Q71" s="33"/>
      <c r="R71" s="75">
        <f t="shared" si="19"/>
        <v>100.73189039477693</v>
      </c>
      <c r="V71" s="68">
        <f t="shared" si="4"/>
        <v>-1701.5368286365115</v>
      </c>
      <c r="Z71" s="31"/>
      <c r="AA71" s="4">
        <f t="shared" si="5"/>
        <v>1</v>
      </c>
      <c r="AB71" s="4">
        <f t="shared" si="6"/>
        <v>2</v>
      </c>
      <c r="AC71" s="12">
        <f t="shared" si="7"/>
        <v>5</v>
      </c>
      <c r="AJ71" s="5">
        <f t="shared" si="30"/>
        <v>25</v>
      </c>
      <c r="AK71" s="5">
        <f t="shared" si="20"/>
        <v>75</v>
      </c>
      <c r="AL71" s="77">
        <f t="shared" si="32"/>
        <v>47757</v>
      </c>
      <c r="AM71" s="27">
        <f t="shared" si="21"/>
        <v>1.9054168064185334E-2</v>
      </c>
      <c r="AN71" s="76">
        <f t="shared" si="22"/>
        <v>57</v>
      </c>
      <c r="AO71" s="13">
        <f t="shared" si="23"/>
        <v>472.50014098640793</v>
      </c>
      <c r="AP71" s="62">
        <f t="shared" si="24"/>
        <v>1129.0366876501034</v>
      </c>
      <c r="AQ71" s="9" t="str">
        <f t="shared" si="8"/>
        <v>🚙</v>
      </c>
      <c r="AR71" s="60" t="str">
        <f t="shared" si="9"/>
        <v>🚖</v>
      </c>
      <c r="AS71" s="8">
        <f t="shared" si="25"/>
        <v>1701.5368286365115</v>
      </c>
      <c r="AT71" s="11">
        <f t="shared" si="26"/>
        <v>58225.748376142859</v>
      </c>
      <c r="AU71" s="15">
        <v>0</v>
      </c>
      <c r="AV71" s="32">
        <f t="shared" si="27"/>
        <v>43.107289857070455</v>
      </c>
      <c r="AW71" s="33"/>
      <c r="AX71" s="75">
        <f t="shared" si="28"/>
        <v>100.73189039477693</v>
      </c>
    </row>
    <row r="72" spans="1:50" x14ac:dyDescent="0.25">
      <c r="A72" s="5">
        <f t="shared" si="29"/>
        <v>25</v>
      </c>
      <c r="B72" s="5">
        <f t="shared" si="10"/>
        <v>75</v>
      </c>
      <c r="C72" s="77">
        <f t="shared" si="31"/>
        <v>47788</v>
      </c>
      <c r="D72" s="122">
        <f t="shared" si="11"/>
        <v>1.9579091072743245E-2</v>
      </c>
      <c r="E72" s="123">
        <f t="shared" si="12"/>
        <v>58</v>
      </c>
      <c r="F72" s="124">
        <f t="shared" si="13"/>
        <v>464.30029412937847</v>
      </c>
      <c r="G72" s="125">
        <f t="shared" si="14"/>
        <v>1140.0072302351332</v>
      </c>
      <c r="H72" s="126" t="str">
        <f t="shared" si="0"/>
        <v>🚙</v>
      </c>
      <c r="I72" s="127" t="str">
        <f t="shared" si="1"/>
        <v>🚖</v>
      </c>
      <c r="J72" s="128">
        <f t="shared" si="2"/>
        <v>1041.0234579956903</v>
      </c>
      <c r="K72" s="129">
        <f t="shared" si="3"/>
        <v>0.6108190236288833</v>
      </c>
      <c r="L72" s="1">
        <f t="shared" si="15"/>
        <v>1704.3075243645117</v>
      </c>
      <c r="M72" s="130">
        <f t="shared" si="16"/>
        <v>1947.1690105230575</v>
      </c>
      <c r="N72" s="131">
        <f t="shared" si="17"/>
        <v>57184.724918147171</v>
      </c>
      <c r="O72" s="15"/>
      <c r="P72" s="32">
        <f t="shared" si="18"/>
        <v>42.105044163546602</v>
      </c>
      <c r="Q72" s="33"/>
      <c r="R72" s="75">
        <f t="shared" si="19"/>
        <v>98.983772239442857</v>
      </c>
      <c r="V72" s="68">
        <f t="shared" si="4"/>
        <v>-1704.3075243645117</v>
      </c>
      <c r="AA72" s="4">
        <f t="shared" si="5"/>
        <v>1</v>
      </c>
      <c r="AB72" s="4">
        <f t="shared" si="6"/>
        <v>2</v>
      </c>
      <c r="AC72" s="12">
        <f t="shared" si="7"/>
        <v>5</v>
      </c>
      <c r="AJ72" s="5">
        <f t="shared" si="30"/>
        <v>25</v>
      </c>
      <c r="AK72" s="5">
        <f t="shared" si="20"/>
        <v>75</v>
      </c>
      <c r="AL72" s="77">
        <f t="shared" si="32"/>
        <v>47788</v>
      </c>
      <c r="AM72" s="27">
        <f t="shared" si="21"/>
        <v>1.9579091072743245E-2</v>
      </c>
      <c r="AN72" s="76">
        <f t="shared" si="22"/>
        <v>58</v>
      </c>
      <c r="AO72" s="13">
        <f t="shared" si="23"/>
        <v>464.30029412937847</v>
      </c>
      <c r="AP72" s="62">
        <f t="shared" si="24"/>
        <v>1140.0072302351332</v>
      </c>
      <c r="AQ72" s="9" t="str">
        <f t="shared" si="8"/>
        <v>🚙</v>
      </c>
      <c r="AR72" s="60" t="str">
        <f t="shared" si="9"/>
        <v>🚖</v>
      </c>
      <c r="AS72" s="8">
        <f t="shared" si="25"/>
        <v>1704.3075243645117</v>
      </c>
      <c r="AT72" s="11">
        <f t="shared" si="26"/>
        <v>57184.724918147171</v>
      </c>
      <c r="AU72" s="15">
        <v>0</v>
      </c>
      <c r="AV72" s="32">
        <f t="shared" si="27"/>
        <v>42.105044163546602</v>
      </c>
      <c r="AW72" s="33"/>
      <c r="AX72" s="75">
        <f t="shared" si="28"/>
        <v>98.983772239442857</v>
      </c>
    </row>
    <row r="73" spans="1:50" x14ac:dyDescent="0.25">
      <c r="A73" s="5">
        <f t="shared" si="29"/>
        <v>25</v>
      </c>
      <c r="B73" s="5">
        <f t="shared" si="10"/>
        <v>75</v>
      </c>
      <c r="C73" s="77">
        <f t="shared" si="31"/>
        <v>47818</v>
      </c>
      <c r="D73" s="122">
        <f t="shared" si="11"/>
        <v>2.0129247306215289E-2</v>
      </c>
      <c r="E73" s="123">
        <f t="shared" si="12"/>
        <v>59</v>
      </c>
      <c r="F73" s="124">
        <f t="shared" si="13"/>
        <v>455.99902688553783</v>
      </c>
      <c r="G73" s="125">
        <f t="shared" si="14"/>
        <v>1151.0854700152763</v>
      </c>
      <c r="H73" s="126" t="str">
        <f t="shared" si="0"/>
        <v>🚙</v>
      </c>
      <c r="I73" s="127" t="str">
        <f t="shared" si="1"/>
        <v>🚖</v>
      </c>
      <c r="J73" s="128">
        <f t="shared" si="2"/>
        <v>1053.8714376544262</v>
      </c>
      <c r="K73" s="129">
        <f t="shared" si="3"/>
        <v>0.61735165398532632</v>
      </c>
      <c r="L73" s="1">
        <f t="shared" si="15"/>
        <v>1707.0844969008142</v>
      </c>
      <c r="M73" s="130">
        <f t="shared" si="16"/>
        <v>1947.2596273571953</v>
      </c>
      <c r="N73" s="131">
        <f t="shared" si="17"/>
        <v>56130.85348049274</v>
      </c>
      <c r="O73" s="15"/>
      <c r="P73" s="32">
        <f t="shared" si="18"/>
        <v>41.102813447574611</v>
      </c>
      <c r="Q73" s="33"/>
      <c r="R73" s="75">
        <f t="shared" si="19"/>
        <v>97.214032360850183</v>
      </c>
      <c r="V73" s="68">
        <f t="shared" si="4"/>
        <v>-1707.0844969008142</v>
      </c>
      <c r="AA73" s="4">
        <f t="shared" si="5"/>
        <v>1</v>
      </c>
      <c r="AB73" s="4">
        <f t="shared" si="6"/>
        <v>2</v>
      </c>
      <c r="AC73" s="12">
        <f t="shared" si="7"/>
        <v>5</v>
      </c>
      <c r="AJ73" s="5">
        <f t="shared" si="30"/>
        <v>25</v>
      </c>
      <c r="AK73" s="5">
        <f t="shared" si="20"/>
        <v>75</v>
      </c>
      <c r="AL73" s="77">
        <f t="shared" si="32"/>
        <v>47818</v>
      </c>
      <c r="AM73" s="27">
        <f t="shared" si="21"/>
        <v>2.0129247306215289E-2</v>
      </c>
      <c r="AN73" s="76">
        <f t="shared" si="22"/>
        <v>59</v>
      </c>
      <c r="AO73" s="13">
        <f t="shared" si="23"/>
        <v>455.99902688553783</v>
      </c>
      <c r="AP73" s="62">
        <f t="shared" si="24"/>
        <v>1151.0854700152763</v>
      </c>
      <c r="AQ73" s="9" t="str">
        <f t="shared" si="8"/>
        <v>🚙</v>
      </c>
      <c r="AR73" s="60" t="str">
        <f t="shared" si="9"/>
        <v>🚖</v>
      </c>
      <c r="AS73" s="8">
        <f t="shared" si="25"/>
        <v>1707.0844969008142</v>
      </c>
      <c r="AT73" s="11">
        <f t="shared" si="26"/>
        <v>56130.85348049274</v>
      </c>
      <c r="AU73" s="15">
        <v>0</v>
      </c>
      <c r="AV73" s="32">
        <f t="shared" si="27"/>
        <v>41.102813447574611</v>
      </c>
      <c r="AW73" s="33"/>
      <c r="AX73" s="75">
        <f t="shared" si="28"/>
        <v>97.214032360850183</v>
      </c>
    </row>
    <row r="74" spans="1:50" x14ac:dyDescent="0.25">
      <c r="A74" s="5">
        <f t="shared" si="29"/>
        <v>25</v>
      </c>
      <c r="B74" s="5">
        <f t="shared" si="10"/>
        <v>75</v>
      </c>
      <c r="C74" s="77">
        <f t="shared" si="31"/>
        <v>47849</v>
      </c>
      <c r="D74" s="122">
        <f t="shared" si="11"/>
        <v>2.0706482357959282E-2</v>
      </c>
      <c r="E74" s="123">
        <f t="shared" si="12"/>
        <v>60</v>
      </c>
      <c r="F74" s="124">
        <f t="shared" si="13"/>
        <v>447.59530804767076</v>
      </c>
      <c r="G74" s="125">
        <f t="shared" si="14"/>
        <v>1162.2725273310202</v>
      </c>
      <c r="H74" s="126" t="str">
        <f t="shared" si="0"/>
        <v>🚙</v>
      </c>
      <c r="I74" s="127" t="str">
        <f t="shared" si="1"/>
        <v>🚖</v>
      </c>
      <c r="J74" s="128">
        <f t="shared" si="2"/>
        <v>1066.8500764141827</v>
      </c>
      <c r="K74" s="129">
        <f t="shared" si="3"/>
        <v>0.62393715721186327</v>
      </c>
      <c r="L74" s="132">
        <f t="shared" si="15"/>
        <v>1709.8678353786911</v>
      </c>
      <c r="M74" s="130">
        <f t="shared" si="16"/>
        <v>1947.3463555013693</v>
      </c>
      <c r="N74" s="131">
        <f t="shared" si="17"/>
        <v>55064.003404078554</v>
      </c>
      <c r="O74" s="15"/>
      <c r="P74" s="32">
        <f t="shared" si="18"/>
        <v>40.100597590265039</v>
      </c>
      <c r="Q74" s="33"/>
      <c r="R74" s="75">
        <f t="shared" si="19"/>
        <v>95.422450916837647</v>
      </c>
      <c r="V74" s="68">
        <f t="shared" si="4"/>
        <v>-1709.8678353786911</v>
      </c>
      <c r="AA74" s="4">
        <f t="shared" si="5"/>
        <v>1</v>
      </c>
      <c r="AB74" s="4">
        <f t="shared" si="6"/>
        <v>2</v>
      </c>
      <c r="AC74" s="12">
        <f t="shared" si="7"/>
        <v>5</v>
      </c>
      <c r="AJ74" s="5">
        <f t="shared" si="30"/>
        <v>25</v>
      </c>
      <c r="AK74" s="5">
        <f t="shared" si="20"/>
        <v>75</v>
      </c>
      <c r="AL74" s="77">
        <f t="shared" si="32"/>
        <v>47849</v>
      </c>
      <c r="AM74" s="27">
        <f t="shared" si="21"/>
        <v>2.0706482357959282E-2</v>
      </c>
      <c r="AN74" s="76">
        <f t="shared" si="22"/>
        <v>60</v>
      </c>
      <c r="AO74" s="13">
        <f t="shared" si="23"/>
        <v>447.59530804767076</v>
      </c>
      <c r="AP74" s="62">
        <f t="shared" si="24"/>
        <v>1162.2725273310202</v>
      </c>
      <c r="AQ74" s="9" t="str">
        <f t="shared" si="8"/>
        <v>🚙</v>
      </c>
      <c r="AR74" s="60" t="str">
        <f t="shared" si="9"/>
        <v>🚖</v>
      </c>
      <c r="AS74" s="57">
        <f t="shared" si="25"/>
        <v>1709.8678353786911</v>
      </c>
      <c r="AT74" s="11">
        <f t="shared" si="26"/>
        <v>55064.003404078554</v>
      </c>
      <c r="AU74" s="15">
        <v>0</v>
      </c>
      <c r="AV74" s="32">
        <f t="shared" si="27"/>
        <v>40.100597590265039</v>
      </c>
      <c r="AW74" s="33"/>
      <c r="AX74" s="75">
        <f t="shared" si="28"/>
        <v>95.422450916837647</v>
      </c>
    </row>
    <row r="75" spans="1:50" x14ac:dyDescent="0.25">
      <c r="A75" s="5">
        <f t="shared" si="29"/>
        <v>25</v>
      </c>
      <c r="B75" s="5">
        <f t="shared" si="10"/>
        <v>75</v>
      </c>
      <c r="C75" s="77">
        <f t="shared" si="31"/>
        <v>47880</v>
      </c>
      <c r="D75" s="122">
        <f t="shared" si="11"/>
        <v>2.1312826287653717E-2</v>
      </c>
      <c r="E75" s="123">
        <f t="shared" si="12"/>
        <v>61</v>
      </c>
      <c r="F75" s="124">
        <f t="shared" si="13"/>
        <v>439.08809572175727</v>
      </c>
      <c r="G75" s="125">
        <f t="shared" si="14"/>
        <v>1173.5695392538992</v>
      </c>
      <c r="H75" s="126" t="str">
        <f t="shared" si="0"/>
        <v>🚙</v>
      </c>
      <c r="I75" s="127" t="str">
        <f t="shared" si="1"/>
        <v>🚖</v>
      </c>
      <c r="J75" s="128">
        <f t="shared" si="2"/>
        <v>1079.9607334669656</v>
      </c>
      <c r="K75" s="129">
        <f t="shared" si="3"/>
        <v>0.63057596066613519</v>
      </c>
      <c r="L75" s="1">
        <f t="shared" si="15"/>
        <v>1712.6576349756565</v>
      </c>
      <c r="M75" s="130">
        <f t="shared" si="16"/>
        <v>1947.4323852668078</v>
      </c>
      <c r="N75" s="131">
        <f t="shared" si="17"/>
        <v>53984.04267061159</v>
      </c>
      <c r="O75" s="15"/>
      <c r="P75" s="32">
        <f t="shared" si="18"/>
        <v>39.098396473682122</v>
      </c>
      <c r="Q75" s="33"/>
      <c r="R75" s="75">
        <f t="shared" si="19"/>
        <v>93.60880578693353</v>
      </c>
      <c r="V75" s="68">
        <f t="shared" si="4"/>
        <v>-1712.6576349756565</v>
      </c>
      <c r="AA75" s="4">
        <f t="shared" si="5"/>
        <v>1</v>
      </c>
      <c r="AB75" s="4">
        <f t="shared" si="6"/>
        <v>2</v>
      </c>
      <c r="AC75" s="12">
        <f t="shared" si="7"/>
        <v>6</v>
      </c>
      <c r="AJ75" s="5">
        <f t="shared" si="30"/>
        <v>25</v>
      </c>
      <c r="AK75" s="5">
        <f t="shared" si="20"/>
        <v>75</v>
      </c>
      <c r="AL75" s="77">
        <f t="shared" si="32"/>
        <v>47880</v>
      </c>
      <c r="AM75" s="27">
        <f t="shared" si="21"/>
        <v>2.1312826287653717E-2</v>
      </c>
      <c r="AN75" s="76">
        <f t="shared" si="22"/>
        <v>61</v>
      </c>
      <c r="AO75" s="13">
        <f t="shared" si="23"/>
        <v>439.08809572175727</v>
      </c>
      <c r="AP75" s="62">
        <f t="shared" si="24"/>
        <v>1173.5695392538992</v>
      </c>
      <c r="AQ75" s="9" t="str">
        <f t="shared" si="8"/>
        <v>🚙</v>
      </c>
      <c r="AR75" s="60" t="str">
        <f t="shared" si="9"/>
        <v>🚖</v>
      </c>
      <c r="AS75" s="8">
        <f t="shared" si="25"/>
        <v>1712.6576349756565</v>
      </c>
      <c r="AT75" s="11">
        <f t="shared" si="26"/>
        <v>53984.04267061159</v>
      </c>
      <c r="AU75" s="15">
        <v>0</v>
      </c>
      <c r="AV75" s="32">
        <f t="shared" si="27"/>
        <v>39.098396473682122</v>
      </c>
      <c r="AW75" s="33"/>
      <c r="AX75" s="75">
        <f t="shared" si="28"/>
        <v>93.60880578693353</v>
      </c>
    </row>
    <row r="76" spans="1:50" x14ac:dyDescent="0.25">
      <c r="A76" s="5">
        <f t="shared" si="29"/>
        <v>25</v>
      </c>
      <c r="B76" s="5">
        <f t="shared" si="10"/>
        <v>75</v>
      </c>
      <c r="C76" s="77">
        <f t="shared" si="31"/>
        <v>47908</v>
      </c>
      <c r="D76" s="122">
        <f t="shared" si="11"/>
        <v>2.1950517259015777E-2</v>
      </c>
      <c r="E76" s="123">
        <f t="shared" si="12"/>
        <v>62</v>
      </c>
      <c r="F76" s="124">
        <f t="shared" si="13"/>
        <v>430.4763371753898</v>
      </c>
      <c r="G76" s="125">
        <f t="shared" si="14"/>
        <v>1184.9776603527039</v>
      </c>
      <c r="H76" s="126" t="str">
        <f t="shared" si="0"/>
        <v>🚙</v>
      </c>
      <c r="I76" s="127" t="str">
        <f t="shared" si="1"/>
        <v>🚖</v>
      </c>
      <c r="J76" s="128">
        <f t="shared" si="2"/>
        <v>1093.2047878126641</v>
      </c>
      <c r="K76" s="129">
        <f t="shared" si="3"/>
        <v>0.63726849533005969</v>
      </c>
      <c r="L76" s="1">
        <f t="shared" si="15"/>
        <v>1715.4539975280936</v>
      </c>
      <c r="M76" s="130">
        <f t="shared" si="16"/>
        <v>1947.5213056320167</v>
      </c>
      <c r="N76" s="131">
        <f t="shared" si="17"/>
        <v>52890.837882798922</v>
      </c>
      <c r="O76" s="15"/>
      <c r="P76" s="32">
        <f t="shared" si="18"/>
        <v>38.096209980836569</v>
      </c>
      <c r="Q76" s="33"/>
      <c r="R76" s="75">
        <f t="shared" si="19"/>
        <v>91.7728725400397</v>
      </c>
      <c r="V76" s="68">
        <f t="shared" si="4"/>
        <v>-1715.4539975280936</v>
      </c>
      <c r="AA76" s="4">
        <f t="shared" si="5"/>
        <v>1</v>
      </c>
      <c r="AB76" s="4">
        <f t="shared" si="6"/>
        <v>2</v>
      </c>
      <c r="AC76" s="12">
        <f t="shared" si="7"/>
        <v>6</v>
      </c>
      <c r="AJ76" s="5">
        <f t="shared" si="30"/>
        <v>25</v>
      </c>
      <c r="AK76" s="5">
        <f t="shared" si="20"/>
        <v>75</v>
      </c>
      <c r="AL76" s="77">
        <f t="shared" si="32"/>
        <v>47908</v>
      </c>
      <c r="AM76" s="27">
        <f t="shared" si="21"/>
        <v>2.1950517259015777E-2</v>
      </c>
      <c r="AN76" s="76">
        <f t="shared" si="22"/>
        <v>62</v>
      </c>
      <c r="AO76" s="13">
        <f t="shared" si="23"/>
        <v>430.4763371753898</v>
      </c>
      <c r="AP76" s="62">
        <f t="shared" si="24"/>
        <v>1184.9776603527039</v>
      </c>
      <c r="AQ76" s="9" t="str">
        <f t="shared" si="8"/>
        <v>🚙</v>
      </c>
      <c r="AR76" s="60" t="str">
        <f t="shared" si="9"/>
        <v>🚖</v>
      </c>
      <c r="AS76" s="8">
        <f t="shared" si="25"/>
        <v>1715.4539975280936</v>
      </c>
      <c r="AT76" s="11">
        <f t="shared" si="26"/>
        <v>52890.837882798922</v>
      </c>
      <c r="AU76" s="15">
        <v>0</v>
      </c>
      <c r="AV76" s="32">
        <f t="shared" si="27"/>
        <v>38.096209980836569</v>
      </c>
      <c r="AW76" s="33"/>
      <c r="AX76" s="75">
        <f t="shared" si="28"/>
        <v>91.7728725400397</v>
      </c>
    </row>
    <row r="77" spans="1:50" x14ac:dyDescent="0.25">
      <c r="A77" s="5">
        <f t="shared" si="29"/>
        <v>25</v>
      </c>
      <c r="B77" s="5">
        <f t="shared" si="10"/>
        <v>75</v>
      </c>
      <c r="C77" s="77">
        <f t="shared" si="31"/>
        <v>47939</v>
      </c>
      <c r="D77" s="122">
        <f t="shared" si="11"/>
        <v>2.2622028907878754E-2</v>
      </c>
      <c r="E77" s="123">
        <f t="shared" si="12"/>
        <v>63</v>
      </c>
      <c r="F77" s="124">
        <f t="shared" si="13"/>
        <v>421.75896867982163</v>
      </c>
      <c r="G77" s="125">
        <f t="shared" si="14"/>
        <v>1196.4980635466059</v>
      </c>
      <c r="H77" s="126" t="str">
        <f t="shared" si="0"/>
        <v>🚙</v>
      </c>
      <c r="I77" s="127" t="str">
        <f t="shared" si="1"/>
        <v>🚖</v>
      </c>
      <c r="J77" s="128">
        <f t="shared" si="2"/>
        <v>1106.5836391458477</v>
      </c>
      <c r="K77" s="129">
        <f t="shared" si="3"/>
        <v>0.6440151958592566</v>
      </c>
      <c r="L77" s="1">
        <f t="shared" si="15"/>
        <v>1718.2570322264276</v>
      </c>
      <c r="M77" s="130">
        <f t="shared" si="16"/>
        <v>1947.6171588547604</v>
      </c>
      <c r="N77" s="131">
        <f t="shared" si="17"/>
        <v>51784.254243653071</v>
      </c>
      <c r="O77" s="15"/>
      <c r="P77" s="32">
        <f t="shared" si="18"/>
        <v>37.094037995678754</v>
      </c>
      <c r="Q77" s="33"/>
      <c r="R77" s="75">
        <f t="shared" si="19"/>
        <v>89.914424400758165</v>
      </c>
      <c r="V77" s="68">
        <f t="shared" si="4"/>
        <v>-1718.2570322264276</v>
      </c>
      <c r="AA77" s="4">
        <f t="shared" si="5"/>
        <v>1</v>
      </c>
      <c r="AB77" s="4">
        <f t="shared" si="6"/>
        <v>2</v>
      </c>
      <c r="AC77" s="12">
        <f t="shared" si="7"/>
        <v>6</v>
      </c>
      <c r="AJ77" s="5">
        <f t="shared" si="30"/>
        <v>25</v>
      </c>
      <c r="AK77" s="5">
        <f t="shared" si="20"/>
        <v>75</v>
      </c>
      <c r="AL77" s="77">
        <f t="shared" si="32"/>
        <v>47939</v>
      </c>
      <c r="AM77" s="27">
        <f t="shared" si="21"/>
        <v>2.2622028907878754E-2</v>
      </c>
      <c r="AN77" s="76">
        <f t="shared" si="22"/>
        <v>63</v>
      </c>
      <c r="AO77" s="13">
        <f t="shared" si="23"/>
        <v>421.75896867982163</v>
      </c>
      <c r="AP77" s="62">
        <f t="shared" si="24"/>
        <v>1196.4980635466059</v>
      </c>
      <c r="AQ77" s="9" t="str">
        <f t="shared" si="8"/>
        <v>🚙</v>
      </c>
      <c r="AR77" s="60" t="str">
        <f t="shared" si="9"/>
        <v>🚖</v>
      </c>
      <c r="AS77" s="8">
        <f t="shared" si="25"/>
        <v>1718.2570322264276</v>
      </c>
      <c r="AT77" s="11">
        <f t="shared" si="26"/>
        <v>51784.254243653071</v>
      </c>
      <c r="AU77" s="15">
        <v>0</v>
      </c>
      <c r="AV77" s="32">
        <f t="shared" si="27"/>
        <v>37.094037995678754</v>
      </c>
      <c r="AW77" s="33"/>
      <c r="AX77" s="75">
        <f t="shared" si="28"/>
        <v>89.914424400758165</v>
      </c>
    </row>
    <row r="78" spans="1:50" x14ac:dyDescent="0.25">
      <c r="A78" s="5">
        <f t="shared" si="29"/>
        <v>25</v>
      </c>
      <c r="B78" s="5">
        <f t="shared" si="10"/>
        <v>75</v>
      </c>
      <c r="C78" s="77">
        <f t="shared" si="31"/>
        <v>47969</v>
      </c>
      <c r="D78" s="122">
        <f t="shared" si="11"/>
        <v>2.3330102146001418E-2</v>
      </c>
      <c r="E78" s="123">
        <f t="shared" si="12"/>
        <v>64</v>
      </c>
      <c r="F78" s="124">
        <f t="shared" si="13"/>
        <v>412.9349153449453</v>
      </c>
      <c r="G78" s="125">
        <f t="shared" si="14"/>
        <v>1208.1319410589335</v>
      </c>
      <c r="H78" s="126" t="str">
        <f t="shared" si="0"/>
        <v>🏎</v>
      </c>
      <c r="I78" s="127" t="str">
        <f t="shared" si="1"/>
        <v>🚖</v>
      </c>
      <c r="J78" s="128">
        <f t="shared" si="2"/>
        <v>1120.0987088447232</v>
      </c>
      <c r="K78" s="129">
        <f t="shared" si="3"/>
        <v>0.65081650063562213</v>
      </c>
      <c r="L78" s="1">
        <f t="shared" si="15"/>
        <v>1721.0668564038788</v>
      </c>
      <c r="M78" s="130">
        <f t="shared" si="16"/>
        <v>1947.7245041749279</v>
      </c>
      <c r="N78" s="131">
        <f t="shared" si="17"/>
        <v>50664.155534808349</v>
      </c>
      <c r="O78" s="15"/>
      <c r="P78" s="32">
        <f t="shared" si="18"/>
        <v>36.091880403091857</v>
      </c>
      <c r="Q78" s="33"/>
      <c r="R78" s="75">
        <f t="shared" si="19"/>
        <v>88.033232214210216</v>
      </c>
      <c r="V78" s="68">
        <f t="shared" si="4"/>
        <v>-1721.0668564038788</v>
      </c>
      <c r="AA78" s="4">
        <f t="shared" si="5"/>
        <v>1</v>
      </c>
      <c r="AB78" s="4">
        <f t="shared" si="6"/>
        <v>2</v>
      </c>
      <c r="AC78" s="12">
        <f t="shared" si="7"/>
        <v>6</v>
      </c>
      <c r="AJ78" s="5">
        <f t="shared" si="30"/>
        <v>25</v>
      </c>
      <c r="AK78" s="5">
        <f t="shared" si="20"/>
        <v>75</v>
      </c>
      <c r="AL78" s="77">
        <f t="shared" si="32"/>
        <v>47969</v>
      </c>
      <c r="AM78" s="27">
        <f t="shared" si="21"/>
        <v>2.3330102146001418E-2</v>
      </c>
      <c r="AN78" s="76">
        <f t="shared" si="22"/>
        <v>64</v>
      </c>
      <c r="AO78" s="13">
        <f t="shared" si="23"/>
        <v>412.9349153449453</v>
      </c>
      <c r="AP78" s="62">
        <f t="shared" si="24"/>
        <v>1208.1319410589335</v>
      </c>
      <c r="AQ78" s="9" t="str">
        <f t="shared" si="8"/>
        <v>🏎</v>
      </c>
      <c r="AR78" s="60" t="str">
        <f t="shared" si="9"/>
        <v>🚖</v>
      </c>
      <c r="AS78" s="8">
        <f t="shared" si="25"/>
        <v>1721.0668564038788</v>
      </c>
      <c r="AT78" s="11">
        <f t="shared" si="26"/>
        <v>50664.155534808349</v>
      </c>
      <c r="AU78" s="15">
        <v>0</v>
      </c>
      <c r="AV78" s="32">
        <f t="shared" si="27"/>
        <v>36.091880403091857</v>
      </c>
      <c r="AW78" s="33"/>
      <c r="AX78" s="75">
        <f t="shared" si="28"/>
        <v>88.033232214210216</v>
      </c>
    </row>
    <row r="79" spans="1:50" x14ac:dyDescent="0.25">
      <c r="A79" s="5">
        <f t="shared" si="29"/>
        <v>25</v>
      </c>
      <c r="B79" s="5">
        <f t="shared" si="10"/>
        <v>75</v>
      </c>
      <c r="C79" s="77">
        <f t="shared" si="31"/>
        <v>48000</v>
      </c>
      <c r="D79" s="122">
        <f t="shared" ref="D79:D142" si="33">IF(N78&gt;0,G79/N78,"")</f>
        <v>2.4077782262646244E-2</v>
      </c>
      <c r="E79" s="123">
        <f t="shared" si="12"/>
        <v>65</v>
      </c>
      <c r="F79" s="124">
        <f t="shared" si="13"/>
        <v>404.00309094638368</v>
      </c>
      <c r="G79" s="125">
        <f t="shared" si="14"/>
        <v>1219.880505487959</v>
      </c>
      <c r="H79" s="126" t="str">
        <f t="shared" ref="H79:H142" si="34">IF(L79&lt;1,"",IF(G79/L79&gt;90%,"🛩",IF(G79/L79&gt;70%,"🏎",IF(G79/L79&gt;50%,"🚙",IF(G79/L79&gt;30%,"🛵",IF(G79/L79&gt;15%,"🐢","⚓️"))))))</f>
        <v>🏎</v>
      </c>
      <c r="I79" s="127" t="str">
        <f t="shared" ref="I79:I142" si="35">IFERROR(IF((G79+O79-R79)/L79&lt;0,"🗑️",IF((G79+O79-R79)/L79&lt;10%,"🥾",IF((G79+O79-R79)/L79&lt;20%,"🛴",IF((G79+O79-R79)/L79&lt;50%,"🚴‍♂️",IF((G79+O79-R79)/L79&lt;75%,"🚖","🚁"))))),"")</f>
        <v>🚖</v>
      </c>
      <c r="J79" s="128">
        <f t="shared" ref="J79:J142" si="36">G79+O79-R79</f>
        <v>1133.7514410787849</v>
      </c>
      <c r="K79" s="129">
        <f t="shared" ref="K79:K142" si="37">IFERROR(J79/(L79+O79),0)</f>
        <v>0.6576728518235343</v>
      </c>
      <c r="L79" s="1">
        <f t="shared" si="15"/>
        <v>1723.8835964343427</v>
      </c>
      <c r="M79" s="130">
        <f t="shared" ref="M79:M142" si="38">IFERROR(N78/P79-G79+L79,0)</f>
        <v>1947.8484924229499</v>
      </c>
      <c r="N79" s="131">
        <f t="shared" ref="N79:N142" si="39">IF(N78-O79-G79&lt;0,0,IF(N78-G79&gt;0,N78-G79,0)-IF(N78-G79&gt;0,O79-R79,0))</f>
        <v>49530.404093729565</v>
      </c>
      <c r="O79" s="15"/>
      <c r="P79" s="32">
        <f t="shared" si="18"/>
        <v>35.089737088885023</v>
      </c>
      <c r="Q79" s="33"/>
      <c r="R79" s="75">
        <f t="shared" si="19"/>
        <v>86.129064409174191</v>
      </c>
      <c r="V79" s="68">
        <f t="shared" ref="V79:V142" si="40">-L79-O79</f>
        <v>-1723.8835964343427</v>
      </c>
      <c r="AA79" s="4">
        <f t="shared" ref="AA79:AA142" si="41">ROUNDUP(E79/120,0)</f>
        <v>1</v>
      </c>
      <c r="AB79" s="4">
        <f t="shared" ref="AB79:AB142" si="42">ROUNDUP(E79/36,0)</f>
        <v>2</v>
      </c>
      <c r="AC79" s="12">
        <f t="shared" ref="AC79:AC142" si="43">ROUNDUP(E79/12,0)</f>
        <v>6</v>
      </c>
      <c r="AJ79" s="5">
        <f t="shared" si="30"/>
        <v>25</v>
      </c>
      <c r="AK79" s="5">
        <f t="shared" si="20"/>
        <v>75</v>
      </c>
      <c r="AL79" s="77">
        <f t="shared" si="32"/>
        <v>48000</v>
      </c>
      <c r="AM79" s="27">
        <f t="shared" si="21"/>
        <v>2.4077782262646244E-2</v>
      </c>
      <c r="AN79" s="76">
        <f t="shared" si="22"/>
        <v>65</v>
      </c>
      <c r="AO79" s="13">
        <f t="shared" si="23"/>
        <v>404.00309094638368</v>
      </c>
      <c r="AP79" s="62">
        <f t="shared" si="24"/>
        <v>1219.880505487959</v>
      </c>
      <c r="AQ79" s="9" t="str">
        <f t="shared" ref="AQ79:AQ142" si="44">IF(AS79&lt;1,"",IF(AP79/AS79&gt;90%,"🛩",IF(AP79/AS79&gt;70%,"🏎",IF(AP79/AS79&gt;50%,"🚙",IF(AP79/AS79&gt;30%,"🛵",IF(AP79/AS79&gt;15%,"🐢","⚓️"))))))</f>
        <v>🏎</v>
      </c>
      <c r="AR79" s="60" t="str">
        <f t="shared" ref="AR79:AR142" si="45">IFERROR(IF((AP79+AU79-AX79)/AS79&lt;0,"🗑️",IF((AP79+AU79-AX79)/AS79&lt;10%,"🥾",IF((AP79+AU79-AX79)/AS79&lt;20%,"🛴",IF((AP79+AU79-AX79)/AS79&lt;50%,"🚴‍♂️",IF((AP79+AU79-AX79)/AS79&lt;75%,"🚖","🚁"))))),"")</f>
        <v>🚖</v>
      </c>
      <c r="AS79" s="8">
        <f t="shared" si="25"/>
        <v>1723.8835964343427</v>
      </c>
      <c r="AT79" s="11">
        <f t="shared" si="26"/>
        <v>49530.404093729565</v>
      </c>
      <c r="AU79" s="15">
        <v>0</v>
      </c>
      <c r="AV79" s="32">
        <f t="shared" si="27"/>
        <v>35.089737088885023</v>
      </c>
      <c r="AW79" s="33"/>
      <c r="AX79" s="75">
        <f t="shared" si="28"/>
        <v>86.129064409174191</v>
      </c>
    </row>
    <row r="80" spans="1:50" x14ac:dyDescent="0.25">
      <c r="A80" s="5">
        <f t="shared" si="29"/>
        <v>25</v>
      </c>
      <c r="B80" s="5">
        <f t="shared" ref="B80:B143" si="46">IF(N79&lt;1,0,B79)</f>
        <v>75</v>
      </c>
      <c r="C80" s="77">
        <f t="shared" si="31"/>
        <v>48030</v>
      </c>
      <c r="D80" s="122">
        <f t="shared" si="33"/>
        <v>2.4868462382891064E-2</v>
      </c>
      <c r="E80" s="123">
        <f t="shared" ref="E80:E143" si="47">E79+1</f>
        <v>66</v>
      </c>
      <c r="F80" s="124">
        <f t="shared" ref="F80:F143" si="48">IF(N79&gt;0,N79*$E$7,0)</f>
        <v>394.96239774374942</v>
      </c>
      <c r="G80" s="125">
        <f t="shared" ref="G80:G143" si="49">IF(N79&gt;G79,L80-F80-A80-B80,N79)</f>
        <v>1231.7449910143073</v>
      </c>
      <c r="H80" s="126" t="str">
        <f t="shared" si="34"/>
        <v>🏎</v>
      </c>
      <c r="I80" s="127" t="str">
        <f t="shared" si="35"/>
        <v>🚖</v>
      </c>
      <c r="J80" s="128">
        <f t="shared" si="36"/>
        <v>1147.5433040549669</v>
      </c>
      <c r="K80" s="129">
        <f t="shared" si="37"/>
        <v>0.66458469543026832</v>
      </c>
      <c r="L80" s="1">
        <f t="shared" ref="L80:L143" si="50">IF(INT(N79)=0,0,IF(N79&lt;G79,N79+F80+A80+B80,-PMT($E$7,IF(Q79="V",P79,NPER($E$7,-L79+A80+B80,N79)),N79+R79)+A80+B80))+IF(INT(P79)=1,R80,0)</f>
        <v>1726.7073887580566</v>
      </c>
      <c r="M80" s="130">
        <f t="shared" si="38"/>
        <v>1947.9949537746947</v>
      </c>
      <c r="N80" s="131">
        <f t="shared" si="39"/>
        <v>48382.860789674603</v>
      </c>
      <c r="O80" s="15"/>
      <c r="P80" s="32">
        <f t="shared" ref="P80:P143" si="51">IFERROR(NPER($E$7,-L80+A79+B79,N79+R79)-1,0)</f>
        <v>34.087607939787077</v>
      </c>
      <c r="Q80" s="33"/>
      <c r="R80" s="75">
        <f t="shared" ref="R80:R143" si="52">N79*$D$9</f>
        <v>84.20168695934025</v>
      </c>
      <c r="V80" s="68">
        <f t="shared" si="40"/>
        <v>-1726.7073887580566</v>
      </c>
      <c r="AA80" s="4">
        <f t="shared" si="41"/>
        <v>1</v>
      </c>
      <c r="AB80" s="4">
        <f t="shared" si="42"/>
        <v>2</v>
      </c>
      <c r="AC80" s="12">
        <f t="shared" si="43"/>
        <v>6</v>
      </c>
      <c r="AJ80" s="5">
        <f t="shared" si="30"/>
        <v>25</v>
      </c>
      <c r="AK80" s="5">
        <f t="shared" ref="AK80:AK143" si="53">IF(AT79&lt;1,0,AK79)</f>
        <v>75</v>
      </c>
      <c r="AL80" s="77">
        <f t="shared" si="32"/>
        <v>48030</v>
      </c>
      <c r="AM80" s="27">
        <f t="shared" ref="AM80:AM143" si="54">IF(AT79&gt;0,AP80/AT79,"")</f>
        <v>2.4868462382891064E-2</v>
      </c>
      <c r="AN80" s="76">
        <f t="shared" ref="AN80:AN143" si="55">AN79+1</f>
        <v>66</v>
      </c>
      <c r="AO80" s="13">
        <f t="shared" ref="AO80:AO143" si="56">IF(AT79&gt;0,AT79*$E$7,0)</f>
        <v>394.96239774374942</v>
      </c>
      <c r="AP80" s="62">
        <f t="shared" ref="AP80:AP143" si="57">IF(AT79&gt;AP79,AS80-AO80-AJ80-AK80,AT79)</f>
        <v>1231.7449910143073</v>
      </c>
      <c r="AQ80" s="9" t="str">
        <f t="shared" si="44"/>
        <v>🏎</v>
      </c>
      <c r="AR80" s="60" t="str">
        <f t="shared" si="45"/>
        <v>🚖</v>
      </c>
      <c r="AS80" s="8">
        <f t="shared" ref="AS80:AS143" si="58">IF(INT(AT79)=0,0,IF(AT79&lt;AP79,AT79+AO80+AJ80+AK80,-PMT($E$7,IF(AW79="V",AV79,NPER($E$7,-AS79+AJ80+AK80,AT79)),AT79+AX79)+AJ80+AK80))+IF(INT(AV79)=1,AX80,0)</f>
        <v>1726.7073887580566</v>
      </c>
      <c r="AT80" s="11">
        <f t="shared" ref="AT80:AT143" si="59">IF(AT79-AU80-AP80&lt;0,0,IF(AT79-AP80&gt;0,AT79-AP80,0)-IF(AT79-AP80&gt;0,AU80-AX80,0))</f>
        <v>48382.860789674603</v>
      </c>
      <c r="AU80" s="15">
        <v>0</v>
      </c>
      <c r="AV80" s="32">
        <f t="shared" ref="AV80:AV143" si="60">IFERROR(NPER($E$7,-AS80+AJ79+AK79,AT79+AX79)-1,0)</f>
        <v>34.087607939787077</v>
      </c>
      <c r="AW80" s="33"/>
      <c r="AX80" s="75">
        <f t="shared" ref="AX80:AX143" si="61">AT79*$D$9</f>
        <v>84.20168695934025</v>
      </c>
    </row>
    <row r="81" spans="1:50" x14ac:dyDescent="0.25">
      <c r="A81" s="5">
        <f t="shared" ref="A81:A144" si="62">IF(N80&lt;1,0,A80)</f>
        <v>25</v>
      </c>
      <c r="B81" s="5">
        <f t="shared" si="46"/>
        <v>75</v>
      </c>
      <c r="C81" s="77">
        <f t="shared" si="31"/>
        <v>48061</v>
      </c>
      <c r="D81" s="122">
        <f t="shared" si="33"/>
        <v>2.5705934590663952E-2</v>
      </c>
      <c r="E81" s="123">
        <f t="shared" si="47"/>
        <v>67</v>
      </c>
      <c r="F81" s="124">
        <f t="shared" si="48"/>
        <v>385.81172628896695</v>
      </c>
      <c r="G81" s="125">
        <f t="shared" si="49"/>
        <v>1243.7266547685749</v>
      </c>
      <c r="H81" s="126" t="str">
        <f t="shared" si="34"/>
        <v>🏎</v>
      </c>
      <c r="I81" s="127" t="str">
        <f t="shared" si="35"/>
        <v>🚖</v>
      </c>
      <c r="J81" s="128">
        <f t="shared" si="36"/>
        <v>1161.4757914261281</v>
      </c>
      <c r="K81" s="129">
        <f t="shared" si="37"/>
        <v>0.67155248137132018</v>
      </c>
      <c r="L81" s="1">
        <f t="shared" si="50"/>
        <v>1729.5383810575418</v>
      </c>
      <c r="M81" s="130">
        <f t="shared" si="38"/>
        <v>1948.1705014361676</v>
      </c>
      <c r="N81" s="131">
        <f t="shared" si="39"/>
        <v>47221.384998248475</v>
      </c>
      <c r="O81" s="15"/>
      <c r="P81" s="32">
        <f t="shared" si="51"/>
        <v>33.085492843440143</v>
      </c>
      <c r="Q81" s="33"/>
      <c r="R81" s="75">
        <f t="shared" si="52"/>
        <v>82.25086334244682</v>
      </c>
      <c r="V81" s="68">
        <f t="shared" si="40"/>
        <v>-1729.5383810575418</v>
      </c>
      <c r="AA81" s="4">
        <f t="shared" si="41"/>
        <v>1</v>
      </c>
      <c r="AB81" s="4">
        <f t="shared" si="42"/>
        <v>2</v>
      </c>
      <c r="AC81" s="12">
        <f t="shared" si="43"/>
        <v>6</v>
      </c>
      <c r="AJ81" s="5">
        <f t="shared" ref="AJ81:AJ144" si="63">IF(AT80&lt;1,0,AJ80)</f>
        <v>25</v>
      </c>
      <c r="AK81" s="5">
        <f t="shared" si="53"/>
        <v>75</v>
      </c>
      <c r="AL81" s="77">
        <f t="shared" si="32"/>
        <v>48061</v>
      </c>
      <c r="AM81" s="27">
        <f t="shared" si="54"/>
        <v>2.5705934590663952E-2</v>
      </c>
      <c r="AN81" s="76">
        <f t="shared" si="55"/>
        <v>67</v>
      </c>
      <c r="AO81" s="13">
        <f t="shared" si="56"/>
        <v>385.81172628896695</v>
      </c>
      <c r="AP81" s="62">
        <f t="shared" si="57"/>
        <v>1243.7266547685749</v>
      </c>
      <c r="AQ81" s="9" t="str">
        <f t="shared" si="44"/>
        <v>🏎</v>
      </c>
      <c r="AR81" s="60" t="str">
        <f t="shared" si="45"/>
        <v>🚖</v>
      </c>
      <c r="AS81" s="8">
        <f t="shared" si="58"/>
        <v>1729.5383810575418</v>
      </c>
      <c r="AT81" s="11">
        <f t="shared" si="59"/>
        <v>47221.384998248475</v>
      </c>
      <c r="AU81" s="15">
        <v>0</v>
      </c>
      <c r="AV81" s="32">
        <f t="shared" si="60"/>
        <v>33.085492843440143</v>
      </c>
      <c r="AW81" s="33"/>
      <c r="AX81" s="75">
        <f t="shared" si="61"/>
        <v>82.25086334244682</v>
      </c>
    </row>
    <row r="82" spans="1:50" x14ac:dyDescent="0.25">
      <c r="A82" s="5">
        <f t="shared" si="62"/>
        <v>25</v>
      </c>
      <c r="B82" s="5">
        <f t="shared" si="46"/>
        <v>75</v>
      </c>
      <c r="C82" s="77">
        <f t="shared" ref="C82:C145" si="64">DATE(YEAR(C81),MONTH(C81)+1,1)</f>
        <v>48092</v>
      </c>
      <c r="D82" s="122">
        <f t="shared" si="33"/>
        <v>2.6594450341393069E-2</v>
      </c>
      <c r="E82" s="123">
        <f t="shared" si="47"/>
        <v>68</v>
      </c>
      <c r="F82" s="124">
        <f t="shared" si="48"/>
        <v>376.54995522336287</v>
      </c>
      <c r="G82" s="125">
        <f t="shared" si="49"/>
        <v>1255.8267783877227</v>
      </c>
      <c r="H82" s="126" t="str">
        <f t="shared" si="34"/>
        <v>🏎</v>
      </c>
      <c r="I82" s="127" t="str">
        <f t="shared" si="35"/>
        <v>🚖</v>
      </c>
      <c r="J82" s="128">
        <f t="shared" si="36"/>
        <v>1175.5504238907004</v>
      </c>
      <c r="K82" s="129">
        <f t="shared" si="37"/>
        <v>0.6785766635414815</v>
      </c>
      <c r="L82" s="1">
        <f t="shared" si="50"/>
        <v>1732.3767336110857</v>
      </c>
      <c r="M82" s="130">
        <f t="shared" si="38"/>
        <v>1948.3826547359745</v>
      </c>
      <c r="N82" s="131">
        <f t="shared" si="39"/>
        <v>46045.834574357774</v>
      </c>
      <c r="O82" s="15"/>
      <c r="P82" s="32">
        <f t="shared" si="51"/>
        <v>32.083391688393355</v>
      </c>
      <c r="Q82" s="33"/>
      <c r="R82" s="75">
        <f t="shared" si="52"/>
        <v>80.27635449702241</v>
      </c>
      <c r="V82" s="68">
        <f t="shared" si="40"/>
        <v>-1732.3767336110857</v>
      </c>
      <c r="AA82" s="4">
        <f t="shared" si="41"/>
        <v>1</v>
      </c>
      <c r="AB82" s="4">
        <f t="shared" si="42"/>
        <v>2</v>
      </c>
      <c r="AC82" s="12">
        <f t="shared" si="43"/>
        <v>6</v>
      </c>
      <c r="AJ82" s="5">
        <f t="shared" si="63"/>
        <v>25</v>
      </c>
      <c r="AK82" s="5">
        <f t="shared" si="53"/>
        <v>75</v>
      </c>
      <c r="AL82" s="77">
        <f t="shared" ref="AL82:AL145" si="65">DATE(YEAR(AL81),MONTH(AL81)+1,1)</f>
        <v>48092</v>
      </c>
      <c r="AM82" s="27">
        <f t="shared" si="54"/>
        <v>2.6594450341393069E-2</v>
      </c>
      <c r="AN82" s="76">
        <f t="shared" si="55"/>
        <v>68</v>
      </c>
      <c r="AO82" s="13">
        <f t="shared" si="56"/>
        <v>376.54995522336287</v>
      </c>
      <c r="AP82" s="62">
        <f t="shared" si="57"/>
        <v>1255.8267783877227</v>
      </c>
      <c r="AQ82" s="9" t="str">
        <f t="shared" si="44"/>
        <v>🏎</v>
      </c>
      <c r="AR82" s="60" t="str">
        <f t="shared" si="45"/>
        <v>🚖</v>
      </c>
      <c r="AS82" s="8">
        <f t="shared" si="58"/>
        <v>1732.3767336110857</v>
      </c>
      <c r="AT82" s="11">
        <f t="shared" si="59"/>
        <v>46045.834574357774</v>
      </c>
      <c r="AU82" s="15">
        <v>0</v>
      </c>
      <c r="AV82" s="32">
        <f t="shared" si="60"/>
        <v>32.083391688393355</v>
      </c>
      <c r="AW82" s="33"/>
      <c r="AX82" s="75">
        <f t="shared" si="61"/>
        <v>80.27635449702241</v>
      </c>
    </row>
    <row r="83" spans="1:50" x14ac:dyDescent="0.25">
      <c r="A83" s="5">
        <f t="shared" si="62"/>
        <v>25</v>
      </c>
      <c r="B83" s="5">
        <f t="shared" si="46"/>
        <v>75</v>
      </c>
      <c r="C83" s="77">
        <f t="shared" si="64"/>
        <v>48122</v>
      </c>
      <c r="D83" s="122">
        <f t="shared" si="33"/>
        <v>2.7538792195138065E-2</v>
      </c>
      <c r="E83" s="123">
        <f t="shared" si="47"/>
        <v>69</v>
      </c>
      <c r="F83" s="124">
        <f t="shared" si="48"/>
        <v>367.1759510620011</v>
      </c>
      <c r="G83" s="125">
        <f t="shared" si="49"/>
        <v>1268.0466697949423</v>
      </c>
      <c r="H83" s="126" t="str">
        <f t="shared" si="34"/>
        <v>🏎</v>
      </c>
      <c r="I83" s="127" t="str">
        <f t="shared" si="35"/>
        <v>🚖</v>
      </c>
      <c r="J83" s="128">
        <f t="shared" si="36"/>
        <v>1189.7687510185342</v>
      </c>
      <c r="K83" s="129">
        <f t="shared" si="37"/>
        <v>0.68565769989268832</v>
      </c>
      <c r="L83" s="1">
        <f t="shared" si="50"/>
        <v>1735.2226208569434</v>
      </c>
      <c r="M83" s="130">
        <f t="shared" si="38"/>
        <v>1948.6399859995593</v>
      </c>
      <c r="N83" s="131">
        <f t="shared" si="39"/>
        <v>44856.065823339239</v>
      </c>
      <c r="O83" s="15"/>
      <c r="P83" s="32">
        <f t="shared" si="51"/>
        <v>31.0813043640972</v>
      </c>
      <c r="Q83" s="33"/>
      <c r="R83" s="75">
        <f t="shared" si="52"/>
        <v>78.277918776408214</v>
      </c>
      <c r="V83" s="68">
        <f t="shared" si="40"/>
        <v>-1735.2226208569434</v>
      </c>
      <c r="AA83" s="4">
        <f t="shared" si="41"/>
        <v>1</v>
      </c>
      <c r="AB83" s="4">
        <f t="shared" si="42"/>
        <v>2</v>
      </c>
      <c r="AC83" s="12">
        <f t="shared" si="43"/>
        <v>6</v>
      </c>
      <c r="AJ83" s="5">
        <f t="shared" si="63"/>
        <v>25</v>
      </c>
      <c r="AK83" s="5">
        <f t="shared" si="53"/>
        <v>75</v>
      </c>
      <c r="AL83" s="77">
        <f t="shared" si="65"/>
        <v>48122</v>
      </c>
      <c r="AM83" s="27">
        <f t="shared" si="54"/>
        <v>2.7538792195138065E-2</v>
      </c>
      <c r="AN83" s="76">
        <f t="shared" si="55"/>
        <v>69</v>
      </c>
      <c r="AO83" s="13">
        <f t="shared" si="56"/>
        <v>367.1759510620011</v>
      </c>
      <c r="AP83" s="62">
        <f t="shared" si="57"/>
        <v>1268.0466697949423</v>
      </c>
      <c r="AQ83" s="9" t="str">
        <f t="shared" si="44"/>
        <v>🏎</v>
      </c>
      <c r="AR83" s="60" t="str">
        <f t="shared" si="45"/>
        <v>🚖</v>
      </c>
      <c r="AS83" s="8">
        <f t="shared" si="58"/>
        <v>1735.2226208569434</v>
      </c>
      <c r="AT83" s="11">
        <f t="shared" si="59"/>
        <v>44856.065823339239</v>
      </c>
      <c r="AU83" s="15">
        <v>0</v>
      </c>
      <c r="AV83" s="32">
        <f t="shared" si="60"/>
        <v>31.0813043640972</v>
      </c>
      <c r="AW83" s="33"/>
      <c r="AX83" s="75">
        <f t="shared" si="61"/>
        <v>78.277918776408214</v>
      </c>
    </row>
    <row r="84" spans="1:50" x14ac:dyDescent="0.25">
      <c r="A84" s="5">
        <f t="shared" si="62"/>
        <v>25</v>
      </c>
      <c r="B84" s="5">
        <f t="shared" si="46"/>
        <v>75</v>
      </c>
      <c r="C84" s="77">
        <f t="shared" si="64"/>
        <v>48153</v>
      </c>
      <c r="D84" s="122">
        <f t="shared" si="33"/>
        <v>2.8544359424836324E-2</v>
      </c>
      <c r="E84" s="123">
        <f t="shared" si="47"/>
        <v>70</v>
      </c>
      <c r="F84" s="124">
        <f t="shared" si="48"/>
        <v>357.68856796345784</v>
      </c>
      <c r="G84" s="125">
        <f t="shared" si="49"/>
        <v>1280.3876652455119</v>
      </c>
      <c r="H84" s="126" t="str">
        <f t="shared" si="34"/>
        <v>🏎</v>
      </c>
      <c r="I84" s="127" t="str">
        <f t="shared" si="35"/>
        <v>🚖</v>
      </c>
      <c r="J84" s="128">
        <f t="shared" si="36"/>
        <v>1204.1323533458353</v>
      </c>
      <c r="K84" s="129">
        <f t="shared" si="37"/>
        <v>0.69279605251990228</v>
      </c>
      <c r="L84" s="1">
        <f t="shared" si="50"/>
        <v>1738.0762332089698</v>
      </c>
      <c r="M84" s="130">
        <f t="shared" si="38"/>
        <v>1948.9522967437524</v>
      </c>
      <c r="N84" s="131">
        <f t="shared" si="39"/>
        <v>43651.933469993404</v>
      </c>
      <c r="O84" s="15"/>
      <c r="P84" s="32">
        <f t="shared" si="51"/>
        <v>30.079230760897701</v>
      </c>
      <c r="Q84" s="33"/>
      <c r="R84" s="75">
        <f t="shared" si="52"/>
        <v>76.255311899676698</v>
      </c>
      <c r="V84" s="68">
        <f t="shared" si="40"/>
        <v>-1738.0762332089698</v>
      </c>
      <c r="AA84" s="4">
        <f t="shared" si="41"/>
        <v>1</v>
      </c>
      <c r="AB84" s="4">
        <f t="shared" si="42"/>
        <v>2</v>
      </c>
      <c r="AC84" s="12">
        <f t="shared" si="43"/>
        <v>6</v>
      </c>
      <c r="AJ84" s="5">
        <f t="shared" si="63"/>
        <v>25</v>
      </c>
      <c r="AK84" s="5">
        <f t="shared" si="53"/>
        <v>75</v>
      </c>
      <c r="AL84" s="77">
        <f t="shared" si="65"/>
        <v>48153</v>
      </c>
      <c r="AM84" s="27">
        <f t="shared" si="54"/>
        <v>2.8544359424836324E-2</v>
      </c>
      <c r="AN84" s="76">
        <f t="shared" si="55"/>
        <v>70</v>
      </c>
      <c r="AO84" s="13">
        <f t="shared" si="56"/>
        <v>357.68856796345784</v>
      </c>
      <c r="AP84" s="62">
        <f t="shared" si="57"/>
        <v>1280.3876652455119</v>
      </c>
      <c r="AQ84" s="9" t="str">
        <f t="shared" si="44"/>
        <v>🏎</v>
      </c>
      <c r="AR84" s="60" t="str">
        <f t="shared" si="45"/>
        <v>🚖</v>
      </c>
      <c r="AS84" s="8">
        <f t="shared" si="58"/>
        <v>1738.0762332089698</v>
      </c>
      <c r="AT84" s="11">
        <f t="shared" si="59"/>
        <v>43651.933469993404</v>
      </c>
      <c r="AU84" s="15">
        <v>0</v>
      </c>
      <c r="AV84" s="32">
        <f t="shared" si="60"/>
        <v>30.079230760897701</v>
      </c>
      <c r="AW84" s="33"/>
      <c r="AX84" s="75">
        <f t="shared" si="61"/>
        <v>76.255311899676698</v>
      </c>
    </row>
    <row r="85" spans="1:50" x14ac:dyDescent="0.25">
      <c r="A85" s="5">
        <f t="shared" si="62"/>
        <v>25</v>
      </c>
      <c r="B85" s="5">
        <f t="shared" si="46"/>
        <v>75</v>
      </c>
      <c r="C85" s="77">
        <f t="shared" si="64"/>
        <v>48183</v>
      </c>
      <c r="D85" s="122">
        <f t="shared" si="33"/>
        <v>2.9617270735089862E-2</v>
      </c>
      <c r="E85" s="123">
        <f t="shared" si="47"/>
        <v>71</v>
      </c>
      <c r="F85" s="124">
        <f t="shared" si="48"/>
        <v>348.08664748289181</v>
      </c>
      <c r="G85" s="125">
        <f t="shared" si="49"/>
        <v>1292.8511316909253</v>
      </c>
      <c r="H85" s="126" t="str">
        <f t="shared" si="34"/>
        <v>🏎</v>
      </c>
      <c r="I85" s="127" t="str">
        <f t="shared" si="35"/>
        <v>🚖</v>
      </c>
      <c r="J85" s="128">
        <f t="shared" si="36"/>
        <v>1218.6428447919366</v>
      </c>
      <c r="K85" s="129">
        <f t="shared" si="37"/>
        <v>0.69999218775656546</v>
      </c>
      <c r="L85" s="1">
        <f t="shared" si="50"/>
        <v>1740.937779173817</v>
      </c>
      <c r="M85" s="130">
        <f t="shared" si="38"/>
        <v>1949.3308302554447</v>
      </c>
      <c r="N85" s="131">
        <f t="shared" si="39"/>
        <v>42433.290625201465</v>
      </c>
      <c r="O85" s="15"/>
      <c r="P85" s="32">
        <f t="shared" si="51"/>
        <v>29.07717077003117</v>
      </c>
      <c r="Q85" s="33"/>
      <c r="R85" s="75">
        <f t="shared" si="52"/>
        <v>74.208286898988788</v>
      </c>
      <c r="V85" s="68">
        <f t="shared" si="40"/>
        <v>-1740.937779173817</v>
      </c>
      <c r="AA85" s="4">
        <f t="shared" si="41"/>
        <v>1</v>
      </c>
      <c r="AB85" s="4">
        <f t="shared" si="42"/>
        <v>2</v>
      </c>
      <c r="AC85" s="12">
        <f t="shared" si="43"/>
        <v>6</v>
      </c>
      <c r="AJ85" s="5">
        <f t="shared" si="63"/>
        <v>25</v>
      </c>
      <c r="AK85" s="5">
        <f t="shared" si="53"/>
        <v>75</v>
      </c>
      <c r="AL85" s="77">
        <f t="shared" si="65"/>
        <v>48183</v>
      </c>
      <c r="AM85" s="27">
        <f t="shared" si="54"/>
        <v>2.9617270735089862E-2</v>
      </c>
      <c r="AN85" s="76">
        <f t="shared" si="55"/>
        <v>71</v>
      </c>
      <c r="AO85" s="13">
        <f t="shared" si="56"/>
        <v>348.08664748289181</v>
      </c>
      <c r="AP85" s="62">
        <f t="shared" si="57"/>
        <v>1292.8511316909253</v>
      </c>
      <c r="AQ85" s="9" t="str">
        <f t="shared" si="44"/>
        <v>🏎</v>
      </c>
      <c r="AR85" s="60" t="str">
        <f t="shared" si="45"/>
        <v>🚖</v>
      </c>
      <c r="AS85" s="8">
        <f t="shared" si="58"/>
        <v>1740.937779173817</v>
      </c>
      <c r="AT85" s="11">
        <f t="shared" si="59"/>
        <v>42433.290625201465</v>
      </c>
      <c r="AU85" s="15">
        <v>0</v>
      </c>
      <c r="AV85" s="32">
        <f t="shared" si="60"/>
        <v>29.07717077003117</v>
      </c>
      <c r="AW85" s="33"/>
      <c r="AX85" s="75">
        <f t="shared" si="61"/>
        <v>74.208286898988788</v>
      </c>
    </row>
    <row r="86" spans="1:50" x14ac:dyDescent="0.25">
      <c r="A86" s="5">
        <f t="shared" si="62"/>
        <v>25</v>
      </c>
      <c r="B86" s="5">
        <f t="shared" si="46"/>
        <v>75</v>
      </c>
      <c r="C86" s="77">
        <f t="shared" si="64"/>
        <v>48214</v>
      </c>
      <c r="D86" s="122">
        <f t="shared" si="33"/>
        <v>3.0764488218851464E-2</v>
      </c>
      <c r="E86" s="123">
        <f t="shared" si="47"/>
        <v>72</v>
      </c>
      <c r="F86" s="124">
        <f t="shared" si="48"/>
        <v>338.36901830584208</v>
      </c>
      <c r="G86" s="125">
        <f t="shared" si="49"/>
        <v>1305.4384695261108</v>
      </c>
      <c r="H86" s="126" t="str">
        <f t="shared" si="34"/>
        <v>🏎</v>
      </c>
      <c r="I86" s="127" t="str">
        <f t="shared" si="35"/>
        <v>🚖</v>
      </c>
      <c r="J86" s="128">
        <f t="shared" si="36"/>
        <v>1233.3018754632683</v>
      </c>
      <c r="K86" s="129">
        <f t="shared" si="37"/>
        <v>0.70724657628154364</v>
      </c>
      <c r="L86" s="1">
        <f t="shared" si="50"/>
        <v>1743.8074878319528</v>
      </c>
      <c r="M86" s="130">
        <f t="shared" si="38"/>
        <v>1949.7885296331551</v>
      </c>
      <c r="N86" s="131">
        <f t="shared" si="39"/>
        <v>41199.988749738201</v>
      </c>
      <c r="O86" s="15"/>
      <c r="P86" s="32">
        <f t="shared" si="51"/>
        <v>28.075124283619303</v>
      </c>
      <c r="Q86" s="33"/>
      <c r="R86" s="75">
        <f t="shared" si="52"/>
        <v>72.136594062842491</v>
      </c>
      <c r="V86" s="68">
        <f t="shared" si="40"/>
        <v>-1743.8074878319528</v>
      </c>
      <c r="AA86" s="4">
        <f t="shared" si="41"/>
        <v>1</v>
      </c>
      <c r="AB86" s="4">
        <f t="shared" si="42"/>
        <v>2</v>
      </c>
      <c r="AC86" s="12">
        <f t="shared" si="43"/>
        <v>6</v>
      </c>
      <c r="AJ86" s="5">
        <f t="shared" si="63"/>
        <v>25</v>
      </c>
      <c r="AK86" s="5">
        <f t="shared" si="53"/>
        <v>75</v>
      </c>
      <c r="AL86" s="77">
        <f t="shared" si="65"/>
        <v>48214</v>
      </c>
      <c r="AM86" s="27">
        <f t="shared" si="54"/>
        <v>3.0764488218851464E-2</v>
      </c>
      <c r="AN86" s="76">
        <f t="shared" si="55"/>
        <v>72</v>
      </c>
      <c r="AO86" s="13">
        <f t="shared" si="56"/>
        <v>338.36901830584208</v>
      </c>
      <c r="AP86" s="62">
        <f t="shared" si="57"/>
        <v>1305.4384695261108</v>
      </c>
      <c r="AQ86" s="9" t="str">
        <f t="shared" si="44"/>
        <v>🏎</v>
      </c>
      <c r="AR86" s="60" t="str">
        <f t="shared" si="45"/>
        <v>🚖</v>
      </c>
      <c r="AS86" s="8">
        <f t="shared" si="58"/>
        <v>1743.8074878319528</v>
      </c>
      <c r="AT86" s="11">
        <f t="shared" si="59"/>
        <v>41199.988749738201</v>
      </c>
      <c r="AU86" s="15">
        <v>0</v>
      </c>
      <c r="AV86" s="32">
        <f t="shared" si="60"/>
        <v>28.075124283619303</v>
      </c>
      <c r="AW86" s="33"/>
      <c r="AX86" s="75">
        <f t="shared" si="61"/>
        <v>72.136594062842491</v>
      </c>
    </row>
    <row r="87" spans="1:50" x14ac:dyDescent="0.25">
      <c r="A87" s="5">
        <f t="shared" si="62"/>
        <v>25</v>
      </c>
      <c r="B87" s="5">
        <f t="shared" si="46"/>
        <v>75</v>
      </c>
      <c r="C87" s="77">
        <f t="shared" si="64"/>
        <v>48245</v>
      </c>
      <c r="D87" s="122">
        <f t="shared" si="33"/>
        <v>3.1993967857794209E-2</v>
      </c>
      <c r="E87" s="123">
        <f t="shared" si="47"/>
        <v>73</v>
      </c>
      <c r="F87" s="124">
        <f t="shared" si="48"/>
        <v>328.53449595966765</v>
      </c>
      <c r="G87" s="125">
        <f t="shared" si="49"/>
        <v>1318.1511158006069</v>
      </c>
      <c r="H87" s="126" t="str">
        <f t="shared" si="34"/>
        <v>🏎</v>
      </c>
      <c r="I87" s="127" t="str">
        <f t="shared" si="35"/>
        <v>🚖</v>
      </c>
      <c r="J87" s="128">
        <f t="shared" si="36"/>
        <v>1248.111134926052</v>
      </c>
      <c r="K87" s="129">
        <f t="shared" si="37"/>
        <v>0.71455969323994761</v>
      </c>
      <c r="L87" s="1">
        <f t="shared" si="50"/>
        <v>1746.6856117602747</v>
      </c>
      <c r="M87" s="130">
        <f t="shared" si="38"/>
        <v>1950.3403530558076</v>
      </c>
      <c r="N87" s="131">
        <f t="shared" si="39"/>
        <v>39951.877614812154</v>
      </c>
      <c r="O87" s="15"/>
      <c r="P87" s="32">
        <f t="shared" si="51"/>
        <v>27.073091194664393</v>
      </c>
      <c r="Q87" s="33"/>
      <c r="R87" s="75">
        <f t="shared" si="52"/>
        <v>70.039980874554942</v>
      </c>
      <c r="V87" s="68">
        <f t="shared" si="40"/>
        <v>-1746.6856117602747</v>
      </c>
      <c r="AA87" s="4">
        <f t="shared" si="41"/>
        <v>1</v>
      </c>
      <c r="AB87" s="4">
        <f t="shared" si="42"/>
        <v>3</v>
      </c>
      <c r="AC87" s="12">
        <f t="shared" si="43"/>
        <v>7</v>
      </c>
      <c r="AJ87" s="5">
        <f t="shared" si="63"/>
        <v>25</v>
      </c>
      <c r="AK87" s="5">
        <f t="shared" si="53"/>
        <v>75</v>
      </c>
      <c r="AL87" s="77">
        <f t="shared" si="65"/>
        <v>48245</v>
      </c>
      <c r="AM87" s="27">
        <f t="shared" si="54"/>
        <v>3.1993967857794209E-2</v>
      </c>
      <c r="AN87" s="76">
        <f t="shared" si="55"/>
        <v>73</v>
      </c>
      <c r="AO87" s="13">
        <f t="shared" si="56"/>
        <v>328.53449595966765</v>
      </c>
      <c r="AP87" s="62">
        <f t="shared" si="57"/>
        <v>1318.1511158006069</v>
      </c>
      <c r="AQ87" s="9" t="str">
        <f t="shared" si="44"/>
        <v>🏎</v>
      </c>
      <c r="AR87" s="60" t="str">
        <f t="shared" si="45"/>
        <v>🚖</v>
      </c>
      <c r="AS87" s="8">
        <f t="shared" si="58"/>
        <v>1746.6856117602747</v>
      </c>
      <c r="AT87" s="11">
        <f t="shared" si="59"/>
        <v>39951.877614812154</v>
      </c>
      <c r="AU87" s="15">
        <v>0</v>
      </c>
      <c r="AV87" s="32">
        <f t="shared" si="60"/>
        <v>27.073091194664393</v>
      </c>
      <c r="AW87" s="33"/>
      <c r="AX87" s="75">
        <f t="shared" si="61"/>
        <v>70.039980874554942</v>
      </c>
    </row>
    <row r="88" spans="1:50" x14ac:dyDescent="0.25">
      <c r="A88" s="5">
        <f t="shared" si="62"/>
        <v>25</v>
      </c>
      <c r="B88" s="5">
        <f t="shared" si="46"/>
        <v>75</v>
      </c>
      <c r="C88" s="77">
        <f t="shared" si="64"/>
        <v>48274</v>
      </c>
      <c r="D88" s="122">
        <f t="shared" si="33"/>
        <v>3.3314843443098908E-2</v>
      </c>
      <c r="E88" s="123">
        <f t="shared" si="47"/>
        <v>74</v>
      </c>
      <c r="F88" s="124">
        <f t="shared" si="48"/>
        <v>318.58188249888889</v>
      </c>
      <c r="G88" s="125">
        <f t="shared" si="49"/>
        <v>1330.9905479953147</v>
      </c>
      <c r="H88" s="126" t="str">
        <f t="shared" si="34"/>
        <v>🏎</v>
      </c>
      <c r="I88" s="127" t="str">
        <f t="shared" si="35"/>
        <v>🚖</v>
      </c>
      <c r="J88" s="128">
        <f t="shared" si="36"/>
        <v>1263.072356050134</v>
      </c>
      <c r="K88" s="129">
        <f t="shared" si="37"/>
        <v>0.72193201838082954</v>
      </c>
      <c r="L88" s="1">
        <f t="shared" si="50"/>
        <v>1749.5724304942037</v>
      </c>
      <c r="M88" s="130">
        <f t="shared" si="38"/>
        <v>1951.0036616567547</v>
      </c>
      <c r="N88" s="131">
        <f t="shared" si="39"/>
        <v>38688.805258762019</v>
      </c>
      <c r="O88" s="15"/>
      <c r="P88" s="32">
        <f t="shared" si="51"/>
        <v>26.071071397045461</v>
      </c>
      <c r="Q88" s="33"/>
      <c r="R88" s="75">
        <f t="shared" si="52"/>
        <v>67.918191945180652</v>
      </c>
      <c r="V88" s="68">
        <f t="shared" si="40"/>
        <v>-1749.5724304942037</v>
      </c>
      <c r="AA88" s="4">
        <f t="shared" si="41"/>
        <v>1</v>
      </c>
      <c r="AB88" s="4">
        <f t="shared" si="42"/>
        <v>3</v>
      </c>
      <c r="AC88" s="12">
        <f t="shared" si="43"/>
        <v>7</v>
      </c>
      <c r="AJ88" s="5">
        <f t="shared" si="63"/>
        <v>25</v>
      </c>
      <c r="AK88" s="5">
        <f t="shared" si="53"/>
        <v>75</v>
      </c>
      <c r="AL88" s="77">
        <f t="shared" si="65"/>
        <v>48274</v>
      </c>
      <c r="AM88" s="27">
        <f t="shared" si="54"/>
        <v>3.3314843443098908E-2</v>
      </c>
      <c r="AN88" s="76">
        <f t="shared" si="55"/>
        <v>74</v>
      </c>
      <c r="AO88" s="13">
        <f t="shared" si="56"/>
        <v>318.58188249888889</v>
      </c>
      <c r="AP88" s="62">
        <f t="shared" si="57"/>
        <v>1330.9905479953147</v>
      </c>
      <c r="AQ88" s="9" t="str">
        <f t="shared" si="44"/>
        <v>🏎</v>
      </c>
      <c r="AR88" s="60" t="str">
        <f t="shared" si="45"/>
        <v>🚖</v>
      </c>
      <c r="AS88" s="8">
        <f t="shared" si="58"/>
        <v>1749.5724304942037</v>
      </c>
      <c r="AT88" s="11">
        <f t="shared" si="59"/>
        <v>38688.805258762019</v>
      </c>
      <c r="AU88" s="15">
        <v>0</v>
      </c>
      <c r="AV88" s="32">
        <f t="shared" si="60"/>
        <v>26.071071397045461</v>
      </c>
      <c r="AW88" s="33"/>
      <c r="AX88" s="75">
        <f t="shared" si="61"/>
        <v>67.918191945180652</v>
      </c>
    </row>
    <row r="89" spans="1:50" x14ac:dyDescent="0.25">
      <c r="A89" s="5">
        <f t="shared" si="62"/>
        <v>25</v>
      </c>
      <c r="B89" s="5">
        <f t="shared" si="46"/>
        <v>75</v>
      </c>
      <c r="C89" s="77">
        <f t="shared" si="64"/>
        <v>48305</v>
      </c>
      <c r="D89" s="122">
        <f t="shared" si="33"/>
        <v>3.4737652907729087E-2</v>
      </c>
      <c r="E89" s="123">
        <f t="shared" si="47"/>
        <v>75</v>
      </c>
      <c r="F89" s="124">
        <f t="shared" si="48"/>
        <v>308.50996615987879</v>
      </c>
      <c r="G89" s="125">
        <f t="shared" si="49"/>
        <v>1343.9582884935987</v>
      </c>
      <c r="H89" s="126" t="str">
        <f t="shared" si="34"/>
        <v>🏎</v>
      </c>
      <c r="I89" s="127" t="str">
        <f t="shared" si="35"/>
        <v>🚖</v>
      </c>
      <c r="J89" s="128">
        <f t="shared" si="36"/>
        <v>1278.1873195537032</v>
      </c>
      <c r="K89" s="129">
        <f t="shared" si="37"/>
        <v>0.72936403621556289</v>
      </c>
      <c r="L89" s="1">
        <f t="shared" si="50"/>
        <v>1752.4682546534775</v>
      </c>
      <c r="M89" s="130">
        <f t="shared" si="38"/>
        <v>1951.7987002939587</v>
      </c>
      <c r="N89" s="131">
        <f t="shared" si="39"/>
        <v>37410.617939208321</v>
      </c>
      <c r="O89" s="15"/>
      <c r="P89" s="32">
        <f t="shared" si="51"/>
        <v>25.06906478551457</v>
      </c>
      <c r="Q89" s="33"/>
      <c r="R89" s="75">
        <f t="shared" si="52"/>
        <v>65.770968939895425</v>
      </c>
      <c r="V89" s="68">
        <f t="shared" si="40"/>
        <v>-1752.4682546534775</v>
      </c>
      <c r="AA89" s="4">
        <f t="shared" si="41"/>
        <v>1</v>
      </c>
      <c r="AB89" s="4">
        <f t="shared" si="42"/>
        <v>3</v>
      </c>
      <c r="AC89" s="12">
        <f t="shared" si="43"/>
        <v>7</v>
      </c>
      <c r="AJ89" s="5">
        <f t="shared" si="63"/>
        <v>25</v>
      </c>
      <c r="AK89" s="5">
        <f t="shared" si="53"/>
        <v>75</v>
      </c>
      <c r="AL89" s="77">
        <f t="shared" si="65"/>
        <v>48305</v>
      </c>
      <c r="AM89" s="27">
        <f t="shared" si="54"/>
        <v>3.4737652907729087E-2</v>
      </c>
      <c r="AN89" s="76">
        <f t="shared" si="55"/>
        <v>75</v>
      </c>
      <c r="AO89" s="13">
        <f t="shared" si="56"/>
        <v>308.50996615987879</v>
      </c>
      <c r="AP89" s="62">
        <f t="shared" si="57"/>
        <v>1343.9582884935987</v>
      </c>
      <c r="AQ89" s="9" t="str">
        <f t="shared" si="44"/>
        <v>🏎</v>
      </c>
      <c r="AR89" s="60" t="str">
        <f t="shared" si="45"/>
        <v>🚖</v>
      </c>
      <c r="AS89" s="8">
        <f t="shared" si="58"/>
        <v>1752.4682546534775</v>
      </c>
      <c r="AT89" s="11">
        <f t="shared" si="59"/>
        <v>37410.617939208321</v>
      </c>
      <c r="AU89" s="15">
        <v>0</v>
      </c>
      <c r="AV89" s="32">
        <f t="shared" si="60"/>
        <v>25.06906478551457</v>
      </c>
      <c r="AW89" s="33"/>
      <c r="AX89" s="75">
        <f t="shared" si="61"/>
        <v>65.770968939895425</v>
      </c>
    </row>
    <row r="90" spans="1:50" x14ac:dyDescent="0.25">
      <c r="A90" s="5">
        <f t="shared" si="62"/>
        <v>25</v>
      </c>
      <c r="B90" s="5">
        <f t="shared" si="46"/>
        <v>75</v>
      </c>
      <c r="C90" s="77">
        <f t="shared" si="64"/>
        <v>48335</v>
      </c>
      <c r="D90" s="122">
        <f t="shared" si="33"/>
        <v>3.6274618936164765E-2</v>
      </c>
      <c r="E90" s="123">
        <f t="shared" si="47"/>
        <v>76</v>
      </c>
      <c r="F90" s="124">
        <f t="shared" si="48"/>
        <v>298.31752097931349</v>
      </c>
      <c r="G90" s="125">
        <f t="shared" si="49"/>
        <v>1357.0559099112315</v>
      </c>
      <c r="H90" s="126" t="str">
        <f t="shared" si="34"/>
        <v>🏎</v>
      </c>
      <c r="I90" s="127" t="str">
        <f t="shared" si="35"/>
        <v>🚖</v>
      </c>
      <c r="J90" s="128">
        <f t="shared" si="36"/>
        <v>1293.4578594145773</v>
      </c>
      <c r="K90" s="129">
        <f t="shared" si="37"/>
        <v>0.73685623620176</v>
      </c>
      <c r="L90" s="1">
        <f t="shared" si="50"/>
        <v>1755.373430890545</v>
      </c>
      <c r="M90" s="130">
        <f t="shared" si="38"/>
        <v>1952.7491982594167</v>
      </c>
      <c r="N90" s="131">
        <f t="shared" si="39"/>
        <v>36117.16007979375</v>
      </c>
      <c r="O90" s="15"/>
      <c r="P90" s="32">
        <f t="shared" si="51"/>
        <v>24.067071255694088</v>
      </c>
      <c r="Q90" s="33"/>
      <c r="R90" s="75">
        <f t="shared" si="52"/>
        <v>63.598050496654146</v>
      </c>
      <c r="V90" s="68">
        <f t="shared" si="40"/>
        <v>-1755.373430890545</v>
      </c>
      <c r="AA90" s="4">
        <f t="shared" si="41"/>
        <v>1</v>
      </c>
      <c r="AB90" s="4">
        <f t="shared" si="42"/>
        <v>3</v>
      </c>
      <c r="AC90" s="12">
        <f t="shared" si="43"/>
        <v>7</v>
      </c>
      <c r="AJ90" s="5">
        <f t="shared" si="63"/>
        <v>25</v>
      </c>
      <c r="AK90" s="5">
        <f t="shared" si="53"/>
        <v>75</v>
      </c>
      <c r="AL90" s="77">
        <f t="shared" si="65"/>
        <v>48335</v>
      </c>
      <c r="AM90" s="27">
        <f t="shared" si="54"/>
        <v>3.6274618936164765E-2</v>
      </c>
      <c r="AN90" s="76">
        <f t="shared" si="55"/>
        <v>76</v>
      </c>
      <c r="AO90" s="13">
        <f t="shared" si="56"/>
        <v>298.31752097931349</v>
      </c>
      <c r="AP90" s="62">
        <f t="shared" si="57"/>
        <v>1357.0559099112315</v>
      </c>
      <c r="AQ90" s="9" t="str">
        <f t="shared" si="44"/>
        <v>🏎</v>
      </c>
      <c r="AR90" s="60" t="str">
        <f t="shared" si="45"/>
        <v>🚖</v>
      </c>
      <c r="AS90" s="8">
        <f t="shared" si="58"/>
        <v>1755.373430890545</v>
      </c>
      <c r="AT90" s="11">
        <f t="shared" si="59"/>
        <v>36117.16007979375</v>
      </c>
      <c r="AU90" s="15">
        <v>0</v>
      </c>
      <c r="AV90" s="32">
        <f t="shared" si="60"/>
        <v>24.067071255694088</v>
      </c>
      <c r="AW90" s="33"/>
      <c r="AX90" s="75">
        <f t="shared" si="61"/>
        <v>63.598050496654146</v>
      </c>
    </row>
    <row r="91" spans="1:50" x14ac:dyDescent="0.25">
      <c r="A91" s="5">
        <f t="shared" si="62"/>
        <v>25</v>
      </c>
      <c r="B91" s="5">
        <f t="shared" si="46"/>
        <v>75</v>
      </c>
      <c r="C91" s="77">
        <f t="shared" si="64"/>
        <v>48366</v>
      </c>
      <c r="D91" s="122">
        <f t="shared" si="33"/>
        <v>3.7939999669683158E-2</v>
      </c>
      <c r="E91" s="123">
        <f t="shared" si="47"/>
        <v>77</v>
      </c>
      <c r="F91" s="124">
        <f t="shared" si="48"/>
        <v>288.00330636947245</v>
      </c>
      <c r="G91" s="125">
        <f t="shared" si="49"/>
        <v>1370.2850414972686</v>
      </c>
      <c r="H91" s="126" t="str">
        <f t="shared" si="34"/>
        <v>🏎</v>
      </c>
      <c r="I91" s="127" t="str">
        <f t="shared" si="35"/>
        <v>🚖</v>
      </c>
      <c r="J91" s="128">
        <f t="shared" si="36"/>
        <v>1308.8858693616191</v>
      </c>
      <c r="K91" s="129">
        <f t="shared" si="37"/>
        <v>0.74440911295899592</v>
      </c>
      <c r="L91" s="1">
        <f t="shared" si="50"/>
        <v>1758.2883478667411</v>
      </c>
      <c r="M91" s="130">
        <f t="shared" si="38"/>
        <v>1953.8831263613872</v>
      </c>
      <c r="N91" s="131">
        <f t="shared" si="39"/>
        <v>34808.27421043213</v>
      </c>
      <c r="O91" s="15"/>
      <c r="P91" s="32">
        <f t="shared" si="51"/>
        <v>23.065090704074748</v>
      </c>
      <c r="Q91" s="33"/>
      <c r="R91" s="75">
        <f t="shared" si="52"/>
        <v>61.399172135649373</v>
      </c>
      <c r="V91" s="68">
        <f t="shared" si="40"/>
        <v>-1758.2883478667411</v>
      </c>
      <c r="AA91" s="4">
        <f t="shared" si="41"/>
        <v>1</v>
      </c>
      <c r="AB91" s="4">
        <f t="shared" si="42"/>
        <v>3</v>
      </c>
      <c r="AC91" s="12">
        <f t="shared" si="43"/>
        <v>7</v>
      </c>
      <c r="AJ91" s="5">
        <f t="shared" si="63"/>
        <v>25</v>
      </c>
      <c r="AK91" s="5">
        <f t="shared" si="53"/>
        <v>75</v>
      </c>
      <c r="AL91" s="77">
        <f t="shared" si="65"/>
        <v>48366</v>
      </c>
      <c r="AM91" s="27">
        <f t="shared" si="54"/>
        <v>3.7939999669683158E-2</v>
      </c>
      <c r="AN91" s="76">
        <f t="shared" si="55"/>
        <v>77</v>
      </c>
      <c r="AO91" s="13">
        <f t="shared" si="56"/>
        <v>288.00330636947245</v>
      </c>
      <c r="AP91" s="62">
        <f t="shared" si="57"/>
        <v>1370.2850414972686</v>
      </c>
      <c r="AQ91" s="9" t="str">
        <f t="shared" si="44"/>
        <v>🏎</v>
      </c>
      <c r="AR91" s="60" t="str">
        <f t="shared" si="45"/>
        <v>🚖</v>
      </c>
      <c r="AS91" s="8">
        <f t="shared" si="58"/>
        <v>1758.2883478667411</v>
      </c>
      <c r="AT91" s="11">
        <f t="shared" si="59"/>
        <v>34808.27421043213</v>
      </c>
      <c r="AU91" s="15">
        <v>0</v>
      </c>
      <c r="AV91" s="32">
        <f t="shared" si="60"/>
        <v>23.065090704074748</v>
      </c>
      <c r="AW91" s="33"/>
      <c r="AX91" s="75">
        <f t="shared" si="61"/>
        <v>61.399172135649373</v>
      </c>
    </row>
    <row r="92" spans="1:50" x14ac:dyDescent="0.25">
      <c r="A92" s="5">
        <f t="shared" si="62"/>
        <v>25</v>
      </c>
      <c r="B92" s="5">
        <f t="shared" si="46"/>
        <v>75</v>
      </c>
      <c r="C92" s="77">
        <f t="shared" si="64"/>
        <v>48396</v>
      </c>
      <c r="D92" s="122">
        <f t="shared" si="33"/>
        <v>3.9750530822562344E-2</v>
      </c>
      <c r="E92" s="123">
        <f t="shared" si="47"/>
        <v>78</v>
      </c>
      <c r="F92" s="124">
        <f t="shared" si="48"/>
        <v>277.56606664177508</v>
      </c>
      <c r="G92" s="125">
        <f t="shared" si="49"/>
        <v>1383.6473768819842</v>
      </c>
      <c r="H92" s="126" t="str">
        <f t="shared" si="34"/>
        <v>🏎</v>
      </c>
      <c r="I92" s="127" t="str">
        <f t="shared" si="35"/>
        <v>🚁</v>
      </c>
      <c r="J92" s="128">
        <f t="shared" si="36"/>
        <v>1324.4733107242496</v>
      </c>
      <c r="K92" s="129">
        <f t="shared" si="37"/>
        <v>0.7520231665244963</v>
      </c>
      <c r="L92" s="1">
        <f t="shared" si="50"/>
        <v>1761.2134435237592</v>
      </c>
      <c r="M92" s="130">
        <f t="shared" si="38"/>
        <v>1955.2336600388821</v>
      </c>
      <c r="N92" s="131">
        <f t="shared" si="39"/>
        <v>33483.80089970788</v>
      </c>
      <c r="O92" s="15"/>
      <c r="P92" s="32">
        <f t="shared" si="51"/>
        <v>22.063123028014626</v>
      </c>
      <c r="Q92" s="33"/>
      <c r="R92" s="75">
        <f t="shared" si="52"/>
        <v>59.174066157734615</v>
      </c>
      <c r="V92" s="68">
        <f t="shared" si="40"/>
        <v>-1761.2134435237592</v>
      </c>
      <c r="AA92" s="4">
        <f t="shared" si="41"/>
        <v>1</v>
      </c>
      <c r="AB92" s="4">
        <f t="shared" si="42"/>
        <v>3</v>
      </c>
      <c r="AC92" s="12">
        <f t="shared" si="43"/>
        <v>7</v>
      </c>
      <c r="AJ92" s="5">
        <f t="shared" si="63"/>
        <v>25</v>
      </c>
      <c r="AK92" s="5">
        <f t="shared" si="53"/>
        <v>75</v>
      </c>
      <c r="AL92" s="77">
        <f t="shared" si="65"/>
        <v>48396</v>
      </c>
      <c r="AM92" s="27">
        <f t="shared" si="54"/>
        <v>3.9750530822562344E-2</v>
      </c>
      <c r="AN92" s="76">
        <f t="shared" si="55"/>
        <v>78</v>
      </c>
      <c r="AO92" s="13">
        <f t="shared" si="56"/>
        <v>277.56606664177508</v>
      </c>
      <c r="AP92" s="62">
        <f t="shared" si="57"/>
        <v>1383.6473768819842</v>
      </c>
      <c r="AQ92" s="9" t="str">
        <f t="shared" si="44"/>
        <v>🏎</v>
      </c>
      <c r="AR92" s="60" t="str">
        <f t="shared" si="45"/>
        <v>🚁</v>
      </c>
      <c r="AS92" s="8">
        <f t="shared" si="58"/>
        <v>1761.2134435237592</v>
      </c>
      <c r="AT92" s="11">
        <f t="shared" si="59"/>
        <v>33483.80089970788</v>
      </c>
      <c r="AU92" s="15">
        <v>0</v>
      </c>
      <c r="AV92" s="32">
        <f t="shared" si="60"/>
        <v>22.063123028014626</v>
      </c>
      <c r="AW92" s="33"/>
      <c r="AX92" s="75">
        <f t="shared" si="61"/>
        <v>59.174066157734615</v>
      </c>
    </row>
    <row r="93" spans="1:50" x14ac:dyDescent="0.25">
      <c r="A93" s="5">
        <f t="shared" si="62"/>
        <v>25</v>
      </c>
      <c r="B93" s="5">
        <f t="shared" si="46"/>
        <v>75</v>
      </c>
      <c r="C93" s="77">
        <f t="shared" si="64"/>
        <v>48427</v>
      </c>
      <c r="D93" s="122">
        <f t="shared" si="33"/>
        <v>4.1725988268772579E-2</v>
      </c>
      <c r="E93" s="123">
        <f t="shared" si="47"/>
        <v>79</v>
      </c>
      <c r="F93" s="124">
        <f t="shared" si="48"/>
        <v>267.00453046772486</v>
      </c>
      <c r="G93" s="125">
        <f t="shared" si="49"/>
        <v>1397.1446835351278</v>
      </c>
      <c r="H93" s="126" t="str">
        <f t="shared" si="34"/>
        <v>🏎</v>
      </c>
      <c r="I93" s="127" t="str">
        <f t="shared" si="35"/>
        <v>🚁</v>
      </c>
      <c r="J93" s="128">
        <f t="shared" si="36"/>
        <v>1340.2222220056244</v>
      </c>
      <c r="K93" s="129">
        <f t="shared" si="37"/>
        <v>0.75969890265952145</v>
      </c>
      <c r="L93" s="1">
        <f t="shared" si="50"/>
        <v>1764.1492140028527</v>
      </c>
      <c r="M93" s="130">
        <f t="shared" si="38"/>
        <v>1956.840417053053</v>
      </c>
      <c r="N93" s="131">
        <f t="shared" si="39"/>
        <v>32143.578677702255</v>
      </c>
      <c r="O93" s="15"/>
      <c r="P93" s="32">
        <f t="shared" si="51"/>
        <v>21.061168125739606</v>
      </c>
      <c r="Q93" s="33"/>
      <c r="R93" s="75">
        <f t="shared" si="52"/>
        <v>56.922461529503394</v>
      </c>
      <c r="V93" s="68">
        <f t="shared" si="40"/>
        <v>-1764.1492140028527</v>
      </c>
      <c r="AA93" s="4">
        <f t="shared" si="41"/>
        <v>1</v>
      </c>
      <c r="AB93" s="4">
        <f t="shared" si="42"/>
        <v>3</v>
      </c>
      <c r="AC93" s="12">
        <f t="shared" si="43"/>
        <v>7</v>
      </c>
      <c r="AJ93" s="5">
        <f t="shared" si="63"/>
        <v>25</v>
      </c>
      <c r="AK93" s="5">
        <f t="shared" si="53"/>
        <v>75</v>
      </c>
      <c r="AL93" s="77">
        <f t="shared" si="65"/>
        <v>48427</v>
      </c>
      <c r="AM93" s="27">
        <f t="shared" si="54"/>
        <v>4.1725988268772579E-2</v>
      </c>
      <c r="AN93" s="76">
        <f t="shared" si="55"/>
        <v>79</v>
      </c>
      <c r="AO93" s="13">
        <f t="shared" si="56"/>
        <v>267.00453046772486</v>
      </c>
      <c r="AP93" s="62">
        <f t="shared" si="57"/>
        <v>1397.1446835351278</v>
      </c>
      <c r="AQ93" s="9" t="str">
        <f t="shared" si="44"/>
        <v>🏎</v>
      </c>
      <c r="AR93" s="60" t="str">
        <f t="shared" si="45"/>
        <v>🚁</v>
      </c>
      <c r="AS93" s="8">
        <f t="shared" si="58"/>
        <v>1764.1492140028527</v>
      </c>
      <c r="AT93" s="11">
        <f t="shared" si="59"/>
        <v>32143.578677702255</v>
      </c>
      <c r="AU93" s="15">
        <v>0</v>
      </c>
      <c r="AV93" s="32">
        <f t="shared" si="60"/>
        <v>21.061168125739606</v>
      </c>
      <c r="AW93" s="33"/>
      <c r="AX93" s="75">
        <f t="shared" si="61"/>
        <v>56.922461529503394</v>
      </c>
    </row>
    <row r="94" spans="1:50" x14ac:dyDescent="0.25">
      <c r="A94" s="5">
        <f t="shared" si="62"/>
        <v>25</v>
      </c>
      <c r="B94" s="5">
        <f t="shared" si="46"/>
        <v>75</v>
      </c>
      <c r="C94" s="77">
        <f t="shared" si="64"/>
        <v>48458</v>
      </c>
      <c r="D94" s="122">
        <f t="shared" si="33"/>
        <v>4.3889911218772955E-2</v>
      </c>
      <c r="E94" s="123">
        <f t="shared" si="47"/>
        <v>80</v>
      </c>
      <c r="F94" s="124">
        <f t="shared" si="48"/>
        <v>256.31741026351455</v>
      </c>
      <c r="G94" s="125">
        <f t="shared" si="49"/>
        <v>1410.7788144179954</v>
      </c>
      <c r="H94" s="126" t="str">
        <f t="shared" si="34"/>
        <v>🏎</v>
      </c>
      <c r="I94" s="127" t="str">
        <f t="shared" si="35"/>
        <v>🚁</v>
      </c>
      <c r="J94" s="128">
        <f t="shared" si="36"/>
        <v>1356.1347306659015</v>
      </c>
      <c r="K94" s="129">
        <f t="shared" si="37"/>
        <v>0.76743683322073908</v>
      </c>
      <c r="L94" s="1">
        <f t="shared" si="50"/>
        <v>1767.09622468151</v>
      </c>
      <c r="M94" s="130">
        <f t="shared" si="38"/>
        <v>1958.7510656698551</v>
      </c>
      <c r="N94" s="131">
        <f t="shared" si="39"/>
        <v>30787.443947036354</v>
      </c>
      <c r="O94" s="15"/>
      <c r="P94" s="32">
        <f t="shared" si="51"/>
        <v>20.059225896345382</v>
      </c>
      <c r="Q94" s="33"/>
      <c r="R94" s="75">
        <f t="shared" si="52"/>
        <v>54.644083752093827</v>
      </c>
      <c r="V94" s="68">
        <f t="shared" si="40"/>
        <v>-1767.09622468151</v>
      </c>
      <c r="AA94" s="4">
        <f t="shared" si="41"/>
        <v>1</v>
      </c>
      <c r="AB94" s="4">
        <f t="shared" si="42"/>
        <v>3</v>
      </c>
      <c r="AC94" s="12">
        <f t="shared" si="43"/>
        <v>7</v>
      </c>
      <c r="AJ94" s="5">
        <f t="shared" si="63"/>
        <v>25</v>
      </c>
      <c r="AK94" s="5">
        <f t="shared" si="53"/>
        <v>75</v>
      </c>
      <c r="AL94" s="77">
        <f t="shared" si="65"/>
        <v>48458</v>
      </c>
      <c r="AM94" s="27">
        <f t="shared" si="54"/>
        <v>4.3889911218772955E-2</v>
      </c>
      <c r="AN94" s="76">
        <f t="shared" si="55"/>
        <v>80</v>
      </c>
      <c r="AO94" s="13">
        <f t="shared" si="56"/>
        <v>256.31741026351455</v>
      </c>
      <c r="AP94" s="62">
        <f t="shared" si="57"/>
        <v>1410.7788144179954</v>
      </c>
      <c r="AQ94" s="9" t="str">
        <f t="shared" si="44"/>
        <v>🏎</v>
      </c>
      <c r="AR94" s="60" t="str">
        <f t="shared" si="45"/>
        <v>🚁</v>
      </c>
      <c r="AS94" s="8">
        <f t="shared" si="58"/>
        <v>1767.09622468151</v>
      </c>
      <c r="AT94" s="11">
        <f t="shared" si="59"/>
        <v>30787.443947036354</v>
      </c>
      <c r="AU94" s="15">
        <v>0</v>
      </c>
      <c r="AV94" s="32">
        <f t="shared" si="60"/>
        <v>20.059225896345382</v>
      </c>
      <c r="AW94" s="33"/>
      <c r="AX94" s="75">
        <f t="shared" si="61"/>
        <v>54.644083752093827</v>
      </c>
    </row>
    <row r="95" spans="1:50" x14ac:dyDescent="0.25">
      <c r="A95" s="5">
        <f t="shared" si="62"/>
        <v>25</v>
      </c>
      <c r="B95" s="5">
        <f t="shared" si="46"/>
        <v>75</v>
      </c>
      <c r="C95" s="77">
        <f t="shared" si="64"/>
        <v>48488</v>
      </c>
      <c r="D95" s="122">
        <f t="shared" si="33"/>
        <v>4.6270542138261886E-2</v>
      </c>
      <c r="E95" s="123">
        <f t="shared" si="47"/>
        <v>81</v>
      </c>
      <c r="F95" s="124">
        <f t="shared" si="48"/>
        <v>245.50340148067107</v>
      </c>
      <c r="G95" s="125">
        <f t="shared" si="49"/>
        <v>1424.5517224807215</v>
      </c>
      <c r="H95" s="126" t="str">
        <f t="shared" si="34"/>
        <v>🏎</v>
      </c>
      <c r="I95" s="127" t="str">
        <f t="shared" si="35"/>
        <v>🚁</v>
      </c>
      <c r="J95" s="128">
        <f t="shared" si="36"/>
        <v>1372.2130677707598</v>
      </c>
      <c r="K95" s="129">
        <f t="shared" si="37"/>
        <v>0.77523747661583542</v>
      </c>
      <c r="L95" s="1">
        <f t="shared" si="50"/>
        <v>1770.0551239613926</v>
      </c>
      <c r="M95" s="130">
        <f t="shared" si="38"/>
        <v>1961.0234395612115</v>
      </c>
      <c r="N95" s="131">
        <f t="shared" si="39"/>
        <v>29415.230879265593</v>
      </c>
      <c r="O95" s="15"/>
      <c r="P95" s="32">
        <f t="shared" si="51"/>
        <v>19.057296239801559</v>
      </c>
      <c r="Q95" s="33"/>
      <c r="R95" s="75">
        <f t="shared" si="52"/>
        <v>52.338654709961801</v>
      </c>
      <c r="V95" s="68">
        <f t="shared" si="40"/>
        <v>-1770.0551239613926</v>
      </c>
      <c r="AA95" s="4">
        <f t="shared" si="41"/>
        <v>1</v>
      </c>
      <c r="AB95" s="4">
        <f t="shared" si="42"/>
        <v>3</v>
      </c>
      <c r="AC95" s="12">
        <f t="shared" si="43"/>
        <v>7</v>
      </c>
      <c r="AJ95" s="5">
        <f t="shared" si="63"/>
        <v>25</v>
      </c>
      <c r="AK95" s="5">
        <f t="shared" si="53"/>
        <v>75</v>
      </c>
      <c r="AL95" s="77">
        <f t="shared" si="65"/>
        <v>48488</v>
      </c>
      <c r="AM95" s="27">
        <f t="shared" si="54"/>
        <v>4.6270542138261886E-2</v>
      </c>
      <c r="AN95" s="76">
        <f t="shared" si="55"/>
        <v>81</v>
      </c>
      <c r="AO95" s="13">
        <f t="shared" si="56"/>
        <v>245.50340148067107</v>
      </c>
      <c r="AP95" s="62">
        <f t="shared" si="57"/>
        <v>1424.5517224807215</v>
      </c>
      <c r="AQ95" s="9" t="str">
        <f t="shared" si="44"/>
        <v>🏎</v>
      </c>
      <c r="AR95" s="60" t="str">
        <f t="shared" si="45"/>
        <v>🚁</v>
      </c>
      <c r="AS95" s="8">
        <f t="shared" si="58"/>
        <v>1770.0551239613926</v>
      </c>
      <c r="AT95" s="11">
        <f t="shared" si="59"/>
        <v>29415.230879265593</v>
      </c>
      <c r="AU95" s="15">
        <v>0</v>
      </c>
      <c r="AV95" s="32">
        <f t="shared" si="60"/>
        <v>19.057296239801559</v>
      </c>
      <c r="AW95" s="33"/>
      <c r="AX95" s="75">
        <f t="shared" si="61"/>
        <v>52.338654709961801</v>
      </c>
    </row>
    <row r="96" spans="1:50" x14ac:dyDescent="0.25">
      <c r="A96" s="5">
        <f t="shared" si="62"/>
        <v>25</v>
      </c>
      <c r="B96" s="5">
        <f t="shared" si="46"/>
        <v>75</v>
      </c>
      <c r="C96" s="77">
        <f t="shared" si="64"/>
        <v>48519</v>
      </c>
      <c r="D96" s="122">
        <f t="shared" si="33"/>
        <v>4.8902063179401253E-2</v>
      </c>
      <c r="E96" s="123">
        <f t="shared" si="47"/>
        <v>82</v>
      </c>
      <c r="F96" s="124">
        <f t="shared" si="48"/>
        <v>234.56118177989018</v>
      </c>
      <c r="G96" s="125">
        <f t="shared" si="49"/>
        <v>1438.4654788945206</v>
      </c>
      <c r="H96" s="126" t="str">
        <f t="shared" si="34"/>
        <v>🏎</v>
      </c>
      <c r="I96" s="127" t="str">
        <f t="shared" si="35"/>
        <v>🚁</v>
      </c>
      <c r="J96" s="128">
        <f t="shared" si="36"/>
        <v>1388.459586399769</v>
      </c>
      <c r="K96" s="129">
        <f t="shared" si="37"/>
        <v>0.78310135836966888</v>
      </c>
      <c r="L96" s="1">
        <f t="shared" si="50"/>
        <v>1773.0266606744108</v>
      </c>
      <c r="M96" s="130">
        <f t="shared" si="38"/>
        <v>1963.7283560868179</v>
      </c>
      <c r="N96" s="131">
        <f t="shared" si="39"/>
        <v>28026.771292865826</v>
      </c>
      <c r="O96" s="15"/>
      <c r="P96" s="32">
        <f t="shared" si="51"/>
        <v>18.055379056958518</v>
      </c>
      <c r="Q96" s="33"/>
      <c r="R96" s="75">
        <f t="shared" si="52"/>
        <v>50.005892494751507</v>
      </c>
      <c r="V96" s="68">
        <f t="shared" si="40"/>
        <v>-1773.0266606744108</v>
      </c>
      <c r="AA96" s="4">
        <f t="shared" si="41"/>
        <v>1</v>
      </c>
      <c r="AB96" s="4">
        <f t="shared" si="42"/>
        <v>3</v>
      </c>
      <c r="AC96" s="12">
        <f t="shared" si="43"/>
        <v>7</v>
      </c>
      <c r="AJ96" s="5">
        <f t="shared" si="63"/>
        <v>25</v>
      </c>
      <c r="AK96" s="5">
        <f t="shared" si="53"/>
        <v>75</v>
      </c>
      <c r="AL96" s="77">
        <f t="shared" si="65"/>
        <v>48519</v>
      </c>
      <c r="AM96" s="27">
        <f t="shared" si="54"/>
        <v>4.8902063179401253E-2</v>
      </c>
      <c r="AN96" s="76">
        <f t="shared" si="55"/>
        <v>82</v>
      </c>
      <c r="AO96" s="13">
        <f t="shared" si="56"/>
        <v>234.56118177989018</v>
      </c>
      <c r="AP96" s="62">
        <f t="shared" si="57"/>
        <v>1438.4654788945206</v>
      </c>
      <c r="AQ96" s="9" t="str">
        <f t="shared" si="44"/>
        <v>🏎</v>
      </c>
      <c r="AR96" s="60" t="str">
        <f t="shared" si="45"/>
        <v>🚁</v>
      </c>
      <c r="AS96" s="8">
        <f t="shared" si="58"/>
        <v>1773.0266606744108</v>
      </c>
      <c r="AT96" s="11">
        <f t="shared" si="59"/>
        <v>28026.771292865826</v>
      </c>
      <c r="AU96" s="15">
        <v>0</v>
      </c>
      <c r="AV96" s="32">
        <f t="shared" si="60"/>
        <v>18.055379056958518</v>
      </c>
      <c r="AW96" s="33"/>
      <c r="AX96" s="75">
        <f t="shared" si="61"/>
        <v>50.005892494751507</v>
      </c>
    </row>
    <row r="97" spans="1:50" x14ac:dyDescent="0.25">
      <c r="A97" s="5">
        <f t="shared" si="62"/>
        <v>25</v>
      </c>
      <c r="B97" s="5">
        <f t="shared" si="46"/>
        <v>75</v>
      </c>
      <c r="C97" s="77">
        <f t="shared" si="64"/>
        <v>48549</v>
      </c>
      <c r="D97" s="122">
        <f t="shared" si="33"/>
        <v>5.1826244310271656E-2</v>
      </c>
      <c r="E97" s="123">
        <f t="shared" si="47"/>
        <v>83</v>
      </c>
      <c r="F97" s="124">
        <f t="shared" si="48"/>
        <v>223.48941005808081</v>
      </c>
      <c r="G97" s="125">
        <f t="shared" si="49"/>
        <v>1452.5222962521725</v>
      </c>
      <c r="H97" s="126" t="str">
        <f t="shared" si="34"/>
        <v>🏎</v>
      </c>
      <c r="I97" s="127" t="str">
        <f t="shared" si="35"/>
        <v>🚁</v>
      </c>
      <c r="J97" s="128">
        <f t="shared" si="36"/>
        <v>1404.8767850543006</v>
      </c>
      <c r="K97" s="129">
        <f t="shared" si="37"/>
        <v>0.79102901183742602</v>
      </c>
      <c r="L97" s="1">
        <f t="shared" si="50"/>
        <v>1776.0117063102534</v>
      </c>
      <c r="M97" s="130">
        <f t="shared" si="38"/>
        <v>1966.9534269924914</v>
      </c>
      <c r="N97" s="131">
        <f t="shared" si="39"/>
        <v>26621.894507811525</v>
      </c>
      <c r="O97" s="15"/>
      <c r="P97" s="32">
        <f t="shared" si="51"/>
        <v>17.053474249557819</v>
      </c>
      <c r="Q97" s="33"/>
      <c r="R97" s="75">
        <f t="shared" si="52"/>
        <v>47.645511197871897</v>
      </c>
      <c r="V97" s="68">
        <f t="shared" si="40"/>
        <v>-1776.0117063102534</v>
      </c>
      <c r="AA97" s="4">
        <f t="shared" si="41"/>
        <v>1</v>
      </c>
      <c r="AB97" s="4">
        <f t="shared" si="42"/>
        <v>3</v>
      </c>
      <c r="AC97" s="12">
        <f t="shared" si="43"/>
        <v>7</v>
      </c>
      <c r="AJ97" s="5">
        <f t="shared" si="63"/>
        <v>25</v>
      </c>
      <c r="AK97" s="5">
        <f t="shared" si="53"/>
        <v>75</v>
      </c>
      <c r="AL97" s="77">
        <f t="shared" si="65"/>
        <v>48549</v>
      </c>
      <c r="AM97" s="27">
        <f t="shared" si="54"/>
        <v>5.1826244310271656E-2</v>
      </c>
      <c r="AN97" s="76">
        <f t="shared" si="55"/>
        <v>83</v>
      </c>
      <c r="AO97" s="13">
        <f t="shared" si="56"/>
        <v>223.48941005808081</v>
      </c>
      <c r="AP97" s="62">
        <f t="shared" si="57"/>
        <v>1452.5222962521725</v>
      </c>
      <c r="AQ97" s="9" t="str">
        <f t="shared" si="44"/>
        <v>🏎</v>
      </c>
      <c r="AR97" s="60" t="str">
        <f t="shared" si="45"/>
        <v>🚁</v>
      </c>
      <c r="AS97" s="8">
        <f t="shared" si="58"/>
        <v>1776.0117063102534</v>
      </c>
      <c r="AT97" s="11">
        <f t="shared" si="59"/>
        <v>26621.894507811525</v>
      </c>
      <c r="AU97" s="15">
        <v>0</v>
      </c>
      <c r="AV97" s="32">
        <f t="shared" si="60"/>
        <v>17.053474249557819</v>
      </c>
      <c r="AW97" s="33"/>
      <c r="AX97" s="75">
        <f t="shared" si="61"/>
        <v>47.645511197871897</v>
      </c>
    </row>
    <row r="98" spans="1:50" x14ac:dyDescent="0.25">
      <c r="A98" s="5">
        <f t="shared" si="62"/>
        <v>25</v>
      </c>
      <c r="B98" s="5">
        <f t="shared" si="46"/>
        <v>75</v>
      </c>
      <c r="C98" s="77">
        <f t="shared" si="64"/>
        <v>48580</v>
      </c>
      <c r="D98" s="122">
        <f t="shared" si="33"/>
        <v>5.5094672471340901E-2</v>
      </c>
      <c r="E98" s="123">
        <f t="shared" si="47"/>
        <v>84</v>
      </c>
      <c r="F98" s="124">
        <f t="shared" si="48"/>
        <v>212.28672528875097</v>
      </c>
      <c r="G98" s="125">
        <f t="shared" si="49"/>
        <v>1466.7245584744651</v>
      </c>
      <c r="H98" s="126" t="str">
        <f t="shared" si="34"/>
        <v>🏎</v>
      </c>
      <c r="I98" s="127" t="str">
        <f t="shared" si="35"/>
        <v>🚁</v>
      </c>
      <c r="J98" s="128">
        <f t="shared" si="36"/>
        <v>1421.4673378111854</v>
      </c>
      <c r="K98" s="129">
        <f t="shared" si="37"/>
        <v>0.79902097911616221</v>
      </c>
      <c r="L98" s="1">
        <f t="shared" si="50"/>
        <v>1779.0112837632159</v>
      </c>
      <c r="M98" s="130">
        <f t="shared" si="38"/>
        <v>1970.8082948005601</v>
      </c>
      <c r="N98" s="131">
        <f t="shared" si="39"/>
        <v>25200.427170000341</v>
      </c>
      <c r="O98" s="15"/>
      <c r="P98" s="32">
        <f t="shared" si="51"/>
        <v>16.051581720247242</v>
      </c>
      <c r="Q98" s="33"/>
      <c r="R98" s="75">
        <f t="shared" si="52"/>
        <v>45.25722066327959</v>
      </c>
      <c r="V98" s="68">
        <f t="shared" si="40"/>
        <v>-1779.0112837632159</v>
      </c>
      <c r="AA98" s="4">
        <f t="shared" si="41"/>
        <v>1</v>
      </c>
      <c r="AB98" s="4">
        <f t="shared" si="42"/>
        <v>3</v>
      </c>
      <c r="AC98" s="12">
        <f t="shared" si="43"/>
        <v>7</v>
      </c>
      <c r="AJ98" s="5">
        <f t="shared" si="63"/>
        <v>25</v>
      </c>
      <c r="AK98" s="5">
        <f t="shared" si="53"/>
        <v>75</v>
      </c>
      <c r="AL98" s="77">
        <f t="shared" si="65"/>
        <v>48580</v>
      </c>
      <c r="AM98" s="27">
        <f t="shared" si="54"/>
        <v>5.5094672471340901E-2</v>
      </c>
      <c r="AN98" s="76">
        <f t="shared" si="55"/>
        <v>84</v>
      </c>
      <c r="AO98" s="13">
        <f t="shared" si="56"/>
        <v>212.28672528875097</v>
      </c>
      <c r="AP98" s="62">
        <f t="shared" si="57"/>
        <v>1466.7245584744651</v>
      </c>
      <c r="AQ98" s="9" t="str">
        <f t="shared" si="44"/>
        <v>🏎</v>
      </c>
      <c r="AR98" s="60" t="str">
        <f t="shared" si="45"/>
        <v>🚁</v>
      </c>
      <c r="AS98" s="8">
        <f t="shared" si="58"/>
        <v>1779.0112837632159</v>
      </c>
      <c r="AT98" s="11">
        <f t="shared" si="59"/>
        <v>25200.427170000341</v>
      </c>
      <c r="AU98" s="15">
        <v>0</v>
      </c>
      <c r="AV98" s="32">
        <f t="shared" si="60"/>
        <v>16.051581720247242</v>
      </c>
      <c r="AW98" s="33"/>
      <c r="AX98" s="75">
        <f t="shared" si="61"/>
        <v>45.25722066327959</v>
      </c>
    </row>
    <row r="99" spans="1:50" x14ac:dyDescent="0.25">
      <c r="A99" s="5">
        <f t="shared" si="62"/>
        <v>25</v>
      </c>
      <c r="B99" s="5">
        <f t="shared" si="46"/>
        <v>75</v>
      </c>
      <c r="C99" s="77">
        <f t="shared" si="64"/>
        <v>48611</v>
      </c>
      <c r="D99" s="122">
        <f t="shared" si="33"/>
        <v>5.8771815649166316E-2</v>
      </c>
      <c r="E99" s="123">
        <f t="shared" si="47"/>
        <v>85</v>
      </c>
      <c r="F99" s="124">
        <f t="shared" si="48"/>
        <v>200.95174512194458</v>
      </c>
      <c r="G99" s="125">
        <f t="shared" si="49"/>
        <v>1481.074859915502</v>
      </c>
      <c r="H99" s="126" t="str">
        <f t="shared" si="34"/>
        <v>🏎</v>
      </c>
      <c r="I99" s="127" t="str">
        <f t="shared" si="35"/>
        <v>🚁</v>
      </c>
      <c r="J99" s="128">
        <f t="shared" si="36"/>
        <v>1438.2341337265013</v>
      </c>
      <c r="K99" s="129">
        <f t="shared" si="37"/>
        <v>0.80707781222844255</v>
      </c>
      <c r="L99" s="1">
        <f t="shared" si="50"/>
        <v>1782.0266050374466</v>
      </c>
      <c r="M99" s="130">
        <f t="shared" si="38"/>
        <v>1975.4319587876614</v>
      </c>
      <c r="N99" s="131">
        <f t="shared" si="39"/>
        <v>23762.193036273839</v>
      </c>
      <c r="O99" s="15"/>
      <c r="P99" s="32">
        <f t="shared" si="51"/>
        <v>15.049701372602307</v>
      </c>
      <c r="Q99" s="33"/>
      <c r="R99" s="75">
        <f t="shared" si="52"/>
        <v>42.840726189000577</v>
      </c>
      <c r="V99" s="68">
        <f t="shared" si="40"/>
        <v>-1782.0266050374466</v>
      </c>
      <c r="AA99" s="4">
        <f t="shared" si="41"/>
        <v>1</v>
      </c>
      <c r="AB99" s="4">
        <f t="shared" si="42"/>
        <v>3</v>
      </c>
      <c r="AC99" s="12">
        <f t="shared" si="43"/>
        <v>8</v>
      </c>
      <c r="AJ99" s="5">
        <f t="shared" si="63"/>
        <v>25</v>
      </c>
      <c r="AK99" s="5">
        <f t="shared" si="53"/>
        <v>75</v>
      </c>
      <c r="AL99" s="77">
        <f t="shared" si="65"/>
        <v>48611</v>
      </c>
      <c r="AM99" s="27">
        <f t="shared" si="54"/>
        <v>5.8771815649166316E-2</v>
      </c>
      <c r="AN99" s="76">
        <f t="shared" si="55"/>
        <v>85</v>
      </c>
      <c r="AO99" s="13">
        <f t="shared" si="56"/>
        <v>200.95174512194458</v>
      </c>
      <c r="AP99" s="62">
        <f t="shared" si="57"/>
        <v>1481.074859915502</v>
      </c>
      <c r="AQ99" s="9" t="str">
        <f t="shared" si="44"/>
        <v>🏎</v>
      </c>
      <c r="AR99" s="60" t="str">
        <f t="shared" si="45"/>
        <v>🚁</v>
      </c>
      <c r="AS99" s="8">
        <f t="shared" si="58"/>
        <v>1782.0266050374466</v>
      </c>
      <c r="AT99" s="11">
        <f t="shared" si="59"/>
        <v>23762.193036273839</v>
      </c>
      <c r="AU99" s="15">
        <v>0</v>
      </c>
      <c r="AV99" s="32">
        <f t="shared" si="60"/>
        <v>15.049701372602307</v>
      </c>
      <c r="AW99" s="33"/>
      <c r="AX99" s="75">
        <f t="shared" si="61"/>
        <v>42.840726189000577</v>
      </c>
    </row>
    <row r="100" spans="1:50" x14ac:dyDescent="0.25">
      <c r="A100" s="5">
        <f t="shared" si="62"/>
        <v>25</v>
      </c>
      <c r="B100" s="5">
        <f t="shared" si="46"/>
        <v>75</v>
      </c>
      <c r="C100" s="77">
        <f t="shared" si="64"/>
        <v>48639</v>
      </c>
      <c r="D100" s="122">
        <f t="shared" si="33"/>
        <v>6.2939310990053843E-2</v>
      </c>
      <c r="E100" s="123">
        <f t="shared" si="47"/>
        <v>86</v>
      </c>
      <c r="F100" s="124">
        <f t="shared" si="48"/>
        <v>189.4830641699667</v>
      </c>
      <c r="G100" s="125">
        <f t="shared" si="49"/>
        <v>1495.5760573157308</v>
      </c>
      <c r="H100" s="126" t="str">
        <f t="shared" si="34"/>
        <v>🏎</v>
      </c>
      <c r="I100" s="127" t="str">
        <f t="shared" si="35"/>
        <v>🚁</v>
      </c>
      <c r="J100" s="128">
        <f t="shared" si="36"/>
        <v>1455.1803291540652</v>
      </c>
      <c r="K100" s="129">
        <f t="shared" si="37"/>
        <v>0.81520007468599953</v>
      </c>
      <c r="L100" s="1">
        <f t="shared" si="50"/>
        <v>1785.0591214856975</v>
      </c>
      <c r="M100" s="130">
        <f t="shared" si="38"/>
        <v>1981.003233028074</v>
      </c>
      <c r="N100" s="131">
        <f t="shared" si="39"/>
        <v>22307.012707119771</v>
      </c>
      <c r="O100" s="15"/>
      <c r="P100" s="32">
        <f t="shared" si="51"/>
        <v>14.047833111156432</v>
      </c>
      <c r="Q100" s="33"/>
      <c r="R100" s="75">
        <f t="shared" si="52"/>
        <v>40.395728161665524</v>
      </c>
      <c r="V100" s="68">
        <f t="shared" si="40"/>
        <v>-1785.0591214856975</v>
      </c>
      <c r="AA100" s="4">
        <f t="shared" si="41"/>
        <v>1</v>
      </c>
      <c r="AB100" s="4">
        <f t="shared" si="42"/>
        <v>3</v>
      </c>
      <c r="AC100" s="12">
        <f t="shared" si="43"/>
        <v>8</v>
      </c>
      <c r="AJ100" s="5">
        <f t="shared" si="63"/>
        <v>25</v>
      </c>
      <c r="AK100" s="5">
        <f t="shared" si="53"/>
        <v>75</v>
      </c>
      <c r="AL100" s="77">
        <f t="shared" si="65"/>
        <v>48639</v>
      </c>
      <c r="AM100" s="27">
        <f t="shared" si="54"/>
        <v>6.2939310990053843E-2</v>
      </c>
      <c r="AN100" s="76">
        <f t="shared" si="55"/>
        <v>86</v>
      </c>
      <c r="AO100" s="13">
        <f t="shared" si="56"/>
        <v>189.4830641699667</v>
      </c>
      <c r="AP100" s="62">
        <f t="shared" si="57"/>
        <v>1495.5760573157308</v>
      </c>
      <c r="AQ100" s="9" t="str">
        <f t="shared" si="44"/>
        <v>🏎</v>
      </c>
      <c r="AR100" s="60" t="str">
        <f t="shared" si="45"/>
        <v>🚁</v>
      </c>
      <c r="AS100" s="8">
        <f t="shared" si="58"/>
        <v>1785.0591214856975</v>
      </c>
      <c r="AT100" s="11">
        <f t="shared" si="59"/>
        <v>22307.012707119771</v>
      </c>
      <c r="AU100" s="15">
        <v>0</v>
      </c>
      <c r="AV100" s="32">
        <f t="shared" si="60"/>
        <v>14.047833111156432</v>
      </c>
      <c r="AW100" s="33"/>
      <c r="AX100" s="75">
        <f t="shared" si="61"/>
        <v>40.395728161665524</v>
      </c>
    </row>
    <row r="101" spans="1:50" x14ac:dyDescent="0.25">
      <c r="A101" s="5">
        <f t="shared" si="62"/>
        <v>25</v>
      </c>
      <c r="B101" s="5">
        <f t="shared" si="46"/>
        <v>75</v>
      </c>
      <c r="C101" s="77">
        <f t="shared" si="64"/>
        <v>48670</v>
      </c>
      <c r="D101" s="122">
        <f t="shared" si="33"/>
        <v>6.7702088123276064E-2</v>
      </c>
      <c r="E101" s="123">
        <f t="shared" si="47"/>
        <v>87</v>
      </c>
      <c r="F101" s="124">
        <f t="shared" si="48"/>
        <v>177.87925187591378</v>
      </c>
      <c r="G101" s="125">
        <f t="shared" si="49"/>
        <v>1510.2313400644618</v>
      </c>
      <c r="H101" s="126" t="str">
        <f t="shared" si="34"/>
        <v>🏎</v>
      </c>
      <c r="I101" s="127" t="str">
        <f t="shared" si="35"/>
        <v>🚁</v>
      </c>
      <c r="J101" s="128">
        <f t="shared" si="36"/>
        <v>1472.3094184623583</v>
      </c>
      <c r="K101" s="129">
        <f t="shared" si="37"/>
        <v>0.82338834359494262</v>
      </c>
      <c r="L101" s="1">
        <f t="shared" si="50"/>
        <v>1788.1105919403756</v>
      </c>
      <c r="M101" s="130">
        <f t="shared" si="38"/>
        <v>1987.7560191147531</v>
      </c>
      <c r="N101" s="131">
        <f t="shared" si="39"/>
        <v>20834.703288657412</v>
      </c>
      <c r="O101" s="15"/>
      <c r="P101" s="32">
        <f t="shared" si="51"/>
        <v>13.045976841443263</v>
      </c>
      <c r="Q101" s="33"/>
      <c r="R101" s="75">
        <f t="shared" si="52"/>
        <v>37.921921602103609</v>
      </c>
      <c r="V101" s="68">
        <f t="shared" si="40"/>
        <v>-1788.1105919403756</v>
      </c>
      <c r="AA101" s="4">
        <f t="shared" si="41"/>
        <v>1</v>
      </c>
      <c r="AB101" s="4">
        <f t="shared" si="42"/>
        <v>3</v>
      </c>
      <c r="AC101" s="12">
        <f t="shared" si="43"/>
        <v>8</v>
      </c>
      <c r="AJ101" s="5">
        <f t="shared" si="63"/>
        <v>25</v>
      </c>
      <c r="AK101" s="5">
        <f t="shared" si="53"/>
        <v>75</v>
      </c>
      <c r="AL101" s="77">
        <f t="shared" si="65"/>
        <v>48670</v>
      </c>
      <c r="AM101" s="27">
        <f t="shared" si="54"/>
        <v>6.7702088123276064E-2</v>
      </c>
      <c r="AN101" s="76">
        <f t="shared" si="55"/>
        <v>87</v>
      </c>
      <c r="AO101" s="13">
        <f t="shared" si="56"/>
        <v>177.87925187591378</v>
      </c>
      <c r="AP101" s="62">
        <f t="shared" si="57"/>
        <v>1510.2313400644618</v>
      </c>
      <c r="AQ101" s="9" t="str">
        <f t="shared" si="44"/>
        <v>🏎</v>
      </c>
      <c r="AR101" s="60" t="str">
        <f t="shared" si="45"/>
        <v>🚁</v>
      </c>
      <c r="AS101" s="8">
        <f t="shared" si="58"/>
        <v>1788.1105919403756</v>
      </c>
      <c r="AT101" s="11">
        <f t="shared" si="59"/>
        <v>20834.703288657412</v>
      </c>
      <c r="AU101" s="15">
        <v>0</v>
      </c>
      <c r="AV101" s="32">
        <f t="shared" si="60"/>
        <v>13.045976841443263</v>
      </c>
      <c r="AW101" s="33"/>
      <c r="AX101" s="75">
        <f t="shared" si="61"/>
        <v>37.921921602103609</v>
      </c>
    </row>
    <row r="102" spans="1:50" x14ac:dyDescent="0.25">
      <c r="A102" s="5">
        <f t="shared" si="62"/>
        <v>25</v>
      </c>
      <c r="B102" s="5">
        <f t="shared" si="46"/>
        <v>75</v>
      </c>
      <c r="C102" s="77">
        <f t="shared" si="64"/>
        <v>48700</v>
      </c>
      <c r="D102" s="122">
        <f t="shared" si="33"/>
        <v>7.319731440508867E-2</v>
      </c>
      <c r="E102" s="123">
        <f t="shared" si="47"/>
        <v>88</v>
      </c>
      <c r="F102" s="124">
        <f t="shared" si="48"/>
        <v>166.13884981829727</v>
      </c>
      <c r="G102" s="125">
        <f t="shared" si="49"/>
        <v>1525.0443271565914</v>
      </c>
      <c r="H102" s="126" t="str">
        <f t="shared" si="34"/>
        <v>🏎</v>
      </c>
      <c r="I102" s="127" t="str">
        <f t="shared" si="35"/>
        <v>🚁</v>
      </c>
      <c r="J102" s="128">
        <f t="shared" si="36"/>
        <v>1489.6253315658737</v>
      </c>
      <c r="K102" s="129">
        <f t="shared" si="37"/>
        <v>0.83164321255053708</v>
      </c>
      <c r="L102" s="1">
        <f t="shared" si="50"/>
        <v>1791.1831769748887</v>
      </c>
      <c r="M102" s="130">
        <f t="shared" si="38"/>
        <v>1996.0021953482164</v>
      </c>
      <c r="N102" s="131">
        <f t="shared" si="39"/>
        <v>19345.077957091537</v>
      </c>
      <c r="O102" s="15"/>
      <c r="P102" s="32">
        <f t="shared" si="51"/>
        <v>12.04413247005647</v>
      </c>
      <c r="Q102" s="33"/>
      <c r="R102" s="75">
        <f t="shared" si="52"/>
        <v>35.4189955907176</v>
      </c>
      <c r="V102" s="68">
        <f t="shared" si="40"/>
        <v>-1791.1831769748887</v>
      </c>
      <c r="AA102" s="4">
        <f t="shared" si="41"/>
        <v>1</v>
      </c>
      <c r="AB102" s="4">
        <f t="shared" si="42"/>
        <v>3</v>
      </c>
      <c r="AC102" s="12">
        <f t="shared" si="43"/>
        <v>8</v>
      </c>
      <c r="AJ102" s="5">
        <f t="shared" si="63"/>
        <v>25</v>
      </c>
      <c r="AK102" s="5">
        <f t="shared" si="53"/>
        <v>75</v>
      </c>
      <c r="AL102" s="77">
        <f t="shared" si="65"/>
        <v>48700</v>
      </c>
      <c r="AM102" s="27">
        <f t="shared" si="54"/>
        <v>7.319731440508867E-2</v>
      </c>
      <c r="AN102" s="76">
        <f t="shared" si="55"/>
        <v>88</v>
      </c>
      <c r="AO102" s="13">
        <f t="shared" si="56"/>
        <v>166.13884981829727</v>
      </c>
      <c r="AP102" s="62">
        <f t="shared" si="57"/>
        <v>1525.0443271565914</v>
      </c>
      <c r="AQ102" s="9" t="str">
        <f t="shared" si="44"/>
        <v>🏎</v>
      </c>
      <c r="AR102" s="60" t="str">
        <f t="shared" si="45"/>
        <v>🚁</v>
      </c>
      <c r="AS102" s="8">
        <f t="shared" si="58"/>
        <v>1791.1831769748887</v>
      </c>
      <c r="AT102" s="11">
        <f t="shared" si="59"/>
        <v>19345.077957091537</v>
      </c>
      <c r="AU102" s="15">
        <v>0</v>
      </c>
      <c r="AV102" s="32">
        <f t="shared" si="60"/>
        <v>12.04413247005647</v>
      </c>
      <c r="AW102" s="33"/>
      <c r="AX102" s="75">
        <f t="shared" si="61"/>
        <v>35.4189955907176</v>
      </c>
    </row>
    <row r="103" spans="1:50" x14ac:dyDescent="0.25">
      <c r="A103" s="5">
        <f t="shared" si="62"/>
        <v>25</v>
      </c>
      <c r="B103" s="5">
        <f t="shared" si="46"/>
        <v>75</v>
      </c>
      <c r="C103" s="77">
        <f t="shared" si="64"/>
        <v>48731</v>
      </c>
      <c r="D103" s="122">
        <f t="shared" si="33"/>
        <v>7.9607805536153792E-2</v>
      </c>
      <c r="E103" s="123">
        <f t="shared" si="47"/>
        <v>89</v>
      </c>
      <c r="F103" s="124">
        <f t="shared" si="48"/>
        <v>154.26036823793865</v>
      </c>
      <c r="G103" s="125">
        <f t="shared" si="49"/>
        <v>1540.0192040898783</v>
      </c>
      <c r="H103" s="126" t="str">
        <f t="shared" si="34"/>
        <v>🏎</v>
      </c>
      <c r="I103" s="127" t="str">
        <f t="shared" si="35"/>
        <v>🚁</v>
      </c>
      <c r="J103" s="128">
        <f t="shared" si="36"/>
        <v>1507.1325715628227</v>
      </c>
      <c r="K103" s="129">
        <f t="shared" si="37"/>
        <v>0.83996529571338618</v>
      </c>
      <c r="L103" s="1">
        <f t="shared" si="50"/>
        <v>1794.2795723278168</v>
      </c>
      <c r="M103" s="130">
        <f t="shared" si="38"/>
        <v>2006.1669569003907</v>
      </c>
      <c r="N103" s="131">
        <f t="shared" si="39"/>
        <v>17837.945385528714</v>
      </c>
      <c r="O103" s="15"/>
      <c r="P103" s="32">
        <f t="shared" si="51"/>
        <v>11.042299904734728</v>
      </c>
      <c r="Q103" s="33"/>
      <c r="R103" s="75">
        <f t="shared" si="52"/>
        <v>32.88663252705561</v>
      </c>
      <c r="V103" s="68">
        <f t="shared" si="40"/>
        <v>-1794.2795723278168</v>
      </c>
      <c r="AA103" s="4">
        <f t="shared" si="41"/>
        <v>1</v>
      </c>
      <c r="AB103" s="4">
        <f t="shared" si="42"/>
        <v>3</v>
      </c>
      <c r="AC103" s="12">
        <f t="shared" si="43"/>
        <v>8</v>
      </c>
      <c r="AJ103" s="5">
        <f t="shared" si="63"/>
        <v>25</v>
      </c>
      <c r="AK103" s="5">
        <f t="shared" si="53"/>
        <v>75</v>
      </c>
      <c r="AL103" s="77">
        <f t="shared" si="65"/>
        <v>48731</v>
      </c>
      <c r="AM103" s="27">
        <f t="shared" si="54"/>
        <v>7.9607805536153792E-2</v>
      </c>
      <c r="AN103" s="76">
        <f t="shared" si="55"/>
        <v>89</v>
      </c>
      <c r="AO103" s="13">
        <f t="shared" si="56"/>
        <v>154.26036823793865</v>
      </c>
      <c r="AP103" s="62">
        <f t="shared" si="57"/>
        <v>1540.0192040898783</v>
      </c>
      <c r="AQ103" s="9" t="str">
        <f t="shared" si="44"/>
        <v>🏎</v>
      </c>
      <c r="AR103" s="60" t="str">
        <f t="shared" si="45"/>
        <v>🚁</v>
      </c>
      <c r="AS103" s="8">
        <f t="shared" si="58"/>
        <v>1794.2795723278168</v>
      </c>
      <c r="AT103" s="11">
        <f t="shared" si="59"/>
        <v>17837.945385528714</v>
      </c>
      <c r="AU103" s="15">
        <v>0</v>
      </c>
      <c r="AV103" s="32">
        <f t="shared" si="60"/>
        <v>11.042299904734728</v>
      </c>
      <c r="AW103" s="33"/>
      <c r="AX103" s="75">
        <f t="shared" si="61"/>
        <v>32.88663252705561</v>
      </c>
    </row>
    <row r="104" spans="1:50" x14ac:dyDescent="0.25">
      <c r="A104" s="5">
        <f t="shared" si="62"/>
        <v>25</v>
      </c>
      <c r="B104" s="5">
        <f t="shared" si="46"/>
        <v>75</v>
      </c>
      <c r="C104" s="77">
        <f t="shared" si="64"/>
        <v>48761</v>
      </c>
      <c r="D104" s="122">
        <f t="shared" si="33"/>
        <v>8.7182738130265211E-2</v>
      </c>
      <c r="E104" s="123">
        <f t="shared" si="47"/>
        <v>90</v>
      </c>
      <c r="F104" s="124">
        <f t="shared" si="48"/>
        <v>142.24228146732187</v>
      </c>
      <c r="G104" s="125">
        <f t="shared" si="49"/>
        <v>1555.1609213285226</v>
      </c>
      <c r="H104" s="126" t="str">
        <f t="shared" si="34"/>
        <v>🏎</v>
      </c>
      <c r="I104" s="127" t="str">
        <f t="shared" si="35"/>
        <v>🚁</v>
      </c>
      <c r="J104" s="128">
        <f t="shared" si="36"/>
        <v>1524.8364141731238</v>
      </c>
      <c r="K104" s="129">
        <f t="shared" si="37"/>
        <v>0.84835523370674681</v>
      </c>
      <c r="L104" s="1">
        <f t="shared" si="50"/>
        <v>1797.4032027958444</v>
      </c>
      <c r="M104" s="130">
        <f t="shared" si="38"/>
        <v>2018.845298985791</v>
      </c>
      <c r="N104" s="131">
        <f t="shared" si="39"/>
        <v>16313.10897135559</v>
      </c>
      <c r="O104" s="15"/>
      <c r="P104" s="32">
        <f t="shared" si="51"/>
        <v>10.040479054484818</v>
      </c>
      <c r="Q104" s="33"/>
      <c r="R104" s="75">
        <f t="shared" si="52"/>
        <v>30.324507155398813</v>
      </c>
      <c r="V104" s="68">
        <f t="shared" si="40"/>
        <v>-1797.4032027958444</v>
      </c>
      <c r="AA104" s="4">
        <f t="shared" si="41"/>
        <v>1</v>
      </c>
      <c r="AB104" s="4">
        <f t="shared" si="42"/>
        <v>3</v>
      </c>
      <c r="AC104" s="12">
        <f t="shared" si="43"/>
        <v>8</v>
      </c>
      <c r="AJ104" s="5">
        <f t="shared" si="63"/>
        <v>25</v>
      </c>
      <c r="AK104" s="5">
        <f t="shared" si="53"/>
        <v>75</v>
      </c>
      <c r="AL104" s="77">
        <f t="shared" si="65"/>
        <v>48761</v>
      </c>
      <c r="AM104" s="27">
        <f t="shared" si="54"/>
        <v>8.7182738130265211E-2</v>
      </c>
      <c r="AN104" s="76">
        <f t="shared" si="55"/>
        <v>90</v>
      </c>
      <c r="AO104" s="13">
        <f t="shared" si="56"/>
        <v>142.24228146732187</v>
      </c>
      <c r="AP104" s="62">
        <f t="shared" si="57"/>
        <v>1555.1609213285226</v>
      </c>
      <c r="AQ104" s="9" t="str">
        <f t="shared" si="44"/>
        <v>🏎</v>
      </c>
      <c r="AR104" s="60" t="str">
        <f t="shared" si="45"/>
        <v>🚁</v>
      </c>
      <c r="AS104" s="8">
        <f t="shared" si="58"/>
        <v>1797.4032027958444</v>
      </c>
      <c r="AT104" s="11">
        <f t="shared" si="59"/>
        <v>16313.10897135559</v>
      </c>
      <c r="AU104" s="15">
        <v>0</v>
      </c>
      <c r="AV104" s="32">
        <f t="shared" si="60"/>
        <v>10.040479054484818</v>
      </c>
      <c r="AW104" s="33"/>
      <c r="AX104" s="75">
        <f t="shared" si="61"/>
        <v>30.324507155398813</v>
      </c>
    </row>
    <row r="105" spans="1:50" x14ac:dyDescent="0.25">
      <c r="A105" s="5">
        <f t="shared" si="62"/>
        <v>25</v>
      </c>
      <c r="B105" s="5">
        <f t="shared" si="46"/>
        <v>75</v>
      </c>
      <c r="C105" s="77">
        <f t="shared" si="64"/>
        <v>48792</v>
      </c>
      <c r="D105" s="122">
        <f t="shared" si="33"/>
        <v>9.6270765662480232E-2</v>
      </c>
      <c r="E105" s="123">
        <f t="shared" si="47"/>
        <v>91</v>
      </c>
      <c r="F105" s="124">
        <f t="shared" si="48"/>
        <v>130.0830217695993</v>
      </c>
      <c r="G105" s="125">
        <f t="shared" si="49"/>
        <v>1570.475491007878</v>
      </c>
      <c r="H105" s="126" t="str">
        <f t="shared" si="34"/>
        <v>🏎</v>
      </c>
      <c r="I105" s="127" t="str">
        <f t="shared" si="35"/>
        <v>🚁</v>
      </c>
      <c r="J105" s="128">
        <f t="shared" si="36"/>
        <v>1542.7432057565734</v>
      </c>
      <c r="K105" s="129">
        <f t="shared" si="37"/>
        <v>0.85681370241991905</v>
      </c>
      <c r="L105" s="1">
        <f t="shared" si="50"/>
        <v>1800.5585127774773</v>
      </c>
      <c r="M105" s="130">
        <f t="shared" si="38"/>
        <v>2034.89603945927</v>
      </c>
      <c r="N105" s="131">
        <f t="shared" si="39"/>
        <v>14770.365765599017</v>
      </c>
      <c r="O105" s="15"/>
      <c r="P105" s="32">
        <f t="shared" si="51"/>
        <v>9.0386698297632488</v>
      </c>
      <c r="Q105" s="33"/>
      <c r="R105" s="75">
        <f t="shared" si="52"/>
        <v>27.732285251304504</v>
      </c>
      <c r="V105" s="68">
        <f t="shared" si="40"/>
        <v>-1800.5585127774773</v>
      </c>
      <c r="AA105" s="4">
        <f t="shared" si="41"/>
        <v>1</v>
      </c>
      <c r="AB105" s="4">
        <f t="shared" si="42"/>
        <v>3</v>
      </c>
      <c r="AC105" s="12">
        <f t="shared" si="43"/>
        <v>8</v>
      </c>
      <c r="AJ105" s="5">
        <f t="shared" si="63"/>
        <v>25</v>
      </c>
      <c r="AK105" s="5">
        <f t="shared" si="53"/>
        <v>75</v>
      </c>
      <c r="AL105" s="77">
        <f t="shared" si="65"/>
        <v>48792</v>
      </c>
      <c r="AM105" s="27">
        <f t="shared" si="54"/>
        <v>9.6270765662480232E-2</v>
      </c>
      <c r="AN105" s="76">
        <f t="shared" si="55"/>
        <v>91</v>
      </c>
      <c r="AO105" s="13">
        <f t="shared" si="56"/>
        <v>130.0830217695993</v>
      </c>
      <c r="AP105" s="62">
        <f t="shared" si="57"/>
        <v>1570.475491007878</v>
      </c>
      <c r="AQ105" s="9" t="str">
        <f t="shared" si="44"/>
        <v>🏎</v>
      </c>
      <c r="AR105" s="60" t="str">
        <f t="shared" si="45"/>
        <v>🚁</v>
      </c>
      <c r="AS105" s="8">
        <f t="shared" si="58"/>
        <v>1800.5585127774773</v>
      </c>
      <c r="AT105" s="11">
        <f t="shared" si="59"/>
        <v>14770.365765599017</v>
      </c>
      <c r="AU105" s="15">
        <v>0</v>
      </c>
      <c r="AV105" s="32">
        <f t="shared" si="60"/>
        <v>9.0386698297632488</v>
      </c>
      <c r="AW105" s="33"/>
      <c r="AX105" s="75">
        <f t="shared" si="61"/>
        <v>27.732285251304504</v>
      </c>
    </row>
    <row r="106" spans="1:50" x14ac:dyDescent="0.25">
      <c r="A106" s="5">
        <f t="shared" si="62"/>
        <v>25</v>
      </c>
      <c r="B106" s="5">
        <f t="shared" si="46"/>
        <v>75</v>
      </c>
      <c r="C106" s="77">
        <f t="shared" si="64"/>
        <v>48823</v>
      </c>
      <c r="D106" s="122">
        <f t="shared" si="33"/>
        <v>0.10737516403326715</v>
      </c>
      <c r="E106" s="123">
        <f t="shared" si="47"/>
        <v>92</v>
      </c>
      <c r="F106" s="124">
        <f t="shared" si="48"/>
        <v>117.78097080115923</v>
      </c>
      <c r="G106" s="125">
        <f t="shared" si="49"/>
        <v>1585.9704469125479</v>
      </c>
      <c r="H106" s="126" t="str">
        <f t="shared" si="34"/>
        <v>🏎</v>
      </c>
      <c r="I106" s="127" t="str">
        <f t="shared" si="35"/>
        <v>🚁</v>
      </c>
      <c r="J106" s="128">
        <f t="shared" si="36"/>
        <v>1560.8608251110295</v>
      </c>
      <c r="K106" s="129">
        <f t="shared" si="37"/>
        <v>0.86534142664151226</v>
      </c>
      <c r="L106" s="1">
        <f t="shared" si="50"/>
        <v>1803.751417713707</v>
      </c>
      <c r="M106" s="130">
        <f t="shared" si="38"/>
        <v>2055.6061225824201</v>
      </c>
      <c r="N106" s="131">
        <f t="shared" si="39"/>
        <v>13209.504940487988</v>
      </c>
      <c r="O106" s="15"/>
      <c r="P106" s="32">
        <f t="shared" si="51"/>
        <v>8.0368721427515837</v>
      </c>
      <c r="Q106" s="33"/>
      <c r="R106" s="75">
        <f t="shared" si="52"/>
        <v>25.10962180151833</v>
      </c>
      <c r="V106" s="68">
        <f t="shared" si="40"/>
        <v>-1803.751417713707</v>
      </c>
      <c r="AA106" s="4">
        <f t="shared" si="41"/>
        <v>1</v>
      </c>
      <c r="AB106" s="4">
        <f t="shared" si="42"/>
        <v>3</v>
      </c>
      <c r="AC106" s="12">
        <f t="shared" si="43"/>
        <v>8</v>
      </c>
      <c r="AJ106" s="5">
        <f t="shared" si="63"/>
        <v>25</v>
      </c>
      <c r="AK106" s="5">
        <f t="shared" si="53"/>
        <v>75</v>
      </c>
      <c r="AL106" s="77">
        <f t="shared" si="65"/>
        <v>48823</v>
      </c>
      <c r="AM106" s="27">
        <f t="shared" si="54"/>
        <v>0.10737516403326715</v>
      </c>
      <c r="AN106" s="76">
        <f t="shared" si="55"/>
        <v>92</v>
      </c>
      <c r="AO106" s="13">
        <f t="shared" si="56"/>
        <v>117.78097080115923</v>
      </c>
      <c r="AP106" s="62">
        <f t="shared" si="57"/>
        <v>1585.9704469125479</v>
      </c>
      <c r="AQ106" s="9" t="str">
        <f t="shared" si="44"/>
        <v>🏎</v>
      </c>
      <c r="AR106" s="60" t="str">
        <f t="shared" si="45"/>
        <v>🚁</v>
      </c>
      <c r="AS106" s="8">
        <f t="shared" si="58"/>
        <v>1803.751417713707</v>
      </c>
      <c r="AT106" s="11">
        <f t="shared" si="59"/>
        <v>13209.504940487988</v>
      </c>
      <c r="AU106" s="15">
        <v>0</v>
      </c>
      <c r="AV106" s="32">
        <f t="shared" si="60"/>
        <v>8.0368721427515837</v>
      </c>
      <c r="AW106" s="33"/>
      <c r="AX106" s="75">
        <f t="shared" si="61"/>
        <v>25.10962180151833</v>
      </c>
    </row>
    <row r="107" spans="1:50" x14ac:dyDescent="0.25">
      <c r="A107" s="5">
        <f t="shared" si="62"/>
        <v>25</v>
      </c>
      <c r="B107" s="5">
        <f t="shared" si="46"/>
        <v>75</v>
      </c>
      <c r="C107" s="77">
        <f t="shared" si="64"/>
        <v>48853</v>
      </c>
      <c r="D107" s="122">
        <f t="shared" si="33"/>
        <v>0.12125023583718517</v>
      </c>
      <c r="E107" s="123">
        <f t="shared" si="47"/>
        <v>93</v>
      </c>
      <c r="F107" s="124">
        <f t="shared" si="48"/>
        <v>105.33444739174928</v>
      </c>
      <c r="G107" s="125">
        <f t="shared" si="49"/>
        <v>1601.6555893266311</v>
      </c>
      <c r="H107" s="126" t="str">
        <f t="shared" si="34"/>
        <v>🏎</v>
      </c>
      <c r="I107" s="127" t="str">
        <f t="shared" si="35"/>
        <v>🚁</v>
      </c>
      <c r="J107" s="128">
        <f t="shared" si="36"/>
        <v>1579.1994309278016</v>
      </c>
      <c r="K107" s="129">
        <f t="shared" si="37"/>
        <v>0.87393920211964071</v>
      </c>
      <c r="L107" s="1">
        <f t="shared" si="50"/>
        <v>1806.9900367183805</v>
      </c>
      <c r="M107" s="130">
        <f t="shared" si="38"/>
        <v>2082.9952341442367</v>
      </c>
      <c r="N107" s="131">
        <f t="shared" si="39"/>
        <v>11630.305509560187</v>
      </c>
      <c r="O107" s="15"/>
      <c r="P107" s="32">
        <f t="shared" si="51"/>
        <v>7.0350859077876997</v>
      </c>
      <c r="Q107" s="33"/>
      <c r="R107" s="75">
        <f t="shared" si="52"/>
        <v>22.456158398829579</v>
      </c>
      <c r="V107" s="68">
        <f t="shared" si="40"/>
        <v>-1806.9900367183805</v>
      </c>
      <c r="AA107" s="4">
        <f t="shared" si="41"/>
        <v>1</v>
      </c>
      <c r="AB107" s="4">
        <f t="shared" si="42"/>
        <v>3</v>
      </c>
      <c r="AC107" s="12">
        <f t="shared" si="43"/>
        <v>8</v>
      </c>
      <c r="AJ107" s="5">
        <f t="shared" si="63"/>
        <v>25</v>
      </c>
      <c r="AK107" s="5">
        <f t="shared" si="53"/>
        <v>75</v>
      </c>
      <c r="AL107" s="77">
        <f t="shared" si="65"/>
        <v>48853</v>
      </c>
      <c r="AM107" s="27">
        <f t="shared" si="54"/>
        <v>0.12125023583718517</v>
      </c>
      <c r="AN107" s="76">
        <f t="shared" si="55"/>
        <v>93</v>
      </c>
      <c r="AO107" s="13">
        <f t="shared" si="56"/>
        <v>105.33444739174928</v>
      </c>
      <c r="AP107" s="62">
        <f t="shared" si="57"/>
        <v>1601.6555893266311</v>
      </c>
      <c r="AQ107" s="9" t="str">
        <f t="shared" si="44"/>
        <v>🏎</v>
      </c>
      <c r="AR107" s="60" t="str">
        <f t="shared" si="45"/>
        <v>🚁</v>
      </c>
      <c r="AS107" s="8">
        <f t="shared" si="58"/>
        <v>1806.9900367183805</v>
      </c>
      <c r="AT107" s="11">
        <f t="shared" si="59"/>
        <v>11630.305509560187</v>
      </c>
      <c r="AU107" s="15">
        <v>0</v>
      </c>
      <c r="AV107" s="32">
        <f t="shared" si="60"/>
        <v>7.0350859077876997</v>
      </c>
      <c r="AW107" s="33"/>
      <c r="AX107" s="75">
        <f t="shared" si="61"/>
        <v>22.456158398829579</v>
      </c>
    </row>
    <row r="108" spans="1:50" x14ac:dyDescent="0.25">
      <c r="A108" s="5">
        <f t="shared" si="62"/>
        <v>25</v>
      </c>
      <c r="B108" s="5">
        <f t="shared" si="46"/>
        <v>75</v>
      </c>
      <c r="C108" s="77">
        <f t="shared" si="64"/>
        <v>48884</v>
      </c>
      <c r="D108" s="122">
        <f t="shared" si="33"/>
        <v>0.13908011753332011</v>
      </c>
      <c r="E108" s="123">
        <f t="shared" si="47"/>
        <v>94</v>
      </c>
      <c r="F108" s="124">
        <f t="shared" si="48"/>
        <v>92.741689364286074</v>
      </c>
      <c r="G108" s="125">
        <f t="shared" si="49"/>
        <v>1617.5442572180511</v>
      </c>
      <c r="H108" s="126" t="str">
        <f t="shared" si="34"/>
        <v>🏎</v>
      </c>
      <c r="I108" s="127" t="str">
        <f t="shared" si="35"/>
        <v>🚁</v>
      </c>
      <c r="J108" s="128">
        <f t="shared" si="36"/>
        <v>1597.7727378517989</v>
      </c>
      <c r="K108" s="129">
        <f t="shared" si="37"/>
        <v>0.88260793322085673</v>
      </c>
      <c r="L108" s="1">
        <f t="shared" si="50"/>
        <v>1810.2859465823371</v>
      </c>
      <c r="M108" s="130">
        <f t="shared" si="38"/>
        <v>2120.4237578775164</v>
      </c>
      <c r="N108" s="131">
        <f t="shared" si="39"/>
        <v>10032.532771708387</v>
      </c>
      <c r="O108" s="15"/>
      <c r="P108" s="32">
        <f t="shared" si="51"/>
        <v>6.0333110420694691</v>
      </c>
      <c r="Q108" s="33"/>
      <c r="R108" s="75">
        <f t="shared" si="52"/>
        <v>19.771519366252317</v>
      </c>
      <c r="V108" s="68">
        <f t="shared" si="40"/>
        <v>-1810.2859465823371</v>
      </c>
      <c r="AA108" s="4">
        <f t="shared" si="41"/>
        <v>1</v>
      </c>
      <c r="AB108" s="4">
        <f t="shared" si="42"/>
        <v>3</v>
      </c>
      <c r="AC108" s="12">
        <f t="shared" si="43"/>
        <v>8</v>
      </c>
      <c r="AJ108" s="5">
        <f t="shared" si="63"/>
        <v>25</v>
      </c>
      <c r="AK108" s="5">
        <f t="shared" si="53"/>
        <v>75</v>
      </c>
      <c r="AL108" s="77">
        <f t="shared" si="65"/>
        <v>48884</v>
      </c>
      <c r="AM108" s="27">
        <f t="shared" si="54"/>
        <v>0.13908011753332011</v>
      </c>
      <c r="AN108" s="76">
        <f t="shared" si="55"/>
        <v>94</v>
      </c>
      <c r="AO108" s="13">
        <f t="shared" si="56"/>
        <v>92.741689364286074</v>
      </c>
      <c r="AP108" s="62">
        <f t="shared" si="57"/>
        <v>1617.5442572180511</v>
      </c>
      <c r="AQ108" s="9" t="str">
        <f t="shared" si="44"/>
        <v>🏎</v>
      </c>
      <c r="AR108" s="60" t="str">
        <f t="shared" si="45"/>
        <v>🚁</v>
      </c>
      <c r="AS108" s="8">
        <f t="shared" si="58"/>
        <v>1810.2859465823371</v>
      </c>
      <c r="AT108" s="11">
        <f t="shared" si="59"/>
        <v>10032.532771708387</v>
      </c>
      <c r="AU108" s="15">
        <v>0</v>
      </c>
      <c r="AV108" s="32">
        <f t="shared" si="60"/>
        <v>6.0333110420694691</v>
      </c>
      <c r="AW108" s="33"/>
      <c r="AX108" s="75">
        <f t="shared" si="61"/>
        <v>19.771519366252317</v>
      </c>
    </row>
    <row r="109" spans="1:50" x14ac:dyDescent="0.25">
      <c r="A109" s="5">
        <f t="shared" si="62"/>
        <v>25</v>
      </c>
      <c r="B109" s="5">
        <f t="shared" si="46"/>
        <v>75</v>
      </c>
      <c r="C109" s="77">
        <f t="shared" si="64"/>
        <v>48914</v>
      </c>
      <c r="D109" s="122">
        <f t="shared" si="33"/>
        <v>0.16283581509083328</v>
      </c>
      <c r="E109" s="123">
        <f t="shared" si="47"/>
        <v>95</v>
      </c>
      <c r="F109" s="124">
        <f t="shared" si="48"/>
        <v>80.000825179181788</v>
      </c>
      <c r="G109" s="125">
        <f t="shared" si="49"/>
        <v>1633.6556513066321</v>
      </c>
      <c r="H109" s="126" t="str">
        <f t="shared" si="34"/>
        <v>🛩</v>
      </c>
      <c r="I109" s="127" t="str">
        <f t="shared" si="35"/>
        <v>🚁</v>
      </c>
      <c r="J109" s="128">
        <f t="shared" si="36"/>
        <v>1616.6003455947277</v>
      </c>
      <c r="K109" s="129">
        <f t="shared" si="37"/>
        <v>0.89134870167204605</v>
      </c>
      <c r="L109" s="1">
        <f t="shared" si="50"/>
        <v>1813.6564764858138</v>
      </c>
      <c r="M109" s="130">
        <f t="shared" si="38"/>
        <v>2173.9267173186236</v>
      </c>
      <c r="N109" s="131">
        <f t="shared" si="39"/>
        <v>8415.9324261136608</v>
      </c>
      <c r="O109" s="15"/>
      <c r="P109" s="32">
        <f t="shared" si="51"/>
        <v>5.0315474668638185</v>
      </c>
      <c r="Q109" s="33"/>
      <c r="R109" s="75">
        <f t="shared" si="52"/>
        <v>17.055305711904257</v>
      </c>
      <c r="V109" s="68">
        <f t="shared" si="40"/>
        <v>-1813.6564764858138</v>
      </c>
      <c r="AA109" s="4">
        <f t="shared" si="41"/>
        <v>1</v>
      </c>
      <c r="AB109" s="4">
        <f t="shared" si="42"/>
        <v>3</v>
      </c>
      <c r="AC109" s="12">
        <f t="shared" si="43"/>
        <v>8</v>
      </c>
      <c r="AJ109" s="5">
        <f t="shared" si="63"/>
        <v>25</v>
      </c>
      <c r="AK109" s="5">
        <f t="shared" si="53"/>
        <v>75</v>
      </c>
      <c r="AL109" s="77">
        <f t="shared" si="65"/>
        <v>48914</v>
      </c>
      <c r="AM109" s="27">
        <f t="shared" si="54"/>
        <v>0.16283581509083328</v>
      </c>
      <c r="AN109" s="76">
        <f t="shared" si="55"/>
        <v>95</v>
      </c>
      <c r="AO109" s="13">
        <f t="shared" si="56"/>
        <v>80.000825179181788</v>
      </c>
      <c r="AP109" s="62">
        <f t="shared" si="57"/>
        <v>1633.6556513066321</v>
      </c>
      <c r="AQ109" s="9" t="str">
        <f t="shared" si="44"/>
        <v>🛩</v>
      </c>
      <c r="AR109" s="60" t="str">
        <f t="shared" si="45"/>
        <v>🚁</v>
      </c>
      <c r="AS109" s="8">
        <f t="shared" si="58"/>
        <v>1813.6564764858138</v>
      </c>
      <c r="AT109" s="11">
        <f t="shared" si="59"/>
        <v>8415.9324261136608</v>
      </c>
      <c r="AU109" s="15">
        <v>0</v>
      </c>
      <c r="AV109" s="32">
        <f t="shared" si="60"/>
        <v>5.0315474668638185</v>
      </c>
      <c r="AW109" s="33"/>
      <c r="AX109" s="75">
        <f t="shared" si="61"/>
        <v>17.055305711904257</v>
      </c>
    </row>
    <row r="110" spans="1:50" x14ac:dyDescent="0.25">
      <c r="A110" s="5">
        <f t="shared" si="62"/>
        <v>25</v>
      </c>
      <c r="B110" s="5">
        <f t="shared" si="46"/>
        <v>75</v>
      </c>
      <c r="C110" s="77">
        <f t="shared" si="64"/>
        <v>48945</v>
      </c>
      <c r="D110" s="122">
        <f t="shared" si="33"/>
        <v>0.19605901949205276</v>
      </c>
      <c r="E110" s="123">
        <f t="shared" si="47"/>
        <v>96</v>
      </c>
      <c r="F110" s="124">
        <f t="shared" si="48"/>
        <v>67.109827005995086</v>
      </c>
      <c r="G110" s="125">
        <f t="shared" si="49"/>
        <v>1650.0194595752171</v>
      </c>
      <c r="H110" s="126" t="str">
        <f t="shared" si="34"/>
        <v>🛩</v>
      </c>
      <c r="I110" s="127" t="str">
        <f t="shared" si="35"/>
        <v>🚁</v>
      </c>
      <c r="J110" s="128">
        <f t="shared" si="36"/>
        <v>1635.7123744508237</v>
      </c>
      <c r="K110" s="129">
        <f t="shared" si="37"/>
        <v>0.90016290339378635</v>
      </c>
      <c r="L110" s="1">
        <f t="shared" si="50"/>
        <v>1817.1292865812122</v>
      </c>
      <c r="M110" s="130">
        <f t="shared" si="38"/>
        <v>2255.536706527826</v>
      </c>
      <c r="N110" s="131">
        <f t="shared" si="39"/>
        <v>6780.2200516628363</v>
      </c>
      <c r="O110" s="15"/>
      <c r="P110" s="32">
        <f t="shared" si="51"/>
        <v>4.0297951097242075</v>
      </c>
      <c r="Q110" s="33"/>
      <c r="R110" s="75">
        <f t="shared" si="52"/>
        <v>14.307085124393222</v>
      </c>
      <c r="V110" s="68">
        <f t="shared" si="40"/>
        <v>-1817.1292865812122</v>
      </c>
      <c r="AA110" s="4">
        <f t="shared" si="41"/>
        <v>1</v>
      </c>
      <c r="AB110" s="4">
        <f t="shared" si="42"/>
        <v>3</v>
      </c>
      <c r="AC110" s="12">
        <f t="shared" si="43"/>
        <v>8</v>
      </c>
      <c r="AJ110" s="5">
        <f t="shared" si="63"/>
        <v>25</v>
      </c>
      <c r="AK110" s="5">
        <f t="shared" si="53"/>
        <v>75</v>
      </c>
      <c r="AL110" s="77">
        <f t="shared" si="65"/>
        <v>48945</v>
      </c>
      <c r="AM110" s="27">
        <f t="shared" si="54"/>
        <v>0.19605901949205276</v>
      </c>
      <c r="AN110" s="76">
        <f t="shared" si="55"/>
        <v>96</v>
      </c>
      <c r="AO110" s="13">
        <f t="shared" si="56"/>
        <v>67.109827005995086</v>
      </c>
      <c r="AP110" s="62">
        <f t="shared" si="57"/>
        <v>1650.0194595752171</v>
      </c>
      <c r="AQ110" s="9" t="str">
        <f t="shared" si="44"/>
        <v>🛩</v>
      </c>
      <c r="AR110" s="60" t="str">
        <f t="shared" si="45"/>
        <v>🚁</v>
      </c>
      <c r="AS110" s="8">
        <f t="shared" si="58"/>
        <v>1817.1292865812122</v>
      </c>
      <c r="AT110" s="11">
        <f t="shared" si="59"/>
        <v>6780.2200516628363</v>
      </c>
      <c r="AU110" s="15">
        <v>0</v>
      </c>
      <c r="AV110" s="32">
        <f t="shared" si="60"/>
        <v>4.0297951097242075</v>
      </c>
      <c r="AW110" s="33"/>
      <c r="AX110" s="75">
        <f t="shared" si="61"/>
        <v>14.307085124393222</v>
      </c>
    </row>
    <row r="111" spans="1:50" x14ac:dyDescent="0.25">
      <c r="A111" s="5">
        <f t="shared" si="62"/>
        <v>25</v>
      </c>
      <c r="B111" s="5">
        <f t="shared" si="46"/>
        <v>75</v>
      </c>
      <c r="C111" s="77">
        <f t="shared" si="64"/>
        <v>48976</v>
      </c>
      <c r="D111" s="122">
        <f t="shared" si="33"/>
        <v>0.24581594663914796</v>
      </c>
      <c r="E111" s="123">
        <f t="shared" si="47"/>
        <v>97</v>
      </c>
      <c r="F111" s="124">
        <f t="shared" si="48"/>
        <v>54.06642683082859</v>
      </c>
      <c r="G111" s="125">
        <f t="shared" si="49"/>
        <v>1666.6862104212328</v>
      </c>
      <c r="H111" s="126" t="str">
        <f t="shared" si="34"/>
        <v>🛩</v>
      </c>
      <c r="I111" s="127" t="str">
        <f t="shared" si="35"/>
        <v>🚁</v>
      </c>
      <c r="J111" s="128">
        <f t="shared" si="36"/>
        <v>1655.159836333406</v>
      </c>
      <c r="K111" s="129">
        <f t="shared" si="37"/>
        <v>0.90905255467949053</v>
      </c>
      <c r="L111" s="1">
        <f t="shared" si="50"/>
        <v>1820.7526372520613</v>
      </c>
      <c r="M111" s="130">
        <f t="shared" si="38"/>
        <v>2393.2009520407428</v>
      </c>
      <c r="N111" s="131">
        <f t="shared" si="39"/>
        <v>5125.0602153294312</v>
      </c>
      <c r="O111" s="15"/>
      <c r="P111" s="32">
        <f t="shared" si="51"/>
        <v>3.0280539089214411</v>
      </c>
      <c r="Q111" s="33"/>
      <c r="R111" s="75">
        <f t="shared" si="52"/>
        <v>11.526374087826822</v>
      </c>
      <c r="V111" s="68">
        <f t="shared" si="40"/>
        <v>-1820.7526372520613</v>
      </c>
      <c r="AA111" s="4">
        <f t="shared" si="41"/>
        <v>1</v>
      </c>
      <c r="AB111" s="4">
        <f t="shared" si="42"/>
        <v>3</v>
      </c>
      <c r="AC111" s="12">
        <f t="shared" si="43"/>
        <v>9</v>
      </c>
      <c r="AJ111" s="5">
        <f t="shared" si="63"/>
        <v>25</v>
      </c>
      <c r="AK111" s="5">
        <f t="shared" si="53"/>
        <v>75</v>
      </c>
      <c r="AL111" s="77">
        <f t="shared" si="65"/>
        <v>48976</v>
      </c>
      <c r="AM111" s="27">
        <f t="shared" si="54"/>
        <v>0.24581594663914796</v>
      </c>
      <c r="AN111" s="76">
        <f t="shared" si="55"/>
        <v>97</v>
      </c>
      <c r="AO111" s="13">
        <f t="shared" si="56"/>
        <v>54.06642683082859</v>
      </c>
      <c r="AP111" s="62">
        <f t="shared" si="57"/>
        <v>1666.6862104212328</v>
      </c>
      <c r="AQ111" s="9" t="str">
        <f t="shared" si="44"/>
        <v>🛩</v>
      </c>
      <c r="AR111" s="60" t="str">
        <f t="shared" si="45"/>
        <v>🚁</v>
      </c>
      <c r="AS111" s="8">
        <f t="shared" si="58"/>
        <v>1820.7526372520613</v>
      </c>
      <c r="AT111" s="11">
        <f t="shared" si="59"/>
        <v>5125.0602153294312</v>
      </c>
      <c r="AU111" s="15">
        <v>0</v>
      </c>
      <c r="AV111" s="32">
        <f t="shared" si="60"/>
        <v>3.0280539089214411</v>
      </c>
      <c r="AW111" s="33"/>
      <c r="AX111" s="75">
        <f t="shared" si="61"/>
        <v>11.526374087826822</v>
      </c>
    </row>
    <row r="112" spans="1:50" x14ac:dyDescent="0.25">
      <c r="A112" s="5">
        <f t="shared" si="62"/>
        <v>25</v>
      </c>
      <c r="B112" s="5">
        <f t="shared" si="46"/>
        <v>75</v>
      </c>
      <c r="C112" s="77">
        <f t="shared" si="64"/>
        <v>49004</v>
      </c>
      <c r="D112" s="122">
        <f t="shared" si="33"/>
        <v>0.32853364204311675</v>
      </c>
      <c r="E112" s="123">
        <f t="shared" si="47"/>
        <v>98</v>
      </c>
      <c r="F112" s="124">
        <f t="shared" si="48"/>
        <v>40.867949863624652</v>
      </c>
      <c r="G112" s="125">
        <f t="shared" si="49"/>
        <v>1683.7546982324582</v>
      </c>
      <c r="H112" s="126" t="str">
        <f t="shared" si="34"/>
        <v>🛩</v>
      </c>
      <c r="I112" s="127" t="str">
        <f t="shared" si="35"/>
        <v>🚁</v>
      </c>
      <c r="J112" s="128">
        <f t="shared" si="36"/>
        <v>1675.0420958663981</v>
      </c>
      <c r="K112" s="129">
        <f t="shared" si="37"/>
        <v>0.9180211029465376</v>
      </c>
      <c r="L112" s="1">
        <f t="shared" si="50"/>
        <v>1824.6226480960829</v>
      </c>
      <c r="M112" s="130">
        <f t="shared" si="38"/>
        <v>2670.1084178350284</v>
      </c>
      <c r="N112" s="131">
        <f t="shared" si="39"/>
        <v>3450.0181194630327</v>
      </c>
      <c r="O112" s="15"/>
      <c r="P112" s="32">
        <f t="shared" si="51"/>
        <v>2.0263238233887759</v>
      </c>
      <c r="Q112" s="33"/>
      <c r="R112" s="75">
        <f t="shared" si="52"/>
        <v>8.7126023660600325</v>
      </c>
      <c r="V112" s="68">
        <f t="shared" si="40"/>
        <v>-1824.6226480960829</v>
      </c>
      <c r="AA112" s="4">
        <f t="shared" si="41"/>
        <v>1</v>
      </c>
      <c r="AB112" s="4">
        <f t="shared" si="42"/>
        <v>3</v>
      </c>
      <c r="AC112" s="12">
        <f t="shared" si="43"/>
        <v>9</v>
      </c>
      <c r="AJ112" s="5">
        <f t="shared" si="63"/>
        <v>25</v>
      </c>
      <c r="AK112" s="5">
        <f t="shared" si="53"/>
        <v>75</v>
      </c>
      <c r="AL112" s="77">
        <f t="shared" si="65"/>
        <v>49004</v>
      </c>
      <c r="AM112" s="27">
        <f t="shared" si="54"/>
        <v>0.32853364204311675</v>
      </c>
      <c r="AN112" s="76">
        <f t="shared" si="55"/>
        <v>98</v>
      </c>
      <c r="AO112" s="13">
        <f t="shared" si="56"/>
        <v>40.867949863624652</v>
      </c>
      <c r="AP112" s="62">
        <f t="shared" si="57"/>
        <v>1683.7546982324582</v>
      </c>
      <c r="AQ112" s="9" t="str">
        <f t="shared" si="44"/>
        <v>🛩</v>
      </c>
      <c r="AR112" s="60" t="str">
        <f t="shared" si="45"/>
        <v>🚁</v>
      </c>
      <c r="AS112" s="8">
        <f t="shared" si="58"/>
        <v>1824.6226480960829</v>
      </c>
      <c r="AT112" s="11">
        <f t="shared" si="59"/>
        <v>3450.0181194630327</v>
      </c>
      <c r="AU112" s="15">
        <v>0</v>
      </c>
      <c r="AV112" s="32">
        <f t="shared" si="60"/>
        <v>2.0263238233887759</v>
      </c>
      <c r="AW112" s="33"/>
      <c r="AX112" s="75">
        <f t="shared" si="61"/>
        <v>8.7126023660600325</v>
      </c>
    </row>
    <row r="113" spans="1:50" x14ac:dyDescent="0.25">
      <c r="A113" s="5">
        <f t="shared" si="62"/>
        <v>25</v>
      </c>
      <c r="B113" s="5">
        <f t="shared" si="46"/>
        <v>75</v>
      </c>
      <c r="C113" s="77">
        <f t="shared" si="64"/>
        <v>49035</v>
      </c>
      <c r="D113" s="122">
        <f t="shared" si="33"/>
        <v>0.49317626330071029</v>
      </c>
      <c r="E113" s="123">
        <f t="shared" si="47"/>
        <v>99</v>
      </c>
      <c r="F113" s="124">
        <f t="shared" si="48"/>
        <v>27.510928966860707</v>
      </c>
      <c r="G113" s="125">
        <f t="shared" si="49"/>
        <v>1701.467044476522</v>
      </c>
      <c r="H113" s="126" t="str">
        <f t="shared" si="34"/>
        <v>🛩</v>
      </c>
      <c r="I113" s="127" t="str">
        <f t="shared" si="35"/>
        <v>🚁</v>
      </c>
      <c r="J113" s="128">
        <f t="shared" si="36"/>
        <v>1695.6020136734348</v>
      </c>
      <c r="K113" s="129">
        <f t="shared" si="37"/>
        <v>0.92707623508508219</v>
      </c>
      <c r="L113" s="1">
        <f t="shared" si="50"/>
        <v>1828.9779734433828</v>
      </c>
      <c r="M113" s="130">
        <f t="shared" si="38"/>
        <v>3494.6803199115539</v>
      </c>
      <c r="N113" s="131">
        <f t="shared" si="39"/>
        <v>1754.4161057895979</v>
      </c>
      <c r="O113" s="15"/>
      <c r="P113" s="32">
        <f t="shared" si="51"/>
        <v>1.0246048591262276</v>
      </c>
      <c r="Q113" s="33"/>
      <c r="R113" s="75">
        <f t="shared" si="52"/>
        <v>5.865030803087155</v>
      </c>
      <c r="V113" s="68">
        <f t="shared" si="40"/>
        <v>-1828.9779734433828</v>
      </c>
      <c r="AA113" s="4">
        <f t="shared" si="41"/>
        <v>1</v>
      </c>
      <c r="AB113" s="4">
        <f t="shared" si="42"/>
        <v>3</v>
      </c>
      <c r="AC113" s="12">
        <f t="shared" si="43"/>
        <v>9</v>
      </c>
      <c r="AJ113" s="5">
        <f t="shared" si="63"/>
        <v>25</v>
      </c>
      <c r="AK113" s="5">
        <f t="shared" si="53"/>
        <v>75</v>
      </c>
      <c r="AL113" s="77">
        <f t="shared" si="65"/>
        <v>49035</v>
      </c>
      <c r="AM113" s="27">
        <f t="shared" si="54"/>
        <v>0.49317626330071029</v>
      </c>
      <c r="AN113" s="76">
        <f t="shared" si="55"/>
        <v>99</v>
      </c>
      <c r="AO113" s="13">
        <f t="shared" si="56"/>
        <v>27.510928966860707</v>
      </c>
      <c r="AP113" s="62">
        <f t="shared" si="57"/>
        <v>1701.467044476522</v>
      </c>
      <c r="AQ113" s="9" t="str">
        <f t="shared" si="44"/>
        <v>🛩</v>
      </c>
      <c r="AR113" s="60" t="str">
        <f t="shared" si="45"/>
        <v>🚁</v>
      </c>
      <c r="AS113" s="8">
        <f t="shared" si="58"/>
        <v>1828.9779734433828</v>
      </c>
      <c r="AT113" s="11">
        <f t="shared" si="59"/>
        <v>1754.4161057895979</v>
      </c>
      <c r="AU113" s="15">
        <v>0</v>
      </c>
      <c r="AV113" s="32">
        <f t="shared" si="60"/>
        <v>1.0246048591262276</v>
      </c>
      <c r="AW113" s="33"/>
      <c r="AX113" s="75">
        <f t="shared" si="61"/>
        <v>5.865030803087155</v>
      </c>
    </row>
    <row r="114" spans="1:50" x14ac:dyDescent="0.25">
      <c r="A114" s="5">
        <f t="shared" si="62"/>
        <v>25</v>
      </c>
      <c r="B114" s="5">
        <f t="shared" si="46"/>
        <v>75</v>
      </c>
      <c r="C114" s="77">
        <f t="shared" si="64"/>
        <v>49065</v>
      </c>
      <c r="D114" s="122">
        <f t="shared" si="33"/>
        <v>0.98252091143351339</v>
      </c>
      <c r="E114" s="123">
        <f t="shared" si="47"/>
        <v>100</v>
      </c>
      <c r="F114" s="124">
        <f t="shared" si="48"/>
        <v>13.989960398296736</v>
      </c>
      <c r="G114" s="125">
        <f t="shared" si="49"/>
        <v>1723.750511294031</v>
      </c>
      <c r="H114" s="126" t="str">
        <f t="shared" si="34"/>
        <v>🛩</v>
      </c>
      <c r="I114" s="127" t="str">
        <f t="shared" si="35"/>
        <v>🚁</v>
      </c>
      <c r="J114" s="128">
        <f t="shared" si="36"/>
        <v>1720.7680039141887</v>
      </c>
      <c r="K114" s="129">
        <f t="shared" si="37"/>
        <v>0.93634984396331977</v>
      </c>
      <c r="L114" s="1">
        <f t="shared" si="50"/>
        <v>1837.7404716923277</v>
      </c>
      <c r="M114" s="130">
        <f t="shared" si="38"/>
        <v>83126.295489074226</v>
      </c>
      <c r="N114" s="131">
        <f t="shared" si="39"/>
        <v>33.64810187540921</v>
      </c>
      <c r="O114" s="15"/>
      <c r="P114" s="32">
        <f t="shared" si="51"/>
        <v>2.113441006868011E-2</v>
      </c>
      <c r="Q114" s="33"/>
      <c r="R114" s="75">
        <f t="shared" si="52"/>
        <v>2.9825073798423163</v>
      </c>
      <c r="V114" s="68">
        <f t="shared" si="40"/>
        <v>-1837.7404716923277</v>
      </c>
      <c r="AA114" s="4">
        <f t="shared" si="41"/>
        <v>1</v>
      </c>
      <c r="AB114" s="4">
        <f t="shared" si="42"/>
        <v>3</v>
      </c>
      <c r="AC114" s="12">
        <f t="shared" si="43"/>
        <v>9</v>
      </c>
      <c r="AJ114" s="5">
        <f t="shared" si="63"/>
        <v>25</v>
      </c>
      <c r="AK114" s="5">
        <f t="shared" si="53"/>
        <v>75</v>
      </c>
      <c r="AL114" s="77">
        <f t="shared" si="65"/>
        <v>49065</v>
      </c>
      <c r="AM114" s="27">
        <f t="shared" si="54"/>
        <v>0.98252091143351339</v>
      </c>
      <c r="AN114" s="76">
        <f t="shared" si="55"/>
        <v>100</v>
      </c>
      <c r="AO114" s="13">
        <f t="shared" si="56"/>
        <v>13.989960398296736</v>
      </c>
      <c r="AP114" s="62">
        <f t="shared" si="57"/>
        <v>1723.750511294031</v>
      </c>
      <c r="AQ114" s="9" t="str">
        <f t="shared" si="44"/>
        <v>🛩</v>
      </c>
      <c r="AR114" s="60" t="str">
        <f t="shared" si="45"/>
        <v>🚁</v>
      </c>
      <c r="AS114" s="8">
        <f t="shared" si="58"/>
        <v>1837.7404716923277</v>
      </c>
      <c r="AT114" s="11">
        <f t="shared" si="59"/>
        <v>33.64810187540921</v>
      </c>
      <c r="AU114" s="15">
        <v>0</v>
      </c>
      <c r="AV114" s="32">
        <f t="shared" si="60"/>
        <v>2.113441006868011E-2</v>
      </c>
      <c r="AW114" s="33"/>
      <c r="AX114" s="75">
        <f t="shared" si="61"/>
        <v>2.9825073798423163</v>
      </c>
    </row>
    <row r="115" spans="1:50" x14ac:dyDescent="0.25">
      <c r="A115" s="5">
        <f t="shared" si="62"/>
        <v>25</v>
      </c>
      <c r="B115" s="5">
        <f t="shared" si="46"/>
        <v>75</v>
      </c>
      <c r="C115" s="77">
        <f t="shared" si="64"/>
        <v>49096</v>
      </c>
      <c r="D115" s="122">
        <f t="shared" si="33"/>
        <v>1</v>
      </c>
      <c r="E115" s="123">
        <f t="shared" si="47"/>
        <v>101</v>
      </c>
      <c r="F115" s="124">
        <f t="shared" si="48"/>
        <v>0.26831468952057314</v>
      </c>
      <c r="G115" s="125">
        <f t="shared" si="49"/>
        <v>33.64810187540921</v>
      </c>
      <c r="H115" s="126" t="str">
        <f t="shared" si="34"/>
        <v>🐢</v>
      </c>
      <c r="I115" s="127" t="str">
        <f t="shared" si="35"/>
        <v>🚴‍♂️</v>
      </c>
      <c r="J115" s="128">
        <f t="shared" si="36"/>
        <v>33.590900102221013</v>
      </c>
      <c r="K115" s="129">
        <f t="shared" si="37"/>
        <v>0.25083481894047216</v>
      </c>
      <c r="L115" s="1">
        <f t="shared" si="50"/>
        <v>133.91641656492979</v>
      </c>
      <c r="M115" s="130">
        <f t="shared" si="38"/>
        <v>478.24085453111775</v>
      </c>
      <c r="N115" s="131">
        <f t="shared" si="39"/>
        <v>0</v>
      </c>
      <c r="O115" s="15"/>
      <c r="P115" s="32">
        <f t="shared" si="51"/>
        <v>8.9022609657068319E-2</v>
      </c>
      <c r="Q115" s="33"/>
      <c r="R115" s="75">
        <f t="shared" si="52"/>
        <v>5.7201773188195658E-2</v>
      </c>
      <c r="V115" s="68">
        <f t="shared" si="40"/>
        <v>-133.91641656492979</v>
      </c>
      <c r="AA115" s="4">
        <f t="shared" si="41"/>
        <v>1</v>
      </c>
      <c r="AB115" s="4">
        <f t="shared" si="42"/>
        <v>3</v>
      </c>
      <c r="AC115" s="12">
        <f t="shared" si="43"/>
        <v>9</v>
      </c>
      <c r="AJ115" s="5">
        <f t="shared" si="63"/>
        <v>25</v>
      </c>
      <c r="AK115" s="5">
        <f t="shared" si="53"/>
        <v>75</v>
      </c>
      <c r="AL115" s="77">
        <f t="shared" si="65"/>
        <v>49096</v>
      </c>
      <c r="AM115" s="27">
        <f t="shared" si="54"/>
        <v>1</v>
      </c>
      <c r="AN115" s="76">
        <f t="shared" si="55"/>
        <v>101</v>
      </c>
      <c r="AO115" s="13">
        <f t="shared" si="56"/>
        <v>0.26831468952057314</v>
      </c>
      <c r="AP115" s="62">
        <f t="shared" si="57"/>
        <v>33.64810187540921</v>
      </c>
      <c r="AQ115" s="9" t="str">
        <f t="shared" si="44"/>
        <v>🐢</v>
      </c>
      <c r="AR115" s="60" t="str">
        <f t="shared" si="45"/>
        <v>🚴‍♂️</v>
      </c>
      <c r="AS115" s="8">
        <f t="shared" si="58"/>
        <v>133.91641656492979</v>
      </c>
      <c r="AT115" s="11">
        <f t="shared" si="59"/>
        <v>0</v>
      </c>
      <c r="AU115" s="15">
        <v>0</v>
      </c>
      <c r="AV115" s="32">
        <f t="shared" si="60"/>
        <v>8.9022609657068319E-2</v>
      </c>
      <c r="AW115" s="33"/>
      <c r="AX115" s="75">
        <f t="shared" si="61"/>
        <v>5.7201773188195658E-2</v>
      </c>
    </row>
    <row r="116" spans="1:50" x14ac:dyDescent="0.25">
      <c r="A116" s="5">
        <f t="shared" si="62"/>
        <v>0</v>
      </c>
      <c r="B116" s="5">
        <f t="shared" si="46"/>
        <v>0</v>
      </c>
      <c r="C116" s="77">
        <f t="shared" si="64"/>
        <v>49126</v>
      </c>
      <c r="D116" s="122" t="str">
        <f t="shared" si="33"/>
        <v/>
      </c>
      <c r="E116" s="123">
        <f t="shared" si="47"/>
        <v>102</v>
      </c>
      <c r="F116" s="124">
        <f t="shared" si="48"/>
        <v>0</v>
      </c>
      <c r="G116" s="125">
        <f t="shared" si="49"/>
        <v>0</v>
      </c>
      <c r="H116" s="126" t="str">
        <f t="shared" si="34"/>
        <v/>
      </c>
      <c r="I116" s="127" t="str">
        <f t="shared" si="35"/>
        <v/>
      </c>
      <c r="J116" s="128">
        <f t="shared" si="36"/>
        <v>0</v>
      </c>
      <c r="K116" s="129">
        <f t="shared" si="37"/>
        <v>0</v>
      </c>
      <c r="L116" s="1">
        <f t="shared" si="50"/>
        <v>0</v>
      </c>
      <c r="M116" s="130">
        <f t="shared" si="38"/>
        <v>0</v>
      </c>
      <c r="N116" s="131">
        <f t="shared" si="39"/>
        <v>0</v>
      </c>
      <c r="O116" s="15"/>
      <c r="P116" s="32">
        <f t="shared" si="51"/>
        <v>-1.0005742940779183</v>
      </c>
      <c r="Q116" s="33"/>
      <c r="R116" s="75">
        <f t="shared" si="52"/>
        <v>0</v>
      </c>
      <c r="V116" s="68">
        <f t="shared" si="40"/>
        <v>0</v>
      </c>
      <c r="AA116" s="4">
        <f t="shared" si="41"/>
        <v>1</v>
      </c>
      <c r="AB116" s="4">
        <f t="shared" si="42"/>
        <v>3</v>
      </c>
      <c r="AC116" s="12">
        <f t="shared" si="43"/>
        <v>9</v>
      </c>
      <c r="AJ116" s="5">
        <f t="shared" si="63"/>
        <v>0</v>
      </c>
      <c r="AK116" s="5">
        <f t="shared" si="53"/>
        <v>0</v>
      </c>
      <c r="AL116" s="77">
        <f t="shared" si="65"/>
        <v>49126</v>
      </c>
      <c r="AM116" s="27" t="str">
        <f t="shared" si="54"/>
        <v/>
      </c>
      <c r="AN116" s="76">
        <f t="shared" si="55"/>
        <v>102</v>
      </c>
      <c r="AO116" s="13">
        <f t="shared" si="56"/>
        <v>0</v>
      </c>
      <c r="AP116" s="62">
        <f t="shared" si="57"/>
        <v>0</v>
      </c>
      <c r="AQ116" s="9" t="str">
        <f t="shared" si="44"/>
        <v/>
      </c>
      <c r="AR116" s="60" t="str">
        <f t="shared" si="45"/>
        <v/>
      </c>
      <c r="AS116" s="8">
        <f t="shared" si="58"/>
        <v>0</v>
      </c>
      <c r="AT116" s="11">
        <f t="shared" si="59"/>
        <v>0</v>
      </c>
      <c r="AU116" s="15">
        <v>0</v>
      </c>
      <c r="AV116" s="32">
        <f t="shared" si="60"/>
        <v>-1.0005742940779183</v>
      </c>
      <c r="AW116" s="33"/>
      <c r="AX116" s="75">
        <f t="shared" si="61"/>
        <v>0</v>
      </c>
    </row>
    <row r="117" spans="1:50" x14ac:dyDescent="0.25">
      <c r="A117" s="5">
        <f t="shared" si="62"/>
        <v>0</v>
      </c>
      <c r="B117" s="5">
        <f t="shared" si="46"/>
        <v>0</v>
      </c>
      <c r="C117" s="77">
        <f t="shared" si="64"/>
        <v>49157</v>
      </c>
      <c r="D117" s="122" t="str">
        <f t="shared" si="33"/>
        <v/>
      </c>
      <c r="E117" s="123">
        <f t="shared" si="47"/>
        <v>103</v>
      </c>
      <c r="F117" s="124">
        <f t="shared" si="48"/>
        <v>0</v>
      </c>
      <c r="G117" s="125">
        <f t="shared" si="49"/>
        <v>0</v>
      </c>
      <c r="H117" s="126" t="str">
        <f t="shared" si="34"/>
        <v/>
      </c>
      <c r="I117" s="127" t="str">
        <f t="shared" si="35"/>
        <v/>
      </c>
      <c r="J117" s="128">
        <f t="shared" si="36"/>
        <v>0</v>
      </c>
      <c r="K117" s="129">
        <f t="shared" si="37"/>
        <v>0</v>
      </c>
      <c r="L117" s="1">
        <f t="shared" si="50"/>
        <v>0</v>
      </c>
      <c r="M117" s="130">
        <f t="shared" si="38"/>
        <v>0</v>
      </c>
      <c r="N117" s="131">
        <f t="shared" si="39"/>
        <v>0</v>
      </c>
      <c r="O117" s="15"/>
      <c r="P117" s="32">
        <f t="shared" si="51"/>
        <v>0</v>
      </c>
      <c r="Q117" s="33"/>
      <c r="R117" s="75">
        <f t="shared" si="52"/>
        <v>0</v>
      </c>
      <c r="V117" s="68">
        <f t="shared" si="40"/>
        <v>0</v>
      </c>
      <c r="AA117" s="4">
        <f t="shared" si="41"/>
        <v>1</v>
      </c>
      <c r="AB117" s="4">
        <f t="shared" si="42"/>
        <v>3</v>
      </c>
      <c r="AC117" s="12">
        <f t="shared" si="43"/>
        <v>9</v>
      </c>
      <c r="AJ117" s="5">
        <f t="shared" si="63"/>
        <v>0</v>
      </c>
      <c r="AK117" s="5">
        <f t="shared" si="53"/>
        <v>0</v>
      </c>
      <c r="AL117" s="77">
        <f t="shared" si="65"/>
        <v>49157</v>
      </c>
      <c r="AM117" s="27" t="str">
        <f t="shared" si="54"/>
        <v/>
      </c>
      <c r="AN117" s="76">
        <f t="shared" si="55"/>
        <v>103</v>
      </c>
      <c r="AO117" s="13">
        <f t="shared" si="56"/>
        <v>0</v>
      </c>
      <c r="AP117" s="62">
        <f t="shared" si="57"/>
        <v>0</v>
      </c>
      <c r="AQ117" s="9" t="str">
        <f t="shared" si="44"/>
        <v/>
      </c>
      <c r="AR117" s="60" t="str">
        <f t="shared" si="45"/>
        <v/>
      </c>
      <c r="AS117" s="8">
        <f t="shared" si="58"/>
        <v>0</v>
      </c>
      <c r="AT117" s="11">
        <f t="shared" si="59"/>
        <v>0</v>
      </c>
      <c r="AU117" s="15">
        <v>0</v>
      </c>
      <c r="AV117" s="32">
        <f t="shared" si="60"/>
        <v>0</v>
      </c>
      <c r="AW117" s="33"/>
      <c r="AX117" s="75">
        <f t="shared" si="61"/>
        <v>0</v>
      </c>
    </row>
    <row r="118" spans="1:50" x14ac:dyDescent="0.25">
      <c r="A118" s="5">
        <f t="shared" si="62"/>
        <v>0</v>
      </c>
      <c r="B118" s="5">
        <f t="shared" si="46"/>
        <v>0</v>
      </c>
      <c r="C118" s="77">
        <f t="shared" si="64"/>
        <v>49188</v>
      </c>
      <c r="D118" s="122" t="str">
        <f t="shared" si="33"/>
        <v/>
      </c>
      <c r="E118" s="123">
        <f t="shared" si="47"/>
        <v>104</v>
      </c>
      <c r="F118" s="124">
        <f t="shared" si="48"/>
        <v>0</v>
      </c>
      <c r="G118" s="125">
        <f t="shared" si="49"/>
        <v>0</v>
      </c>
      <c r="H118" s="126" t="str">
        <f t="shared" si="34"/>
        <v/>
      </c>
      <c r="I118" s="127" t="str">
        <f t="shared" si="35"/>
        <v/>
      </c>
      <c r="J118" s="128">
        <f t="shared" si="36"/>
        <v>0</v>
      </c>
      <c r="K118" s="129">
        <f t="shared" si="37"/>
        <v>0</v>
      </c>
      <c r="L118" s="1">
        <f t="shared" si="50"/>
        <v>0</v>
      </c>
      <c r="M118" s="130">
        <f t="shared" si="38"/>
        <v>0</v>
      </c>
      <c r="N118" s="131">
        <f t="shared" si="39"/>
        <v>0</v>
      </c>
      <c r="O118" s="15"/>
      <c r="P118" s="32">
        <f t="shared" si="51"/>
        <v>0</v>
      </c>
      <c r="Q118" s="33"/>
      <c r="R118" s="75">
        <f t="shared" si="52"/>
        <v>0</v>
      </c>
      <c r="V118" s="68">
        <f t="shared" si="40"/>
        <v>0</v>
      </c>
      <c r="AA118" s="4">
        <f t="shared" si="41"/>
        <v>1</v>
      </c>
      <c r="AB118" s="4">
        <f t="shared" si="42"/>
        <v>3</v>
      </c>
      <c r="AC118" s="12">
        <f t="shared" si="43"/>
        <v>9</v>
      </c>
      <c r="AJ118" s="5">
        <f t="shared" si="63"/>
        <v>0</v>
      </c>
      <c r="AK118" s="5">
        <f t="shared" si="53"/>
        <v>0</v>
      </c>
      <c r="AL118" s="77">
        <f t="shared" si="65"/>
        <v>49188</v>
      </c>
      <c r="AM118" s="27" t="str">
        <f t="shared" si="54"/>
        <v/>
      </c>
      <c r="AN118" s="76">
        <f t="shared" si="55"/>
        <v>104</v>
      </c>
      <c r="AO118" s="13">
        <f t="shared" si="56"/>
        <v>0</v>
      </c>
      <c r="AP118" s="62">
        <f t="shared" si="57"/>
        <v>0</v>
      </c>
      <c r="AQ118" s="9" t="str">
        <f t="shared" si="44"/>
        <v/>
      </c>
      <c r="AR118" s="60" t="str">
        <f t="shared" si="45"/>
        <v/>
      </c>
      <c r="AS118" s="8">
        <f t="shared" si="58"/>
        <v>0</v>
      </c>
      <c r="AT118" s="11">
        <f t="shared" si="59"/>
        <v>0</v>
      </c>
      <c r="AU118" s="15">
        <v>0</v>
      </c>
      <c r="AV118" s="32">
        <f t="shared" si="60"/>
        <v>0</v>
      </c>
      <c r="AW118" s="33"/>
      <c r="AX118" s="75">
        <f t="shared" si="61"/>
        <v>0</v>
      </c>
    </row>
    <row r="119" spans="1:50" x14ac:dyDescent="0.25">
      <c r="A119" s="5">
        <f t="shared" si="62"/>
        <v>0</v>
      </c>
      <c r="B119" s="5">
        <f t="shared" si="46"/>
        <v>0</v>
      </c>
      <c r="C119" s="77">
        <f t="shared" si="64"/>
        <v>49218</v>
      </c>
      <c r="D119" s="122" t="str">
        <f t="shared" si="33"/>
        <v/>
      </c>
      <c r="E119" s="123">
        <f t="shared" si="47"/>
        <v>105</v>
      </c>
      <c r="F119" s="124">
        <f t="shared" si="48"/>
        <v>0</v>
      </c>
      <c r="G119" s="125">
        <f t="shared" si="49"/>
        <v>0</v>
      </c>
      <c r="H119" s="126" t="str">
        <f t="shared" si="34"/>
        <v/>
      </c>
      <c r="I119" s="127" t="str">
        <f t="shared" si="35"/>
        <v/>
      </c>
      <c r="J119" s="128">
        <f t="shared" si="36"/>
        <v>0</v>
      </c>
      <c r="K119" s="129">
        <f t="shared" si="37"/>
        <v>0</v>
      </c>
      <c r="L119" s="1">
        <f t="shared" si="50"/>
        <v>0</v>
      </c>
      <c r="M119" s="130">
        <f t="shared" si="38"/>
        <v>0</v>
      </c>
      <c r="N119" s="131">
        <f t="shared" si="39"/>
        <v>0</v>
      </c>
      <c r="O119" s="15"/>
      <c r="P119" s="32">
        <f t="shared" si="51"/>
        <v>0</v>
      </c>
      <c r="Q119" s="33"/>
      <c r="R119" s="75">
        <f t="shared" si="52"/>
        <v>0</v>
      </c>
      <c r="V119" s="68">
        <f t="shared" si="40"/>
        <v>0</v>
      </c>
      <c r="AA119" s="4">
        <f t="shared" si="41"/>
        <v>1</v>
      </c>
      <c r="AB119" s="4">
        <f t="shared" si="42"/>
        <v>3</v>
      </c>
      <c r="AC119" s="12">
        <f t="shared" si="43"/>
        <v>9</v>
      </c>
      <c r="AJ119" s="5">
        <f t="shared" si="63"/>
        <v>0</v>
      </c>
      <c r="AK119" s="5">
        <f t="shared" si="53"/>
        <v>0</v>
      </c>
      <c r="AL119" s="77">
        <f t="shared" si="65"/>
        <v>49218</v>
      </c>
      <c r="AM119" s="27" t="str">
        <f t="shared" si="54"/>
        <v/>
      </c>
      <c r="AN119" s="76">
        <f t="shared" si="55"/>
        <v>105</v>
      </c>
      <c r="AO119" s="13">
        <f t="shared" si="56"/>
        <v>0</v>
      </c>
      <c r="AP119" s="62">
        <f t="shared" si="57"/>
        <v>0</v>
      </c>
      <c r="AQ119" s="9" t="str">
        <f t="shared" si="44"/>
        <v/>
      </c>
      <c r="AR119" s="60" t="str">
        <f t="shared" si="45"/>
        <v/>
      </c>
      <c r="AS119" s="8">
        <f t="shared" si="58"/>
        <v>0</v>
      </c>
      <c r="AT119" s="11">
        <f t="shared" si="59"/>
        <v>0</v>
      </c>
      <c r="AU119" s="15">
        <v>0</v>
      </c>
      <c r="AV119" s="32">
        <f t="shared" si="60"/>
        <v>0</v>
      </c>
      <c r="AW119" s="33"/>
      <c r="AX119" s="75">
        <f t="shared" si="61"/>
        <v>0</v>
      </c>
    </row>
    <row r="120" spans="1:50" x14ac:dyDescent="0.25">
      <c r="A120" s="5">
        <f t="shared" si="62"/>
        <v>0</v>
      </c>
      <c r="B120" s="5">
        <f t="shared" si="46"/>
        <v>0</v>
      </c>
      <c r="C120" s="77">
        <f t="shared" si="64"/>
        <v>49249</v>
      </c>
      <c r="D120" s="122" t="str">
        <f t="shared" si="33"/>
        <v/>
      </c>
      <c r="E120" s="123">
        <f t="shared" si="47"/>
        <v>106</v>
      </c>
      <c r="F120" s="124">
        <f t="shared" si="48"/>
        <v>0</v>
      </c>
      <c r="G120" s="125">
        <f t="shared" si="49"/>
        <v>0</v>
      </c>
      <c r="H120" s="126" t="str">
        <f t="shared" si="34"/>
        <v/>
      </c>
      <c r="I120" s="127" t="str">
        <f t="shared" si="35"/>
        <v/>
      </c>
      <c r="J120" s="128">
        <f t="shared" si="36"/>
        <v>0</v>
      </c>
      <c r="K120" s="129">
        <f t="shared" si="37"/>
        <v>0</v>
      </c>
      <c r="L120" s="1">
        <f t="shared" si="50"/>
        <v>0</v>
      </c>
      <c r="M120" s="130">
        <f t="shared" si="38"/>
        <v>0</v>
      </c>
      <c r="N120" s="131">
        <f t="shared" si="39"/>
        <v>0</v>
      </c>
      <c r="O120" s="15"/>
      <c r="P120" s="32">
        <f t="shared" si="51"/>
        <v>0</v>
      </c>
      <c r="Q120" s="33"/>
      <c r="R120" s="75">
        <f t="shared" si="52"/>
        <v>0</v>
      </c>
      <c r="V120" s="68">
        <f t="shared" si="40"/>
        <v>0</v>
      </c>
      <c r="AA120" s="4">
        <f t="shared" si="41"/>
        <v>1</v>
      </c>
      <c r="AB120" s="4">
        <f t="shared" si="42"/>
        <v>3</v>
      </c>
      <c r="AC120" s="12">
        <f t="shared" si="43"/>
        <v>9</v>
      </c>
      <c r="AJ120" s="5">
        <f t="shared" si="63"/>
        <v>0</v>
      </c>
      <c r="AK120" s="5">
        <f t="shared" si="53"/>
        <v>0</v>
      </c>
      <c r="AL120" s="77">
        <f t="shared" si="65"/>
        <v>49249</v>
      </c>
      <c r="AM120" s="27" t="str">
        <f t="shared" si="54"/>
        <v/>
      </c>
      <c r="AN120" s="76">
        <f t="shared" si="55"/>
        <v>106</v>
      </c>
      <c r="AO120" s="13">
        <f t="shared" si="56"/>
        <v>0</v>
      </c>
      <c r="AP120" s="62">
        <f t="shared" si="57"/>
        <v>0</v>
      </c>
      <c r="AQ120" s="9" t="str">
        <f t="shared" si="44"/>
        <v/>
      </c>
      <c r="AR120" s="60" t="str">
        <f t="shared" si="45"/>
        <v/>
      </c>
      <c r="AS120" s="8">
        <f t="shared" si="58"/>
        <v>0</v>
      </c>
      <c r="AT120" s="11">
        <f t="shared" si="59"/>
        <v>0</v>
      </c>
      <c r="AU120" s="15">
        <v>0</v>
      </c>
      <c r="AV120" s="32">
        <f t="shared" si="60"/>
        <v>0</v>
      </c>
      <c r="AW120" s="33"/>
      <c r="AX120" s="75">
        <f t="shared" si="61"/>
        <v>0</v>
      </c>
    </row>
    <row r="121" spans="1:50" x14ac:dyDescent="0.25">
      <c r="A121" s="5">
        <f t="shared" si="62"/>
        <v>0</v>
      </c>
      <c r="B121" s="5">
        <f t="shared" si="46"/>
        <v>0</v>
      </c>
      <c r="C121" s="77">
        <f t="shared" si="64"/>
        <v>49279</v>
      </c>
      <c r="D121" s="122" t="str">
        <f t="shared" si="33"/>
        <v/>
      </c>
      <c r="E121" s="123">
        <f t="shared" si="47"/>
        <v>107</v>
      </c>
      <c r="F121" s="124">
        <f t="shared" si="48"/>
        <v>0</v>
      </c>
      <c r="G121" s="125">
        <f t="shared" si="49"/>
        <v>0</v>
      </c>
      <c r="H121" s="126" t="str">
        <f t="shared" si="34"/>
        <v/>
      </c>
      <c r="I121" s="127" t="str">
        <f t="shared" si="35"/>
        <v/>
      </c>
      <c r="J121" s="128">
        <f t="shared" si="36"/>
        <v>0</v>
      </c>
      <c r="K121" s="129">
        <f t="shared" si="37"/>
        <v>0</v>
      </c>
      <c r="L121" s="1">
        <f t="shared" si="50"/>
        <v>0</v>
      </c>
      <c r="M121" s="130">
        <f t="shared" si="38"/>
        <v>0</v>
      </c>
      <c r="N121" s="131">
        <f t="shared" si="39"/>
        <v>0</v>
      </c>
      <c r="O121" s="15"/>
      <c r="P121" s="32">
        <f t="shared" si="51"/>
        <v>0</v>
      </c>
      <c r="Q121" s="33"/>
      <c r="R121" s="75">
        <f t="shared" si="52"/>
        <v>0</v>
      </c>
      <c r="V121" s="68">
        <f t="shared" si="40"/>
        <v>0</v>
      </c>
      <c r="AA121" s="4">
        <f t="shared" si="41"/>
        <v>1</v>
      </c>
      <c r="AB121" s="4">
        <f t="shared" si="42"/>
        <v>3</v>
      </c>
      <c r="AC121" s="12">
        <f t="shared" si="43"/>
        <v>9</v>
      </c>
      <c r="AJ121" s="5">
        <f t="shared" si="63"/>
        <v>0</v>
      </c>
      <c r="AK121" s="5">
        <f t="shared" si="53"/>
        <v>0</v>
      </c>
      <c r="AL121" s="77">
        <f t="shared" si="65"/>
        <v>49279</v>
      </c>
      <c r="AM121" s="27" t="str">
        <f t="shared" si="54"/>
        <v/>
      </c>
      <c r="AN121" s="76">
        <f t="shared" si="55"/>
        <v>107</v>
      </c>
      <c r="AO121" s="13">
        <f t="shared" si="56"/>
        <v>0</v>
      </c>
      <c r="AP121" s="62">
        <f t="shared" si="57"/>
        <v>0</v>
      </c>
      <c r="AQ121" s="9" t="str">
        <f t="shared" si="44"/>
        <v/>
      </c>
      <c r="AR121" s="60" t="str">
        <f t="shared" si="45"/>
        <v/>
      </c>
      <c r="AS121" s="8">
        <f t="shared" si="58"/>
        <v>0</v>
      </c>
      <c r="AT121" s="11">
        <f t="shared" si="59"/>
        <v>0</v>
      </c>
      <c r="AU121" s="15">
        <v>0</v>
      </c>
      <c r="AV121" s="32">
        <f t="shared" si="60"/>
        <v>0</v>
      </c>
      <c r="AW121" s="33"/>
      <c r="AX121" s="75">
        <f t="shared" si="61"/>
        <v>0</v>
      </c>
    </row>
    <row r="122" spans="1:50" x14ac:dyDescent="0.25">
      <c r="A122" s="5">
        <f t="shared" si="62"/>
        <v>0</v>
      </c>
      <c r="B122" s="5">
        <f t="shared" si="46"/>
        <v>0</v>
      </c>
      <c r="C122" s="77">
        <f t="shared" si="64"/>
        <v>49310</v>
      </c>
      <c r="D122" s="122" t="str">
        <f t="shared" si="33"/>
        <v/>
      </c>
      <c r="E122" s="123">
        <f t="shared" si="47"/>
        <v>108</v>
      </c>
      <c r="F122" s="124">
        <f t="shared" si="48"/>
        <v>0</v>
      </c>
      <c r="G122" s="125">
        <f t="shared" si="49"/>
        <v>0</v>
      </c>
      <c r="H122" s="126" t="str">
        <f t="shared" si="34"/>
        <v/>
      </c>
      <c r="I122" s="127" t="str">
        <f t="shared" si="35"/>
        <v/>
      </c>
      <c r="J122" s="128">
        <f t="shared" si="36"/>
        <v>0</v>
      </c>
      <c r="K122" s="129">
        <f t="shared" si="37"/>
        <v>0</v>
      </c>
      <c r="L122" s="1">
        <f t="shared" si="50"/>
        <v>0</v>
      </c>
      <c r="M122" s="130">
        <f t="shared" si="38"/>
        <v>0</v>
      </c>
      <c r="N122" s="131">
        <f t="shared" si="39"/>
        <v>0</v>
      </c>
      <c r="O122" s="15"/>
      <c r="P122" s="32">
        <f t="shared" si="51"/>
        <v>0</v>
      </c>
      <c r="Q122" s="33"/>
      <c r="R122" s="75">
        <f t="shared" si="52"/>
        <v>0</v>
      </c>
      <c r="V122" s="68">
        <f t="shared" si="40"/>
        <v>0</v>
      </c>
      <c r="AA122" s="4">
        <f t="shared" si="41"/>
        <v>1</v>
      </c>
      <c r="AB122" s="4">
        <f t="shared" si="42"/>
        <v>3</v>
      </c>
      <c r="AC122" s="12">
        <f t="shared" si="43"/>
        <v>9</v>
      </c>
      <c r="AJ122" s="5">
        <f t="shared" si="63"/>
        <v>0</v>
      </c>
      <c r="AK122" s="5">
        <f t="shared" si="53"/>
        <v>0</v>
      </c>
      <c r="AL122" s="77">
        <f t="shared" si="65"/>
        <v>49310</v>
      </c>
      <c r="AM122" s="27" t="str">
        <f t="shared" si="54"/>
        <v/>
      </c>
      <c r="AN122" s="76">
        <f t="shared" si="55"/>
        <v>108</v>
      </c>
      <c r="AO122" s="13">
        <f t="shared" si="56"/>
        <v>0</v>
      </c>
      <c r="AP122" s="62">
        <f t="shared" si="57"/>
        <v>0</v>
      </c>
      <c r="AQ122" s="9" t="str">
        <f t="shared" si="44"/>
        <v/>
      </c>
      <c r="AR122" s="60" t="str">
        <f t="shared" si="45"/>
        <v/>
      </c>
      <c r="AS122" s="8">
        <f t="shared" si="58"/>
        <v>0</v>
      </c>
      <c r="AT122" s="11">
        <f t="shared" si="59"/>
        <v>0</v>
      </c>
      <c r="AU122" s="15">
        <v>0</v>
      </c>
      <c r="AV122" s="32">
        <f t="shared" si="60"/>
        <v>0</v>
      </c>
      <c r="AW122" s="33"/>
      <c r="AX122" s="75">
        <f t="shared" si="61"/>
        <v>0</v>
      </c>
    </row>
    <row r="123" spans="1:50" x14ac:dyDescent="0.25">
      <c r="A123" s="5">
        <f t="shared" si="62"/>
        <v>0</v>
      </c>
      <c r="B123" s="5">
        <f t="shared" si="46"/>
        <v>0</v>
      </c>
      <c r="C123" s="77">
        <f t="shared" si="64"/>
        <v>49341</v>
      </c>
      <c r="D123" s="122" t="str">
        <f t="shared" si="33"/>
        <v/>
      </c>
      <c r="E123" s="123">
        <f t="shared" si="47"/>
        <v>109</v>
      </c>
      <c r="F123" s="124">
        <f t="shared" si="48"/>
        <v>0</v>
      </c>
      <c r="G123" s="125">
        <f t="shared" si="49"/>
        <v>0</v>
      </c>
      <c r="H123" s="126" t="str">
        <f t="shared" si="34"/>
        <v/>
      </c>
      <c r="I123" s="127" t="str">
        <f t="shared" si="35"/>
        <v/>
      </c>
      <c r="J123" s="128">
        <f t="shared" si="36"/>
        <v>0</v>
      </c>
      <c r="K123" s="129">
        <f t="shared" si="37"/>
        <v>0</v>
      </c>
      <c r="L123" s="1">
        <f t="shared" si="50"/>
        <v>0</v>
      </c>
      <c r="M123" s="130">
        <f t="shared" si="38"/>
        <v>0</v>
      </c>
      <c r="N123" s="131">
        <f t="shared" si="39"/>
        <v>0</v>
      </c>
      <c r="O123" s="15"/>
      <c r="P123" s="32">
        <f t="shared" si="51"/>
        <v>0</v>
      </c>
      <c r="Q123" s="33"/>
      <c r="R123" s="75">
        <f t="shared" si="52"/>
        <v>0</v>
      </c>
      <c r="V123" s="68">
        <f t="shared" si="40"/>
        <v>0</v>
      </c>
      <c r="AA123" s="4">
        <f t="shared" si="41"/>
        <v>1</v>
      </c>
      <c r="AB123" s="4">
        <f t="shared" si="42"/>
        <v>4</v>
      </c>
      <c r="AC123" s="12">
        <f t="shared" si="43"/>
        <v>10</v>
      </c>
      <c r="AJ123" s="5">
        <f t="shared" si="63"/>
        <v>0</v>
      </c>
      <c r="AK123" s="5">
        <f t="shared" si="53"/>
        <v>0</v>
      </c>
      <c r="AL123" s="77">
        <f t="shared" si="65"/>
        <v>49341</v>
      </c>
      <c r="AM123" s="27" t="str">
        <f t="shared" si="54"/>
        <v/>
      </c>
      <c r="AN123" s="76">
        <f t="shared" si="55"/>
        <v>109</v>
      </c>
      <c r="AO123" s="13">
        <f t="shared" si="56"/>
        <v>0</v>
      </c>
      <c r="AP123" s="62">
        <f t="shared" si="57"/>
        <v>0</v>
      </c>
      <c r="AQ123" s="9" t="str">
        <f t="shared" si="44"/>
        <v/>
      </c>
      <c r="AR123" s="60" t="str">
        <f t="shared" si="45"/>
        <v/>
      </c>
      <c r="AS123" s="8">
        <f t="shared" si="58"/>
        <v>0</v>
      </c>
      <c r="AT123" s="11">
        <f t="shared" si="59"/>
        <v>0</v>
      </c>
      <c r="AU123" s="15">
        <v>0</v>
      </c>
      <c r="AV123" s="32">
        <f t="shared" si="60"/>
        <v>0</v>
      </c>
      <c r="AW123" s="33"/>
      <c r="AX123" s="75">
        <f t="shared" si="61"/>
        <v>0</v>
      </c>
    </row>
    <row r="124" spans="1:50" x14ac:dyDescent="0.25">
      <c r="A124" s="5">
        <f t="shared" si="62"/>
        <v>0</v>
      </c>
      <c r="B124" s="5">
        <f t="shared" si="46"/>
        <v>0</v>
      </c>
      <c r="C124" s="77">
        <f t="shared" si="64"/>
        <v>49369</v>
      </c>
      <c r="D124" s="122" t="str">
        <f t="shared" si="33"/>
        <v/>
      </c>
      <c r="E124" s="123">
        <f t="shared" si="47"/>
        <v>110</v>
      </c>
      <c r="F124" s="124">
        <f t="shared" si="48"/>
        <v>0</v>
      </c>
      <c r="G124" s="125">
        <f t="shared" si="49"/>
        <v>0</v>
      </c>
      <c r="H124" s="126" t="str">
        <f t="shared" si="34"/>
        <v/>
      </c>
      <c r="I124" s="127" t="str">
        <f t="shared" si="35"/>
        <v/>
      </c>
      <c r="J124" s="128">
        <f t="shared" si="36"/>
        <v>0</v>
      </c>
      <c r="K124" s="129">
        <f t="shared" si="37"/>
        <v>0</v>
      </c>
      <c r="L124" s="1">
        <f t="shared" si="50"/>
        <v>0</v>
      </c>
      <c r="M124" s="130">
        <f t="shared" si="38"/>
        <v>0</v>
      </c>
      <c r="N124" s="131">
        <f t="shared" si="39"/>
        <v>0</v>
      </c>
      <c r="O124" s="15"/>
      <c r="P124" s="32">
        <f t="shared" si="51"/>
        <v>0</v>
      </c>
      <c r="Q124" s="33"/>
      <c r="R124" s="75">
        <f t="shared" si="52"/>
        <v>0</v>
      </c>
      <c r="V124" s="68">
        <f t="shared" si="40"/>
        <v>0</v>
      </c>
      <c r="AA124" s="4">
        <f t="shared" si="41"/>
        <v>1</v>
      </c>
      <c r="AB124" s="4">
        <f t="shared" si="42"/>
        <v>4</v>
      </c>
      <c r="AC124" s="12">
        <f t="shared" si="43"/>
        <v>10</v>
      </c>
      <c r="AJ124" s="5">
        <f t="shared" si="63"/>
        <v>0</v>
      </c>
      <c r="AK124" s="5">
        <f t="shared" si="53"/>
        <v>0</v>
      </c>
      <c r="AL124" s="77">
        <f t="shared" si="65"/>
        <v>49369</v>
      </c>
      <c r="AM124" s="27" t="str">
        <f t="shared" si="54"/>
        <v/>
      </c>
      <c r="AN124" s="76">
        <f t="shared" si="55"/>
        <v>110</v>
      </c>
      <c r="AO124" s="13">
        <f t="shared" si="56"/>
        <v>0</v>
      </c>
      <c r="AP124" s="62">
        <f t="shared" si="57"/>
        <v>0</v>
      </c>
      <c r="AQ124" s="9" t="str">
        <f t="shared" si="44"/>
        <v/>
      </c>
      <c r="AR124" s="60" t="str">
        <f t="shared" si="45"/>
        <v/>
      </c>
      <c r="AS124" s="8">
        <f t="shared" si="58"/>
        <v>0</v>
      </c>
      <c r="AT124" s="11">
        <f t="shared" si="59"/>
        <v>0</v>
      </c>
      <c r="AU124" s="15">
        <v>0</v>
      </c>
      <c r="AV124" s="32">
        <f t="shared" si="60"/>
        <v>0</v>
      </c>
      <c r="AW124" s="33"/>
      <c r="AX124" s="75">
        <f t="shared" si="61"/>
        <v>0</v>
      </c>
    </row>
    <row r="125" spans="1:50" x14ac:dyDescent="0.25">
      <c r="A125" s="5">
        <f t="shared" si="62"/>
        <v>0</v>
      </c>
      <c r="B125" s="5">
        <f t="shared" si="46"/>
        <v>0</v>
      </c>
      <c r="C125" s="77">
        <f t="shared" si="64"/>
        <v>49400</v>
      </c>
      <c r="D125" s="122" t="str">
        <f t="shared" si="33"/>
        <v/>
      </c>
      <c r="E125" s="123">
        <f t="shared" si="47"/>
        <v>111</v>
      </c>
      <c r="F125" s="124">
        <f t="shared" si="48"/>
        <v>0</v>
      </c>
      <c r="G125" s="125">
        <f t="shared" si="49"/>
        <v>0</v>
      </c>
      <c r="H125" s="126" t="str">
        <f t="shared" si="34"/>
        <v/>
      </c>
      <c r="I125" s="127" t="str">
        <f t="shared" si="35"/>
        <v/>
      </c>
      <c r="J125" s="128">
        <f t="shared" si="36"/>
        <v>0</v>
      </c>
      <c r="K125" s="129">
        <f t="shared" si="37"/>
        <v>0</v>
      </c>
      <c r="L125" s="1">
        <f t="shared" si="50"/>
        <v>0</v>
      </c>
      <c r="M125" s="130">
        <f t="shared" si="38"/>
        <v>0</v>
      </c>
      <c r="N125" s="131">
        <f t="shared" si="39"/>
        <v>0</v>
      </c>
      <c r="O125" s="15"/>
      <c r="P125" s="32">
        <f t="shared" si="51"/>
        <v>0</v>
      </c>
      <c r="Q125" s="33"/>
      <c r="R125" s="75">
        <f t="shared" si="52"/>
        <v>0</v>
      </c>
      <c r="V125" s="68">
        <f t="shared" si="40"/>
        <v>0</v>
      </c>
      <c r="AA125" s="4">
        <f t="shared" si="41"/>
        <v>1</v>
      </c>
      <c r="AB125" s="4">
        <f t="shared" si="42"/>
        <v>4</v>
      </c>
      <c r="AC125" s="12">
        <f t="shared" si="43"/>
        <v>10</v>
      </c>
      <c r="AJ125" s="5">
        <f t="shared" si="63"/>
        <v>0</v>
      </c>
      <c r="AK125" s="5">
        <f t="shared" si="53"/>
        <v>0</v>
      </c>
      <c r="AL125" s="77">
        <f t="shared" si="65"/>
        <v>49400</v>
      </c>
      <c r="AM125" s="27" t="str">
        <f t="shared" si="54"/>
        <v/>
      </c>
      <c r="AN125" s="76">
        <f t="shared" si="55"/>
        <v>111</v>
      </c>
      <c r="AO125" s="13">
        <f t="shared" si="56"/>
        <v>0</v>
      </c>
      <c r="AP125" s="62">
        <f t="shared" si="57"/>
        <v>0</v>
      </c>
      <c r="AQ125" s="9" t="str">
        <f t="shared" si="44"/>
        <v/>
      </c>
      <c r="AR125" s="60" t="str">
        <f t="shared" si="45"/>
        <v/>
      </c>
      <c r="AS125" s="8">
        <f t="shared" si="58"/>
        <v>0</v>
      </c>
      <c r="AT125" s="11">
        <f t="shared" si="59"/>
        <v>0</v>
      </c>
      <c r="AU125" s="15">
        <v>0</v>
      </c>
      <c r="AV125" s="32">
        <f t="shared" si="60"/>
        <v>0</v>
      </c>
      <c r="AW125" s="33"/>
      <c r="AX125" s="75">
        <f t="shared" si="61"/>
        <v>0</v>
      </c>
    </row>
    <row r="126" spans="1:50" x14ac:dyDescent="0.25">
      <c r="A126" s="5">
        <f t="shared" si="62"/>
        <v>0</v>
      </c>
      <c r="B126" s="5">
        <f t="shared" si="46"/>
        <v>0</v>
      </c>
      <c r="C126" s="77">
        <f t="shared" si="64"/>
        <v>49430</v>
      </c>
      <c r="D126" s="122" t="str">
        <f t="shared" si="33"/>
        <v/>
      </c>
      <c r="E126" s="123">
        <f t="shared" si="47"/>
        <v>112</v>
      </c>
      <c r="F126" s="124">
        <f t="shared" si="48"/>
        <v>0</v>
      </c>
      <c r="G126" s="125">
        <f t="shared" si="49"/>
        <v>0</v>
      </c>
      <c r="H126" s="126" t="str">
        <f t="shared" si="34"/>
        <v/>
      </c>
      <c r="I126" s="127" t="str">
        <f t="shared" si="35"/>
        <v/>
      </c>
      <c r="J126" s="128">
        <f t="shared" si="36"/>
        <v>0</v>
      </c>
      <c r="K126" s="129">
        <f t="shared" si="37"/>
        <v>0</v>
      </c>
      <c r="L126" s="1">
        <f t="shared" si="50"/>
        <v>0</v>
      </c>
      <c r="M126" s="130">
        <f t="shared" si="38"/>
        <v>0</v>
      </c>
      <c r="N126" s="131">
        <f t="shared" si="39"/>
        <v>0</v>
      </c>
      <c r="O126" s="15"/>
      <c r="P126" s="32">
        <f t="shared" si="51"/>
        <v>0</v>
      </c>
      <c r="Q126" s="33"/>
      <c r="R126" s="75">
        <f t="shared" si="52"/>
        <v>0</v>
      </c>
      <c r="V126" s="68">
        <f t="shared" si="40"/>
        <v>0</v>
      </c>
      <c r="AA126" s="4">
        <f t="shared" si="41"/>
        <v>1</v>
      </c>
      <c r="AB126" s="4">
        <f t="shared" si="42"/>
        <v>4</v>
      </c>
      <c r="AC126" s="12">
        <f t="shared" si="43"/>
        <v>10</v>
      </c>
      <c r="AJ126" s="5">
        <f t="shared" si="63"/>
        <v>0</v>
      </c>
      <c r="AK126" s="5">
        <f t="shared" si="53"/>
        <v>0</v>
      </c>
      <c r="AL126" s="77">
        <f t="shared" si="65"/>
        <v>49430</v>
      </c>
      <c r="AM126" s="27" t="str">
        <f t="shared" si="54"/>
        <v/>
      </c>
      <c r="AN126" s="76">
        <f t="shared" si="55"/>
        <v>112</v>
      </c>
      <c r="AO126" s="13">
        <f t="shared" si="56"/>
        <v>0</v>
      </c>
      <c r="AP126" s="62">
        <f t="shared" si="57"/>
        <v>0</v>
      </c>
      <c r="AQ126" s="9" t="str">
        <f t="shared" si="44"/>
        <v/>
      </c>
      <c r="AR126" s="60" t="str">
        <f t="shared" si="45"/>
        <v/>
      </c>
      <c r="AS126" s="8">
        <f t="shared" si="58"/>
        <v>0</v>
      </c>
      <c r="AT126" s="11">
        <f t="shared" si="59"/>
        <v>0</v>
      </c>
      <c r="AU126" s="15">
        <v>0</v>
      </c>
      <c r="AV126" s="32">
        <f t="shared" si="60"/>
        <v>0</v>
      </c>
      <c r="AW126" s="33"/>
      <c r="AX126" s="75">
        <f t="shared" si="61"/>
        <v>0</v>
      </c>
    </row>
    <row r="127" spans="1:50" x14ac:dyDescent="0.25">
      <c r="A127" s="5">
        <f t="shared" si="62"/>
        <v>0</v>
      </c>
      <c r="B127" s="5">
        <f t="shared" si="46"/>
        <v>0</v>
      </c>
      <c r="C127" s="77">
        <f t="shared" si="64"/>
        <v>49461</v>
      </c>
      <c r="D127" s="122" t="str">
        <f t="shared" si="33"/>
        <v/>
      </c>
      <c r="E127" s="123">
        <f t="shared" si="47"/>
        <v>113</v>
      </c>
      <c r="F127" s="124">
        <f t="shared" si="48"/>
        <v>0</v>
      </c>
      <c r="G127" s="125">
        <f t="shared" si="49"/>
        <v>0</v>
      </c>
      <c r="H127" s="126" t="str">
        <f t="shared" si="34"/>
        <v/>
      </c>
      <c r="I127" s="127" t="str">
        <f t="shared" si="35"/>
        <v/>
      </c>
      <c r="J127" s="128">
        <f t="shared" si="36"/>
        <v>0</v>
      </c>
      <c r="K127" s="129">
        <f t="shared" si="37"/>
        <v>0</v>
      </c>
      <c r="L127" s="1">
        <f t="shared" si="50"/>
        <v>0</v>
      </c>
      <c r="M127" s="130">
        <f t="shared" si="38"/>
        <v>0</v>
      </c>
      <c r="N127" s="131">
        <f t="shared" si="39"/>
        <v>0</v>
      </c>
      <c r="O127" s="15"/>
      <c r="P127" s="32">
        <f t="shared" si="51"/>
        <v>0</v>
      </c>
      <c r="Q127" s="33"/>
      <c r="R127" s="75">
        <f t="shared" si="52"/>
        <v>0</v>
      </c>
      <c r="V127" s="68">
        <f t="shared" si="40"/>
        <v>0</v>
      </c>
      <c r="AA127" s="4">
        <f t="shared" si="41"/>
        <v>1</v>
      </c>
      <c r="AB127" s="4">
        <f t="shared" si="42"/>
        <v>4</v>
      </c>
      <c r="AC127" s="12">
        <f t="shared" si="43"/>
        <v>10</v>
      </c>
      <c r="AJ127" s="5">
        <f t="shared" si="63"/>
        <v>0</v>
      </c>
      <c r="AK127" s="5">
        <f t="shared" si="53"/>
        <v>0</v>
      </c>
      <c r="AL127" s="77">
        <f t="shared" si="65"/>
        <v>49461</v>
      </c>
      <c r="AM127" s="27" t="str">
        <f t="shared" si="54"/>
        <v/>
      </c>
      <c r="AN127" s="76">
        <f t="shared" si="55"/>
        <v>113</v>
      </c>
      <c r="AO127" s="13">
        <f t="shared" si="56"/>
        <v>0</v>
      </c>
      <c r="AP127" s="62">
        <f t="shared" si="57"/>
        <v>0</v>
      </c>
      <c r="AQ127" s="9" t="str">
        <f t="shared" si="44"/>
        <v/>
      </c>
      <c r="AR127" s="60" t="str">
        <f t="shared" si="45"/>
        <v/>
      </c>
      <c r="AS127" s="8">
        <f t="shared" si="58"/>
        <v>0</v>
      </c>
      <c r="AT127" s="11">
        <f t="shared" si="59"/>
        <v>0</v>
      </c>
      <c r="AU127" s="15">
        <v>0</v>
      </c>
      <c r="AV127" s="32">
        <f t="shared" si="60"/>
        <v>0</v>
      </c>
      <c r="AW127" s="33"/>
      <c r="AX127" s="75">
        <f t="shared" si="61"/>
        <v>0</v>
      </c>
    </row>
    <row r="128" spans="1:50" x14ac:dyDescent="0.25">
      <c r="A128" s="5">
        <f t="shared" si="62"/>
        <v>0</v>
      </c>
      <c r="B128" s="5">
        <f t="shared" si="46"/>
        <v>0</v>
      </c>
      <c r="C128" s="77">
        <f t="shared" si="64"/>
        <v>49491</v>
      </c>
      <c r="D128" s="122" t="str">
        <f t="shared" si="33"/>
        <v/>
      </c>
      <c r="E128" s="123">
        <f t="shared" si="47"/>
        <v>114</v>
      </c>
      <c r="F128" s="124">
        <f t="shared" si="48"/>
        <v>0</v>
      </c>
      <c r="G128" s="125">
        <f t="shared" si="49"/>
        <v>0</v>
      </c>
      <c r="H128" s="126" t="str">
        <f t="shared" si="34"/>
        <v/>
      </c>
      <c r="I128" s="127" t="str">
        <f t="shared" si="35"/>
        <v/>
      </c>
      <c r="J128" s="128">
        <f t="shared" si="36"/>
        <v>0</v>
      </c>
      <c r="K128" s="129">
        <f t="shared" si="37"/>
        <v>0</v>
      </c>
      <c r="L128" s="1">
        <f t="shared" si="50"/>
        <v>0</v>
      </c>
      <c r="M128" s="130">
        <f t="shared" si="38"/>
        <v>0</v>
      </c>
      <c r="N128" s="131">
        <f t="shared" si="39"/>
        <v>0</v>
      </c>
      <c r="O128" s="15"/>
      <c r="P128" s="32">
        <f t="shared" si="51"/>
        <v>0</v>
      </c>
      <c r="Q128" s="33"/>
      <c r="R128" s="75">
        <f t="shared" si="52"/>
        <v>0</v>
      </c>
      <c r="V128" s="68">
        <f t="shared" si="40"/>
        <v>0</v>
      </c>
      <c r="AA128" s="4">
        <f t="shared" si="41"/>
        <v>1</v>
      </c>
      <c r="AB128" s="4">
        <f t="shared" si="42"/>
        <v>4</v>
      </c>
      <c r="AC128" s="12">
        <f t="shared" si="43"/>
        <v>10</v>
      </c>
      <c r="AJ128" s="5">
        <f t="shared" si="63"/>
        <v>0</v>
      </c>
      <c r="AK128" s="5">
        <f t="shared" si="53"/>
        <v>0</v>
      </c>
      <c r="AL128" s="77">
        <f t="shared" si="65"/>
        <v>49491</v>
      </c>
      <c r="AM128" s="27" t="str">
        <f t="shared" si="54"/>
        <v/>
      </c>
      <c r="AN128" s="76">
        <f t="shared" si="55"/>
        <v>114</v>
      </c>
      <c r="AO128" s="13">
        <f t="shared" si="56"/>
        <v>0</v>
      </c>
      <c r="AP128" s="62">
        <f t="shared" si="57"/>
        <v>0</v>
      </c>
      <c r="AQ128" s="9" t="str">
        <f t="shared" si="44"/>
        <v/>
      </c>
      <c r="AR128" s="60" t="str">
        <f t="shared" si="45"/>
        <v/>
      </c>
      <c r="AS128" s="8">
        <f t="shared" si="58"/>
        <v>0</v>
      </c>
      <c r="AT128" s="11">
        <f t="shared" si="59"/>
        <v>0</v>
      </c>
      <c r="AU128" s="15">
        <v>0</v>
      </c>
      <c r="AV128" s="32">
        <f t="shared" si="60"/>
        <v>0</v>
      </c>
      <c r="AW128" s="33"/>
      <c r="AX128" s="75">
        <f t="shared" si="61"/>
        <v>0</v>
      </c>
    </row>
    <row r="129" spans="1:50" x14ac:dyDescent="0.25">
      <c r="A129" s="5">
        <f t="shared" si="62"/>
        <v>0</v>
      </c>
      <c r="B129" s="5">
        <f t="shared" si="46"/>
        <v>0</v>
      </c>
      <c r="C129" s="77">
        <f t="shared" si="64"/>
        <v>49522</v>
      </c>
      <c r="D129" s="122" t="str">
        <f t="shared" si="33"/>
        <v/>
      </c>
      <c r="E129" s="123">
        <f t="shared" si="47"/>
        <v>115</v>
      </c>
      <c r="F129" s="124">
        <f t="shared" si="48"/>
        <v>0</v>
      </c>
      <c r="G129" s="125">
        <f t="shared" si="49"/>
        <v>0</v>
      </c>
      <c r="H129" s="126" t="str">
        <f t="shared" si="34"/>
        <v/>
      </c>
      <c r="I129" s="127" t="str">
        <f t="shared" si="35"/>
        <v/>
      </c>
      <c r="J129" s="128">
        <f t="shared" si="36"/>
        <v>0</v>
      </c>
      <c r="K129" s="129">
        <f t="shared" si="37"/>
        <v>0</v>
      </c>
      <c r="L129" s="1">
        <f t="shared" si="50"/>
        <v>0</v>
      </c>
      <c r="M129" s="130">
        <f t="shared" si="38"/>
        <v>0</v>
      </c>
      <c r="N129" s="131">
        <f t="shared" si="39"/>
        <v>0</v>
      </c>
      <c r="O129" s="15"/>
      <c r="P129" s="32">
        <f t="shared" si="51"/>
        <v>0</v>
      </c>
      <c r="Q129" s="33"/>
      <c r="R129" s="75">
        <f t="shared" si="52"/>
        <v>0</v>
      </c>
      <c r="V129" s="68">
        <f t="shared" si="40"/>
        <v>0</v>
      </c>
      <c r="AA129" s="4">
        <f t="shared" si="41"/>
        <v>1</v>
      </c>
      <c r="AB129" s="4">
        <f t="shared" si="42"/>
        <v>4</v>
      </c>
      <c r="AC129" s="12">
        <f t="shared" si="43"/>
        <v>10</v>
      </c>
      <c r="AJ129" s="5">
        <f t="shared" si="63"/>
        <v>0</v>
      </c>
      <c r="AK129" s="5">
        <f t="shared" si="53"/>
        <v>0</v>
      </c>
      <c r="AL129" s="77">
        <f t="shared" si="65"/>
        <v>49522</v>
      </c>
      <c r="AM129" s="27" t="str">
        <f t="shared" si="54"/>
        <v/>
      </c>
      <c r="AN129" s="76">
        <f t="shared" si="55"/>
        <v>115</v>
      </c>
      <c r="AO129" s="13">
        <f t="shared" si="56"/>
        <v>0</v>
      </c>
      <c r="AP129" s="62">
        <f t="shared" si="57"/>
        <v>0</v>
      </c>
      <c r="AQ129" s="9" t="str">
        <f t="shared" si="44"/>
        <v/>
      </c>
      <c r="AR129" s="60" t="str">
        <f t="shared" si="45"/>
        <v/>
      </c>
      <c r="AS129" s="8">
        <f t="shared" si="58"/>
        <v>0</v>
      </c>
      <c r="AT129" s="11">
        <f t="shared" si="59"/>
        <v>0</v>
      </c>
      <c r="AU129" s="15">
        <v>0</v>
      </c>
      <c r="AV129" s="32">
        <f t="shared" si="60"/>
        <v>0</v>
      </c>
      <c r="AW129" s="33"/>
      <c r="AX129" s="75">
        <f t="shared" si="61"/>
        <v>0</v>
      </c>
    </row>
    <row r="130" spans="1:50" x14ac:dyDescent="0.25">
      <c r="A130" s="5">
        <f t="shared" si="62"/>
        <v>0</v>
      </c>
      <c r="B130" s="5">
        <f t="shared" si="46"/>
        <v>0</v>
      </c>
      <c r="C130" s="77">
        <f t="shared" si="64"/>
        <v>49553</v>
      </c>
      <c r="D130" s="122" t="str">
        <f t="shared" si="33"/>
        <v/>
      </c>
      <c r="E130" s="123">
        <f t="shared" si="47"/>
        <v>116</v>
      </c>
      <c r="F130" s="124">
        <f t="shared" si="48"/>
        <v>0</v>
      </c>
      <c r="G130" s="125">
        <f t="shared" si="49"/>
        <v>0</v>
      </c>
      <c r="H130" s="126" t="str">
        <f t="shared" si="34"/>
        <v/>
      </c>
      <c r="I130" s="127" t="str">
        <f t="shared" si="35"/>
        <v/>
      </c>
      <c r="J130" s="128">
        <f t="shared" si="36"/>
        <v>0</v>
      </c>
      <c r="K130" s="129">
        <f t="shared" si="37"/>
        <v>0</v>
      </c>
      <c r="L130" s="1">
        <f t="shared" si="50"/>
        <v>0</v>
      </c>
      <c r="M130" s="130">
        <f t="shared" si="38"/>
        <v>0</v>
      </c>
      <c r="N130" s="131">
        <f t="shared" si="39"/>
        <v>0</v>
      </c>
      <c r="O130" s="15"/>
      <c r="P130" s="32">
        <f t="shared" si="51"/>
        <v>0</v>
      </c>
      <c r="Q130" s="33"/>
      <c r="R130" s="75">
        <f t="shared" si="52"/>
        <v>0</v>
      </c>
      <c r="V130" s="68">
        <f t="shared" si="40"/>
        <v>0</v>
      </c>
      <c r="AA130" s="4">
        <f t="shared" si="41"/>
        <v>1</v>
      </c>
      <c r="AB130" s="4">
        <f t="shared" si="42"/>
        <v>4</v>
      </c>
      <c r="AC130" s="12">
        <f t="shared" si="43"/>
        <v>10</v>
      </c>
      <c r="AJ130" s="5">
        <f t="shared" si="63"/>
        <v>0</v>
      </c>
      <c r="AK130" s="5">
        <f t="shared" si="53"/>
        <v>0</v>
      </c>
      <c r="AL130" s="77">
        <f t="shared" si="65"/>
        <v>49553</v>
      </c>
      <c r="AM130" s="27" t="str">
        <f t="shared" si="54"/>
        <v/>
      </c>
      <c r="AN130" s="76">
        <f t="shared" si="55"/>
        <v>116</v>
      </c>
      <c r="AO130" s="13">
        <f t="shared" si="56"/>
        <v>0</v>
      </c>
      <c r="AP130" s="62">
        <f t="shared" si="57"/>
        <v>0</v>
      </c>
      <c r="AQ130" s="9" t="str">
        <f t="shared" si="44"/>
        <v/>
      </c>
      <c r="AR130" s="60" t="str">
        <f t="shared" si="45"/>
        <v/>
      </c>
      <c r="AS130" s="8">
        <f t="shared" si="58"/>
        <v>0</v>
      </c>
      <c r="AT130" s="11">
        <f t="shared" si="59"/>
        <v>0</v>
      </c>
      <c r="AU130" s="15">
        <v>0</v>
      </c>
      <c r="AV130" s="32">
        <f t="shared" si="60"/>
        <v>0</v>
      </c>
      <c r="AW130" s="33"/>
      <c r="AX130" s="75">
        <f t="shared" si="61"/>
        <v>0</v>
      </c>
    </row>
    <row r="131" spans="1:50" x14ac:dyDescent="0.25">
      <c r="A131" s="5">
        <f t="shared" si="62"/>
        <v>0</v>
      </c>
      <c r="B131" s="5">
        <f t="shared" si="46"/>
        <v>0</v>
      </c>
      <c r="C131" s="77">
        <f t="shared" si="64"/>
        <v>49583</v>
      </c>
      <c r="D131" s="122" t="str">
        <f t="shared" si="33"/>
        <v/>
      </c>
      <c r="E131" s="123">
        <f t="shared" si="47"/>
        <v>117</v>
      </c>
      <c r="F131" s="124">
        <f t="shared" si="48"/>
        <v>0</v>
      </c>
      <c r="G131" s="125">
        <f t="shared" si="49"/>
        <v>0</v>
      </c>
      <c r="H131" s="126" t="str">
        <f t="shared" si="34"/>
        <v/>
      </c>
      <c r="I131" s="127" t="str">
        <f t="shared" si="35"/>
        <v/>
      </c>
      <c r="J131" s="128">
        <f t="shared" si="36"/>
        <v>0</v>
      </c>
      <c r="K131" s="129">
        <f t="shared" si="37"/>
        <v>0</v>
      </c>
      <c r="L131" s="1">
        <f t="shared" si="50"/>
        <v>0</v>
      </c>
      <c r="M131" s="130">
        <f t="shared" si="38"/>
        <v>0</v>
      </c>
      <c r="N131" s="131">
        <f t="shared" si="39"/>
        <v>0</v>
      </c>
      <c r="O131" s="15"/>
      <c r="P131" s="32">
        <f t="shared" si="51"/>
        <v>0</v>
      </c>
      <c r="Q131" s="33"/>
      <c r="R131" s="75">
        <f t="shared" si="52"/>
        <v>0</v>
      </c>
      <c r="V131" s="68">
        <f t="shared" si="40"/>
        <v>0</v>
      </c>
      <c r="AA131" s="4">
        <f t="shared" si="41"/>
        <v>1</v>
      </c>
      <c r="AB131" s="4">
        <f t="shared" si="42"/>
        <v>4</v>
      </c>
      <c r="AC131" s="12">
        <f t="shared" si="43"/>
        <v>10</v>
      </c>
      <c r="AJ131" s="5">
        <f t="shared" si="63"/>
        <v>0</v>
      </c>
      <c r="AK131" s="5">
        <f t="shared" si="53"/>
        <v>0</v>
      </c>
      <c r="AL131" s="77">
        <f t="shared" si="65"/>
        <v>49583</v>
      </c>
      <c r="AM131" s="27" t="str">
        <f t="shared" si="54"/>
        <v/>
      </c>
      <c r="AN131" s="76">
        <f t="shared" si="55"/>
        <v>117</v>
      </c>
      <c r="AO131" s="13">
        <f t="shared" si="56"/>
        <v>0</v>
      </c>
      <c r="AP131" s="62">
        <f t="shared" si="57"/>
        <v>0</v>
      </c>
      <c r="AQ131" s="9" t="str">
        <f t="shared" si="44"/>
        <v/>
      </c>
      <c r="AR131" s="60" t="str">
        <f t="shared" si="45"/>
        <v/>
      </c>
      <c r="AS131" s="8">
        <f t="shared" si="58"/>
        <v>0</v>
      </c>
      <c r="AT131" s="11">
        <f t="shared" si="59"/>
        <v>0</v>
      </c>
      <c r="AU131" s="15">
        <v>0</v>
      </c>
      <c r="AV131" s="32">
        <f t="shared" si="60"/>
        <v>0</v>
      </c>
      <c r="AW131" s="33"/>
      <c r="AX131" s="75">
        <f t="shared" si="61"/>
        <v>0</v>
      </c>
    </row>
    <row r="132" spans="1:50" x14ac:dyDescent="0.25">
      <c r="A132" s="5">
        <f t="shared" si="62"/>
        <v>0</v>
      </c>
      <c r="B132" s="5">
        <f t="shared" si="46"/>
        <v>0</v>
      </c>
      <c r="C132" s="77">
        <f t="shared" si="64"/>
        <v>49614</v>
      </c>
      <c r="D132" s="122" t="str">
        <f t="shared" si="33"/>
        <v/>
      </c>
      <c r="E132" s="123">
        <f t="shared" si="47"/>
        <v>118</v>
      </c>
      <c r="F132" s="124">
        <f t="shared" si="48"/>
        <v>0</v>
      </c>
      <c r="G132" s="125">
        <f t="shared" si="49"/>
        <v>0</v>
      </c>
      <c r="H132" s="126" t="str">
        <f t="shared" si="34"/>
        <v/>
      </c>
      <c r="I132" s="127" t="str">
        <f t="shared" si="35"/>
        <v/>
      </c>
      <c r="J132" s="128">
        <f t="shared" si="36"/>
        <v>0</v>
      </c>
      <c r="K132" s="129">
        <f t="shared" si="37"/>
        <v>0</v>
      </c>
      <c r="L132" s="1">
        <f t="shared" si="50"/>
        <v>0</v>
      </c>
      <c r="M132" s="130">
        <f t="shared" si="38"/>
        <v>0</v>
      </c>
      <c r="N132" s="131">
        <f t="shared" si="39"/>
        <v>0</v>
      </c>
      <c r="O132" s="15"/>
      <c r="P132" s="32">
        <f t="shared" si="51"/>
        <v>0</v>
      </c>
      <c r="Q132" s="33"/>
      <c r="R132" s="75">
        <f t="shared" si="52"/>
        <v>0</v>
      </c>
      <c r="V132" s="68">
        <f t="shared" si="40"/>
        <v>0</v>
      </c>
      <c r="AA132" s="4">
        <f t="shared" si="41"/>
        <v>1</v>
      </c>
      <c r="AB132" s="4">
        <f t="shared" si="42"/>
        <v>4</v>
      </c>
      <c r="AC132" s="12">
        <f t="shared" si="43"/>
        <v>10</v>
      </c>
      <c r="AJ132" s="5">
        <f t="shared" si="63"/>
        <v>0</v>
      </c>
      <c r="AK132" s="5">
        <f t="shared" si="53"/>
        <v>0</v>
      </c>
      <c r="AL132" s="77">
        <f t="shared" si="65"/>
        <v>49614</v>
      </c>
      <c r="AM132" s="27" t="str">
        <f t="shared" si="54"/>
        <v/>
      </c>
      <c r="AN132" s="76">
        <f t="shared" si="55"/>
        <v>118</v>
      </c>
      <c r="AO132" s="13">
        <f t="shared" si="56"/>
        <v>0</v>
      </c>
      <c r="AP132" s="62">
        <f t="shared" si="57"/>
        <v>0</v>
      </c>
      <c r="AQ132" s="9" t="str">
        <f t="shared" si="44"/>
        <v/>
      </c>
      <c r="AR132" s="60" t="str">
        <f t="shared" si="45"/>
        <v/>
      </c>
      <c r="AS132" s="8">
        <f t="shared" si="58"/>
        <v>0</v>
      </c>
      <c r="AT132" s="11">
        <f t="shared" si="59"/>
        <v>0</v>
      </c>
      <c r="AU132" s="15">
        <v>0</v>
      </c>
      <c r="AV132" s="32">
        <f t="shared" si="60"/>
        <v>0</v>
      </c>
      <c r="AW132" s="33"/>
      <c r="AX132" s="75">
        <f t="shared" si="61"/>
        <v>0</v>
      </c>
    </row>
    <row r="133" spans="1:50" x14ac:dyDescent="0.25">
      <c r="A133" s="5">
        <f t="shared" si="62"/>
        <v>0</v>
      </c>
      <c r="B133" s="5">
        <f t="shared" si="46"/>
        <v>0</v>
      </c>
      <c r="C133" s="77">
        <f t="shared" si="64"/>
        <v>49644</v>
      </c>
      <c r="D133" s="122" t="str">
        <f t="shared" si="33"/>
        <v/>
      </c>
      <c r="E133" s="123">
        <f t="shared" si="47"/>
        <v>119</v>
      </c>
      <c r="F133" s="124">
        <f t="shared" si="48"/>
        <v>0</v>
      </c>
      <c r="G133" s="125">
        <f t="shared" si="49"/>
        <v>0</v>
      </c>
      <c r="H133" s="126" t="str">
        <f t="shared" si="34"/>
        <v/>
      </c>
      <c r="I133" s="127" t="str">
        <f t="shared" si="35"/>
        <v/>
      </c>
      <c r="J133" s="128">
        <f t="shared" si="36"/>
        <v>0</v>
      </c>
      <c r="K133" s="129">
        <f t="shared" si="37"/>
        <v>0</v>
      </c>
      <c r="L133" s="1">
        <f t="shared" si="50"/>
        <v>0</v>
      </c>
      <c r="M133" s="130">
        <f t="shared" si="38"/>
        <v>0</v>
      </c>
      <c r="N133" s="131">
        <f t="shared" si="39"/>
        <v>0</v>
      </c>
      <c r="O133" s="15"/>
      <c r="P133" s="32">
        <f t="shared" si="51"/>
        <v>0</v>
      </c>
      <c r="Q133" s="33"/>
      <c r="R133" s="75">
        <f t="shared" si="52"/>
        <v>0</v>
      </c>
      <c r="V133" s="68">
        <f t="shared" si="40"/>
        <v>0</v>
      </c>
      <c r="AA133" s="4">
        <f t="shared" si="41"/>
        <v>1</v>
      </c>
      <c r="AB133" s="4">
        <f t="shared" si="42"/>
        <v>4</v>
      </c>
      <c r="AC133" s="12">
        <f t="shared" si="43"/>
        <v>10</v>
      </c>
      <c r="AJ133" s="5">
        <f t="shared" si="63"/>
        <v>0</v>
      </c>
      <c r="AK133" s="5">
        <f t="shared" si="53"/>
        <v>0</v>
      </c>
      <c r="AL133" s="77">
        <f t="shared" si="65"/>
        <v>49644</v>
      </c>
      <c r="AM133" s="27" t="str">
        <f t="shared" si="54"/>
        <v/>
      </c>
      <c r="AN133" s="76">
        <f t="shared" si="55"/>
        <v>119</v>
      </c>
      <c r="AO133" s="13">
        <f t="shared" si="56"/>
        <v>0</v>
      </c>
      <c r="AP133" s="62">
        <f t="shared" si="57"/>
        <v>0</v>
      </c>
      <c r="AQ133" s="9" t="str">
        <f t="shared" si="44"/>
        <v/>
      </c>
      <c r="AR133" s="60" t="str">
        <f t="shared" si="45"/>
        <v/>
      </c>
      <c r="AS133" s="8">
        <f t="shared" si="58"/>
        <v>0</v>
      </c>
      <c r="AT133" s="11">
        <f t="shared" si="59"/>
        <v>0</v>
      </c>
      <c r="AU133" s="15">
        <v>0</v>
      </c>
      <c r="AV133" s="32">
        <f t="shared" si="60"/>
        <v>0</v>
      </c>
      <c r="AW133" s="33"/>
      <c r="AX133" s="75">
        <f t="shared" si="61"/>
        <v>0</v>
      </c>
    </row>
    <row r="134" spans="1:50" x14ac:dyDescent="0.25">
      <c r="A134" s="5">
        <f t="shared" si="62"/>
        <v>0</v>
      </c>
      <c r="B134" s="5">
        <f t="shared" si="46"/>
        <v>0</v>
      </c>
      <c r="C134" s="77">
        <f t="shared" si="64"/>
        <v>49675</v>
      </c>
      <c r="D134" s="122" t="str">
        <f t="shared" si="33"/>
        <v/>
      </c>
      <c r="E134" s="123">
        <f t="shared" si="47"/>
        <v>120</v>
      </c>
      <c r="F134" s="124">
        <f t="shared" si="48"/>
        <v>0</v>
      </c>
      <c r="G134" s="125">
        <f t="shared" si="49"/>
        <v>0</v>
      </c>
      <c r="H134" s="126" t="str">
        <f t="shared" si="34"/>
        <v/>
      </c>
      <c r="I134" s="127" t="str">
        <f t="shared" si="35"/>
        <v/>
      </c>
      <c r="J134" s="128">
        <f t="shared" si="36"/>
        <v>0</v>
      </c>
      <c r="K134" s="129">
        <f t="shared" si="37"/>
        <v>0</v>
      </c>
      <c r="L134" s="133">
        <f t="shared" si="50"/>
        <v>0</v>
      </c>
      <c r="M134" s="130">
        <f t="shared" si="38"/>
        <v>0</v>
      </c>
      <c r="N134" s="131">
        <f t="shared" si="39"/>
        <v>0</v>
      </c>
      <c r="O134" s="15"/>
      <c r="P134" s="32">
        <f t="shared" si="51"/>
        <v>0</v>
      </c>
      <c r="Q134" s="33"/>
      <c r="R134" s="75">
        <f t="shared" si="52"/>
        <v>0</v>
      </c>
      <c r="V134" s="68">
        <f t="shared" si="40"/>
        <v>0</v>
      </c>
      <c r="AA134" s="4">
        <f t="shared" si="41"/>
        <v>1</v>
      </c>
      <c r="AB134" s="4">
        <f t="shared" si="42"/>
        <v>4</v>
      </c>
      <c r="AC134" s="12">
        <f t="shared" si="43"/>
        <v>10</v>
      </c>
      <c r="AJ134" s="5">
        <f t="shared" si="63"/>
        <v>0</v>
      </c>
      <c r="AK134" s="5">
        <f t="shared" si="53"/>
        <v>0</v>
      </c>
      <c r="AL134" s="77">
        <f t="shared" si="65"/>
        <v>49675</v>
      </c>
      <c r="AM134" s="27" t="str">
        <f t="shared" si="54"/>
        <v/>
      </c>
      <c r="AN134" s="76">
        <f t="shared" si="55"/>
        <v>120</v>
      </c>
      <c r="AO134" s="13">
        <f t="shared" si="56"/>
        <v>0</v>
      </c>
      <c r="AP134" s="62">
        <f t="shared" si="57"/>
        <v>0</v>
      </c>
      <c r="AQ134" s="9" t="str">
        <f t="shared" si="44"/>
        <v/>
      </c>
      <c r="AR134" s="60" t="str">
        <f t="shared" si="45"/>
        <v/>
      </c>
      <c r="AS134" s="19">
        <f t="shared" si="58"/>
        <v>0</v>
      </c>
      <c r="AT134" s="11">
        <f t="shared" si="59"/>
        <v>0</v>
      </c>
      <c r="AU134" s="15">
        <v>0</v>
      </c>
      <c r="AV134" s="32">
        <f t="shared" si="60"/>
        <v>0</v>
      </c>
      <c r="AW134" s="33"/>
      <c r="AX134" s="75">
        <f t="shared" si="61"/>
        <v>0</v>
      </c>
    </row>
    <row r="135" spans="1:50" x14ac:dyDescent="0.25">
      <c r="A135" s="5">
        <f t="shared" si="62"/>
        <v>0</v>
      </c>
      <c r="B135" s="5">
        <f t="shared" si="46"/>
        <v>0</v>
      </c>
      <c r="C135" s="77">
        <f t="shared" si="64"/>
        <v>49706</v>
      </c>
      <c r="D135" s="122" t="str">
        <f t="shared" si="33"/>
        <v/>
      </c>
      <c r="E135" s="123">
        <f t="shared" si="47"/>
        <v>121</v>
      </c>
      <c r="F135" s="124">
        <f t="shared" si="48"/>
        <v>0</v>
      </c>
      <c r="G135" s="125">
        <f t="shared" si="49"/>
        <v>0</v>
      </c>
      <c r="H135" s="126" t="str">
        <f t="shared" si="34"/>
        <v/>
      </c>
      <c r="I135" s="127" t="str">
        <f t="shared" si="35"/>
        <v/>
      </c>
      <c r="J135" s="128">
        <f t="shared" si="36"/>
        <v>0</v>
      </c>
      <c r="K135" s="129">
        <f t="shared" si="37"/>
        <v>0</v>
      </c>
      <c r="L135" s="1">
        <f t="shared" si="50"/>
        <v>0</v>
      </c>
      <c r="M135" s="130">
        <f t="shared" si="38"/>
        <v>0</v>
      </c>
      <c r="N135" s="131">
        <f t="shared" si="39"/>
        <v>0</v>
      </c>
      <c r="O135" s="15"/>
      <c r="P135" s="32">
        <f t="shared" si="51"/>
        <v>0</v>
      </c>
      <c r="Q135" s="33"/>
      <c r="R135" s="75">
        <f t="shared" si="52"/>
        <v>0</v>
      </c>
      <c r="V135" s="68">
        <f t="shared" si="40"/>
        <v>0</v>
      </c>
      <c r="AA135" s="4">
        <f t="shared" si="41"/>
        <v>2</v>
      </c>
      <c r="AB135" s="4">
        <f t="shared" si="42"/>
        <v>4</v>
      </c>
      <c r="AC135" s="12">
        <f t="shared" si="43"/>
        <v>11</v>
      </c>
      <c r="AJ135" s="5">
        <f t="shared" si="63"/>
        <v>0</v>
      </c>
      <c r="AK135" s="5">
        <f t="shared" si="53"/>
        <v>0</v>
      </c>
      <c r="AL135" s="77">
        <f t="shared" si="65"/>
        <v>49706</v>
      </c>
      <c r="AM135" s="27" t="str">
        <f t="shared" si="54"/>
        <v/>
      </c>
      <c r="AN135" s="76">
        <f t="shared" si="55"/>
        <v>121</v>
      </c>
      <c r="AO135" s="13">
        <f t="shared" si="56"/>
        <v>0</v>
      </c>
      <c r="AP135" s="62">
        <f t="shared" si="57"/>
        <v>0</v>
      </c>
      <c r="AQ135" s="9" t="str">
        <f t="shared" si="44"/>
        <v/>
      </c>
      <c r="AR135" s="60" t="str">
        <f t="shared" si="45"/>
        <v/>
      </c>
      <c r="AS135" s="8">
        <f t="shared" si="58"/>
        <v>0</v>
      </c>
      <c r="AT135" s="11">
        <f t="shared" si="59"/>
        <v>0</v>
      </c>
      <c r="AU135" s="15">
        <v>0</v>
      </c>
      <c r="AV135" s="32">
        <f t="shared" si="60"/>
        <v>0</v>
      </c>
      <c r="AW135" s="33"/>
      <c r="AX135" s="75">
        <f t="shared" si="61"/>
        <v>0</v>
      </c>
    </row>
    <row r="136" spans="1:50" x14ac:dyDescent="0.25">
      <c r="A136" s="5">
        <f t="shared" si="62"/>
        <v>0</v>
      </c>
      <c r="B136" s="5">
        <f t="shared" si="46"/>
        <v>0</v>
      </c>
      <c r="C136" s="77">
        <f t="shared" si="64"/>
        <v>49735</v>
      </c>
      <c r="D136" s="122" t="str">
        <f t="shared" si="33"/>
        <v/>
      </c>
      <c r="E136" s="123">
        <f t="shared" si="47"/>
        <v>122</v>
      </c>
      <c r="F136" s="124">
        <f t="shared" si="48"/>
        <v>0</v>
      </c>
      <c r="G136" s="125">
        <f t="shared" si="49"/>
        <v>0</v>
      </c>
      <c r="H136" s="126" t="str">
        <f t="shared" si="34"/>
        <v/>
      </c>
      <c r="I136" s="127" t="str">
        <f t="shared" si="35"/>
        <v/>
      </c>
      <c r="J136" s="128">
        <f t="shared" si="36"/>
        <v>0</v>
      </c>
      <c r="K136" s="129">
        <f t="shared" si="37"/>
        <v>0</v>
      </c>
      <c r="L136" s="1">
        <f t="shared" si="50"/>
        <v>0</v>
      </c>
      <c r="M136" s="130">
        <f t="shared" si="38"/>
        <v>0</v>
      </c>
      <c r="N136" s="131">
        <f t="shared" si="39"/>
        <v>0</v>
      </c>
      <c r="O136" s="15"/>
      <c r="P136" s="32">
        <f t="shared" si="51"/>
        <v>0</v>
      </c>
      <c r="Q136" s="33"/>
      <c r="R136" s="75">
        <f t="shared" si="52"/>
        <v>0</v>
      </c>
      <c r="V136" s="68">
        <f t="shared" si="40"/>
        <v>0</v>
      </c>
      <c r="AA136" s="4">
        <f t="shared" si="41"/>
        <v>2</v>
      </c>
      <c r="AB136" s="4">
        <f t="shared" si="42"/>
        <v>4</v>
      </c>
      <c r="AC136" s="12">
        <f t="shared" si="43"/>
        <v>11</v>
      </c>
      <c r="AJ136" s="5">
        <f t="shared" si="63"/>
        <v>0</v>
      </c>
      <c r="AK136" s="5">
        <f t="shared" si="53"/>
        <v>0</v>
      </c>
      <c r="AL136" s="77">
        <f t="shared" si="65"/>
        <v>49735</v>
      </c>
      <c r="AM136" s="27" t="str">
        <f t="shared" si="54"/>
        <v/>
      </c>
      <c r="AN136" s="76">
        <f t="shared" si="55"/>
        <v>122</v>
      </c>
      <c r="AO136" s="13">
        <f t="shared" si="56"/>
        <v>0</v>
      </c>
      <c r="AP136" s="62">
        <f t="shared" si="57"/>
        <v>0</v>
      </c>
      <c r="AQ136" s="9" t="str">
        <f t="shared" si="44"/>
        <v/>
      </c>
      <c r="AR136" s="60" t="str">
        <f t="shared" si="45"/>
        <v/>
      </c>
      <c r="AS136" s="8">
        <f t="shared" si="58"/>
        <v>0</v>
      </c>
      <c r="AT136" s="11">
        <f t="shared" si="59"/>
        <v>0</v>
      </c>
      <c r="AU136" s="15">
        <v>0</v>
      </c>
      <c r="AV136" s="32">
        <f t="shared" si="60"/>
        <v>0</v>
      </c>
      <c r="AW136" s="33"/>
      <c r="AX136" s="75">
        <f t="shared" si="61"/>
        <v>0</v>
      </c>
    </row>
    <row r="137" spans="1:50" x14ac:dyDescent="0.25">
      <c r="A137" s="5">
        <f t="shared" si="62"/>
        <v>0</v>
      </c>
      <c r="B137" s="5">
        <f t="shared" si="46"/>
        <v>0</v>
      </c>
      <c r="C137" s="77">
        <f t="shared" si="64"/>
        <v>49766</v>
      </c>
      <c r="D137" s="122" t="str">
        <f t="shared" si="33"/>
        <v/>
      </c>
      <c r="E137" s="123">
        <f t="shared" si="47"/>
        <v>123</v>
      </c>
      <c r="F137" s="124">
        <f t="shared" si="48"/>
        <v>0</v>
      </c>
      <c r="G137" s="125">
        <f t="shared" si="49"/>
        <v>0</v>
      </c>
      <c r="H137" s="126" t="str">
        <f t="shared" si="34"/>
        <v/>
      </c>
      <c r="I137" s="127" t="str">
        <f t="shared" si="35"/>
        <v/>
      </c>
      <c r="J137" s="128">
        <f t="shared" si="36"/>
        <v>0</v>
      </c>
      <c r="K137" s="129">
        <f t="shared" si="37"/>
        <v>0</v>
      </c>
      <c r="L137" s="1">
        <f t="shared" si="50"/>
        <v>0</v>
      </c>
      <c r="M137" s="130">
        <f t="shared" si="38"/>
        <v>0</v>
      </c>
      <c r="N137" s="131">
        <f t="shared" si="39"/>
        <v>0</v>
      </c>
      <c r="O137" s="15"/>
      <c r="P137" s="32">
        <f t="shared" si="51"/>
        <v>0</v>
      </c>
      <c r="Q137" s="33"/>
      <c r="R137" s="75">
        <f t="shared" si="52"/>
        <v>0</v>
      </c>
      <c r="V137" s="68">
        <f t="shared" si="40"/>
        <v>0</v>
      </c>
      <c r="AA137" s="4">
        <f t="shared" si="41"/>
        <v>2</v>
      </c>
      <c r="AB137" s="4">
        <f t="shared" si="42"/>
        <v>4</v>
      </c>
      <c r="AC137" s="12">
        <f t="shared" si="43"/>
        <v>11</v>
      </c>
      <c r="AJ137" s="5">
        <f t="shared" si="63"/>
        <v>0</v>
      </c>
      <c r="AK137" s="5">
        <f t="shared" si="53"/>
        <v>0</v>
      </c>
      <c r="AL137" s="77">
        <f t="shared" si="65"/>
        <v>49766</v>
      </c>
      <c r="AM137" s="27" t="str">
        <f t="shared" si="54"/>
        <v/>
      </c>
      <c r="AN137" s="76">
        <f t="shared" si="55"/>
        <v>123</v>
      </c>
      <c r="AO137" s="13">
        <f t="shared" si="56"/>
        <v>0</v>
      </c>
      <c r="AP137" s="62">
        <f t="shared" si="57"/>
        <v>0</v>
      </c>
      <c r="AQ137" s="9" t="str">
        <f t="shared" si="44"/>
        <v/>
      </c>
      <c r="AR137" s="60" t="str">
        <f t="shared" si="45"/>
        <v/>
      </c>
      <c r="AS137" s="8">
        <f t="shared" si="58"/>
        <v>0</v>
      </c>
      <c r="AT137" s="11">
        <f t="shared" si="59"/>
        <v>0</v>
      </c>
      <c r="AU137" s="15">
        <v>0</v>
      </c>
      <c r="AV137" s="32">
        <f t="shared" si="60"/>
        <v>0</v>
      </c>
      <c r="AW137" s="33"/>
      <c r="AX137" s="75">
        <f t="shared" si="61"/>
        <v>0</v>
      </c>
    </row>
    <row r="138" spans="1:50" x14ac:dyDescent="0.25">
      <c r="A138" s="5">
        <f t="shared" si="62"/>
        <v>0</v>
      </c>
      <c r="B138" s="5">
        <f t="shared" si="46"/>
        <v>0</v>
      </c>
      <c r="C138" s="77">
        <f t="shared" si="64"/>
        <v>49796</v>
      </c>
      <c r="D138" s="122" t="str">
        <f t="shared" si="33"/>
        <v/>
      </c>
      <c r="E138" s="123">
        <f t="shared" si="47"/>
        <v>124</v>
      </c>
      <c r="F138" s="124">
        <f t="shared" si="48"/>
        <v>0</v>
      </c>
      <c r="G138" s="125">
        <f t="shared" si="49"/>
        <v>0</v>
      </c>
      <c r="H138" s="126" t="str">
        <f t="shared" si="34"/>
        <v/>
      </c>
      <c r="I138" s="127" t="str">
        <f t="shared" si="35"/>
        <v/>
      </c>
      <c r="J138" s="128">
        <f t="shared" si="36"/>
        <v>0</v>
      </c>
      <c r="K138" s="129">
        <f t="shared" si="37"/>
        <v>0</v>
      </c>
      <c r="L138" s="1">
        <f t="shared" si="50"/>
        <v>0</v>
      </c>
      <c r="M138" s="130">
        <f t="shared" si="38"/>
        <v>0</v>
      </c>
      <c r="N138" s="131">
        <f t="shared" si="39"/>
        <v>0</v>
      </c>
      <c r="O138" s="15"/>
      <c r="P138" s="32">
        <f t="shared" si="51"/>
        <v>0</v>
      </c>
      <c r="Q138" s="33"/>
      <c r="R138" s="75">
        <f t="shared" si="52"/>
        <v>0</v>
      </c>
      <c r="V138" s="68">
        <f t="shared" si="40"/>
        <v>0</v>
      </c>
      <c r="AA138" s="4">
        <f t="shared" si="41"/>
        <v>2</v>
      </c>
      <c r="AB138" s="4">
        <f t="shared" si="42"/>
        <v>4</v>
      </c>
      <c r="AC138" s="12">
        <f t="shared" si="43"/>
        <v>11</v>
      </c>
      <c r="AJ138" s="5">
        <f t="shared" si="63"/>
        <v>0</v>
      </c>
      <c r="AK138" s="5">
        <f t="shared" si="53"/>
        <v>0</v>
      </c>
      <c r="AL138" s="77">
        <f t="shared" si="65"/>
        <v>49796</v>
      </c>
      <c r="AM138" s="27" t="str">
        <f t="shared" si="54"/>
        <v/>
      </c>
      <c r="AN138" s="76">
        <f t="shared" si="55"/>
        <v>124</v>
      </c>
      <c r="AO138" s="13">
        <f t="shared" si="56"/>
        <v>0</v>
      </c>
      <c r="AP138" s="62">
        <f t="shared" si="57"/>
        <v>0</v>
      </c>
      <c r="AQ138" s="9" t="str">
        <f t="shared" si="44"/>
        <v/>
      </c>
      <c r="AR138" s="60" t="str">
        <f t="shared" si="45"/>
        <v/>
      </c>
      <c r="AS138" s="8">
        <f t="shared" si="58"/>
        <v>0</v>
      </c>
      <c r="AT138" s="11">
        <f t="shared" si="59"/>
        <v>0</v>
      </c>
      <c r="AU138" s="15">
        <v>0</v>
      </c>
      <c r="AV138" s="32">
        <f t="shared" si="60"/>
        <v>0</v>
      </c>
      <c r="AW138" s="33"/>
      <c r="AX138" s="75">
        <f t="shared" si="61"/>
        <v>0</v>
      </c>
    </row>
    <row r="139" spans="1:50" x14ac:dyDescent="0.25">
      <c r="A139" s="5">
        <f t="shared" si="62"/>
        <v>0</v>
      </c>
      <c r="B139" s="5">
        <f t="shared" si="46"/>
        <v>0</v>
      </c>
      <c r="C139" s="77">
        <f t="shared" si="64"/>
        <v>49827</v>
      </c>
      <c r="D139" s="122" t="str">
        <f t="shared" si="33"/>
        <v/>
      </c>
      <c r="E139" s="123">
        <f t="shared" si="47"/>
        <v>125</v>
      </c>
      <c r="F139" s="124">
        <f t="shared" si="48"/>
        <v>0</v>
      </c>
      <c r="G139" s="125">
        <f t="shared" si="49"/>
        <v>0</v>
      </c>
      <c r="H139" s="126" t="str">
        <f t="shared" si="34"/>
        <v/>
      </c>
      <c r="I139" s="127" t="str">
        <f t="shared" si="35"/>
        <v/>
      </c>
      <c r="J139" s="128">
        <f t="shared" si="36"/>
        <v>0</v>
      </c>
      <c r="K139" s="129">
        <f t="shared" si="37"/>
        <v>0</v>
      </c>
      <c r="L139" s="1">
        <f t="shared" si="50"/>
        <v>0</v>
      </c>
      <c r="M139" s="130">
        <f t="shared" si="38"/>
        <v>0</v>
      </c>
      <c r="N139" s="131">
        <f t="shared" si="39"/>
        <v>0</v>
      </c>
      <c r="O139" s="15"/>
      <c r="P139" s="32">
        <f t="shared" si="51"/>
        <v>0</v>
      </c>
      <c r="Q139" s="33"/>
      <c r="R139" s="75">
        <f t="shared" si="52"/>
        <v>0</v>
      </c>
      <c r="V139" s="68">
        <f t="shared" si="40"/>
        <v>0</v>
      </c>
      <c r="AA139" s="4">
        <f t="shared" si="41"/>
        <v>2</v>
      </c>
      <c r="AB139" s="4">
        <f t="shared" si="42"/>
        <v>4</v>
      </c>
      <c r="AC139" s="12">
        <f t="shared" si="43"/>
        <v>11</v>
      </c>
      <c r="AJ139" s="5">
        <f t="shared" si="63"/>
        <v>0</v>
      </c>
      <c r="AK139" s="5">
        <f t="shared" si="53"/>
        <v>0</v>
      </c>
      <c r="AL139" s="77">
        <f t="shared" si="65"/>
        <v>49827</v>
      </c>
      <c r="AM139" s="27" t="str">
        <f t="shared" si="54"/>
        <v/>
      </c>
      <c r="AN139" s="76">
        <f t="shared" si="55"/>
        <v>125</v>
      </c>
      <c r="AO139" s="13">
        <f t="shared" si="56"/>
        <v>0</v>
      </c>
      <c r="AP139" s="62">
        <f t="shared" si="57"/>
        <v>0</v>
      </c>
      <c r="AQ139" s="9" t="str">
        <f t="shared" si="44"/>
        <v/>
      </c>
      <c r="AR139" s="60" t="str">
        <f t="shared" si="45"/>
        <v/>
      </c>
      <c r="AS139" s="8">
        <f t="shared" si="58"/>
        <v>0</v>
      </c>
      <c r="AT139" s="11">
        <f t="shared" si="59"/>
        <v>0</v>
      </c>
      <c r="AU139" s="15">
        <v>0</v>
      </c>
      <c r="AV139" s="32">
        <f t="shared" si="60"/>
        <v>0</v>
      </c>
      <c r="AW139" s="33"/>
      <c r="AX139" s="75">
        <f t="shared" si="61"/>
        <v>0</v>
      </c>
    </row>
    <row r="140" spans="1:50" x14ac:dyDescent="0.25">
      <c r="A140" s="5">
        <f t="shared" si="62"/>
        <v>0</v>
      </c>
      <c r="B140" s="5">
        <f t="shared" si="46"/>
        <v>0</v>
      </c>
      <c r="C140" s="77">
        <f t="shared" si="64"/>
        <v>49857</v>
      </c>
      <c r="D140" s="122" t="str">
        <f t="shared" si="33"/>
        <v/>
      </c>
      <c r="E140" s="123">
        <f t="shared" si="47"/>
        <v>126</v>
      </c>
      <c r="F140" s="124">
        <f t="shared" si="48"/>
        <v>0</v>
      </c>
      <c r="G140" s="125">
        <f t="shared" si="49"/>
        <v>0</v>
      </c>
      <c r="H140" s="126" t="str">
        <f t="shared" si="34"/>
        <v/>
      </c>
      <c r="I140" s="127" t="str">
        <f t="shared" si="35"/>
        <v/>
      </c>
      <c r="J140" s="128">
        <f t="shared" si="36"/>
        <v>0</v>
      </c>
      <c r="K140" s="129">
        <f t="shared" si="37"/>
        <v>0</v>
      </c>
      <c r="L140" s="1">
        <f t="shared" si="50"/>
        <v>0</v>
      </c>
      <c r="M140" s="130">
        <f t="shared" si="38"/>
        <v>0</v>
      </c>
      <c r="N140" s="131">
        <f t="shared" si="39"/>
        <v>0</v>
      </c>
      <c r="O140" s="15"/>
      <c r="P140" s="32">
        <f t="shared" si="51"/>
        <v>0</v>
      </c>
      <c r="Q140" s="33"/>
      <c r="R140" s="75">
        <f t="shared" si="52"/>
        <v>0</v>
      </c>
      <c r="V140" s="68">
        <f t="shared" si="40"/>
        <v>0</v>
      </c>
      <c r="AA140" s="4">
        <f t="shared" si="41"/>
        <v>2</v>
      </c>
      <c r="AB140" s="4">
        <f t="shared" si="42"/>
        <v>4</v>
      </c>
      <c r="AC140" s="12">
        <f t="shared" si="43"/>
        <v>11</v>
      </c>
      <c r="AJ140" s="5">
        <f t="shared" si="63"/>
        <v>0</v>
      </c>
      <c r="AK140" s="5">
        <f t="shared" si="53"/>
        <v>0</v>
      </c>
      <c r="AL140" s="77">
        <f t="shared" si="65"/>
        <v>49857</v>
      </c>
      <c r="AM140" s="27" t="str">
        <f t="shared" si="54"/>
        <v/>
      </c>
      <c r="AN140" s="76">
        <f t="shared" si="55"/>
        <v>126</v>
      </c>
      <c r="AO140" s="13">
        <f t="shared" si="56"/>
        <v>0</v>
      </c>
      <c r="AP140" s="62">
        <f t="shared" si="57"/>
        <v>0</v>
      </c>
      <c r="AQ140" s="9" t="str">
        <f t="shared" si="44"/>
        <v/>
      </c>
      <c r="AR140" s="60" t="str">
        <f t="shared" si="45"/>
        <v/>
      </c>
      <c r="AS140" s="8">
        <f t="shared" si="58"/>
        <v>0</v>
      </c>
      <c r="AT140" s="11">
        <f t="shared" si="59"/>
        <v>0</v>
      </c>
      <c r="AU140" s="15">
        <v>0</v>
      </c>
      <c r="AV140" s="32">
        <f t="shared" si="60"/>
        <v>0</v>
      </c>
      <c r="AW140" s="33"/>
      <c r="AX140" s="75">
        <f t="shared" si="61"/>
        <v>0</v>
      </c>
    </row>
    <row r="141" spans="1:50" x14ac:dyDescent="0.25">
      <c r="A141" s="5">
        <f t="shared" si="62"/>
        <v>0</v>
      </c>
      <c r="B141" s="5">
        <f t="shared" si="46"/>
        <v>0</v>
      </c>
      <c r="C141" s="77">
        <f t="shared" si="64"/>
        <v>49888</v>
      </c>
      <c r="D141" s="122" t="str">
        <f t="shared" si="33"/>
        <v/>
      </c>
      <c r="E141" s="123">
        <f t="shared" si="47"/>
        <v>127</v>
      </c>
      <c r="F141" s="124">
        <f t="shared" si="48"/>
        <v>0</v>
      </c>
      <c r="G141" s="125">
        <f t="shared" si="49"/>
        <v>0</v>
      </c>
      <c r="H141" s="126" t="str">
        <f t="shared" si="34"/>
        <v/>
      </c>
      <c r="I141" s="127" t="str">
        <f t="shared" si="35"/>
        <v/>
      </c>
      <c r="J141" s="128">
        <f t="shared" si="36"/>
        <v>0</v>
      </c>
      <c r="K141" s="129">
        <f t="shared" si="37"/>
        <v>0</v>
      </c>
      <c r="L141" s="1">
        <f t="shared" si="50"/>
        <v>0</v>
      </c>
      <c r="M141" s="130">
        <f t="shared" si="38"/>
        <v>0</v>
      </c>
      <c r="N141" s="131">
        <f t="shared" si="39"/>
        <v>0</v>
      </c>
      <c r="O141" s="15"/>
      <c r="P141" s="32">
        <f t="shared" si="51"/>
        <v>0</v>
      </c>
      <c r="Q141" s="33"/>
      <c r="R141" s="75">
        <f t="shared" si="52"/>
        <v>0</v>
      </c>
      <c r="V141" s="68">
        <f t="shared" si="40"/>
        <v>0</v>
      </c>
      <c r="AA141" s="4">
        <f t="shared" si="41"/>
        <v>2</v>
      </c>
      <c r="AB141" s="4">
        <f t="shared" si="42"/>
        <v>4</v>
      </c>
      <c r="AC141" s="12">
        <f t="shared" si="43"/>
        <v>11</v>
      </c>
      <c r="AJ141" s="5">
        <f t="shared" si="63"/>
        <v>0</v>
      </c>
      <c r="AK141" s="5">
        <f t="shared" si="53"/>
        <v>0</v>
      </c>
      <c r="AL141" s="77">
        <f t="shared" si="65"/>
        <v>49888</v>
      </c>
      <c r="AM141" s="27" t="str">
        <f t="shared" si="54"/>
        <v/>
      </c>
      <c r="AN141" s="76">
        <f t="shared" si="55"/>
        <v>127</v>
      </c>
      <c r="AO141" s="13">
        <f t="shared" si="56"/>
        <v>0</v>
      </c>
      <c r="AP141" s="62">
        <f t="shared" si="57"/>
        <v>0</v>
      </c>
      <c r="AQ141" s="9" t="str">
        <f t="shared" si="44"/>
        <v/>
      </c>
      <c r="AR141" s="60" t="str">
        <f t="shared" si="45"/>
        <v/>
      </c>
      <c r="AS141" s="8">
        <f t="shared" si="58"/>
        <v>0</v>
      </c>
      <c r="AT141" s="11">
        <f t="shared" si="59"/>
        <v>0</v>
      </c>
      <c r="AU141" s="15">
        <v>0</v>
      </c>
      <c r="AV141" s="32">
        <f t="shared" si="60"/>
        <v>0</v>
      </c>
      <c r="AW141" s="33"/>
      <c r="AX141" s="75">
        <f t="shared" si="61"/>
        <v>0</v>
      </c>
    </row>
    <row r="142" spans="1:50" x14ac:dyDescent="0.25">
      <c r="A142" s="5">
        <f t="shared" si="62"/>
        <v>0</v>
      </c>
      <c r="B142" s="5">
        <f t="shared" si="46"/>
        <v>0</v>
      </c>
      <c r="C142" s="77">
        <f t="shared" si="64"/>
        <v>49919</v>
      </c>
      <c r="D142" s="122" t="str">
        <f t="shared" si="33"/>
        <v/>
      </c>
      <c r="E142" s="123">
        <f t="shared" si="47"/>
        <v>128</v>
      </c>
      <c r="F142" s="124">
        <f t="shared" si="48"/>
        <v>0</v>
      </c>
      <c r="G142" s="125">
        <f t="shared" si="49"/>
        <v>0</v>
      </c>
      <c r="H142" s="126" t="str">
        <f t="shared" si="34"/>
        <v/>
      </c>
      <c r="I142" s="127" t="str">
        <f t="shared" si="35"/>
        <v/>
      </c>
      <c r="J142" s="128">
        <f t="shared" si="36"/>
        <v>0</v>
      </c>
      <c r="K142" s="129">
        <f t="shared" si="37"/>
        <v>0</v>
      </c>
      <c r="L142" s="1">
        <f t="shared" si="50"/>
        <v>0</v>
      </c>
      <c r="M142" s="130">
        <f t="shared" si="38"/>
        <v>0</v>
      </c>
      <c r="N142" s="131">
        <f t="shared" si="39"/>
        <v>0</v>
      </c>
      <c r="O142" s="15"/>
      <c r="P142" s="32">
        <f t="shared" si="51"/>
        <v>0</v>
      </c>
      <c r="Q142" s="33"/>
      <c r="R142" s="75">
        <f t="shared" si="52"/>
        <v>0</v>
      </c>
      <c r="V142" s="68">
        <f t="shared" si="40"/>
        <v>0</v>
      </c>
      <c r="AA142" s="4">
        <f t="shared" si="41"/>
        <v>2</v>
      </c>
      <c r="AB142" s="4">
        <f t="shared" si="42"/>
        <v>4</v>
      </c>
      <c r="AC142" s="12">
        <f t="shared" si="43"/>
        <v>11</v>
      </c>
      <c r="AJ142" s="5">
        <f t="shared" si="63"/>
        <v>0</v>
      </c>
      <c r="AK142" s="5">
        <f t="shared" si="53"/>
        <v>0</v>
      </c>
      <c r="AL142" s="77">
        <f t="shared" si="65"/>
        <v>49919</v>
      </c>
      <c r="AM142" s="27" t="str">
        <f t="shared" si="54"/>
        <v/>
      </c>
      <c r="AN142" s="76">
        <f t="shared" si="55"/>
        <v>128</v>
      </c>
      <c r="AO142" s="13">
        <f t="shared" si="56"/>
        <v>0</v>
      </c>
      <c r="AP142" s="62">
        <f t="shared" si="57"/>
        <v>0</v>
      </c>
      <c r="AQ142" s="9" t="str">
        <f t="shared" si="44"/>
        <v/>
      </c>
      <c r="AR142" s="60" t="str">
        <f t="shared" si="45"/>
        <v/>
      </c>
      <c r="AS142" s="8">
        <f t="shared" si="58"/>
        <v>0</v>
      </c>
      <c r="AT142" s="11">
        <f t="shared" si="59"/>
        <v>0</v>
      </c>
      <c r="AU142" s="15">
        <v>0</v>
      </c>
      <c r="AV142" s="32">
        <f t="shared" si="60"/>
        <v>0</v>
      </c>
      <c r="AW142" s="33"/>
      <c r="AX142" s="75">
        <f t="shared" si="61"/>
        <v>0</v>
      </c>
    </row>
    <row r="143" spans="1:50" x14ac:dyDescent="0.25">
      <c r="A143" s="5">
        <f t="shared" si="62"/>
        <v>0</v>
      </c>
      <c r="B143" s="5">
        <f t="shared" si="46"/>
        <v>0</v>
      </c>
      <c r="C143" s="77">
        <f t="shared" si="64"/>
        <v>49949</v>
      </c>
      <c r="D143" s="122" t="str">
        <f t="shared" ref="D143:D206" si="66">IF(N142&gt;0,G143/N142,"")</f>
        <v/>
      </c>
      <c r="E143" s="123">
        <f t="shared" si="47"/>
        <v>129</v>
      </c>
      <c r="F143" s="124">
        <f t="shared" si="48"/>
        <v>0</v>
      </c>
      <c r="G143" s="125">
        <f t="shared" si="49"/>
        <v>0</v>
      </c>
      <c r="H143" s="126" t="str">
        <f t="shared" ref="H143:H206" si="67">IF(L143&lt;1,"",IF(G143/L143&gt;90%,"🛩",IF(G143/L143&gt;70%,"🏎",IF(G143/L143&gt;50%,"🚙",IF(G143/L143&gt;30%,"🛵",IF(G143/L143&gt;15%,"🐢","⚓️"))))))</f>
        <v/>
      </c>
      <c r="I143" s="127" t="str">
        <f t="shared" ref="I143:I206" si="68">IFERROR(IF((G143+O143-R143)/L143&lt;0,"🗑️",IF((G143+O143-R143)/L143&lt;10%,"🥾",IF((G143+O143-R143)/L143&lt;20%,"🛴",IF((G143+O143-R143)/L143&lt;50%,"🚴‍♂️",IF((G143+O143-R143)/L143&lt;75%,"🚖","🚁"))))),"")</f>
        <v/>
      </c>
      <c r="J143" s="128">
        <f t="shared" ref="J143:J206" si="69">G143+O143-R143</f>
        <v>0</v>
      </c>
      <c r="K143" s="129">
        <f t="shared" ref="K143:K206" si="70">IFERROR(J143/(L143+O143),0)</f>
        <v>0</v>
      </c>
      <c r="L143" s="1">
        <f t="shared" si="50"/>
        <v>0</v>
      </c>
      <c r="M143" s="130">
        <f t="shared" ref="M143:M206" si="71">IFERROR(N142/P143-G143+L143,0)</f>
        <v>0</v>
      </c>
      <c r="N143" s="131">
        <f t="shared" ref="N143:N206" si="72">IF(N142-O143-G143&lt;0,0,IF(N142-G143&gt;0,N142-G143,0)-IF(N142-G143&gt;0,O143-R143,0))</f>
        <v>0</v>
      </c>
      <c r="O143" s="15"/>
      <c r="P143" s="32">
        <f t="shared" si="51"/>
        <v>0</v>
      </c>
      <c r="Q143" s="33"/>
      <c r="R143" s="75">
        <f t="shared" si="52"/>
        <v>0</v>
      </c>
      <c r="V143" s="68">
        <f t="shared" ref="V143:V206" si="73">-L143-O143</f>
        <v>0</v>
      </c>
      <c r="AA143" s="4">
        <f t="shared" ref="AA143:AA206" si="74">ROUNDUP(E143/120,0)</f>
        <v>2</v>
      </c>
      <c r="AB143" s="4">
        <f t="shared" ref="AB143:AB206" si="75">ROUNDUP(E143/36,0)</f>
        <v>4</v>
      </c>
      <c r="AC143" s="12">
        <f t="shared" ref="AC143:AC206" si="76">ROUNDUP(E143/12,0)</f>
        <v>11</v>
      </c>
      <c r="AJ143" s="5">
        <f t="shared" si="63"/>
        <v>0</v>
      </c>
      <c r="AK143" s="5">
        <f t="shared" si="53"/>
        <v>0</v>
      </c>
      <c r="AL143" s="77">
        <f t="shared" si="65"/>
        <v>49949</v>
      </c>
      <c r="AM143" s="27" t="str">
        <f t="shared" si="54"/>
        <v/>
      </c>
      <c r="AN143" s="76">
        <f t="shared" si="55"/>
        <v>129</v>
      </c>
      <c r="AO143" s="13">
        <f t="shared" si="56"/>
        <v>0</v>
      </c>
      <c r="AP143" s="62">
        <f t="shared" si="57"/>
        <v>0</v>
      </c>
      <c r="AQ143" s="9" t="str">
        <f t="shared" ref="AQ143:AQ206" si="77">IF(AS143&lt;1,"",IF(AP143/AS143&gt;90%,"🛩",IF(AP143/AS143&gt;70%,"🏎",IF(AP143/AS143&gt;50%,"🚙",IF(AP143/AS143&gt;30%,"🛵",IF(AP143/AS143&gt;15%,"🐢","⚓️"))))))</f>
        <v/>
      </c>
      <c r="AR143" s="60" t="str">
        <f t="shared" ref="AR143:AR206" si="78">IFERROR(IF((AP143+AU143-AX143)/AS143&lt;0,"🗑️",IF((AP143+AU143-AX143)/AS143&lt;10%,"🥾",IF((AP143+AU143-AX143)/AS143&lt;20%,"🛴",IF((AP143+AU143-AX143)/AS143&lt;50%,"🚴‍♂️",IF((AP143+AU143-AX143)/AS143&lt;75%,"🚖","🚁"))))),"")</f>
        <v/>
      </c>
      <c r="AS143" s="8">
        <f t="shared" si="58"/>
        <v>0</v>
      </c>
      <c r="AT143" s="11">
        <f t="shared" si="59"/>
        <v>0</v>
      </c>
      <c r="AU143" s="15">
        <v>0</v>
      </c>
      <c r="AV143" s="32">
        <f t="shared" si="60"/>
        <v>0</v>
      </c>
      <c r="AW143" s="33"/>
      <c r="AX143" s="75">
        <f t="shared" si="61"/>
        <v>0</v>
      </c>
    </row>
    <row r="144" spans="1:50" x14ac:dyDescent="0.25">
      <c r="A144" s="5">
        <f t="shared" si="62"/>
        <v>0</v>
      </c>
      <c r="B144" s="5">
        <f t="shared" ref="B144:B207" si="79">IF(N143&lt;1,0,B143)</f>
        <v>0</v>
      </c>
      <c r="C144" s="77">
        <f t="shared" si="64"/>
        <v>49980</v>
      </c>
      <c r="D144" s="122" t="str">
        <f t="shared" si="66"/>
        <v/>
      </c>
      <c r="E144" s="123">
        <f t="shared" ref="E144:E207" si="80">E143+1</f>
        <v>130</v>
      </c>
      <c r="F144" s="124">
        <f t="shared" ref="F144:F207" si="81">IF(N143&gt;0,N143*$E$7,0)</f>
        <v>0</v>
      </c>
      <c r="G144" s="125">
        <f t="shared" ref="G144:G207" si="82">IF(N143&gt;G143,L144-F144-A144-B144,N143)</f>
        <v>0</v>
      </c>
      <c r="H144" s="126" t="str">
        <f t="shared" si="67"/>
        <v/>
      </c>
      <c r="I144" s="127" t="str">
        <f t="shared" si="68"/>
        <v/>
      </c>
      <c r="J144" s="128">
        <f t="shared" si="69"/>
        <v>0</v>
      </c>
      <c r="K144" s="129">
        <f t="shared" si="70"/>
        <v>0</v>
      </c>
      <c r="L144" s="1">
        <f t="shared" ref="L144:L207" si="83">IF(INT(N143)=0,0,IF(N143&lt;G143,N143+F144+A144+B144,-PMT($E$7,IF(Q143="V",P143,NPER($E$7,-L143+A144+B144,N143)),N143+R143)+A144+B144))+IF(INT(P143)=1,R144,0)</f>
        <v>0</v>
      </c>
      <c r="M144" s="130">
        <f t="shared" si="71"/>
        <v>0</v>
      </c>
      <c r="N144" s="131">
        <f t="shared" si="72"/>
        <v>0</v>
      </c>
      <c r="O144" s="15"/>
      <c r="P144" s="32">
        <f t="shared" ref="P144:P207" si="84">IFERROR(NPER($E$7,-L144+A143+B143,N143+R143)-1,0)</f>
        <v>0</v>
      </c>
      <c r="Q144" s="33"/>
      <c r="R144" s="75">
        <f t="shared" ref="R144:R207" si="85">N143*$D$9</f>
        <v>0</v>
      </c>
      <c r="V144" s="68">
        <f t="shared" si="73"/>
        <v>0</v>
      </c>
      <c r="AA144" s="4">
        <f t="shared" si="74"/>
        <v>2</v>
      </c>
      <c r="AB144" s="4">
        <f t="shared" si="75"/>
        <v>4</v>
      </c>
      <c r="AC144" s="12">
        <f t="shared" si="76"/>
        <v>11</v>
      </c>
      <c r="AJ144" s="5">
        <f t="shared" si="63"/>
        <v>0</v>
      </c>
      <c r="AK144" s="5">
        <f t="shared" ref="AK144:AK207" si="86">IF(AT143&lt;1,0,AK143)</f>
        <v>0</v>
      </c>
      <c r="AL144" s="77">
        <f t="shared" si="65"/>
        <v>49980</v>
      </c>
      <c r="AM144" s="27" t="str">
        <f t="shared" ref="AM144:AM207" si="87">IF(AT143&gt;0,AP144/AT143,"")</f>
        <v/>
      </c>
      <c r="AN144" s="76">
        <f t="shared" ref="AN144:AN207" si="88">AN143+1</f>
        <v>130</v>
      </c>
      <c r="AO144" s="13">
        <f t="shared" ref="AO144:AO207" si="89">IF(AT143&gt;0,AT143*$E$7,0)</f>
        <v>0</v>
      </c>
      <c r="AP144" s="62">
        <f t="shared" ref="AP144:AP207" si="90">IF(AT143&gt;AP143,AS144-AO144-AJ144-AK144,AT143)</f>
        <v>0</v>
      </c>
      <c r="AQ144" s="9" t="str">
        <f t="shared" si="77"/>
        <v/>
      </c>
      <c r="AR144" s="60" t="str">
        <f t="shared" si="78"/>
        <v/>
      </c>
      <c r="AS144" s="8">
        <f t="shared" ref="AS144:AS207" si="91">IF(INT(AT143)=0,0,IF(AT143&lt;AP143,AT143+AO144+AJ144+AK144,-PMT($E$7,IF(AW143="V",AV143,NPER($E$7,-AS143+AJ144+AK144,AT143)),AT143+AX143)+AJ144+AK144))+IF(INT(AV143)=1,AX144,0)</f>
        <v>0</v>
      </c>
      <c r="AT144" s="11">
        <f t="shared" ref="AT144:AT207" si="92">IF(AT143-AU144-AP144&lt;0,0,IF(AT143-AP144&gt;0,AT143-AP144,0)-IF(AT143-AP144&gt;0,AU144-AX144,0))</f>
        <v>0</v>
      </c>
      <c r="AU144" s="15">
        <v>0</v>
      </c>
      <c r="AV144" s="32">
        <f t="shared" ref="AV144:AV207" si="93">IFERROR(NPER($E$7,-AS144+AJ143+AK143,AT143+AX143)-1,0)</f>
        <v>0</v>
      </c>
      <c r="AW144" s="33"/>
      <c r="AX144" s="75">
        <f t="shared" ref="AX144:AX207" si="94">AT143*$D$9</f>
        <v>0</v>
      </c>
    </row>
    <row r="145" spans="1:50" x14ac:dyDescent="0.25">
      <c r="A145" s="5">
        <f t="shared" ref="A145:A208" si="95">IF(N144&lt;1,0,A144)</f>
        <v>0</v>
      </c>
      <c r="B145" s="5">
        <f t="shared" si="79"/>
        <v>0</v>
      </c>
      <c r="C145" s="77">
        <f t="shared" si="64"/>
        <v>50010</v>
      </c>
      <c r="D145" s="122" t="str">
        <f t="shared" si="66"/>
        <v/>
      </c>
      <c r="E145" s="123">
        <f t="shared" si="80"/>
        <v>131</v>
      </c>
      <c r="F145" s="124">
        <f t="shared" si="81"/>
        <v>0</v>
      </c>
      <c r="G145" s="125">
        <f t="shared" si="82"/>
        <v>0</v>
      </c>
      <c r="H145" s="126" t="str">
        <f t="shared" si="67"/>
        <v/>
      </c>
      <c r="I145" s="127" t="str">
        <f t="shared" si="68"/>
        <v/>
      </c>
      <c r="J145" s="128">
        <f t="shared" si="69"/>
        <v>0</v>
      </c>
      <c r="K145" s="129">
        <f t="shared" si="70"/>
        <v>0</v>
      </c>
      <c r="L145" s="1">
        <f t="shared" si="83"/>
        <v>0</v>
      </c>
      <c r="M145" s="130">
        <f t="shared" si="71"/>
        <v>0</v>
      </c>
      <c r="N145" s="131">
        <f t="shared" si="72"/>
        <v>0</v>
      </c>
      <c r="O145" s="15"/>
      <c r="P145" s="32">
        <f t="shared" si="84"/>
        <v>0</v>
      </c>
      <c r="Q145" s="33"/>
      <c r="R145" s="75">
        <f t="shared" si="85"/>
        <v>0</v>
      </c>
      <c r="V145" s="68">
        <f t="shared" si="73"/>
        <v>0</v>
      </c>
      <c r="AA145" s="4">
        <f t="shared" si="74"/>
        <v>2</v>
      </c>
      <c r="AB145" s="4">
        <f t="shared" si="75"/>
        <v>4</v>
      </c>
      <c r="AC145" s="12">
        <f t="shared" si="76"/>
        <v>11</v>
      </c>
      <c r="AJ145" s="5">
        <f t="shared" ref="AJ145:AJ208" si="96">IF(AT144&lt;1,0,AJ144)</f>
        <v>0</v>
      </c>
      <c r="AK145" s="5">
        <f t="shared" si="86"/>
        <v>0</v>
      </c>
      <c r="AL145" s="77">
        <f t="shared" si="65"/>
        <v>50010</v>
      </c>
      <c r="AM145" s="27" t="str">
        <f t="shared" si="87"/>
        <v/>
      </c>
      <c r="AN145" s="76">
        <f t="shared" si="88"/>
        <v>131</v>
      </c>
      <c r="AO145" s="13">
        <f t="shared" si="89"/>
        <v>0</v>
      </c>
      <c r="AP145" s="62">
        <f t="shared" si="90"/>
        <v>0</v>
      </c>
      <c r="AQ145" s="9" t="str">
        <f t="shared" si="77"/>
        <v/>
      </c>
      <c r="AR145" s="60" t="str">
        <f t="shared" si="78"/>
        <v/>
      </c>
      <c r="AS145" s="8">
        <f t="shared" si="91"/>
        <v>0</v>
      </c>
      <c r="AT145" s="11">
        <f t="shared" si="92"/>
        <v>0</v>
      </c>
      <c r="AU145" s="15">
        <v>0</v>
      </c>
      <c r="AV145" s="32">
        <f t="shared" si="93"/>
        <v>0</v>
      </c>
      <c r="AW145" s="33"/>
      <c r="AX145" s="75">
        <f t="shared" si="94"/>
        <v>0</v>
      </c>
    </row>
    <row r="146" spans="1:50" x14ac:dyDescent="0.25">
      <c r="A146" s="5">
        <f t="shared" si="95"/>
        <v>0</v>
      </c>
      <c r="B146" s="5">
        <f t="shared" si="79"/>
        <v>0</v>
      </c>
      <c r="C146" s="77">
        <f t="shared" ref="C146:C209" si="97">DATE(YEAR(C145),MONTH(C145)+1,1)</f>
        <v>50041</v>
      </c>
      <c r="D146" s="122" t="str">
        <f t="shared" si="66"/>
        <v/>
      </c>
      <c r="E146" s="123">
        <f t="shared" si="80"/>
        <v>132</v>
      </c>
      <c r="F146" s="124">
        <f t="shared" si="81"/>
        <v>0</v>
      </c>
      <c r="G146" s="125">
        <f t="shared" si="82"/>
        <v>0</v>
      </c>
      <c r="H146" s="126" t="str">
        <f t="shared" si="67"/>
        <v/>
      </c>
      <c r="I146" s="127" t="str">
        <f t="shared" si="68"/>
        <v/>
      </c>
      <c r="J146" s="128">
        <f t="shared" si="69"/>
        <v>0</v>
      </c>
      <c r="K146" s="129">
        <f t="shared" si="70"/>
        <v>0</v>
      </c>
      <c r="L146" s="1">
        <f t="shared" si="83"/>
        <v>0</v>
      </c>
      <c r="M146" s="130">
        <f t="shared" si="71"/>
        <v>0</v>
      </c>
      <c r="N146" s="131">
        <f t="shared" si="72"/>
        <v>0</v>
      </c>
      <c r="O146" s="15"/>
      <c r="P146" s="32">
        <f t="shared" si="84"/>
        <v>0</v>
      </c>
      <c r="Q146" s="33"/>
      <c r="R146" s="75">
        <f t="shared" si="85"/>
        <v>0</v>
      </c>
      <c r="V146" s="68">
        <f t="shared" si="73"/>
        <v>0</v>
      </c>
      <c r="AA146" s="4">
        <f t="shared" si="74"/>
        <v>2</v>
      </c>
      <c r="AB146" s="4">
        <f t="shared" si="75"/>
        <v>4</v>
      </c>
      <c r="AC146" s="12">
        <f t="shared" si="76"/>
        <v>11</v>
      </c>
      <c r="AJ146" s="5">
        <f t="shared" si="96"/>
        <v>0</v>
      </c>
      <c r="AK146" s="5">
        <f t="shared" si="86"/>
        <v>0</v>
      </c>
      <c r="AL146" s="77">
        <f t="shared" ref="AL146:AL209" si="98">DATE(YEAR(AL145),MONTH(AL145)+1,1)</f>
        <v>50041</v>
      </c>
      <c r="AM146" s="27" t="str">
        <f t="shared" si="87"/>
        <v/>
      </c>
      <c r="AN146" s="76">
        <f t="shared" si="88"/>
        <v>132</v>
      </c>
      <c r="AO146" s="13">
        <f t="shared" si="89"/>
        <v>0</v>
      </c>
      <c r="AP146" s="62">
        <f t="shared" si="90"/>
        <v>0</v>
      </c>
      <c r="AQ146" s="9" t="str">
        <f t="shared" si="77"/>
        <v/>
      </c>
      <c r="AR146" s="60" t="str">
        <f t="shared" si="78"/>
        <v/>
      </c>
      <c r="AS146" s="8">
        <f t="shared" si="91"/>
        <v>0</v>
      </c>
      <c r="AT146" s="11">
        <f t="shared" si="92"/>
        <v>0</v>
      </c>
      <c r="AU146" s="15">
        <v>0</v>
      </c>
      <c r="AV146" s="32">
        <f t="shared" si="93"/>
        <v>0</v>
      </c>
      <c r="AW146" s="33"/>
      <c r="AX146" s="75">
        <f t="shared" si="94"/>
        <v>0</v>
      </c>
    </row>
    <row r="147" spans="1:50" x14ac:dyDescent="0.25">
      <c r="A147" s="5">
        <f t="shared" si="95"/>
        <v>0</v>
      </c>
      <c r="B147" s="5">
        <f t="shared" si="79"/>
        <v>0</v>
      </c>
      <c r="C147" s="77">
        <f t="shared" si="97"/>
        <v>50072</v>
      </c>
      <c r="D147" s="122" t="str">
        <f t="shared" si="66"/>
        <v/>
      </c>
      <c r="E147" s="123">
        <f t="shared" si="80"/>
        <v>133</v>
      </c>
      <c r="F147" s="124">
        <f t="shared" si="81"/>
        <v>0</v>
      </c>
      <c r="G147" s="125">
        <f t="shared" si="82"/>
        <v>0</v>
      </c>
      <c r="H147" s="126" t="str">
        <f t="shared" si="67"/>
        <v/>
      </c>
      <c r="I147" s="127" t="str">
        <f t="shared" si="68"/>
        <v/>
      </c>
      <c r="J147" s="128">
        <f t="shared" si="69"/>
        <v>0</v>
      </c>
      <c r="K147" s="129">
        <f t="shared" si="70"/>
        <v>0</v>
      </c>
      <c r="L147" s="1">
        <f t="shared" si="83"/>
        <v>0</v>
      </c>
      <c r="M147" s="130">
        <f t="shared" si="71"/>
        <v>0</v>
      </c>
      <c r="N147" s="131">
        <f t="shared" si="72"/>
        <v>0</v>
      </c>
      <c r="O147" s="15"/>
      <c r="P147" s="32">
        <f t="shared" si="84"/>
        <v>0</v>
      </c>
      <c r="Q147" s="33"/>
      <c r="R147" s="75">
        <f t="shared" si="85"/>
        <v>0</v>
      </c>
      <c r="V147" s="68">
        <f t="shared" si="73"/>
        <v>0</v>
      </c>
      <c r="AA147" s="4">
        <f t="shared" si="74"/>
        <v>2</v>
      </c>
      <c r="AB147" s="4">
        <f t="shared" si="75"/>
        <v>4</v>
      </c>
      <c r="AC147" s="12">
        <f t="shared" si="76"/>
        <v>12</v>
      </c>
      <c r="AJ147" s="5">
        <f t="shared" si="96"/>
        <v>0</v>
      </c>
      <c r="AK147" s="5">
        <f t="shared" si="86"/>
        <v>0</v>
      </c>
      <c r="AL147" s="77">
        <f t="shared" si="98"/>
        <v>50072</v>
      </c>
      <c r="AM147" s="27" t="str">
        <f t="shared" si="87"/>
        <v/>
      </c>
      <c r="AN147" s="76">
        <f t="shared" si="88"/>
        <v>133</v>
      </c>
      <c r="AO147" s="13">
        <f t="shared" si="89"/>
        <v>0</v>
      </c>
      <c r="AP147" s="62">
        <f t="shared" si="90"/>
        <v>0</v>
      </c>
      <c r="AQ147" s="9" t="str">
        <f t="shared" si="77"/>
        <v/>
      </c>
      <c r="AR147" s="60" t="str">
        <f t="shared" si="78"/>
        <v/>
      </c>
      <c r="AS147" s="8">
        <f t="shared" si="91"/>
        <v>0</v>
      </c>
      <c r="AT147" s="11">
        <f t="shared" si="92"/>
        <v>0</v>
      </c>
      <c r="AU147" s="15">
        <v>0</v>
      </c>
      <c r="AV147" s="32">
        <f t="shared" si="93"/>
        <v>0</v>
      </c>
      <c r="AW147" s="33"/>
      <c r="AX147" s="75">
        <f t="shared" si="94"/>
        <v>0</v>
      </c>
    </row>
    <row r="148" spans="1:50" x14ac:dyDescent="0.25">
      <c r="A148" s="5">
        <f t="shared" si="95"/>
        <v>0</v>
      </c>
      <c r="B148" s="5">
        <f t="shared" si="79"/>
        <v>0</v>
      </c>
      <c r="C148" s="77">
        <f t="shared" si="97"/>
        <v>50100</v>
      </c>
      <c r="D148" s="122" t="str">
        <f t="shared" si="66"/>
        <v/>
      </c>
      <c r="E148" s="123">
        <f t="shared" si="80"/>
        <v>134</v>
      </c>
      <c r="F148" s="124">
        <f t="shared" si="81"/>
        <v>0</v>
      </c>
      <c r="G148" s="125">
        <f t="shared" si="82"/>
        <v>0</v>
      </c>
      <c r="H148" s="126" t="str">
        <f t="shared" si="67"/>
        <v/>
      </c>
      <c r="I148" s="127" t="str">
        <f t="shared" si="68"/>
        <v/>
      </c>
      <c r="J148" s="128">
        <f t="shared" si="69"/>
        <v>0</v>
      </c>
      <c r="K148" s="129">
        <f t="shared" si="70"/>
        <v>0</v>
      </c>
      <c r="L148" s="1">
        <f t="shared" si="83"/>
        <v>0</v>
      </c>
      <c r="M148" s="130">
        <f t="shared" si="71"/>
        <v>0</v>
      </c>
      <c r="N148" s="131">
        <f t="shared" si="72"/>
        <v>0</v>
      </c>
      <c r="O148" s="15"/>
      <c r="P148" s="32">
        <f t="shared" si="84"/>
        <v>0</v>
      </c>
      <c r="Q148" s="33"/>
      <c r="R148" s="75">
        <f t="shared" si="85"/>
        <v>0</v>
      </c>
      <c r="V148" s="68">
        <f t="shared" si="73"/>
        <v>0</v>
      </c>
      <c r="AA148" s="4">
        <f t="shared" si="74"/>
        <v>2</v>
      </c>
      <c r="AB148" s="4">
        <f t="shared" si="75"/>
        <v>4</v>
      </c>
      <c r="AC148" s="12">
        <f t="shared" si="76"/>
        <v>12</v>
      </c>
      <c r="AJ148" s="5">
        <f t="shared" si="96"/>
        <v>0</v>
      </c>
      <c r="AK148" s="5">
        <f t="shared" si="86"/>
        <v>0</v>
      </c>
      <c r="AL148" s="77">
        <f t="shared" si="98"/>
        <v>50100</v>
      </c>
      <c r="AM148" s="27" t="str">
        <f t="shared" si="87"/>
        <v/>
      </c>
      <c r="AN148" s="76">
        <f t="shared" si="88"/>
        <v>134</v>
      </c>
      <c r="AO148" s="13">
        <f t="shared" si="89"/>
        <v>0</v>
      </c>
      <c r="AP148" s="62">
        <f t="shared" si="90"/>
        <v>0</v>
      </c>
      <c r="AQ148" s="9" t="str">
        <f t="shared" si="77"/>
        <v/>
      </c>
      <c r="AR148" s="60" t="str">
        <f t="shared" si="78"/>
        <v/>
      </c>
      <c r="AS148" s="8">
        <f t="shared" si="91"/>
        <v>0</v>
      </c>
      <c r="AT148" s="11">
        <f t="shared" si="92"/>
        <v>0</v>
      </c>
      <c r="AU148" s="15">
        <v>0</v>
      </c>
      <c r="AV148" s="32">
        <f t="shared" si="93"/>
        <v>0</v>
      </c>
      <c r="AW148" s="33"/>
      <c r="AX148" s="75">
        <f t="shared" si="94"/>
        <v>0</v>
      </c>
    </row>
    <row r="149" spans="1:50" x14ac:dyDescent="0.25">
      <c r="A149" s="5">
        <f t="shared" si="95"/>
        <v>0</v>
      </c>
      <c r="B149" s="5">
        <f t="shared" si="79"/>
        <v>0</v>
      </c>
      <c r="C149" s="77">
        <f t="shared" si="97"/>
        <v>50131</v>
      </c>
      <c r="D149" s="122" t="str">
        <f t="shared" si="66"/>
        <v/>
      </c>
      <c r="E149" s="123">
        <f t="shared" si="80"/>
        <v>135</v>
      </c>
      <c r="F149" s="124">
        <f t="shared" si="81"/>
        <v>0</v>
      </c>
      <c r="G149" s="125">
        <f t="shared" si="82"/>
        <v>0</v>
      </c>
      <c r="H149" s="126" t="str">
        <f t="shared" si="67"/>
        <v/>
      </c>
      <c r="I149" s="127" t="str">
        <f t="shared" si="68"/>
        <v/>
      </c>
      <c r="J149" s="128">
        <f t="shared" si="69"/>
        <v>0</v>
      </c>
      <c r="K149" s="129">
        <f t="shared" si="70"/>
        <v>0</v>
      </c>
      <c r="L149" s="1">
        <f t="shared" si="83"/>
        <v>0</v>
      </c>
      <c r="M149" s="130">
        <f t="shared" si="71"/>
        <v>0</v>
      </c>
      <c r="N149" s="131">
        <f t="shared" si="72"/>
        <v>0</v>
      </c>
      <c r="O149" s="15"/>
      <c r="P149" s="32">
        <f t="shared" si="84"/>
        <v>0</v>
      </c>
      <c r="Q149" s="33"/>
      <c r="R149" s="75">
        <f t="shared" si="85"/>
        <v>0</v>
      </c>
      <c r="V149" s="68">
        <f t="shared" si="73"/>
        <v>0</v>
      </c>
      <c r="AA149" s="4">
        <f t="shared" si="74"/>
        <v>2</v>
      </c>
      <c r="AB149" s="4">
        <f t="shared" si="75"/>
        <v>4</v>
      </c>
      <c r="AC149" s="12">
        <f t="shared" si="76"/>
        <v>12</v>
      </c>
      <c r="AJ149" s="5">
        <f t="shared" si="96"/>
        <v>0</v>
      </c>
      <c r="AK149" s="5">
        <f t="shared" si="86"/>
        <v>0</v>
      </c>
      <c r="AL149" s="77">
        <f t="shared" si="98"/>
        <v>50131</v>
      </c>
      <c r="AM149" s="27" t="str">
        <f t="shared" si="87"/>
        <v/>
      </c>
      <c r="AN149" s="76">
        <f t="shared" si="88"/>
        <v>135</v>
      </c>
      <c r="AO149" s="13">
        <f t="shared" si="89"/>
        <v>0</v>
      </c>
      <c r="AP149" s="62">
        <f t="shared" si="90"/>
        <v>0</v>
      </c>
      <c r="AQ149" s="9" t="str">
        <f t="shared" si="77"/>
        <v/>
      </c>
      <c r="AR149" s="60" t="str">
        <f t="shared" si="78"/>
        <v/>
      </c>
      <c r="AS149" s="8">
        <f t="shared" si="91"/>
        <v>0</v>
      </c>
      <c r="AT149" s="11">
        <f t="shared" si="92"/>
        <v>0</v>
      </c>
      <c r="AU149" s="15">
        <v>0</v>
      </c>
      <c r="AV149" s="32">
        <f t="shared" si="93"/>
        <v>0</v>
      </c>
      <c r="AW149" s="33"/>
      <c r="AX149" s="75">
        <f t="shared" si="94"/>
        <v>0</v>
      </c>
    </row>
    <row r="150" spans="1:50" x14ac:dyDescent="0.25">
      <c r="A150" s="5">
        <f t="shared" si="95"/>
        <v>0</v>
      </c>
      <c r="B150" s="5">
        <f t="shared" si="79"/>
        <v>0</v>
      </c>
      <c r="C150" s="77">
        <f t="shared" si="97"/>
        <v>50161</v>
      </c>
      <c r="D150" s="122" t="str">
        <f t="shared" si="66"/>
        <v/>
      </c>
      <c r="E150" s="123">
        <f t="shared" si="80"/>
        <v>136</v>
      </c>
      <c r="F150" s="124">
        <f t="shared" si="81"/>
        <v>0</v>
      </c>
      <c r="G150" s="125">
        <f t="shared" si="82"/>
        <v>0</v>
      </c>
      <c r="H150" s="126" t="str">
        <f t="shared" si="67"/>
        <v/>
      </c>
      <c r="I150" s="127" t="str">
        <f t="shared" si="68"/>
        <v/>
      </c>
      <c r="J150" s="128">
        <f t="shared" si="69"/>
        <v>0</v>
      </c>
      <c r="K150" s="129">
        <f t="shared" si="70"/>
        <v>0</v>
      </c>
      <c r="L150" s="1">
        <f t="shared" si="83"/>
        <v>0</v>
      </c>
      <c r="M150" s="130">
        <f t="shared" si="71"/>
        <v>0</v>
      </c>
      <c r="N150" s="131">
        <f t="shared" si="72"/>
        <v>0</v>
      </c>
      <c r="O150" s="15"/>
      <c r="P150" s="32">
        <f t="shared" si="84"/>
        <v>0</v>
      </c>
      <c r="Q150" s="33"/>
      <c r="R150" s="75">
        <f t="shared" si="85"/>
        <v>0</v>
      </c>
      <c r="V150" s="68">
        <f t="shared" si="73"/>
        <v>0</v>
      </c>
      <c r="AA150" s="4">
        <f t="shared" si="74"/>
        <v>2</v>
      </c>
      <c r="AB150" s="4">
        <f t="shared" si="75"/>
        <v>4</v>
      </c>
      <c r="AC150" s="12">
        <f t="shared" si="76"/>
        <v>12</v>
      </c>
      <c r="AJ150" s="5">
        <f t="shared" si="96"/>
        <v>0</v>
      </c>
      <c r="AK150" s="5">
        <f t="shared" si="86"/>
        <v>0</v>
      </c>
      <c r="AL150" s="77">
        <f t="shared" si="98"/>
        <v>50161</v>
      </c>
      <c r="AM150" s="27" t="str">
        <f t="shared" si="87"/>
        <v/>
      </c>
      <c r="AN150" s="76">
        <f t="shared" si="88"/>
        <v>136</v>
      </c>
      <c r="AO150" s="13">
        <f t="shared" si="89"/>
        <v>0</v>
      </c>
      <c r="AP150" s="62">
        <f t="shared" si="90"/>
        <v>0</v>
      </c>
      <c r="AQ150" s="9" t="str">
        <f t="shared" si="77"/>
        <v/>
      </c>
      <c r="AR150" s="60" t="str">
        <f t="shared" si="78"/>
        <v/>
      </c>
      <c r="AS150" s="8">
        <f t="shared" si="91"/>
        <v>0</v>
      </c>
      <c r="AT150" s="11">
        <f t="shared" si="92"/>
        <v>0</v>
      </c>
      <c r="AU150" s="15">
        <v>0</v>
      </c>
      <c r="AV150" s="32">
        <f t="shared" si="93"/>
        <v>0</v>
      </c>
      <c r="AW150" s="33"/>
      <c r="AX150" s="75">
        <f t="shared" si="94"/>
        <v>0</v>
      </c>
    </row>
    <row r="151" spans="1:50" x14ac:dyDescent="0.25">
      <c r="A151" s="5">
        <f t="shared" si="95"/>
        <v>0</v>
      </c>
      <c r="B151" s="5">
        <f t="shared" si="79"/>
        <v>0</v>
      </c>
      <c r="C151" s="77">
        <f t="shared" si="97"/>
        <v>50192</v>
      </c>
      <c r="D151" s="122" t="str">
        <f t="shared" si="66"/>
        <v/>
      </c>
      <c r="E151" s="123">
        <f t="shared" si="80"/>
        <v>137</v>
      </c>
      <c r="F151" s="124">
        <f t="shared" si="81"/>
        <v>0</v>
      </c>
      <c r="G151" s="125">
        <f t="shared" si="82"/>
        <v>0</v>
      </c>
      <c r="H151" s="126" t="str">
        <f t="shared" si="67"/>
        <v/>
      </c>
      <c r="I151" s="127" t="str">
        <f t="shared" si="68"/>
        <v/>
      </c>
      <c r="J151" s="128">
        <f t="shared" si="69"/>
        <v>0</v>
      </c>
      <c r="K151" s="129">
        <f t="shared" si="70"/>
        <v>0</v>
      </c>
      <c r="L151" s="1">
        <f t="shared" si="83"/>
        <v>0</v>
      </c>
      <c r="M151" s="130">
        <f t="shared" si="71"/>
        <v>0</v>
      </c>
      <c r="N151" s="131">
        <f t="shared" si="72"/>
        <v>0</v>
      </c>
      <c r="O151" s="15"/>
      <c r="P151" s="32">
        <f t="shared" si="84"/>
        <v>0</v>
      </c>
      <c r="Q151" s="33"/>
      <c r="R151" s="75">
        <f t="shared" si="85"/>
        <v>0</v>
      </c>
      <c r="V151" s="68">
        <f t="shared" si="73"/>
        <v>0</v>
      </c>
      <c r="AA151" s="4">
        <f t="shared" si="74"/>
        <v>2</v>
      </c>
      <c r="AB151" s="4">
        <f t="shared" si="75"/>
        <v>4</v>
      </c>
      <c r="AC151" s="12">
        <f t="shared" si="76"/>
        <v>12</v>
      </c>
      <c r="AJ151" s="5">
        <f t="shared" si="96"/>
        <v>0</v>
      </c>
      <c r="AK151" s="5">
        <f t="shared" si="86"/>
        <v>0</v>
      </c>
      <c r="AL151" s="77">
        <f t="shared" si="98"/>
        <v>50192</v>
      </c>
      <c r="AM151" s="27" t="str">
        <f t="shared" si="87"/>
        <v/>
      </c>
      <c r="AN151" s="76">
        <f t="shared" si="88"/>
        <v>137</v>
      </c>
      <c r="AO151" s="13">
        <f t="shared" si="89"/>
        <v>0</v>
      </c>
      <c r="AP151" s="62">
        <f t="shared" si="90"/>
        <v>0</v>
      </c>
      <c r="AQ151" s="9" t="str">
        <f t="shared" si="77"/>
        <v/>
      </c>
      <c r="AR151" s="60" t="str">
        <f t="shared" si="78"/>
        <v/>
      </c>
      <c r="AS151" s="8">
        <f t="shared" si="91"/>
        <v>0</v>
      </c>
      <c r="AT151" s="11">
        <f t="shared" si="92"/>
        <v>0</v>
      </c>
      <c r="AU151" s="15">
        <v>0</v>
      </c>
      <c r="AV151" s="32">
        <f t="shared" si="93"/>
        <v>0</v>
      </c>
      <c r="AW151" s="33"/>
      <c r="AX151" s="75">
        <f t="shared" si="94"/>
        <v>0</v>
      </c>
    </row>
    <row r="152" spans="1:50" x14ac:dyDescent="0.25">
      <c r="A152" s="5">
        <f t="shared" si="95"/>
        <v>0</v>
      </c>
      <c r="B152" s="5">
        <f t="shared" si="79"/>
        <v>0</v>
      </c>
      <c r="C152" s="77">
        <f t="shared" si="97"/>
        <v>50222</v>
      </c>
      <c r="D152" s="122" t="str">
        <f t="shared" si="66"/>
        <v/>
      </c>
      <c r="E152" s="123">
        <f t="shared" si="80"/>
        <v>138</v>
      </c>
      <c r="F152" s="124">
        <f t="shared" si="81"/>
        <v>0</v>
      </c>
      <c r="G152" s="125">
        <f t="shared" si="82"/>
        <v>0</v>
      </c>
      <c r="H152" s="126" t="str">
        <f t="shared" si="67"/>
        <v/>
      </c>
      <c r="I152" s="127" t="str">
        <f t="shared" si="68"/>
        <v/>
      </c>
      <c r="J152" s="128">
        <f t="shared" si="69"/>
        <v>0</v>
      </c>
      <c r="K152" s="129">
        <f t="shared" si="70"/>
        <v>0</v>
      </c>
      <c r="L152" s="1">
        <f t="shared" si="83"/>
        <v>0</v>
      </c>
      <c r="M152" s="130">
        <f t="shared" si="71"/>
        <v>0</v>
      </c>
      <c r="N152" s="131">
        <f t="shared" si="72"/>
        <v>0</v>
      </c>
      <c r="O152" s="15"/>
      <c r="P152" s="32">
        <f t="shared" si="84"/>
        <v>0</v>
      </c>
      <c r="Q152" s="33"/>
      <c r="R152" s="75">
        <f t="shared" si="85"/>
        <v>0</v>
      </c>
      <c r="V152" s="68">
        <f t="shared" si="73"/>
        <v>0</v>
      </c>
      <c r="AA152" s="4">
        <f t="shared" si="74"/>
        <v>2</v>
      </c>
      <c r="AB152" s="4">
        <f t="shared" si="75"/>
        <v>4</v>
      </c>
      <c r="AC152" s="12">
        <f t="shared" si="76"/>
        <v>12</v>
      </c>
      <c r="AJ152" s="5">
        <f t="shared" si="96"/>
        <v>0</v>
      </c>
      <c r="AK152" s="5">
        <f t="shared" si="86"/>
        <v>0</v>
      </c>
      <c r="AL152" s="77">
        <f t="shared" si="98"/>
        <v>50222</v>
      </c>
      <c r="AM152" s="27" t="str">
        <f t="shared" si="87"/>
        <v/>
      </c>
      <c r="AN152" s="76">
        <f t="shared" si="88"/>
        <v>138</v>
      </c>
      <c r="AO152" s="13">
        <f t="shared" si="89"/>
        <v>0</v>
      </c>
      <c r="AP152" s="62">
        <f t="shared" si="90"/>
        <v>0</v>
      </c>
      <c r="AQ152" s="9" t="str">
        <f t="shared" si="77"/>
        <v/>
      </c>
      <c r="AR152" s="60" t="str">
        <f t="shared" si="78"/>
        <v/>
      </c>
      <c r="AS152" s="8">
        <f t="shared" si="91"/>
        <v>0</v>
      </c>
      <c r="AT152" s="11">
        <f t="shared" si="92"/>
        <v>0</v>
      </c>
      <c r="AU152" s="15">
        <v>0</v>
      </c>
      <c r="AV152" s="32">
        <f t="shared" si="93"/>
        <v>0</v>
      </c>
      <c r="AW152" s="33"/>
      <c r="AX152" s="75">
        <f t="shared" si="94"/>
        <v>0</v>
      </c>
    </row>
    <row r="153" spans="1:50" x14ac:dyDescent="0.25">
      <c r="A153" s="5">
        <f t="shared" si="95"/>
        <v>0</v>
      </c>
      <c r="B153" s="5">
        <f t="shared" si="79"/>
        <v>0</v>
      </c>
      <c r="C153" s="77">
        <f t="shared" si="97"/>
        <v>50253</v>
      </c>
      <c r="D153" s="122" t="str">
        <f t="shared" si="66"/>
        <v/>
      </c>
      <c r="E153" s="123">
        <f t="shared" si="80"/>
        <v>139</v>
      </c>
      <c r="F153" s="124">
        <f t="shared" si="81"/>
        <v>0</v>
      </c>
      <c r="G153" s="125">
        <f t="shared" si="82"/>
        <v>0</v>
      </c>
      <c r="H153" s="126" t="str">
        <f t="shared" si="67"/>
        <v/>
      </c>
      <c r="I153" s="127" t="str">
        <f t="shared" si="68"/>
        <v/>
      </c>
      <c r="J153" s="128">
        <f t="shared" si="69"/>
        <v>0</v>
      </c>
      <c r="K153" s="129">
        <f t="shared" si="70"/>
        <v>0</v>
      </c>
      <c r="L153" s="1">
        <f t="shared" si="83"/>
        <v>0</v>
      </c>
      <c r="M153" s="130">
        <f t="shared" si="71"/>
        <v>0</v>
      </c>
      <c r="N153" s="131">
        <f t="shared" si="72"/>
        <v>0</v>
      </c>
      <c r="O153" s="15"/>
      <c r="P153" s="32">
        <f t="shared" si="84"/>
        <v>0</v>
      </c>
      <c r="Q153" s="33"/>
      <c r="R153" s="75">
        <f t="shared" si="85"/>
        <v>0</v>
      </c>
      <c r="V153" s="68">
        <f t="shared" si="73"/>
        <v>0</v>
      </c>
      <c r="AA153" s="4">
        <f t="shared" si="74"/>
        <v>2</v>
      </c>
      <c r="AB153" s="4">
        <f t="shared" si="75"/>
        <v>4</v>
      </c>
      <c r="AC153" s="12">
        <f t="shared" si="76"/>
        <v>12</v>
      </c>
      <c r="AJ153" s="5">
        <f t="shared" si="96"/>
        <v>0</v>
      </c>
      <c r="AK153" s="5">
        <f t="shared" si="86"/>
        <v>0</v>
      </c>
      <c r="AL153" s="77">
        <f t="shared" si="98"/>
        <v>50253</v>
      </c>
      <c r="AM153" s="27" t="str">
        <f t="shared" si="87"/>
        <v/>
      </c>
      <c r="AN153" s="76">
        <f t="shared" si="88"/>
        <v>139</v>
      </c>
      <c r="AO153" s="13">
        <f t="shared" si="89"/>
        <v>0</v>
      </c>
      <c r="AP153" s="62">
        <f t="shared" si="90"/>
        <v>0</v>
      </c>
      <c r="AQ153" s="9" t="str">
        <f t="shared" si="77"/>
        <v/>
      </c>
      <c r="AR153" s="60" t="str">
        <f t="shared" si="78"/>
        <v/>
      </c>
      <c r="AS153" s="8">
        <f t="shared" si="91"/>
        <v>0</v>
      </c>
      <c r="AT153" s="11">
        <f t="shared" si="92"/>
        <v>0</v>
      </c>
      <c r="AU153" s="15">
        <v>0</v>
      </c>
      <c r="AV153" s="32">
        <f t="shared" si="93"/>
        <v>0</v>
      </c>
      <c r="AW153" s="33"/>
      <c r="AX153" s="75">
        <f t="shared" si="94"/>
        <v>0</v>
      </c>
    </row>
    <row r="154" spans="1:50" x14ac:dyDescent="0.25">
      <c r="A154" s="5">
        <f t="shared" si="95"/>
        <v>0</v>
      </c>
      <c r="B154" s="5">
        <f t="shared" si="79"/>
        <v>0</v>
      </c>
      <c r="C154" s="77">
        <f t="shared" si="97"/>
        <v>50284</v>
      </c>
      <c r="D154" s="122" t="str">
        <f t="shared" si="66"/>
        <v/>
      </c>
      <c r="E154" s="123">
        <f t="shared" si="80"/>
        <v>140</v>
      </c>
      <c r="F154" s="124">
        <f t="shared" si="81"/>
        <v>0</v>
      </c>
      <c r="G154" s="125">
        <f t="shared" si="82"/>
        <v>0</v>
      </c>
      <c r="H154" s="126" t="str">
        <f t="shared" si="67"/>
        <v/>
      </c>
      <c r="I154" s="127" t="str">
        <f t="shared" si="68"/>
        <v/>
      </c>
      <c r="J154" s="128">
        <f t="shared" si="69"/>
        <v>0</v>
      </c>
      <c r="K154" s="129">
        <f t="shared" si="70"/>
        <v>0</v>
      </c>
      <c r="L154" s="1">
        <f t="shared" si="83"/>
        <v>0</v>
      </c>
      <c r="M154" s="130">
        <f t="shared" si="71"/>
        <v>0</v>
      </c>
      <c r="N154" s="131">
        <f t="shared" si="72"/>
        <v>0</v>
      </c>
      <c r="O154" s="15"/>
      <c r="P154" s="32">
        <f t="shared" si="84"/>
        <v>0</v>
      </c>
      <c r="Q154" s="33"/>
      <c r="R154" s="75">
        <f t="shared" si="85"/>
        <v>0</v>
      </c>
      <c r="V154" s="68">
        <f t="shared" si="73"/>
        <v>0</v>
      </c>
      <c r="AA154" s="4">
        <f t="shared" si="74"/>
        <v>2</v>
      </c>
      <c r="AB154" s="4">
        <f t="shared" si="75"/>
        <v>4</v>
      </c>
      <c r="AC154" s="12">
        <f t="shared" si="76"/>
        <v>12</v>
      </c>
      <c r="AJ154" s="5">
        <f t="shared" si="96"/>
        <v>0</v>
      </c>
      <c r="AK154" s="5">
        <f t="shared" si="86"/>
        <v>0</v>
      </c>
      <c r="AL154" s="77">
        <f t="shared" si="98"/>
        <v>50284</v>
      </c>
      <c r="AM154" s="27" t="str">
        <f t="shared" si="87"/>
        <v/>
      </c>
      <c r="AN154" s="76">
        <f t="shared" si="88"/>
        <v>140</v>
      </c>
      <c r="AO154" s="13">
        <f t="shared" si="89"/>
        <v>0</v>
      </c>
      <c r="AP154" s="62">
        <f t="shared" si="90"/>
        <v>0</v>
      </c>
      <c r="AQ154" s="9" t="str">
        <f t="shared" si="77"/>
        <v/>
      </c>
      <c r="AR154" s="60" t="str">
        <f t="shared" si="78"/>
        <v/>
      </c>
      <c r="AS154" s="8">
        <f t="shared" si="91"/>
        <v>0</v>
      </c>
      <c r="AT154" s="11">
        <f t="shared" si="92"/>
        <v>0</v>
      </c>
      <c r="AU154" s="15">
        <v>0</v>
      </c>
      <c r="AV154" s="32">
        <f t="shared" si="93"/>
        <v>0</v>
      </c>
      <c r="AW154" s="33"/>
      <c r="AX154" s="75">
        <f t="shared" si="94"/>
        <v>0</v>
      </c>
    </row>
    <row r="155" spans="1:50" x14ac:dyDescent="0.25">
      <c r="A155" s="5">
        <f t="shared" si="95"/>
        <v>0</v>
      </c>
      <c r="B155" s="5">
        <f t="shared" si="79"/>
        <v>0</v>
      </c>
      <c r="C155" s="77">
        <f t="shared" si="97"/>
        <v>50314</v>
      </c>
      <c r="D155" s="122" t="str">
        <f t="shared" si="66"/>
        <v/>
      </c>
      <c r="E155" s="123">
        <f t="shared" si="80"/>
        <v>141</v>
      </c>
      <c r="F155" s="124">
        <f t="shared" si="81"/>
        <v>0</v>
      </c>
      <c r="G155" s="125">
        <f t="shared" si="82"/>
        <v>0</v>
      </c>
      <c r="H155" s="126" t="str">
        <f t="shared" si="67"/>
        <v/>
      </c>
      <c r="I155" s="127" t="str">
        <f t="shared" si="68"/>
        <v/>
      </c>
      <c r="J155" s="128">
        <f t="shared" si="69"/>
        <v>0</v>
      </c>
      <c r="K155" s="129">
        <f t="shared" si="70"/>
        <v>0</v>
      </c>
      <c r="L155" s="1">
        <f t="shared" si="83"/>
        <v>0</v>
      </c>
      <c r="M155" s="130">
        <f t="shared" si="71"/>
        <v>0</v>
      </c>
      <c r="N155" s="131">
        <f t="shared" si="72"/>
        <v>0</v>
      </c>
      <c r="O155" s="15"/>
      <c r="P155" s="32">
        <f t="shared" si="84"/>
        <v>0</v>
      </c>
      <c r="Q155" s="33"/>
      <c r="R155" s="75">
        <f t="shared" si="85"/>
        <v>0</v>
      </c>
      <c r="V155" s="68">
        <f t="shared" si="73"/>
        <v>0</v>
      </c>
      <c r="AA155" s="4">
        <f t="shared" si="74"/>
        <v>2</v>
      </c>
      <c r="AB155" s="4">
        <f t="shared" si="75"/>
        <v>4</v>
      </c>
      <c r="AC155" s="12">
        <f t="shared" si="76"/>
        <v>12</v>
      </c>
      <c r="AJ155" s="5">
        <f t="shared" si="96"/>
        <v>0</v>
      </c>
      <c r="AK155" s="5">
        <f t="shared" si="86"/>
        <v>0</v>
      </c>
      <c r="AL155" s="77">
        <f t="shared" si="98"/>
        <v>50314</v>
      </c>
      <c r="AM155" s="27" t="str">
        <f t="shared" si="87"/>
        <v/>
      </c>
      <c r="AN155" s="76">
        <f t="shared" si="88"/>
        <v>141</v>
      </c>
      <c r="AO155" s="13">
        <f t="shared" si="89"/>
        <v>0</v>
      </c>
      <c r="AP155" s="62">
        <f t="shared" si="90"/>
        <v>0</v>
      </c>
      <c r="AQ155" s="9" t="str">
        <f t="shared" si="77"/>
        <v/>
      </c>
      <c r="AR155" s="60" t="str">
        <f t="shared" si="78"/>
        <v/>
      </c>
      <c r="AS155" s="8">
        <f t="shared" si="91"/>
        <v>0</v>
      </c>
      <c r="AT155" s="11">
        <f t="shared" si="92"/>
        <v>0</v>
      </c>
      <c r="AU155" s="15">
        <v>0</v>
      </c>
      <c r="AV155" s="32">
        <f t="shared" si="93"/>
        <v>0</v>
      </c>
      <c r="AW155" s="33"/>
      <c r="AX155" s="75">
        <f t="shared" si="94"/>
        <v>0</v>
      </c>
    </row>
    <row r="156" spans="1:50" x14ac:dyDescent="0.25">
      <c r="A156" s="5">
        <f t="shared" si="95"/>
        <v>0</v>
      </c>
      <c r="B156" s="5">
        <f t="shared" si="79"/>
        <v>0</v>
      </c>
      <c r="C156" s="77">
        <f t="shared" si="97"/>
        <v>50345</v>
      </c>
      <c r="D156" s="122" t="str">
        <f t="shared" si="66"/>
        <v/>
      </c>
      <c r="E156" s="123">
        <f t="shared" si="80"/>
        <v>142</v>
      </c>
      <c r="F156" s="124">
        <f t="shared" si="81"/>
        <v>0</v>
      </c>
      <c r="G156" s="125">
        <f t="shared" si="82"/>
        <v>0</v>
      </c>
      <c r="H156" s="126" t="str">
        <f t="shared" si="67"/>
        <v/>
      </c>
      <c r="I156" s="127" t="str">
        <f t="shared" si="68"/>
        <v/>
      </c>
      <c r="J156" s="128">
        <f t="shared" si="69"/>
        <v>0</v>
      </c>
      <c r="K156" s="129">
        <f t="shared" si="70"/>
        <v>0</v>
      </c>
      <c r="L156" s="1">
        <f t="shared" si="83"/>
        <v>0</v>
      </c>
      <c r="M156" s="130">
        <f t="shared" si="71"/>
        <v>0</v>
      </c>
      <c r="N156" s="131">
        <f t="shared" si="72"/>
        <v>0</v>
      </c>
      <c r="O156" s="15"/>
      <c r="P156" s="32">
        <f t="shared" si="84"/>
        <v>0</v>
      </c>
      <c r="Q156" s="33"/>
      <c r="R156" s="75">
        <f t="shared" si="85"/>
        <v>0</v>
      </c>
      <c r="V156" s="68">
        <f t="shared" si="73"/>
        <v>0</v>
      </c>
      <c r="AA156" s="4">
        <f t="shared" si="74"/>
        <v>2</v>
      </c>
      <c r="AB156" s="4">
        <f t="shared" si="75"/>
        <v>4</v>
      </c>
      <c r="AC156" s="12">
        <f t="shared" si="76"/>
        <v>12</v>
      </c>
      <c r="AJ156" s="5">
        <f t="shared" si="96"/>
        <v>0</v>
      </c>
      <c r="AK156" s="5">
        <f t="shared" si="86"/>
        <v>0</v>
      </c>
      <c r="AL156" s="77">
        <f t="shared" si="98"/>
        <v>50345</v>
      </c>
      <c r="AM156" s="27" t="str">
        <f t="shared" si="87"/>
        <v/>
      </c>
      <c r="AN156" s="76">
        <f t="shared" si="88"/>
        <v>142</v>
      </c>
      <c r="AO156" s="13">
        <f t="shared" si="89"/>
        <v>0</v>
      </c>
      <c r="AP156" s="62">
        <f t="shared" si="90"/>
        <v>0</v>
      </c>
      <c r="AQ156" s="9" t="str">
        <f t="shared" si="77"/>
        <v/>
      </c>
      <c r="AR156" s="60" t="str">
        <f t="shared" si="78"/>
        <v/>
      </c>
      <c r="AS156" s="8">
        <f t="shared" si="91"/>
        <v>0</v>
      </c>
      <c r="AT156" s="11">
        <f t="shared" si="92"/>
        <v>0</v>
      </c>
      <c r="AU156" s="15">
        <v>0</v>
      </c>
      <c r="AV156" s="32">
        <f t="shared" si="93"/>
        <v>0</v>
      </c>
      <c r="AW156" s="33"/>
      <c r="AX156" s="75">
        <f t="shared" si="94"/>
        <v>0</v>
      </c>
    </row>
    <row r="157" spans="1:50" x14ac:dyDescent="0.25">
      <c r="A157" s="5">
        <f t="shared" si="95"/>
        <v>0</v>
      </c>
      <c r="B157" s="5">
        <f t="shared" si="79"/>
        <v>0</v>
      </c>
      <c r="C157" s="77">
        <f t="shared" si="97"/>
        <v>50375</v>
      </c>
      <c r="D157" s="122" t="str">
        <f t="shared" si="66"/>
        <v/>
      </c>
      <c r="E157" s="123">
        <f t="shared" si="80"/>
        <v>143</v>
      </c>
      <c r="F157" s="124">
        <f t="shared" si="81"/>
        <v>0</v>
      </c>
      <c r="G157" s="125">
        <f t="shared" si="82"/>
        <v>0</v>
      </c>
      <c r="H157" s="126" t="str">
        <f t="shared" si="67"/>
        <v/>
      </c>
      <c r="I157" s="127" t="str">
        <f t="shared" si="68"/>
        <v/>
      </c>
      <c r="J157" s="128">
        <f t="shared" si="69"/>
        <v>0</v>
      </c>
      <c r="K157" s="129">
        <f t="shared" si="70"/>
        <v>0</v>
      </c>
      <c r="L157" s="1">
        <f t="shared" si="83"/>
        <v>0</v>
      </c>
      <c r="M157" s="130">
        <f t="shared" si="71"/>
        <v>0</v>
      </c>
      <c r="N157" s="131">
        <f t="shared" si="72"/>
        <v>0</v>
      </c>
      <c r="O157" s="15"/>
      <c r="P157" s="32">
        <f t="shared" si="84"/>
        <v>0</v>
      </c>
      <c r="Q157" s="33"/>
      <c r="R157" s="75">
        <f t="shared" si="85"/>
        <v>0</v>
      </c>
      <c r="V157" s="68">
        <f t="shared" si="73"/>
        <v>0</v>
      </c>
      <c r="AA157" s="4">
        <f t="shared" si="74"/>
        <v>2</v>
      </c>
      <c r="AB157" s="4">
        <f t="shared" si="75"/>
        <v>4</v>
      </c>
      <c r="AC157" s="12">
        <f t="shared" si="76"/>
        <v>12</v>
      </c>
      <c r="AJ157" s="5">
        <f t="shared" si="96"/>
        <v>0</v>
      </c>
      <c r="AK157" s="5">
        <f t="shared" si="86"/>
        <v>0</v>
      </c>
      <c r="AL157" s="77">
        <f t="shared" si="98"/>
        <v>50375</v>
      </c>
      <c r="AM157" s="27" t="str">
        <f t="shared" si="87"/>
        <v/>
      </c>
      <c r="AN157" s="76">
        <f t="shared" si="88"/>
        <v>143</v>
      </c>
      <c r="AO157" s="13">
        <f t="shared" si="89"/>
        <v>0</v>
      </c>
      <c r="AP157" s="62">
        <f t="shared" si="90"/>
        <v>0</v>
      </c>
      <c r="AQ157" s="9" t="str">
        <f t="shared" si="77"/>
        <v/>
      </c>
      <c r="AR157" s="60" t="str">
        <f t="shared" si="78"/>
        <v/>
      </c>
      <c r="AS157" s="8">
        <f t="shared" si="91"/>
        <v>0</v>
      </c>
      <c r="AT157" s="11">
        <f t="shared" si="92"/>
        <v>0</v>
      </c>
      <c r="AU157" s="15">
        <v>0</v>
      </c>
      <c r="AV157" s="32">
        <f t="shared" si="93"/>
        <v>0</v>
      </c>
      <c r="AW157" s="33"/>
      <c r="AX157" s="75">
        <f t="shared" si="94"/>
        <v>0</v>
      </c>
    </row>
    <row r="158" spans="1:50" x14ac:dyDescent="0.25">
      <c r="A158" s="5">
        <f t="shared" si="95"/>
        <v>0</v>
      </c>
      <c r="B158" s="5">
        <f t="shared" si="79"/>
        <v>0</v>
      </c>
      <c r="C158" s="77">
        <f t="shared" si="97"/>
        <v>50406</v>
      </c>
      <c r="D158" s="122" t="str">
        <f t="shared" si="66"/>
        <v/>
      </c>
      <c r="E158" s="123">
        <f t="shared" si="80"/>
        <v>144</v>
      </c>
      <c r="F158" s="124">
        <f t="shared" si="81"/>
        <v>0</v>
      </c>
      <c r="G158" s="125">
        <f t="shared" si="82"/>
        <v>0</v>
      </c>
      <c r="H158" s="126" t="str">
        <f t="shared" si="67"/>
        <v/>
      </c>
      <c r="I158" s="127" t="str">
        <f t="shared" si="68"/>
        <v/>
      </c>
      <c r="J158" s="128">
        <f t="shared" si="69"/>
        <v>0</v>
      </c>
      <c r="K158" s="129">
        <f t="shared" si="70"/>
        <v>0</v>
      </c>
      <c r="L158" s="1">
        <f t="shared" si="83"/>
        <v>0</v>
      </c>
      <c r="M158" s="130">
        <f t="shared" si="71"/>
        <v>0</v>
      </c>
      <c r="N158" s="131">
        <f t="shared" si="72"/>
        <v>0</v>
      </c>
      <c r="O158" s="15"/>
      <c r="P158" s="32">
        <f t="shared" si="84"/>
        <v>0</v>
      </c>
      <c r="Q158" s="33"/>
      <c r="R158" s="75">
        <f t="shared" si="85"/>
        <v>0</v>
      </c>
      <c r="V158" s="68">
        <f t="shared" si="73"/>
        <v>0</v>
      </c>
      <c r="AA158" s="4">
        <f t="shared" si="74"/>
        <v>2</v>
      </c>
      <c r="AB158" s="4">
        <f t="shared" si="75"/>
        <v>4</v>
      </c>
      <c r="AC158" s="12">
        <f t="shared" si="76"/>
        <v>12</v>
      </c>
      <c r="AJ158" s="5">
        <f t="shared" si="96"/>
        <v>0</v>
      </c>
      <c r="AK158" s="5">
        <f t="shared" si="86"/>
        <v>0</v>
      </c>
      <c r="AL158" s="77">
        <f t="shared" si="98"/>
        <v>50406</v>
      </c>
      <c r="AM158" s="27" t="str">
        <f t="shared" si="87"/>
        <v/>
      </c>
      <c r="AN158" s="76">
        <f t="shared" si="88"/>
        <v>144</v>
      </c>
      <c r="AO158" s="13">
        <f t="shared" si="89"/>
        <v>0</v>
      </c>
      <c r="AP158" s="62">
        <f t="shared" si="90"/>
        <v>0</v>
      </c>
      <c r="AQ158" s="9" t="str">
        <f t="shared" si="77"/>
        <v/>
      </c>
      <c r="AR158" s="60" t="str">
        <f t="shared" si="78"/>
        <v/>
      </c>
      <c r="AS158" s="8">
        <f t="shared" si="91"/>
        <v>0</v>
      </c>
      <c r="AT158" s="11">
        <f t="shared" si="92"/>
        <v>0</v>
      </c>
      <c r="AU158" s="15">
        <v>0</v>
      </c>
      <c r="AV158" s="32">
        <f t="shared" si="93"/>
        <v>0</v>
      </c>
      <c r="AW158" s="33"/>
      <c r="AX158" s="75">
        <f t="shared" si="94"/>
        <v>0</v>
      </c>
    </row>
    <row r="159" spans="1:50" x14ac:dyDescent="0.25">
      <c r="A159" s="5">
        <f t="shared" si="95"/>
        <v>0</v>
      </c>
      <c r="B159" s="5">
        <f t="shared" si="79"/>
        <v>0</v>
      </c>
      <c r="C159" s="77">
        <f t="shared" si="97"/>
        <v>50437</v>
      </c>
      <c r="D159" s="122" t="str">
        <f t="shared" si="66"/>
        <v/>
      </c>
      <c r="E159" s="123">
        <f t="shared" si="80"/>
        <v>145</v>
      </c>
      <c r="F159" s="124">
        <f t="shared" si="81"/>
        <v>0</v>
      </c>
      <c r="G159" s="125">
        <f t="shared" si="82"/>
        <v>0</v>
      </c>
      <c r="H159" s="126" t="str">
        <f t="shared" si="67"/>
        <v/>
      </c>
      <c r="I159" s="127" t="str">
        <f t="shared" si="68"/>
        <v/>
      </c>
      <c r="J159" s="128">
        <f t="shared" si="69"/>
        <v>0</v>
      </c>
      <c r="K159" s="129">
        <f t="shared" si="70"/>
        <v>0</v>
      </c>
      <c r="L159" s="1">
        <f t="shared" si="83"/>
        <v>0</v>
      </c>
      <c r="M159" s="130">
        <f t="shared" si="71"/>
        <v>0</v>
      </c>
      <c r="N159" s="131">
        <f t="shared" si="72"/>
        <v>0</v>
      </c>
      <c r="O159" s="15"/>
      <c r="P159" s="32">
        <f t="shared" si="84"/>
        <v>0</v>
      </c>
      <c r="Q159" s="33"/>
      <c r="R159" s="75">
        <f t="shared" si="85"/>
        <v>0</v>
      </c>
      <c r="V159" s="68">
        <f t="shared" si="73"/>
        <v>0</v>
      </c>
      <c r="AA159" s="4">
        <f t="shared" si="74"/>
        <v>2</v>
      </c>
      <c r="AB159" s="4">
        <f t="shared" si="75"/>
        <v>5</v>
      </c>
      <c r="AC159" s="12">
        <f t="shared" si="76"/>
        <v>13</v>
      </c>
      <c r="AJ159" s="5">
        <f t="shared" si="96"/>
        <v>0</v>
      </c>
      <c r="AK159" s="5">
        <f t="shared" si="86"/>
        <v>0</v>
      </c>
      <c r="AL159" s="77">
        <f t="shared" si="98"/>
        <v>50437</v>
      </c>
      <c r="AM159" s="27" t="str">
        <f t="shared" si="87"/>
        <v/>
      </c>
      <c r="AN159" s="76">
        <f t="shared" si="88"/>
        <v>145</v>
      </c>
      <c r="AO159" s="13">
        <f t="shared" si="89"/>
        <v>0</v>
      </c>
      <c r="AP159" s="62">
        <f t="shared" si="90"/>
        <v>0</v>
      </c>
      <c r="AQ159" s="9" t="str">
        <f t="shared" si="77"/>
        <v/>
      </c>
      <c r="AR159" s="60" t="str">
        <f t="shared" si="78"/>
        <v/>
      </c>
      <c r="AS159" s="8">
        <f t="shared" si="91"/>
        <v>0</v>
      </c>
      <c r="AT159" s="11">
        <f t="shared" si="92"/>
        <v>0</v>
      </c>
      <c r="AU159" s="15">
        <v>0</v>
      </c>
      <c r="AV159" s="32">
        <f t="shared" si="93"/>
        <v>0</v>
      </c>
      <c r="AW159" s="33"/>
      <c r="AX159" s="75">
        <f t="shared" si="94"/>
        <v>0</v>
      </c>
    </row>
    <row r="160" spans="1:50" x14ac:dyDescent="0.25">
      <c r="A160" s="5">
        <f t="shared" si="95"/>
        <v>0</v>
      </c>
      <c r="B160" s="5">
        <f t="shared" si="79"/>
        <v>0</v>
      </c>
      <c r="C160" s="77">
        <f t="shared" si="97"/>
        <v>50465</v>
      </c>
      <c r="D160" s="122" t="str">
        <f t="shared" si="66"/>
        <v/>
      </c>
      <c r="E160" s="123">
        <f t="shared" si="80"/>
        <v>146</v>
      </c>
      <c r="F160" s="124">
        <f t="shared" si="81"/>
        <v>0</v>
      </c>
      <c r="G160" s="125">
        <f t="shared" si="82"/>
        <v>0</v>
      </c>
      <c r="H160" s="126" t="str">
        <f t="shared" si="67"/>
        <v/>
      </c>
      <c r="I160" s="127" t="str">
        <f t="shared" si="68"/>
        <v/>
      </c>
      <c r="J160" s="128">
        <f t="shared" si="69"/>
        <v>0</v>
      </c>
      <c r="K160" s="129">
        <f t="shared" si="70"/>
        <v>0</v>
      </c>
      <c r="L160" s="1">
        <f t="shared" si="83"/>
        <v>0</v>
      </c>
      <c r="M160" s="130">
        <f t="shared" si="71"/>
        <v>0</v>
      </c>
      <c r="N160" s="131">
        <f t="shared" si="72"/>
        <v>0</v>
      </c>
      <c r="O160" s="15"/>
      <c r="P160" s="32">
        <f t="shared" si="84"/>
        <v>0</v>
      </c>
      <c r="Q160" s="33"/>
      <c r="R160" s="75">
        <f t="shared" si="85"/>
        <v>0</v>
      </c>
      <c r="V160" s="68">
        <f t="shared" si="73"/>
        <v>0</v>
      </c>
      <c r="AA160" s="4">
        <f t="shared" si="74"/>
        <v>2</v>
      </c>
      <c r="AB160" s="4">
        <f t="shared" si="75"/>
        <v>5</v>
      </c>
      <c r="AC160" s="12">
        <f t="shared" si="76"/>
        <v>13</v>
      </c>
      <c r="AJ160" s="5">
        <f t="shared" si="96"/>
        <v>0</v>
      </c>
      <c r="AK160" s="5">
        <f t="shared" si="86"/>
        <v>0</v>
      </c>
      <c r="AL160" s="77">
        <f t="shared" si="98"/>
        <v>50465</v>
      </c>
      <c r="AM160" s="27" t="str">
        <f t="shared" si="87"/>
        <v/>
      </c>
      <c r="AN160" s="76">
        <f t="shared" si="88"/>
        <v>146</v>
      </c>
      <c r="AO160" s="13">
        <f t="shared" si="89"/>
        <v>0</v>
      </c>
      <c r="AP160" s="62">
        <f t="shared" si="90"/>
        <v>0</v>
      </c>
      <c r="AQ160" s="9" t="str">
        <f t="shared" si="77"/>
        <v/>
      </c>
      <c r="AR160" s="60" t="str">
        <f t="shared" si="78"/>
        <v/>
      </c>
      <c r="AS160" s="8">
        <f t="shared" si="91"/>
        <v>0</v>
      </c>
      <c r="AT160" s="11">
        <f t="shared" si="92"/>
        <v>0</v>
      </c>
      <c r="AU160" s="15">
        <v>0</v>
      </c>
      <c r="AV160" s="32">
        <f t="shared" si="93"/>
        <v>0</v>
      </c>
      <c r="AW160" s="33"/>
      <c r="AX160" s="75">
        <f t="shared" si="94"/>
        <v>0</v>
      </c>
    </row>
    <row r="161" spans="1:50" x14ac:dyDescent="0.25">
      <c r="A161" s="5">
        <f t="shared" si="95"/>
        <v>0</v>
      </c>
      <c r="B161" s="5">
        <f t="shared" si="79"/>
        <v>0</v>
      </c>
      <c r="C161" s="77">
        <f t="shared" si="97"/>
        <v>50496</v>
      </c>
      <c r="D161" s="122" t="str">
        <f t="shared" si="66"/>
        <v/>
      </c>
      <c r="E161" s="123">
        <f t="shared" si="80"/>
        <v>147</v>
      </c>
      <c r="F161" s="124">
        <f t="shared" si="81"/>
        <v>0</v>
      </c>
      <c r="G161" s="125">
        <f t="shared" si="82"/>
        <v>0</v>
      </c>
      <c r="H161" s="126" t="str">
        <f t="shared" si="67"/>
        <v/>
      </c>
      <c r="I161" s="127" t="str">
        <f t="shared" si="68"/>
        <v/>
      </c>
      <c r="J161" s="128">
        <f t="shared" si="69"/>
        <v>0</v>
      </c>
      <c r="K161" s="129">
        <f t="shared" si="70"/>
        <v>0</v>
      </c>
      <c r="L161" s="1">
        <f t="shared" si="83"/>
        <v>0</v>
      </c>
      <c r="M161" s="130">
        <f t="shared" si="71"/>
        <v>0</v>
      </c>
      <c r="N161" s="131">
        <f t="shared" si="72"/>
        <v>0</v>
      </c>
      <c r="O161" s="15"/>
      <c r="P161" s="32">
        <f t="shared" si="84"/>
        <v>0</v>
      </c>
      <c r="Q161" s="33"/>
      <c r="R161" s="75">
        <f t="shared" si="85"/>
        <v>0</v>
      </c>
      <c r="V161" s="68">
        <f t="shared" si="73"/>
        <v>0</v>
      </c>
      <c r="AA161" s="4">
        <f t="shared" si="74"/>
        <v>2</v>
      </c>
      <c r="AB161" s="4">
        <f t="shared" si="75"/>
        <v>5</v>
      </c>
      <c r="AC161" s="12">
        <f t="shared" si="76"/>
        <v>13</v>
      </c>
      <c r="AJ161" s="5">
        <f t="shared" si="96"/>
        <v>0</v>
      </c>
      <c r="AK161" s="5">
        <f t="shared" si="86"/>
        <v>0</v>
      </c>
      <c r="AL161" s="77">
        <f t="shared" si="98"/>
        <v>50496</v>
      </c>
      <c r="AM161" s="27" t="str">
        <f t="shared" si="87"/>
        <v/>
      </c>
      <c r="AN161" s="76">
        <f t="shared" si="88"/>
        <v>147</v>
      </c>
      <c r="AO161" s="13">
        <f t="shared" si="89"/>
        <v>0</v>
      </c>
      <c r="AP161" s="62">
        <f t="shared" si="90"/>
        <v>0</v>
      </c>
      <c r="AQ161" s="9" t="str">
        <f t="shared" si="77"/>
        <v/>
      </c>
      <c r="AR161" s="60" t="str">
        <f t="shared" si="78"/>
        <v/>
      </c>
      <c r="AS161" s="8">
        <f t="shared" si="91"/>
        <v>0</v>
      </c>
      <c r="AT161" s="11">
        <f t="shared" si="92"/>
        <v>0</v>
      </c>
      <c r="AU161" s="15">
        <v>0</v>
      </c>
      <c r="AV161" s="32">
        <f t="shared" si="93"/>
        <v>0</v>
      </c>
      <c r="AW161" s="33"/>
      <c r="AX161" s="75">
        <f t="shared" si="94"/>
        <v>0</v>
      </c>
    </row>
    <row r="162" spans="1:50" x14ac:dyDescent="0.25">
      <c r="A162" s="5">
        <f t="shared" si="95"/>
        <v>0</v>
      </c>
      <c r="B162" s="5">
        <f t="shared" si="79"/>
        <v>0</v>
      </c>
      <c r="C162" s="77">
        <f t="shared" si="97"/>
        <v>50526</v>
      </c>
      <c r="D162" s="122" t="str">
        <f t="shared" si="66"/>
        <v/>
      </c>
      <c r="E162" s="123">
        <f t="shared" si="80"/>
        <v>148</v>
      </c>
      <c r="F162" s="124">
        <f t="shared" si="81"/>
        <v>0</v>
      </c>
      <c r="G162" s="125">
        <f t="shared" si="82"/>
        <v>0</v>
      </c>
      <c r="H162" s="126" t="str">
        <f t="shared" si="67"/>
        <v/>
      </c>
      <c r="I162" s="127" t="str">
        <f t="shared" si="68"/>
        <v/>
      </c>
      <c r="J162" s="128">
        <f t="shared" si="69"/>
        <v>0</v>
      </c>
      <c r="K162" s="129">
        <f t="shared" si="70"/>
        <v>0</v>
      </c>
      <c r="L162" s="1">
        <f t="shared" si="83"/>
        <v>0</v>
      </c>
      <c r="M162" s="130">
        <f t="shared" si="71"/>
        <v>0</v>
      </c>
      <c r="N162" s="131">
        <f t="shared" si="72"/>
        <v>0</v>
      </c>
      <c r="O162" s="15"/>
      <c r="P162" s="32">
        <f t="shared" si="84"/>
        <v>0</v>
      </c>
      <c r="Q162" s="33"/>
      <c r="R162" s="75">
        <f t="shared" si="85"/>
        <v>0</v>
      </c>
      <c r="V162" s="68">
        <f t="shared" si="73"/>
        <v>0</v>
      </c>
      <c r="AA162" s="4">
        <f t="shared" si="74"/>
        <v>2</v>
      </c>
      <c r="AB162" s="4">
        <f t="shared" si="75"/>
        <v>5</v>
      </c>
      <c r="AC162" s="12">
        <f t="shared" si="76"/>
        <v>13</v>
      </c>
      <c r="AJ162" s="5">
        <f t="shared" si="96"/>
        <v>0</v>
      </c>
      <c r="AK162" s="5">
        <f t="shared" si="86"/>
        <v>0</v>
      </c>
      <c r="AL162" s="77">
        <f t="shared" si="98"/>
        <v>50526</v>
      </c>
      <c r="AM162" s="27" t="str">
        <f t="shared" si="87"/>
        <v/>
      </c>
      <c r="AN162" s="76">
        <f t="shared" si="88"/>
        <v>148</v>
      </c>
      <c r="AO162" s="13">
        <f t="shared" si="89"/>
        <v>0</v>
      </c>
      <c r="AP162" s="62">
        <f t="shared" si="90"/>
        <v>0</v>
      </c>
      <c r="AQ162" s="9" t="str">
        <f t="shared" si="77"/>
        <v/>
      </c>
      <c r="AR162" s="60" t="str">
        <f t="shared" si="78"/>
        <v/>
      </c>
      <c r="AS162" s="8">
        <f t="shared" si="91"/>
        <v>0</v>
      </c>
      <c r="AT162" s="11">
        <f t="shared" si="92"/>
        <v>0</v>
      </c>
      <c r="AU162" s="15">
        <v>0</v>
      </c>
      <c r="AV162" s="32">
        <f t="shared" si="93"/>
        <v>0</v>
      </c>
      <c r="AW162" s="33"/>
      <c r="AX162" s="75">
        <f t="shared" si="94"/>
        <v>0</v>
      </c>
    </row>
    <row r="163" spans="1:50" x14ac:dyDescent="0.25">
      <c r="A163" s="5">
        <f t="shared" si="95"/>
        <v>0</v>
      </c>
      <c r="B163" s="5">
        <f t="shared" si="79"/>
        <v>0</v>
      </c>
      <c r="C163" s="77">
        <f t="shared" si="97"/>
        <v>50557</v>
      </c>
      <c r="D163" s="122" t="str">
        <f t="shared" si="66"/>
        <v/>
      </c>
      <c r="E163" s="123">
        <f t="shared" si="80"/>
        <v>149</v>
      </c>
      <c r="F163" s="124">
        <f t="shared" si="81"/>
        <v>0</v>
      </c>
      <c r="G163" s="125">
        <f t="shared" si="82"/>
        <v>0</v>
      </c>
      <c r="H163" s="126" t="str">
        <f t="shared" si="67"/>
        <v/>
      </c>
      <c r="I163" s="127" t="str">
        <f t="shared" si="68"/>
        <v/>
      </c>
      <c r="J163" s="128">
        <f t="shared" si="69"/>
        <v>0</v>
      </c>
      <c r="K163" s="129">
        <f t="shared" si="70"/>
        <v>0</v>
      </c>
      <c r="L163" s="1">
        <f t="shared" si="83"/>
        <v>0</v>
      </c>
      <c r="M163" s="130">
        <f t="shared" si="71"/>
        <v>0</v>
      </c>
      <c r="N163" s="131">
        <f t="shared" si="72"/>
        <v>0</v>
      </c>
      <c r="O163" s="15"/>
      <c r="P163" s="32">
        <f t="shared" si="84"/>
        <v>0</v>
      </c>
      <c r="Q163" s="33"/>
      <c r="R163" s="75">
        <f t="shared" si="85"/>
        <v>0</v>
      </c>
      <c r="V163" s="68">
        <f t="shared" si="73"/>
        <v>0</v>
      </c>
      <c r="AA163" s="4">
        <f t="shared" si="74"/>
        <v>2</v>
      </c>
      <c r="AB163" s="4">
        <f t="shared" si="75"/>
        <v>5</v>
      </c>
      <c r="AC163" s="12">
        <f t="shared" si="76"/>
        <v>13</v>
      </c>
      <c r="AJ163" s="5">
        <f t="shared" si="96"/>
        <v>0</v>
      </c>
      <c r="AK163" s="5">
        <f t="shared" si="86"/>
        <v>0</v>
      </c>
      <c r="AL163" s="77">
        <f t="shared" si="98"/>
        <v>50557</v>
      </c>
      <c r="AM163" s="27" t="str">
        <f t="shared" si="87"/>
        <v/>
      </c>
      <c r="AN163" s="76">
        <f t="shared" si="88"/>
        <v>149</v>
      </c>
      <c r="AO163" s="13">
        <f t="shared" si="89"/>
        <v>0</v>
      </c>
      <c r="AP163" s="62">
        <f t="shared" si="90"/>
        <v>0</v>
      </c>
      <c r="AQ163" s="9" t="str">
        <f t="shared" si="77"/>
        <v/>
      </c>
      <c r="AR163" s="60" t="str">
        <f t="shared" si="78"/>
        <v/>
      </c>
      <c r="AS163" s="8">
        <f t="shared" si="91"/>
        <v>0</v>
      </c>
      <c r="AT163" s="11">
        <f t="shared" si="92"/>
        <v>0</v>
      </c>
      <c r="AU163" s="15">
        <v>0</v>
      </c>
      <c r="AV163" s="32">
        <f t="shared" si="93"/>
        <v>0</v>
      </c>
      <c r="AW163" s="33"/>
      <c r="AX163" s="75">
        <f t="shared" si="94"/>
        <v>0</v>
      </c>
    </row>
    <row r="164" spans="1:50" x14ac:dyDescent="0.25">
      <c r="A164" s="5">
        <f t="shared" si="95"/>
        <v>0</v>
      </c>
      <c r="B164" s="5">
        <f t="shared" si="79"/>
        <v>0</v>
      </c>
      <c r="C164" s="77">
        <f t="shared" si="97"/>
        <v>50587</v>
      </c>
      <c r="D164" s="122" t="str">
        <f t="shared" si="66"/>
        <v/>
      </c>
      <c r="E164" s="123">
        <f t="shared" si="80"/>
        <v>150</v>
      </c>
      <c r="F164" s="124">
        <f t="shared" si="81"/>
        <v>0</v>
      </c>
      <c r="G164" s="125">
        <f t="shared" si="82"/>
        <v>0</v>
      </c>
      <c r="H164" s="126" t="str">
        <f t="shared" si="67"/>
        <v/>
      </c>
      <c r="I164" s="127" t="str">
        <f t="shared" si="68"/>
        <v/>
      </c>
      <c r="J164" s="128">
        <f t="shared" si="69"/>
        <v>0</v>
      </c>
      <c r="K164" s="129">
        <f t="shared" si="70"/>
        <v>0</v>
      </c>
      <c r="L164" s="1">
        <f t="shared" si="83"/>
        <v>0</v>
      </c>
      <c r="M164" s="130">
        <f t="shared" si="71"/>
        <v>0</v>
      </c>
      <c r="N164" s="131">
        <f t="shared" si="72"/>
        <v>0</v>
      </c>
      <c r="O164" s="15"/>
      <c r="P164" s="32">
        <f t="shared" si="84"/>
        <v>0</v>
      </c>
      <c r="Q164" s="33"/>
      <c r="R164" s="75">
        <f t="shared" si="85"/>
        <v>0</v>
      </c>
      <c r="V164" s="68">
        <f t="shared" si="73"/>
        <v>0</v>
      </c>
      <c r="AA164" s="4">
        <f t="shared" si="74"/>
        <v>2</v>
      </c>
      <c r="AB164" s="4">
        <f t="shared" si="75"/>
        <v>5</v>
      </c>
      <c r="AC164" s="12">
        <f t="shared" si="76"/>
        <v>13</v>
      </c>
      <c r="AJ164" s="5">
        <f t="shared" si="96"/>
        <v>0</v>
      </c>
      <c r="AK164" s="5">
        <f t="shared" si="86"/>
        <v>0</v>
      </c>
      <c r="AL164" s="77">
        <f t="shared" si="98"/>
        <v>50587</v>
      </c>
      <c r="AM164" s="27" t="str">
        <f t="shared" si="87"/>
        <v/>
      </c>
      <c r="AN164" s="76">
        <f t="shared" si="88"/>
        <v>150</v>
      </c>
      <c r="AO164" s="13">
        <f t="shared" si="89"/>
        <v>0</v>
      </c>
      <c r="AP164" s="62">
        <f t="shared" si="90"/>
        <v>0</v>
      </c>
      <c r="AQ164" s="9" t="str">
        <f t="shared" si="77"/>
        <v/>
      </c>
      <c r="AR164" s="60" t="str">
        <f t="shared" si="78"/>
        <v/>
      </c>
      <c r="AS164" s="8">
        <f t="shared" si="91"/>
        <v>0</v>
      </c>
      <c r="AT164" s="11">
        <f t="shared" si="92"/>
        <v>0</v>
      </c>
      <c r="AU164" s="15">
        <v>0</v>
      </c>
      <c r="AV164" s="32">
        <f t="shared" si="93"/>
        <v>0</v>
      </c>
      <c r="AW164" s="33"/>
      <c r="AX164" s="75">
        <f t="shared" si="94"/>
        <v>0</v>
      </c>
    </row>
    <row r="165" spans="1:50" x14ac:dyDescent="0.25">
      <c r="A165" s="5">
        <f t="shared" si="95"/>
        <v>0</v>
      </c>
      <c r="B165" s="5">
        <f t="shared" si="79"/>
        <v>0</v>
      </c>
      <c r="C165" s="77">
        <f t="shared" si="97"/>
        <v>50618</v>
      </c>
      <c r="D165" s="122" t="str">
        <f t="shared" si="66"/>
        <v/>
      </c>
      <c r="E165" s="123">
        <f t="shared" si="80"/>
        <v>151</v>
      </c>
      <c r="F165" s="124">
        <f t="shared" si="81"/>
        <v>0</v>
      </c>
      <c r="G165" s="125">
        <f t="shared" si="82"/>
        <v>0</v>
      </c>
      <c r="H165" s="126" t="str">
        <f t="shared" si="67"/>
        <v/>
      </c>
      <c r="I165" s="127" t="str">
        <f t="shared" si="68"/>
        <v/>
      </c>
      <c r="J165" s="128">
        <f t="shared" si="69"/>
        <v>0</v>
      </c>
      <c r="K165" s="129">
        <f t="shared" si="70"/>
        <v>0</v>
      </c>
      <c r="L165" s="1">
        <f t="shared" si="83"/>
        <v>0</v>
      </c>
      <c r="M165" s="130">
        <f t="shared" si="71"/>
        <v>0</v>
      </c>
      <c r="N165" s="131">
        <f t="shared" si="72"/>
        <v>0</v>
      </c>
      <c r="O165" s="15"/>
      <c r="P165" s="32">
        <f t="shared" si="84"/>
        <v>0</v>
      </c>
      <c r="Q165" s="33"/>
      <c r="R165" s="75">
        <f t="shared" si="85"/>
        <v>0</v>
      </c>
      <c r="V165" s="68">
        <f t="shared" si="73"/>
        <v>0</v>
      </c>
      <c r="AA165" s="4">
        <f t="shared" si="74"/>
        <v>2</v>
      </c>
      <c r="AB165" s="4">
        <f t="shared" si="75"/>
        <v>5</v>
      </c>
      <c r="AC165" s="12">
        <f t="shared" si="76"/>
        <v>13</v>
      </c>
      <c r="AJ165" s="5">
        <f t="shared" si="96"/>
        <v>0</v>
      </c>
      <c r="AK165" s="5">
        <f t="shared" si="86"/>
        <v>0</v>
      </c>
      <c r="AL165" s="77">
        <f t="shared" si="98"/>
        <v>50618</v>
      </c>
      <c r="AM165" s="27" t="str">
        <f t="shared" si="87"/>
        <v/>
      </c>
      <c r="AN165" s="76">
        <f t="shared" si="88"/>
        <v>151</v>
      </c>
      <c r="AO165" s="13">
        <f t="shared" si="89"/>
        <v>0</v>
      </c>
      <c r="AP165" s="62">
        <f t="shared" si="90"/>
        <v>0</v>
      </c>
      <c r="AQ165" s="9" t="str">
        <f t="shared" si="77"/>
        <v/>
      </c>
      <c r="AR165" s="60" t="str">
        <f t="shared" si="78"/>
        <v/>
      </c>
      <c r="AS165" s="8">
        <f t="shared" si="91"/>
        <v>0</v>
      </c>
      <c r="AT165" s="11">
        <f t="shared" si="92"/>
        <v>0</v>
      </c>
      <c r="AU165" s="15">
        <v>0</v>
      </c>
      <c r="AV165" s="32">
        <f t="shared" si="93"/>
        <v>0</v>
      </c>
      <c r="AW165" s="33"/>
      <c r="AX165" s="75">
        <f t="shared" si="94"/>
        <v>0</v>
      </c>
    </row>
    <row r="166" spans="1:50" x14ac:dyDescent="0.25">
      <c r="A166" s="5">
        <f t="shared" si="95"/>
        <v>0</v>
      </c>
      <c r="B166" s="5">
        <f t="shared" si="79"/>
        <v>0</v>
      </c>
      <c r="C166" s="77">
        <f t="shared" si="97"/>
        <v>50649</v>
      </c>
      <c r="D166" s="122" t="str">
        <f t="shared" si="66"/>
        <v/>
      </c>
      <c r="E166" s="123">
        <f t="shared" si="80"/>
        <v>152</v>
      </c>
      <c r="F166" s="124">
        <f t="shared" si="81"/>
        <v>0</v>
      </c>
      <c r="G166" s="125">
        <f t="shared" si="82"/>
        <v>0</v>
      </c>
      <c r="H166" s="126" t="str">
        <f t="shared" si="67"/>
        <v/>
      </c>
      <c r="I166" s="127" t="str">
        <f t="shared" si="68"/>
        <v/>
      </c>
      <c r="J166" s="128">
        <f t="shared" si="69"/>
        <v>0</v>
      </c>
      <c r="K166" s="129">
        <f t="shared" si="70"/>
        <v>0</v>
      </c>
      <c r="L166" s="1">
        <f t="shared" si="83"/>
        <v>0</v>
      </c>
      <c r="M166" s="130">
        <f t="shared" si="71"/>
        <v>0</v>
      </c>
      <c r="N166" s="131">
        <f t="shared" si="72"/>
        <v>0</v>
      </c>
      <c r="O166" s="15"/>
      <c r="P166" s="32">
        <f t="shared" si="84"/>
        <v>0</v>
      </c>
      <c r="Q166" s="33"/>
      <c r="R166" s="75">
        <f t="shared" si="85"/>
        <v>0</v>
      </c>
      <c r="V166" s="68">
        <f t="shared" si="73"/>
        <v>0</v>
      </c>
      <c r="AA166" s="4">
        <f t="shared" si="74"/>
        <v>2</v>
      </c>
      <c r="AB166" s="4">
        <f t="shared" si="75"/>
        <v>5</v>
      </c>
      <c r="AC166" s="12">
        <f t="shared" si="76"/>
        <v>13</v>
      </c>
      <c r="AJ166" s="5">
        <f t="shared" si="96"/>
        <v>0</v>
      </c>
      <c r="AK166" s="5">
        <f t="shared" si="86"/>
        <v>0</v>
      </c>
      <c r="AL166" s="77">
        <f t="shared" si="98"/>
        <v>50649</v>
      </c>
      <c r="AM166" s="27" t="str">
        <f t="shared" si="87"/>
        <v/>
      </c>
      <c r="AN166" s="76">
        <f t="shared" si="88"/>
        <v>152</v>
      </c>
      <c r="AO166" s="13">
        <f t="shared" si="89"/>
        <v>0</v>
      </c>
      <c r="AP166" s="62">
        <f t="shared" si="90"/>
        <v>0</v>
      </c>
      <c r="AQ166" s="9" t="str">
        <f t="shared" si="77"/>
        <v/>
      </c>
      <c r="AR166" s="60" t="str">
        <f t="shared" si="78"/>
        <v/>
      </c>
      <c r="AS166" s="8">
        <f t="shared" si="91"/>
        <v>0</v>
      </c>
      <c r="AT166" s="11">
        <f t="shared" si="92"/>
        <v>0</v>
      </c>
      <c r="AU166" s="15">
        <v>0</v>
      </c>
      <c r="AV166" s="32">
        <f t="shared" si="93"/>
        <v>0</v>
      </c>
      <c r="AW166" s="33"/>
      <c r="AX166" s="75">
        <f t="shared" si="94"/>
        <v>0</v>
      </c>
    </row>
    <row r="167" spans="1:50" x14ac:dyDescent="0.25">
      <c r="A167" s="5">
        <f t="shared" si="95"/>
        <v>0</v>
      </c>
      <c r="B167" s="5">
        <f t="shared" si="79"/>
        <v>0</v>
      </c>
      <c r="C167" s="77">
        <f t="shared" si="97"/>
        <v>50679</v>
      </c>
      <c r="D167" s="122" t="str">
        <f t="shared" si="66"/>
        <v/>
      </c>
      <c r="E167" s="123">
        <f t="shared" si="80"/>
        <v>153</v>
      </c>
      <c r="F167" s="124">
        <f t="shared" si="81"/>
        <v>0</v>
      </c>
      <c r="G167" s="125">
        <f t="shared" si="82"/>
        <v>0</v>
      </c>
      <c r="H167" s="126" t="str">
        <f t="shared" si="67"/>
        <v/>
      </c>
      <c r="I167" s="127" t="str">
        <f t="shared" si="68"/>
        <v/>
      </c>
      <c r="J167" s="128">
        <f t="shared" si="69"/>
        <v>0</v>
      </c>
      <c r="K167" s="129">
        <f t="shared" si="70"/>
        <v>0</v>
      </c>
      <c r="L167" s="1">
        <f t="shared" si="83"/>
        <v>0</v>
      </c>
      <c r="M167" s="130">
        <f t="shared" si="71"/>
        <v>0</v>
      </c>
      <c r="N167" s="131">
        <f t="shared" si="72"/>
        <v>0</v>
      </c>
      <c r="O167" s="15"/>
      <c r="P167" s="32">
        <f t="shared" si="84"/>
        <v>0</v>
      </c>
      <c r="Q167" s="33"/>
      <c r="R167" s="75">
        <f t="shared" si="85"/>
        <v>0</v>
      </c>
      <c r="V167" s="68">
        <f t="shared" si="73"/>
        <v>0</v>
      </c>
      <c r="AA167" s="4">
        <f t="shared" si="74"/>
        <v>2</v>
      </c>
      <c r="AB167" s="4">
        <f t="shared" si="75"/>
        <v>5</v>
      </c>
      <c r="AC167" s="12">
        <f t="shared" si="76"/>
        <v>13</v>
      </c>
      <c r="AJ167" s="5">
        <f t="shared" si="96"/>
        <v>0</v>
      </c>
      <c r="AK167" s="5">
        <f t="shared" si="86"/>
        <v>0</v>
      </c>
      <c r="AL167" s="77">
        <f t="shared" si="98"/>
        <v>50679</v>
      </c>
      <c r="AM167" s="27" t="str">
        <f t="shared" si="87"/>
        <v/>
      </c>
      <c r="AN167" s="76">
        <f t="shared" si="88"/>
        <v>153</v>
      </c>
      <c r="AO167" s="13">
        <f t="shared" si="89"/>
        <v>0</v>
      </c>
      <c r="AP167" s="62">
        <f t="shared" si="90"/>
        <v>0</v>
      </c>
      <c r="AQ167" s="9" t="str">
        <f t="shared" si="77"/>
        <v/>
      </c>
      <c r="AR167" s="60" t="str">
        <f t="shared" si="78"/>
        <v/>
      </c>
      <c r="AS167" s="8">
        <f t="shared" si="91"/>
        <v>0</v>
      </c>
      <c r="AT167" s="11">
        <f t="shared" si="92"/>
        <v>0</v>
      </c>
      <c r="AU167" s="15">
        <v>0</v>
      </c>
      <c r="AV167" s="32">
        <f t="shared" si="93"/>
        <v>0</v>
      </c>
      <c r="AW167" s="33"/>
      <c r="AX167" s="75">
        <f t="shared" si="94"/>
        <v>0</v>
      </c>
    </row>
    <row r="168" spans="1:50" x14ac:dyDescent="0.25">
      <c r="A168" s="5">
        <f t="shared" si="95"/>
        <v>0</v>
      </c>
      <c r="B168" s="5">
        <f t="shared" si="79"/>
        <v>0</v>
      </c>
      <c r="C168" s="77">
        <f t="shared" si="97"/>
        <v>50710</v>
      </c>
      <c r="D168" s="122" t="str">
        <f t="shared" si="66"/>
        <v/>
      </c>
      <c r="E168" s="123">
        <f t="shared" si="80"/>
        <v>154</v>
      </c>
      <c r="F168" s="124">
        <f t="shared" si="81"/>
        <v>0</v>
      </c>
      <c r="G168" s="125">
        <f t="shared" si="82"/>
        <v>0</v>
      </c>
      <c r="H168" s="126" t="str">
        <f t="shared" si="67"/>
        <v/>
      </c>
      <c r="I168" s="127" t="str">
        <f t="shared" si="68"/>
        <v/>
      </c>
      <c r="J168" s="128">
        <f t="shared" si="69"/>
        <v>0</v>
      </c>
      <c r="K168" s="129">
        <f t="shared" si="70"/>
        <v>0</v>
      </c>
      <c r="L168" s="1">
        <f t="shared" si="83"/>
        <v>0</v>
      </c>
      <c r="M168" s="130">
        <f t="shared" si="71"/>
        <v>0</v>
      </c>
      <c r="N168" s="131">
        <f t="shared" si="72"/>
        <v>0</v>
      </c>
      <c r="O168" s="15"/>
      <c r="P168" s="32">
        <f t="shared" si="84"/>
        <v>0</v>
      </c>
      <c r="Q168" s="33"/>
      <c r="R168" s="75">
        <f t="shared" si="85"/>
        <v>0</v>
      </c>
      <c r="V168" s="68">
        <f t="shared" si="73"/>
        <v>0</v>
      </c>
      <c r="AA168" s="4">
        <f t="shared" si="74"/>
        <v>2</v>
      </c>
      <c r="AB168" s="4">
        <f t="shared" si="75"/>
        <v>5</v>
      </c>
      <c r="AC168" s="12">
        <f t="shared" si="76"/>
        <v>13</v>
      </c>
      <c r="AJ168" s="5">
        <f t="shared" si="96"/>
        <v>0</v>
      </c>
      <c r="AK168" s="5">
        <f t="shared" si="86"/>
        <v>0</v>
      </c>
      <c r="AL168" s="77">
        <f t="shared" si="98"/>
        <v>50710</v>
      </c>
      <c r="AM168" s="27" t="str">
        <f t="shared" si="87"/>
        <v/>
      </c>
      <c r="AN168" s="76">
        <f t="shared" si="88"/>
        <v>154</v>
      </c>
      <c r="AO168" s="13">
        <f t="shared" si="89"/>
        <v>0</v>
      </c>
      <c r="AP168" s="62">
        <f t="shared" si="90"/>
        <v>0</v>
      </c>
      <c r="AQ168" s="9" t="str">
        <f t="shared" si="77"/>
        <v/>
      </c>
      <c r="AR168" s="60" t="str">
        <f t="shared" si="78"/>
        <v/>
      </c>
      <c r="AS168" s="8">
        <f t="shared" si="91"/>
        <v>0</v>
      </c>
      <c r="AT168" s="11">
        <f t="shared" si="92"/>
        <v>0</v>
      </c>
      <c r="AU168" s="15">
        <v>0</v>
      </c>
      <c r="AV168" s="32">
        <f t="shared" si="93"/>
        <v>0</v>
      </c>
      <c r="AW168" s="33"/>
      <c r="AX168" s="75">
        <f t="shared" si="94"/>
        <v>0</v>
      </c>
    </row>
    <row r="169" spans="1:50" x14ac:dyDescent="0.25">
      <c r="A169" s="5">
        <f t="shared" si="95"/>
        <v>0</v>
      </c>
      <c r="B169" s="5">
        <f t="shared" si="79"/>
        <v>0</v>
      </c>
      <c r="C169" s="77">
        <f t="shared" si="97"/>
        <v>50740</v>
      </c>
      <c r="D169" s="122" t="str">
        <f t="shared" si="66"/>
        <v/>
      </c>
      <c r="E169" s="123">
        <f t="shared" si="80"/>
        <v>155</v>
      </c>
      <c r="F169" s="124">
        <f t="shared" si="81"/>
        <v>0</v>
      </c>
      <c r="G169" s="125">
        <f t="shared" si="82"/>
        <v>0</v>
      </c>
      <c r="H169" s="126" t="str">
        <f t="shared" si="67"/>
        <v/>
      </c>
      <c r="I169" s="127" t="str">
        <f t="shared" si="68"/>
        <v/>
      </c>
      <c r="J169" s="128">
        <f t="shared" si="69"/>
        <v>0</v>
      </c>
      <c r="K169" s="129">
        <f t="shared" si="70"/>
        <v>0</v>
      </c>
      <c r="L169" s="1">
        <f t="shared" si="83"/>
        <v>0</v>
      </c>
      <c r="M169" s="130">
        <f t="shared" si="71"/>
        <v>0</v>
      </c>
      <c r="N169" s="131">
        <f t="shared" si="72"/>
        <v>0</v>
      </c>
      <c r="O169" s="66"/>
      <c r="P169" s="32">
        <f t="shared" si="84"/>
        <v>0</v>
      </c>
      <c r="Q169" s="33"/>
      <c r="R169" s="75">
        <f t="shared" si="85"/>
        <v>0</v>
      </c>
      <c r="V169" s="68">
        <f t="shared" si="73"/>
        <v>0</v>
      </c>
      <c r="AA169" s="4">
        <f t="shared" si="74"/>
        <v>2</v>
      </c>
      <c r="AB169" s="4">
        <f t="shared" si="75"/>
        <v>5</v>
      </c>
      <c r="AC169" s="12">
        <f t="shared" si="76"/>
        <v>13</v>
      </c>
      <c r="AJ169" s="5">
        <f t="shared" si="96"/>
        <v>0</v>
      </c>
      <c r="AK169" s="5">
        <f t="shared" si="86"/>
        <v>0</v>
      </c>
      <c r="AL169" s="77">
        <f t="shared" si="98"/>
        <v>50740</v>
      </c>
      <c r="AM169" s="27" t="str">
        <f t="shared" si="87"/>
        <v/>
      </c>
      <c r="AN169" s="76">
        <f t="shared" si="88"/>
        <v>155</v>
      </c>
      <c r="AO169" s="13">
        <f t="shared" si="89"/>
        <v>0</v>
      </c>
      <c r="AP169" s="62">
        <f t="shared" si="90"/>
        <v>0</v>
      </c>
      <c r="AQ169" s="9" t="str">
        <f t="shared" si="77"/>
        <v/>
      </c>
      <c r="AR169" s="60" t="str">
        <f t="shared" si="78"/>
        <v/>
      </c>
      <c r="AS169" s="8">
        <f t="shared" si="91"/>
        <v>0</v>
      </c>
      <c r="AT169" s="11">
        <f t="shared" si="92"/>
        <v>0</v>
      </c>
      <c r="AU169" s="15">
        <v>0</v>
      </c>
      <c r="AV169" s="32">
        <f t="shared" si="93"/>
        <v>0</v>
      </c>
      <c r="AW169" s="33"/>
      <c r="AX169" s="75">
        <f t="shared" si="94"/>
        <v>0</v>
      </c>
    </row>
    <row r="170" spans="1:50" x14ac:dyDescent="0.25">
      <c r="A170" s="5">
        <f t="shared" si="95"/>
        <v>0</v>
      </c>
      <c r="B170" s="5">
        <f t="shared" si="79"/>
        <v>0</v>
      </c>
      <c r="C170" s="77">
        <f t="shared" si="97"/>
        <v>50771</v>
      </c>
      <c r="D170" s="122" t="str">
        <f t="shared" si="66"/>
        <v/>
      </c>
      <c r="E170" s="123">
        <f t="shared" si="80"/>
        <v>156</v>
      </c>
      <c r="F170" s="124">
        <f t="shared" si="81"/>
        <v>0</v>
      </c>
      <c r="G170" s="125">
        <f t="shared" si="82"/>
        <v>0</v>
      </c>
      <c r="H170" s="126" t="str">
        <f t="shared" si="67"/>
        <v/>
      </c>
      <c r="I170" s="127" t="str">
        <f t="shared" si="68"/>
        <v/>
      </c>
      <c r="J170" s="128">
        <f t="shared" si="69"/>
        <v>0</v>
      </c>
      <c r="K170" s="129">
        <f t="shared" si="70"/>
        <v>0</v>
      </c>
      <c r="L170" s="1">
        <f t="shared" si="83"/>
        <v>0</v>
      </c>
      <c r="M170" s="130">
        <f t="shared" si="71"/>
        <v>0</v>
      </c>
      <c r="N170" s="131">
        <f t="shared" si="72"/>
        <v>0</v>
      </c>
      <c r="O170" s="15"/>
      <c r="P170" s="32">
        <f t="shared" si="84"/>
        <v>0</v>
      </c>
      <c r="Q170" s="33"/>
      <c r="R170" s="75">
        <f t="shared" si="85"/>
        <v>0</v>
      </c>
      <c r="V170" s="68">
        <f t="shared" si="73"/>
        <v>0</v>
      </c>
      <c r="AA170" s="4">
        <f t="shared" si="74"/>
        <v>2</v>
      </c>
      <c r="AB170" s="4">
        <f t="shared" si="75"/>
        <v>5</v>
      </c>
      <c r="AC170" s="12">
        <f t="shared" si="76"/>
        <v>13</v>
      </c>
      <c r="AJ170" s="5">
        <f t="shared" si="96"/>
        <v>0</v>
      </c>
      <c r="AK170" s="5">
        <f t="shared" si="86"/>
        <v>0</v>
      </c>
      <c r="AL170" s="77">
        <f t="shared" si="98"/>
        <v>50771</v>
      </c>
      <c r="AM170" s="27" t="str">
        <f t="shared" si="87"/>
        <v/>
      </c>
      <c r="AN170" s="76">
        <f t="shared" si="88"/>
        <v>156</v>
      </c>
      <c r="AO170" s="13">
        <f t="shared" si="89"/>
        <v>0</v>
      </c>
      <c r="AP170" s="62">
        <f t="shared" si="90"/>
        <v>0</v>
      </c>
      <c r="AQ170" s="9" t="str">
        <f t="shared" si="77"/>
        <v/>
      </c>
      <c r="AR170" s="60" t="str">
        <f t="shared" si="78"/>
        <v/>
      </c>
      <c r="AS170" s="8">
        <f t="shared" si="91"/>
        <v>0</v>
      </c>
      <c r="AT170" s="11">
        <f t="shared" si="92"/>
        <v>0</v>
      </c>
      <c r="AU170" s="15">
        <v>0</v>
      </c>
      <c r="AV170" s="32">
        <f t="shared" si="93"/>
        <v>0</v>
      </c>
      <c r="AW170" s="33"/>
      <c r="AX170" s="75">
        <f t="shared" si="94"/>
        <v>0</v>
      </c>
    </row>
    <row r="171" spans="1:50" x14ac:dyDescent="0.25">
      <c r="A171" s="5">
        <f t="shared" si="95"/>
        <v>0</v>
      </c>
      <c r="B171" s="5">
        <f t="shared" si="79"/>
        <v>0</v>
      </c>
      <c r="C171" s="77">
        <f t="shared" si="97"/>
        <v>50802</v>
      </c>
      <c r="D171" s="122" t="str">
        <f t="shared" si="66"/>
        <v/>
      </c>
      <c r="E171" s="123">
        <f t="shared" si="80"/>
        <v>157</v>
      </c>
      <c r="F171" s="124">
        <f t="shared" si="81"/>
        <v>0</v>
      </c>
      <c r="G171" s="125">
        <f t="shared" si="82"/>
        <v>0</v>
      </c>
      <c r="H171" s="126" t="str">
        <f t="shared" si="67"/>
        <v/>
      </c>
      <c r="I171" s="127" t="str">
        <f t="shared" si="68"/>
        <v/>
      </c>
      <c r="J171" s="128">
        <f t="shared" si="69"/>
        <v>0</v>
      </c>
      <c r="K171" s="129">
        <f t="shared" si="70"/>
        <v>0</v>
      </c>
      <c r="L171" s="1">
        <f t="shared" si="83"/>
        <v>0</v>
      </c>
      <c r="M171" s="130">
        <f t="shared" si="71"/>
        <v>0</v>
      </c>
      <c r="N171" s="131">
        <f t="shared" si="72"/>
        <v>0</v>
      </c>
      <c r="O171" s="15"/>
      <c r="P171" s="32">
        <f t="shared" si="84"/>
        <v>0</v>
      </c>
      <c r="Q171" s="33"/>
      <c r="R171" s="75">
        <f t="shared" si="85"/>
        <v>0</v>
      </c>
      <c r="V171" s="68">
        <f t="shared" si="73"/>
        <v>0</v>
      </c>
      <c r="AA171" s="4">
        <f t="shared" si="74"/>
        <v>2</v>
      </c>
      <c r="AB171" s="4">
        <f t="shared" si="75"/>
        <v>5</v>
      </c>
      <c r="AC171" s="12">
        <f t="shared" si="76"/>
        <v>14</v>
      </c>
      <c r="AJ171" s="5">
        <f t="shared" si="96"/>
        <v>0</v>
      </c>
      <c r="AK171" s="5">
        <f t="shared" si="86"/>
        <v>0</v>
      </c>
      <c r="AL171" s="77">
        <f t="shared" si="98"/>
        <v>50802</v>
      </c>
      <c r="AM171" s="27" t="str">
        <f t="shared" si="87"/>
        <v/>
      </c>
      <c r="AN171" s="76">
        <f t="shared" si="88"/>
        <v>157</v>
      </c>
      <c r="AO171" s="13">
        <f t="shared" si="89"/>
        <v>0</v>
      </c>
      <c r="AP171" s="62">
        <f t="shared" si="90"/>
        <v>0</v>
      </c>
      <c r="AQ171" s="9" t="str">
        <f t="shared" si="77"/>
        <v/>
      </c>
      <c r="AR171" s="60" t="str">
        <f t="shared" si="78"/>
        <v/>
      </c>
      <c r="AS171" s="8">
        <f t="shared" si="91"/>
        <v>0</v>
      </c>
      <c r="AT171" s="11">
        <f t="shared" si="92"/>
        <v>0</v>
      </c>
      <c r="AU171" s="15">
        <v>0</v>
      </c>
      <c r="AV171" s="32">
        <f t="shared" si="93"/>
        <v>0</v>
      </c>
      <c r="AW171" s="33"/>
      <c r="AX171" s="75">
        <f t="shared" si="94"/>
        <v>0</v>
      </c>
    </row>
    <row r="172" spans="1:50" x14ac:dyDescent="0.25">
      <c r="A172" s="5">
        <f t="shared" si="95"/>
        <v>0</v>
      </c>
      <c r="B172" s="5">
        <f t="shared" si="79"/>
        <v>0</v>
      </c>
      <c r="C172" s="77">
        <f t="shared" si="97"/>
        <v>50830</v>
      </c>
      <c r="D172" s="122" t="str">
        <f t="shared" si="66"/>
        <v/>
      </c>
      <c r="E172" s="123">
        <f t="shared" si="80"/>
        <v>158</v>
      </c>
      <c r="F172" s="124">
        <f t="shared" si="81"/>
        <v>0</v>
      </c>
      <c r="G172" s="125">
        <f t="shared" si="82"/>
        <v>0</v>
      </c>
      <c r="H172" s="126" t="str">
        <f t="shared" si="67"/>
        <v/>
      </c>
      <c r="I172" s="127" t="str">
        <f t="shared" si="68"/>
        <v/>
      </c>
      <c r="J172" s="128">
        <f t="shared" si="69"/>
        <v>0</v>
      </c>
      <c r="K172" s="129">
        <f t="shared" si="70"/>
        <v>0</v>
      </c>
      <c r="L172" s="1">
        <f t="shared" si="83"/>
        <v>0</v>
      </c>
      <c r="M172" s="130">
        <f t="shared" si="71"/>
        <v>0</v>
      </c>
      <c r="N172" s="131">
        <f t="shared" si="72"/>
        <v>0</v>
      </c>
      <c r="O172" s="15"/>
      <c r="P172" s="32">
        <f t="shared" si="84"/>
        <v>0</v>
      </c>
      <c r="Q172" s="33"/>
      <c r="R172" s="75">
        <f t="shared" si="85"/>
        <v>0</v>
      </c>
      <c r="V172" s="68">
        <f t="shared" si="73"/>
        <v>0</v>
      </c>
      <c r="AA172" s="4">
        <f t="shared" si="74"/>
        <v>2</v>
      </c>
      <c r="AB172" s="4">
        <f t="shared" si="75"/>
        <v>5</v>
      </c>
      <c r="AC172" s="12">
        <f t="shared" si="76"/>
        <v>14</v>
      </c>
      <c r="AJ172" s="5">
        <f t="shared" si="96"/>
        <v>0</v>
      </c>
      <c r="AK172" s="5">
        <f t="shared" si="86"/>
        <v>0</v>
      </c>
      <c r="AL172" s="77">
        <f t="shared" si="98"/>
        <v>50830</v>
      </c>
      <c r="AM172" s="27" t="str">
        <f t="shared" si="87"/>
        <v/>
      </c>
      <c r="AN172" s="76">
        <f t="shared" si="88"/>
        <v>158</v>
      </c>
      <c r="AO172" s="13">
        <f t="shared" si="89"/>
        <v>0</v>
      </c>
      <c r="AP172" s="62">
        <f t="shared" si="90"/>
        <v>0</v>
      </c>
      <c r="AQ172" s="9" t="str">
        <f t="shared" si="77"/>
        <v/>
      </c>
      <c r="AR172" s="60" t="str">
        <f t="shared" si="78"/>
        <v/>
      </c>
      <c r="AS172" s="8">
        <f t="shared" si="91"/>
        <v>0</v>
      </c>
      <c r="AT172" s="11">
        <f t="shared" si="92"/>
        <v>0</v>
      </c>
      <c r="AU172" s="15">
        <v>0</v>
      </c>
      <c r="AV172" s="32">
        <f t="shared" si="93"/>
        <v>0</v>
      </c>
      <c r="AW172" s="33"/>
      <c r="AX172" s="75">
        <f t="shared" si="94"/>
        <v>0</v>
      </c>
    </row>
    <row r="173" spans="1:50" x14ac:dyDescent="0.25">
      <c r="A173" s="5">
        <f t="shared" si="95"/>
        <v>0</v>
      </c>
      <c r="B173" s="5">
        <f t="shared" si="79"/>
        <v>0</v>
      </c>
      <c r="C173" s="77">
        <f t="shared" si="97"/>
        <v>50861</v>
      </c>
      <c r="D173" s="122" t="str">
        <f t="shared" si="66"/>
        <v/>
      </c>
      <c r="E173" s="123">
        <f t="shared" si="80"/>
        <v>159</v>
      </c>
      <c r="F173" s="124">
        <f t="shared" si="81"/>
        <v>0</v>
      </c>
      <c r="G173" s="125">
        <f t="shared" si="82"/>
        <v>0</v>
      </c>
      <c r="H173" s="126" t="str">
        <f t="shared" si="67"/>
        <v/>
      </c>
      <c r="I173" s="127" t="str">
        <f t="shared" si="68"/>
        <v/>
      </c>
      <c r="J173" s="128">
        <f t="shared" si="69"/>
        <v>0</v>
      </c>
      <c r="K173" s="129">
        <f t="shared" si="70"/>
        <v>0</v>
      </c>
      <c r="L173" s="1">
        <f t="shared" si="83"/>
        <v>0</v>
      </c>
      <c r="M173" s="130">
        <f t="shared" si="71"/>
        <v>0</v>
      </c>
      <c r="N173" s="131">
        <f t="shared" si="72"/>
        <v>0</v>
      </c>
      <c r="O173" s="15"/>
      <c r="P173" s="32">
        <f t="shared" si="84"/>
        <v>0</v>
      </c>
      <c r="Q173" s="33"/>
      <c r="R173" s="75">
        <f t="shared" si="85"/>
        <v>0</v>
      </c>
      <c r="V173" s="68">
        <f t="shared" si="73"/>
        <v>0</v>
      </c>
      <c r="AA173" s="4">
        <f t="shared" si="74"/>
        <v>2</v>
      </c>
      <c r="AB173" s="4">
        <f t="shared" si="75"/>
        <v>5</v>
      </c>
      <c r="AC173" s="12">
        <f t="shared" si="76"/>
        <v>14</v>
      </c>
      <c r="AJ173" s="5">
        <f t="shared" si="96"/>
        <v>0</v>
      </c>
      <c r="AK173" s="5">
        <f t="shared" si="86"/>
        <v>0</v>
      </c>
      <c r="AL173" s="77">
        <f t="shared" si="98"/>
        <v>50861</v>
      </c>
      <c r="AM173" s="27" t="str">
        <f t="shared" si="87"/>
        <v/>
      </c>
      <c r="AN173" s="76">
        <f t="shared" si="88"/>
        <v>159</v>
      </c>
      <c r="AO173" s="13">
        <f t="shared" si="89"/>
        <v>0</v>
      </c>
      <c r="AP173" s="62">
        <f t="shared" si="90"/>
        <v>0</v>
      </c>
      <c r="AQ173" s="9" t="str">
        <f t="shared" si="77"/>
        <v/>
      </c>
      <c r="AR173" s="60" t="str">
        <f t="shared" si="78"/>
        <v/>
      </c>
      <c r="AS173" s="8">
        <f t="shared" si="91"/>
        <v>0</v>
      </c>
      <c r="AT173" s="11">
        <f t="shared" si="92"/>
        <v>0</v>
      </c>
      <c r="AU173" s="15">
        <v>0</v>
      </c>
      <c r="AV173" s="32">
        <f t="shared" si="93"/>
        <v>0</v>
      </c>
      <c r="AW173" s="33"/>
      <c r="AX173" s="75">
        <f t="shared" si="94"/>
        <v>0</v>
      </c>
    </row>
    <row r="174" spans="1:50" x14ac:dyDescent="0.25">
      <c r="A174" s="5">
        <f t="shared" si="95"/>
        <v>0</v>
      </c>
      <c r="B174" s="5">
        <f t="shared" si="79"/>
        <v>0</v>
      </c>
      <c r="C174" s="77">
        <f t="shared" si="97"/>
        <v>50891</v>
      </c>
      <c r="D174" s="122" t="str">
        <f t="shared" si="66"/>
        <v/>
      </c>
      <c r="E174" s="123">
        <f t="shared" si="80"/>
        <v>160</v>
      </c>
      <c r="F174" s="124">
        <f t="shared" si="81"/>
        <v>0</v>
      </c>
      <c r="G174" s="125">
        <f t="shared" si="82"/>
        <v>0</v>
      </c>
      <c r="H174" s="126" t="str">
        <f t="shared" si="67"/>
        <v/>
      </c>
      <c r="I174" s="127" t="str">
        <f t="shared" si="68"/>
        <v/>
      </c>
      <c r="J174" s="128">
        <f t="shared" si="69"/>
        <v>0</v>
      </c>
      <c r="K174" s="129">
        <f t="shared" si="70"/>
        <v>0</v>
      </c>
      <c r="L174" s="1">
        <f t="shared" si="83"/>
        <v>0</v>
      </c>
      <c r="M174" s="130">
        <f t="shared" si="71"/>
        <v>0</v>
      </c>
      <c r="N174" s="131">
        <f t="shared" si="72"/>
        <v>0</v>
      </c>
      <c r="O174" s="15"/>
      <c r="P174" s="32">
        <f t="shared" si="84"/>
        <v>0</v>
      </c>
      <c r="Q174" s="33"/>
      <c r="R174" s="75">
        <f t="shared" si="85"/>
        <v>0</v>
      </c>
      <c r="V174" s="68">
        <f t="shared" si="73"/>
        <v>0</v>
      </c>
      <c r="AA174" s="4">
        <f t="shared" si="74"/>
        <v>2</v>
      </c>
      <c r="AB174" s="4">
        <f t="shared" si="75"/>
        <v>5</v>
      </c>
      <c r="AC174" s="12">
        <f t="shared" si="76"/>
        <v>14</v>
      </c>
      <c r="AJ174" s="5">
        <f t="shared" si="96"/>
        <v>0</v>
      </c>
      <c r="AK174" s="5">
        <f t="shared" si="86"/>
        <v>0</v>
      </c>
      <c r="AL174" s="77">
        <f t="shared" si="98"/>
        <v>50891</v>
      </c>
      <c r="AM174" s="27" t="str">
        <f t="shared" si="87"/>
        <v/>
      </c>
      <c r="AN174" s="76">
        <f t="shared" si="88"/>
        <v>160</v>
      </c>
      <c r="AO174" s="13">
        <f t="shared" si="89"/>
        <v>0</v>
      </c>
      <c r="AP174" s="62">
        <f t="shared" si="90"/>
        <v>0</v>
      </c>
      <c r="AQ174" s="9" t="str">
        <f t="shared" si="77"/>
        <v/>
      </c>
      <c r="AR174" s="60" t="str">
        <f t="shared" si="78"/>
        <v/>
      </c>
      <c r="AS174" s="8">
        <f t="shared" si="91"/>
        <v>0</v>
      </c>
      <c r="AT174" s="11">
        <f t="shared" si="92"/>
        <v>0</v>
      </c>
      <c r="AU174" s="15">
        <v>0</v>
      </c>
      <c r="AV174" s="32">
        <f t="shared" si="93"/>
        <v>0</v>
      </c>
      <c r="AW174" s="33"/>
      <c r="AX174" s="75">
        <f t="shared" si="94"/>
        <v>0</v>
      </c>
    </row>
    <row r="175" spans="1:50" x14ac:dyDescent="0.25">
      <c r="A175" s="5">
        <f t="shared" si="95"/>
        <v>0</v>
      </c>
      <c r="B175" s="5">
        <f t="shared" si="79"/>
        <v>0</v>
      </c>
      <c r="C175" s="77">
        <f t="shared" si="97"/>
        <v>50922</v>
      </c>
      <c r="D175" s="122" t="str">
        <f t="shared" si="66"/>
        <v/>
      </c>
      <c r="E175" s="123">
        <f t="shared" si="80"/>
        <v>161</v>
      </c>
      <c r="F175" s="124">
        <f t="shared" si="81"/>
        <v>0</v>
      </c>
      <c r="G175" s="125">
        <f t="shared" si="82"/>
        <v>0</v>
      </c>
      <c r="H175" s="126" t="str">
        <f t="shared" si="67"/>
        <v/>
      </c>
      <c r="I175" s="127" t="str">
        <f t="shared" si="68"/>
        <v/>
      </c>
      <c r="J175" s="128">
        <f t="shared" si="69"/>
        <v>0</v>
      </c>
      <c r="K175" s="129">
        <f t="shared" si="70"/>
        <v>0</v>
      </c>
      <c r="L175" s="1">
        <f t="shared" si="83"/>
        <v>0</v>
      </c>
      <c r="M175" s="130">
        <f t="shared" si="71"/>
        <v>0</v>
      </c>
      <c r="N175" s="131">
        <f t="shared" si="72"/>
        <v>0</v>
      </c>
      <c r="O175" s="15"/>
      <c r="P175" s="32">
        <f t="shared" si="84"/>
        <v>0</v>
      </c>
      <c r="Q175" s="33"/>
      <c r="R175" s="75">
        <f t="shared" si="85"/>
        <v>0</v>
      </c>
      <c r="V175" s="68">
        <f t="shared" si="73"/>
        <v>0</v>
      </c>
      <c r="AA175" s="4">
        <f t="shared" si="74"/>
        <v>2</v>
      </c>
      <c r="AB175" s="4">
        <f t="shared" si="75"/>
        <v>5</v>
      </c>
      <c r="AC175" s="12">
        <f t="shared" si="76"/>
        <v>14</v>
      </c>
      <c r="AJ175" s="5">
        <f t="shared" si="96"/>
        <v>0</v>
      </c>
      <c r="AK175" s="5">
        <f t="shared" si="86"/>
        <v>0</v>
      </c>
      <c r="AL175" s="77">
        <f t="shared" si="98"/>
        <v>50922</v>
      </c>
      <c r="AM175" s="27" t="str">
        <f t="shared" si="87"/>
        <v/>
      </c>
      <c r="AN175" s="76">
        <f t="shared" si="88"/>
        <v>161</v>
      </c>
      <c r="AO175" s="13">
        <f t="shared" si="89"/>
        <v>0</v>
      </c>
      <c r="AP175" s="62">
        <f t="shared" si="90"/>
        <v>0</v>
      </c>
      <c r="AQ175" s="9" t="str">
        <f t="shared" si="77"/>
        <v/>
      </c>
      <c r="AR175" s="60" t="str">
        <f t="shared" si="78"/>
        <v/>
      </c>
      <c r="AS175" s="8">
        <f t="shared" si="91"/>
        <v>0</v>
      </c>
      <c r="AT175" s="11">
        <f t="shared" si="92"/>
        <v>0</v>
      </c>
      <c r="AU175" s="15">
        <v>0</v>
      </c>
      <c r="AV175" s="32">
        <f t="shared" si="93"/>
        <v>0</v>
      </c>
      <c r="AW175" s="33"/>
      <c r="AX175" s="75">
        <f t="shared" si="94"/>
        <v>0</v>
      </c>
    </row>
    <row r="176" spans="1:50" x14ac:dyDescent="0.25">
      <c r="A176" s="5">
        <f t="shared" si="95"/>
        <v>0</v>
      </c>
      <c r="B176" s="5">
        <f t="shared" si="79"/>
        <v>0</v>
      </c>
      <c r="C176" s="77">
        <f t="shared" si="97"/>
        <v>50952</v>
      </c>
      <c r="D176" s="122" t="str">
        <f t="shared" si="66"/>
        <v/>
      </c>
      <c r="E176" s="123">
        <f t="shared" si="80"/>
        <v>162</v>
      </c>
      <c r="F176" s="124">
        <f t="shared" si="81"/>
        <v>0</v>
      </c>
      <c r="G176" s="125">
        <f t="shared" si="82"/>
        <v>0</v>
      </c>
      <c r="H176" s="126" t="str">
        <f t="shared" si="67"/>
        <v/>
      </c>
      <c r="I176" s="127" t="str">
        <f t="shared" si="68"/>
        <v/>
      </c>
      <c r="J176" s="128">
        <f t="shared" si="69"/>
        <v>0</v>
      </c>
      <c r="K176" s="129">
        <f t="shared" si="70"/>
        <v>0</v>
      </c>
      <c r="L176" s="1">
        <f t="shared" si="83"/>
        <v>0</v>
      </c>
      <c r="M176" s="130">
        <f t="shared" si="71"/>
        <v>0</v>
      </c>
      <c r="N176" s="131">
        <f t="shared" si="72"/>
        <v>0</v>
      </c>
      <c r="O176" s="15"/>
      <c r="P176" s="32">
        <f t="shared" si="84"/>
        <v>0</v>
      </c>
      <c r="Q176" s="33"/>
      <c r="R176" s="75">
        <f t="shared" si="85"/>
        <v>0</v>
      </c>
      <c r="V176" s="68">
        <f t="shared" si="73"/>
        <v>0</v>
      </c>
      <c r="AA176" s="4">
        <f t="shared" si="74"/>
        <v>2</v>
      </c>
      <c r="AB176" s="4">
        <f t="shared" si="75"/>
        <v>5</v>
      </c>
      <c r="AC176" s="12">
        <f t="shared" si="76"/>
        <v>14</v>
      </c>
      <c r="AJ176" s="5">
        <f t="shared" si="96"/>
        <v>0</v>
      </c>
      <c r="AK176" s="5">
        <f t="shared" si="86"/>
        <v>0</v>
      </c>
      <c r="AL176" s="77">
        <f t="shared" si="98"/>
        <v>50952</v>
      </c>
      <c r="AM176" s="27" t="str">
        <f t="shared" si="87"/>
        <v/>
      </c>
      <c r="AN176" s="76">
        <f t="shared" si="88"/>
        <v>162</v>
      </c>
      <c r="AO176" s="13">
        <f t="shared" si="89"/>
        <v>0</v>
      </c>
      <c r="AP176" s="62">
        <f t="shared" si="90"/>
        <v>0</v>
      </c>
      <c r="AQ176" s="9" t="str">
        <f t="shared" si="77"/>
        <v/>
      </c>
      <c r="AR176" s="60" t="str">
        <f t="shared" si="78"/>
        <v/>
      </c>
      <c r="AS176" s="8">
        <f t="shared" si="91"/>
        <v>0</v>
      </c>
      <c r="AT176" s="11">
        <f t="shared" si="92"/>
        <v>0</v>
      </c>
      <c r="AU176" s="15">
        <v>0</v>
      </c>
      <c r="AV176" s="32">
        <f t="shared" si="93"/>
        <v>0</v>
      </c>
      <c r="AW176" s="33"/>
      <c r="AX176" s="75">
        <f t="shared" si="94"/>
        <v>0</v>
      </c>
    </row>
    <row r="177" spans="1:50" x14ac:dyDescent="0.25">
      <c r="A177" s="5">
        <f t="shared" si="95"/>
        <v>0</v>
      </c>
      <c r="B177" s="5">
        <f t="shared" si="79"/>
        <v>0</v>
      </c>
      <c r="C177" s="77">
        <f t="shared" si="97"/>
        <v>50983</v>
      </c>
      <c r="D177" s="122" t="str">
        <f t="shared" si="66"/>
        <v/>
      </c>
      <c r="E177" s="123">
        <f t="shared" si="80"/>
        <v>163</v>
      </c>
      <c r="F177" s="124">
        <f t="shared" si="81"/>
        <v>0</v>
      </c>
      <c r="G177" s="125">
        <f t="shared" si="82"/>
        <v>0</v>
      </c>
      <c r="H177" s="126" t="str">
        <f t="shared" si="67"/>
        <v/>
      </c>
      <c r="I177" s="127" t="str">
        <f t="shared" si="68"/>
        <v/>
      </c>
      <c r="J177" s="128">
        <f t="shared" si="69"/>
        <v>0</v>
      </c>
      <c r="K177" s="129">
        <f t="shared" si="70"/>
        <v>0</v>
      </c>
      <c r="L177" s="1">
        <f t="shared" si="83"/>
        <v>0</v>
      </c>
      <c r="M177" s="130">
        <f t="shared" si="71"/>
        <v>0</v>
      </c>
      <c r="N177" s="131">
        <f t="shared" si="72"/>
        <v>0</v>
      </c>
      <c r="O177" s="15"/>
      <c r="P177" s="32">
        <f t="shared" si="84"/>
        <v>0</v>
      </c>
      <c r="Q177" s="33"/>
      <c r="R177" s="75">
        <f t="shared" si="85"/>
        <v>0</v>
      </c>
      <c r="V177" s="68">
        <f t="shared" si="73"/>
        <v>0</v>
      </c>
      <c r="AA177" s="4">
        <f t="shared" si="74"/>
        <v>2</v>
      </c>
      <c r="AB177" s="4">
        <f t="shared" si="75"/>
        <v>5</v>
      </c>
      <c r="AC177" s="12">
        <f t="shared" si="76"/>
        <v>14</v>
      </c>
      <c r="AJ177" s="5">
        <f t="shared" si="96"/>
        <v>0</v>
      </c>
      <c r="AK177" s="5">
        <f t="shared" si="86"/>
        <v>0</v>
      </c>
      <c r="AL177" s="77">
        <f t="shared" si="98"/>
        <v>50983</v>
      </c>
      <c r="AM177" s="27" t="str">
        <f t="shared" si="87"/>
        <v/>
      </c>
      <c r="AN177" s="76">
        <f t="shared" si="88"/>
        <v>163</v>
      </c>
      <c r="AO177" s="13">
        <f t="shared" si="89"/>
        <v>0</v>
      </c>
      <c r="AP177" s="62">
        <f t="shared" si="90"/>
        <v>0</v>
      </c>
      <c r="AQ177" s="9" t="str">
        <f t="shared" si="77"/>
        <v/>
      </c>
      <c r="AR177" s="60" t="str">
        <f t="shared" si="78"/>
        <v/>
      </c>
      <c r="AS177" s="8">
        <f t="shared" si="91"/>
        <v>0</v>
      </c>
      <c r="AT177" s="11">
        <f t="shared" si="92"/>
        <v>0</v>
      </c>
      <c r="AU177" s="15">
        <v>0</v>
      </c>
      <c r="AV177" s="32">
        <f t="shared" si="93"/>
        <v>0</v>
      </c>
      <c r="AW177" s="33"/>
      <c r="AX177" s="75">
        <f t="shared" si="94"/>
        <v>0</v>
      </c>
    </row>
    <row r="178" spans="1:50" x14ac:dyDescent="0.25">
      <c r="A178" s="5">
        <f t="shared" si="95"/>
        <v>0</v>
      </c>
      <c r="B178" s="5">
        <f t="shared" si="79"/>
        <v>0</v>
      </c>
      <c r="C178" s="77">
        <f t="shared" si="97"/>
        <v>51014</v>
      </c>
      <c r="D178" s="122" t="str">
        <f t="shared" si="66"/>
        <v/>
      </c>
      <c r="E178" s="123">
        <f t="shared" si="80"/>
        <v>164</v>
      </c>
      <c r="F178" s="124">
        <f t="shared" si="81"/>
        <v>0</v>
      </c>
      <c r="G178" s="125">
        <f t="shared" si="82"/>
        <v>0</v>
      </c>
      <c r="H178" s="126" t="str">
        <f t="shared" si="67"/>
        <v/>
      </c>
      <c r="I178" s="127" t="str">
        <f t="shared" si="68"/>
        <v/>
      </c>
      <c r="J178" s="128">
        <f t="shared" si="69"/>
        <v>0</v>
      </c>
      <c r="K178" s="129">
        <f t="shared" si="70"/>
        <v>0</v>
      </c>
      <c r="L178" s="1">
        <f t="shared" si="83"/>
        <v>0</v>
      </c>
      <c r="M178" s="130">
        <f t="shared" si="71"/>
        <v>0</v>
      </c>
      <c r="N178" s="131">
        <f t="shared" si="72"/>
        <v>0</v>
      </c>
      <c r="O178" s="15"/>
      <c r="P178" s="32">
        <f t="shared" si="84"/>
        <v>0</v>
      </c>
      <c r="Q178" s="33"/>
      <c r="R178" s="75">
        <f t="shared" si="85"/>
        <v>0</v>
      </c>
      <c r="V178" s="68">
        <f t="shared" si="73"/>
        <v>0</v>
      </c>
      <c r="AA178" s="4">
        <f t="shared" si="74"/>
        <v>2</v>
      </c>
      <c r="AB178" s="4">
        <f t="shared" si="75"/>
        <v>5</v>
      </c>
      <c r="AC178" s="12">
        <f t="shared" si="76"/>
        <v>14</v>
      </c>
      <c r="AJ178" s="5">
        <f t="shared" si="96"/>
        <v>0</v>
      </c>
      <c r="AK178" s="5">
        <f t="shared" si="86"/>
        <v>0</v>
      </c>
      <c r="AL178" s="77">
        <f t="shared" si="98"/>
        <v>51014</v>
      </c>
      <c r="AM178" s="27" t="str">
        <f t="shared" si="87"/>
        <v/>
      </c>
      <c r="AN178" s="76">
        <f t="shared" si="88"/>
        <v>164</v>
      </c>
      <c r="AO178" s="13">
        <f t="shared" si="89"/>
        <v>0</v>
      </c>
      <c r="AP178" s="62">
        <f t="shared" si="90"/>
        <v>0</v>
      </c>
      <c r="AQ178" s="9" t="str">
        <f t="shared" si="77"/>
        <v/>
      </c>
      <c r="AR178" s="60" t="str">
        <f t="shared" si="78"/>
        <v/>
      </c>
      <c r="AS178" s="8">
        <f t="shared" si="91"/>
        <v>0</v>
      </c>
      <c r="AT178" s="11">
        <f t="shared" si="92"/>
        <v>0</v>
      </c>
      <c r="AU178" s="15">
        <v>0</v>
      </c>
      <c r="AV178" s="32">
        <f t="shared" si="93"/>
        <v>0</v>
      </c>
      <c r="AW178" s="33"/>
      <c r="AX178" s="75">
        <f t="shared" si="94"/>
        <v>0</v>
      </c>
    </row>
    <row r="179" spans="1:50" x14ac:dyDescent="0.25">
      <c r="A179" s="5">
        <f t="shared" si="95"/>
        <v>0</v>
      </c>
      <c r="B179" s="5">
        <f t="shared" si="79"/>
        <v>0</v>
      </c>
      <c r="C179" s="77">
        <f t="shared" si="97"/>
        <v>51044</v>
      </c>
      <c r="D179" s="122" t="str">
        <f t="shared" si="66"/>
        <v/>
      </c>
      <c r="E179" s="123">
        <f t="shared" si="80"/>
        <v>165</v>
      </c>
      <c r="F179" s="124">
        <f t="shared" si="81"/>
        <v>0</v>
      </c>
      <c r="G179" s="125">
        <f t="shared" si="82"/>
        <v>0</v>
      </c>
      <c r="H179" s="126" t="str">
        <f t="shared" si="67"/>
        <v/>
      </c>
      <c r="I179" s="127" t="str">
        <f t="shared" si="68"/>
        <v/>
      </c>
      <c r="J179" s="128">
        <f t="shared" si="69"/>
        <v>0</v>
      </c>
      <c r="K179" s="129">
        <f t="shared" si="70"/>
        <v>0</v>
      </c>
      <c r="L179" s="1">
        <f t="shared" si="83"/>
        <v>0</v>
      </c>
      <c r="M179" s="130">
        <f t="shared" si="71"/>
        <v>0</v>
      </c>
      <c r="N179" s="131">
        <f t="shared" si="72"/>
        <v>0</v>
      </c>
      <c r="O179" s="15"/>
      <c r="P179" s="32">
        <f t="shared" si="84"/>
        <v>0</v>
      </c>
      <c r="Q179" s="33"/>
      <c r="R179" s="75">
        <f t="shared" si="85"/>
        <v>0</v>
      </c>
      <c r="V179" s="68">
        <f t="shared" si="73"/>
        <v>0</v>
      </c>
      <c r="AA179" s="4">
        <f t="shared" si="74"/>
        <v>2</v>
      </c>
      <c r="AB179" s="4">
        <f t="shared" si="75"/>
        <v>5</v>
      </c>
      <c r="AC179" s="12">
        <f t="shared" si="76"/>
        <v>14</v>
      </c>
      <c r="AJ179" s="5">
        <f t="shared" si="96"/>
        <v>0</v>
      </c>
      <c r="AK179" s="5">
        <f t="shared" si="86"/>
        <v>0</v>
      </c>
      <c r="AL179" s="77">
        <f t="shared" si="98"/>
        <v>51044</v>
      </c>
      <c r="AM179" s="27" t="str">
        <f t="shared" si="87"/>
        <v/>
      </c>
      <c r="AN179" s="76">
        <f t="shared" si="88"/>
        <v>165</v>
      </c>
      <c r="AO179" s="13">
        <f t="shared" si="89"/>
        <v>0</v>
      </c>
      <c r="AP179" s="62">
        <f t="shared" si="90"/>
        <v>0</v>
      </c>
      <c r="AQ179" s="9" t="str">
        <f t="shared" si="77"/>
        <v/>
      </c>
      <c r="AR179" s="60" t="str">
        <f t="shared" si="78"/>
        <v/>
      </c>
      <c r="AS179" s="8">
        <f t="shared" si="91"/>
        <v>0</v>
      </c>
      <c r="AT179" s="11">
        <f t="shared" si="92"/>
        <v>0</v>
      </c>
      <c r="AU179" s="15">
        <v>0</v>
      </c>
      <c r="AV179" s="32">
        <f t="shared" si="93"/>
        <v>0</v>
      </c>
      <c r="AW179" s="33"/>
      <c r="AX179" s="75">
        <f t="shared" si="94"/>
        <v>0</v>
      </c>
    </row>
    <row r="180" spans="1:50" x14ac:dyDescent="0.25">
      <c r="A180" s="5">
        <f t="shared" si="95"/>
        <v>0</v>
      </c>
      <c r="B180" s="5">
        <f t="shared" si="79"/>
        <v>0</v>
      </c>
      <c r="C180" s="77">
        <f t="shared" si="97"/>
        <v>51075</v>
      </c>
      <c r="D180" s="122" t="str">
        <f t="shared" si="66"/>
        <v/>
      </c>
      <c r="E180" s="123">
        <f t="shared" si="80"/>
        <v>166</v>
      </c>
      <c r="F180" s="124">
        <f t="shared" si="81"/>
        <v>0</v>
      </c>
      <c r="G180" s="125">
        <f t="shared" si="82"/>
        <v>0</v>
      </c>
      <c r="H180" s="126" t="str">
        <f t="shared" si="67"/>
        <v/>
      </c>
      <c r="I180" s="127" t="str">
        <f t="shared" si="68"/>
        <v/>
      </c>
      <c r="J180" s="128">
        <f t="shared" si="69"/>
        <v>0</v>
      </c>
      <c r="K180" s="129">
        <f t="shared" si="70"/>
        <v>0</v>
      </c>
      <c r="L180" s="1">
        <f t="shared" si="83"/>
        <v>0</v>
      </c>
      <c r="M180" s="130">
        <f t="shared" si="71"/>
        <v>0</v>
      </c>
      <c r="N180" s="131">
        <f t="shared" si="72"/>
        <v>0</v>
      </c>
      <c r="O180" s="15"/>
      <c r="P180" s="32">
        <f t="shared" si="84"/>
        <v>0</v>
      </c>
      <c r="Q180" s="33"/>
      <c r="R180" s="75">
        <f t="shared" si="85"/>
        <v>0</v>
      </c>
      <c r="V180" s="68">
        <f t="shared" si="73"/>
        <v>0</v>
      </c>
      <c r="AA180" s="4">
        <f t="shared" si="74"/>
        <v>2</v>
      </c>
      <c r="AB180" s="4">
        <f t="shared" si="75"/>
        <v>5</v>
      </c>
      <c r="AC180" s="12">
        <f t="shared" si="76"/>
        <v>14</v>
      </c>
      <c r="AJ180" s="5">
        <f t="shared" si="96"/>
        <v>0</v>
      </c>
      <c r="AK180" s="5">
        <f t="shared" si="86"/>
        <v>0</v>
      </c>
      <c r="AL180" s="77">
        <f t="shared" si="98"/>
        <v>51075</v>
      </c>
      <c r="AM180" s="27" t="str">
        <f t="shared" si="87"/>
        <v/>
      </c>
      <c r="AN180" s="76">
        <f t="shared" si="88"/>
        <v>166</v>
      </c>
      <c r="AO180" s="13">
        <f t="shared" si="89"/>
        <v>0</v>
      </c>
      <c r="AP180" s="62">
        <f t="shared" si="90"/>
        <v>0</v>
      </c>
      <c r="AQ180" s="9" t="str">
        <f t="shared" si="77"/>
        <v/>
      </c>
      <c r="AR180" s="60" t="str">
        <f t="shared" si="78"/>
        <v/>
      </c>
      <c r="AS180" s="8">
        <f t="shared" si="91"/>
        <v>0</v>
      </c>
      <c r="AT180" s="11">
        <f t="shared" si="92"/>
        <v>0</v>
      </c>
      <c r="AU180" s="15">
        <v>0</v>
      </c>
      <c r="AV180" s="32">
        <f t="shared" si="93"/>
        <v>0</v>
      </c>
      <c r="AW180" s="33"/>
      <c r="AX180" s="75">
        <f t="shared" si="94"/>
        <v>0</v>
      </c>
    </row>
    <row r="181" spans="1:50" x14ac:dyDescent="0.25">
      <c r="A181" s="5">
        <f t="shared" si="95"/>
        <v>0</v>
      </c>
      <c r="B181" s="5">
        <f t="shared" si="79"/>
        <v>0</v>
      </c>
      <c r="C181" s="77">
        <f t="shared" si="97"/>
        <v>51105</v>
      </c>
      <c r="D181" s="122" t="str">
        <f t="shared" si="66"/>
        <v/>
      </c>
      <c r="E181" s="123">
        <f t="shared" si="80"/>
        <v>167</v>
      </c>
      <c r="F181" s="124">
        <f t="shared" si="81"/>
        <v>0</v>
      </c>
      <c r="G181" s="125">
        <f t="shared" si="82"/>
        <v>0</v>
      </c>
      <c r="H181" s="126" t="str">
        <f t="shared" si="67"/>
        <v/>
      </c>
      <c r="I181" s="127" t="str">
        <f t="shared" si="68"/>
        <v/>
      </c>
      <c r="J181" s="128">
        <f t="shared" si="69"/>
        <v>0</v>
      </c>
      <c r="K181" s="129">
        <f t="shared" si="70"/>
        <v>0</v>
      </c>
      <c r="L181" s="1">
        <f t="shared" si="83"/>
        <v>0</v>
      </c>
      <c r="M181" s="130">
        <f t="shared" si="71"/>
        <v>0</v>
      </c>
      <c r="N181" s="131">
        <f t="shared" si="72"/>
        <v>0</v>
      </c>
      <c r="O181" s="15"/>
      <c r="P181" s="32">
        <f t="shared" si="84"/>
        <v>0</v>
      </c>
      <c r="Q181" s="33"/>
      <c r="R181" s="75">
        <f t="shared" si="85"/>
        <v>0</v>
      </c>
      <c r="V181" s="68">
        <f t="shared" si="73"/>
        <v>0</v>
      </c>
      <c r="AA181" s="4">
        <f t="shared" si="74"/>
        <v>2</v>
      </c>
      <c r="AB181" s="4">
        <f t="shared" si="75"/>
        <v>5</v>
      </c>
      <c r="AC181" s="12">
        <f t="shared" si="76"/>
        <v>14</v>
      </c>
      <c r="AJ181" s="5">
        <f t="shared" si="96"/>
        <v>0</v>
      </c>
      <c r="AK181" s="5">
        <f t="shared" si="86"/>
        <v>0</v>
      </c>
      <c r="AL181" s="77">
        <f t="shared" si="98"/>
        <v>51105</v>
      </c>
      <c r="AM181" s="27" t="str">
        <f t="shared" si="87"/>
        <v/>
      </c>
      <c r="AN181" s="76">
        <f t="shared" si="88"/>
        <v>167</v>
      </c>
      <c r="AO181" s="13">
        <f t="shared" si="89"/>
        <v>0</v>
      </c>
      <c r="AP181" s="62">
        <f t="shared" si="90"/>
        <v>0</v>
      </c>
      <c r="AQ181" s="9" t="str">
        <f t="shared" si="77"/>
        <v/>
      </c>
      <c r="AR181" s="60" t="str">
        <f t="shared" si="78"/>
        <v/>
      </c>
      <c r="AS181" s="8">
        <f t="shared" si="91"/>
        <v>0</v>
      </c>
      <c r="AT181" s="11">
        <f t="shared" si="92"/>
        <v>0</v>
      </c>
      <c r="AU181" s="15">
        <v>0</v>
      </c>
      <c r="AV181" s="32">
        <f t="shared" si="93"/>
        <v>0</v>
      </c>
      <c r="AW181" s="33"/>
      <c r="AX181" s="75">
        <f t="shared" si="94"/>
        <v>0</v>
      </c>
    </row>
    <row r="182" spans="1:50" x14ac:dyDescent="0.25">
      <c r="A182" s="5">
        <f t="shared" si="95"/>
        <v>0</v>
      </c>
      <c r="B182" s="5">
        <f t="shared" si="79"/>
        <v>0</v>
      </c>
      <c r="C182" s="77">
        <f t="shared" si="97"/>
        <v>51136</v>
      </c>
      <c r="D182" s="122" t="str">
        <f t="shared" si="66"/>
        <v/>
      </c>
      <c r="E182" s="123">
        <f t="shared" si="80"/>
        <v>168</v>
      </c>
      <c r="F182" s="124">
        <f t="shared" si="81"/>
        <v>0</v>
      </c>
      <c r="G182" s="125">
        <f t="shared" si="82"/>
        <v>0</v>
      </c>
      <c r="H182" s="126" t="str">
        <f t="shared" si="67"/>
        <v/>
      </c>
      <c r="I182" s="127" t="str">
        <f t="shared" si="68"/>
        <v/>
      </c>
      <c r="J182" s="128">
        <f t="shared" si="69"/>
        <v>0</v>
      </c>
      <c r="K182" s="129">
        <f t="shared" si="70"/>
        <v>0</v>
      </c>
      <c r="L182" s="1">
        <f t="shared" si="83"/>
        <v>0</v>
      </c>
      <c r="M182" s="130">
        <f t="shared" si="71"/>
        <v>0</v>
      </c>
      <c r="N182" s="131">
        <f t="shared" si="72"/>
        <v>0</v>
      </c>
      <c r="O182" s="15"/>
      <c r="P182" s="32">
        <f t="shared" si="84"/>
        <v>0</v>
      </c>
      <c r="Q182" s="33"/>
      <c r="R182" s="75">
        <f t="shared" si="85"/>
        <v>0</v>
      </c>
      <c r="V182" s="68">
        <f t="shared" si="73"/>
        <v>0</v>
      </c>
      <c r="AA182" s="4">
        <f t="shared" si="74"/>
        <v>2</v>
      </c>
      <c r="AB182" s="4">
        <f t="shared" si="75"/>
        <v>5</v>
      </c>
      <c r="AC182" s="12">
        <f t="shared" si="76"/>
        <v>14</v>
      </c>
      <c r="AJ182" s="5">
        <f t="shared" si="96"/>
        <v>0</v>
      </c>
      <c r="AK182" s="5">
        <f t="shared" si="86"/>
        <v>0</v>
      </c>
      <c r="AL182" s="77">
        <f t="shared" si="98"/>
        <v>51136</v>
      </c>
      <c r="AM182" s="27" t="str">
        <f t="shared" si="87"/>
        <v/>
      </c>
      <c r="AN182" s="76">
        <f t="shared" si="88"/>
        <v>168</v>
      </c>
      <c r="AO182" s="13">
        <f t="shared" si="89"/>
        <v>0</v>
      </c>
      <c r="AP182" s="62">
        <f t="shared" si="90"/>
        <v>0</v>
      </c>
      <c r="AQ182" s="9" t="str">
        <f t="shared" si="77"/>
        <v/>
      </c>
      <c r="AR182" s="60" t="str">
        <f t="shared" si="78"/>
        <v/>
      </c>
      <c r="AS182" s="8">
        <f t="shared" si="91"/>
        <v>0</v>
      </c>
      <c r="AT182" s="11">
        <f t="shared" si="92"/>
        <v>0</v>
      </c>
      <c r="AU182" s="15">
        <v>0</v>
      </c>
      <c r="AV182" s="32">
        <f t="shared" si="93"/>
        <v>0</v>
      </c>
      <c r="AW182" s="33"/>
      <c r="AX182" s="75">
        <f t="shared" si="94"/>
        <v>0</v>
      </c>
    </row>
    <row r="183" spans="1:50" x14ac:dyDescent="0.25">
      <c r="A183" s="5">
        <f t="shared" si="95"/>
        <v>0</v>
      </c>
      <c r="B183" s="5">
        <f t="shared" si="79"/>
        <v>0</v>
      </c>
      <c r="C183" s="77">
        <f t="shared" si="97"/>
        <v>51167</v>
      </c>
      <c r="D183" s="122" t="str">
        <f t="shared" si="66"/>
        <v/>
      </c>
      <c r="E183" s="123">
        <f t="shared" si="80"/>
        <v>169</v>
      </c>
      <c r="F183" s="124">
        <f t="shared" si="81"/>
        <v>0</v>
      </c>
      <c r="G183" s="125">
        <f t="shared" si="82"/>
        <v>0</v>
      </c>
      <c r="H183" s="126" t="str">
        <f t="shared" si="67"/>
        <v/>
      </c>
      <c r="I183" s="127" t="str">
        <f t="shared" si="68"/>
        <v/>
      </c>
      <c r="J183" s="128">
        <f t="shared" si="69"/>
        <v>0</v>
      </c>
      <c r="K183" s="129">
        <f t="shared" si="70"/>
        <v>0</v>
      </c>
      <c r="L183" s="1">
        <f t="shared" si="83"/>
        <v>0</v>
      </c>
      <c r="M183" s="130">
        <f t="shared" si="71"/>
        <v>0</v>
      </c>
      <c r="N183" s="131">
        <f t="shared" si="72"/>
        <v>0</v>
      </c>
      <c r="O183" s="15"/>
      <c r="P183" s="32">
        <f t="shared" si="84"/>
        <v>0</v>
      </c>
      <c r="Q183" s="33"/>
      <c r="R183" s="75">
        <f t="shared" si="85"/>
        <v>0</v>
      </c>
      <c r="V183" s="68">
        <f t="shared" si="73"/>
        <v>0</v>
      </c>
      <c r="AA183" s="4">
        <f t="shared" si="74"/>
        <v>2</v>
      </c>
      <c r="AB183" s="4">
        <f t="shared" si="75"/>
        <v>5</v>
      </c>
      <c r="AC183" s="12">
        <f t="shared" si="76"/>
        <v>15</v>
      </c>
      <c r="AJ183" s="5">
        <f t="shared" si="96"/>
        <v>0</v>
      </c>
      <c r="AK183" s="5">
        <f t="shared" si="86"/>
        <v>0</v>
      </c>
      <c r="AL183" s="77">
        <f t="shared" si="98"/>
        <v>51167</v>
      </c>
      <c r="AM183" s="27" t="str">
        <f t="shared" si="87"/>
        <v/>
      </c>
      <c r="AN183" s="76">
        <f t="shared" si="88"/>
        <v>169</v>
      </c>
      <c r="AO183" s="13">
        <f t="shared" si="89"/>
        <v>0</v>
      </c>
      <c r="AP183" s="62">
        <f t="shared" si="90"/>
        <v>0</v>
      </c>
      <c r="AQ183" s="9" t="str">
        <f t="shared" si="77"/>
        <v/>
      </c>
      <c r="AR183" s="60" t="str">
        <f t="shared" si="78"/>
        <v/>
      </c>
      <c r="AS183" s="8">
        <f t="shared" si="91"/>
        <v>0</v>
      </c>
      <c r="AT183" s="11">
        <f t="shared" si="92"/>
        <v>0</v>
      </c>
      <c r="AU183" s="15">
        <v>0</v>
      </c>
      <c r="AV183" s="32">
        <f t="shared" si="93"/>
        <v>0</v>
      </c>
      <c r="AW183" s="33"/>
      <c r="AX183" s="75">
        <f t="shared" si="94"/>
        <v>0</v>
      </c>
    </row>
    <row r="184" spans="1:50" x14ac:dyDescent="0.25">
      <c r="A184" s="5">
        <f t="shared" si="95"/>
        <v>0</v>
      </c>
      <c r="B184" s="5">
        <f t="shared" si="79"/>
        <v>0</v>
      </c>
      <c r="C184" s="77">
        <f t="shared" si="97"/>
        <v>51196</v>
      </c>
      <c r="D184" s="122" t="str">
        <f t="shared" si="66"/>
        <v/>
      </c>
      <c r="E184" s="123">
        <f t="shared" si="80"/>
        <v>170</v>
      </c>
      <c r="F184" s="124">
        <f t="shared" si="81"/>
        <v>0</v>
      </c>
      <c r="G184" s="125">
        <f t="shared" si="82"/>
        <v>0</v>
      </c>
      <c r="H184" s="126" t="str">
        <f t="shared" si="67"/>
        <v/>
      </c>
      <c r="I184" s="127" t="str">
        <f t="shared" si="68"/>
        <v/>
      </c>
      <c r="J184" s="128">
        <f t="shared" si="69"/>
        <v>0</v>
      </c>
      <c r="K184" s="129">
        <f t="shared" si="70"/>
        <v>0</v>
      </c>
      <c r="L184" s="1">
        <f t="shared" si="83"/>
        <v>0</v>
      </c>
      <c r="M184" s="130">
        <f t="shared" si="71"/>
        <v>0</v>
      </c>
      <c r="N184" s="131">
        <f t="shared" si="72"/>
        <v>0</v>
      </c>
      <c r="O184" s="15"/>
      <c r="P184" s="32">
        <f t="shared" si="84"/>
        <v>0</v>
      </c>
      <c r="Q184" s="33"/>
      <c r="R184" s="75">
        <f t="shared" si="85"/>
        <v>0</v>
      </c>
      <c r="V184" s="68">
        <f t="shared" si="73"/>
        <v>0</v>
      </c>
      <c r="AA184" s="4">
        <f t="shared" si="74"/>
        <v>2</v>
      </c>
      <c r="AB184" s="4">
        <f t="shared" si="75"/>
        <v>5</v>
      </c>
      <c r="AC184" s="12">
        <f t="shared" si="76"/>
        <v>15</v>
      </c>
      <c r="AJ184" s="5">
        <f t="shared" si="96"/>
        <v>0</v>
      </c>
      <c r="AK184" s="5">
        <f t="shared" si="86"/>
        <v>0</v>
      </c>
      <c r="AL184" s="77">
        <f t="shared" si="98"/>
        <v>51196</v>
      </c>
      <c r="AM184" s="27" t="str">
        <f t="shared" si="87"/>
        <v/>
      </c>
      <c r="AN184" s="76">
        <f t="shared" si="88"/>
        <v>170</v>
      </c>
      <c r="AO184" s="13">
        <f t="shared" si="89"/>
        <v>0</v>
      </c>
      <c r="AP184" s="62">
        <f t="shared" si="90"/>
        <v>0</v>
      </c>
      <c r="AQ184" s="9" t="str">
        <f t="shared" si="77"/>
        <v/>
      </c>
      <c r="AR184" s="60" t="str">
        <f t="shared" si="78"/>
        <v/>
      </c>
      <c r="AS184" s="8">
        <f t="shared" si="91"/>
        <v>0</v>
      </c>
      <c r="AT184" s="11">
        <f t="shared" si="92"/>
        <v>0</v>
      </c>
      <c r="AU184" s="15">
        <v>0</v>
      </c>
      <c r="AV184" s="32">
        <f t="shared" si="93"/>
        <v>0</v>
      </c>
      <c r="AW184" s="33"/>
      <c r="AX184" s="75">
        <f t="shared" si="94"/>
        <v>0</v>
      </c>
    </row>
    <row r="185" spans="1:50" x14ac:dyDescent="0.25">
      <c r="A185" s="5">
        <f t="shared" si="95"/>
        <v>0</v>
      </c>
      <c r="B185" s="5">
        <f t="shared" si="79"/>
        <v>0</v>
      </c>
      <c r="C185" s="77">
        <f t="shared" si="97"/>
        <v>51227</v>
      </c>
      <c r="D185" s="122" t="str">
        <f t="shared" si="66"/>
        <v/>
      </c>
      <c r="E185" s="123">
        <f t="shared" si="80"/>
        <v>171</v>
      </c>
      <c r="F185" s="124">
        <f t="shared" si="81"/>
        <v>0</v>
      </c>
      <c r="G185" s="125">
        <f t="shared" si="82"/>
        <v>0</v>
      </c>
      <c r="H185" s="126" t="str">
        <f t="shared" si="67"/>
        <v/>
      </c>
      <c r="I185" s="127" t="str">
        <f t="shared" si="68"/>
        <v/>
      </c>
      <c r="J185" s="128">
        <f t="shared" si="69"/>
        <v>0</v>
      </c>
      <c r="K185" s="129">
        <f t="shared" si="70"/>
        <v>0</v>
      </c>
      <c r="L185" s="1">
        <f t="shared" si="83"/>
        <v>0</v>
      </c>
      <c r="M185" s="130">
        <f t="shared" si="71"/>
        <v>0</v>
      </c>
      <c r="N185" s="131">
        <f t="shared" si="72"/>
        <v>0</v>
      </c>
      <c r="O185" s="15"/>
      <c r="P185" s="32">
        <f t="shared" si="84"/>
        <v>0</v>
      </c>
      <c r="Q185" s="33"/>
      <c r="R185" s="75">
        <f t="shared" si="85"/>
        <v>0</v>
      </c>
      <c r="V185" s="68">
        <f t="shared" si="73"/>
        <v>0</v>
      </c>
      <c r="AA185" s="4">
        <f t="shared" si="74"/>
        <v>2</v>
      </c>
      <c r="AB185" s="4">
        <f t="shared" si="75"/>
        <v>5</v>
      </c>
      <c r="AC185" s="12">
        <f t="shared" si="76"/>
        <v>15</v>
      </c>
      <c r="AJ185" s="5">
        <f t="shared" si="96"/>
        <v>0</v>
      </c>
      <c r="AK185" s="5">
        <f t="shared" si="86"/>
        <v>0</v>
      </c>
      <c r="AL185" s="77">
        <f t="shared" si="98"/>
        <v>51227</v>
      </c>
      <c r="AM185" s="27" t="str">
        <f t="shared" si="87"/>
        <v/>
      </c>
      <c r="AN185" s="76">
        <f t="shared" si="88"/>
        <v>171</v>
      </c>
      <c r="AO185" s="13">
        <f t="shared" si="89"/>
        <v>0</v>
      </c>
      <c r="AP185" s="62">
        <f t="shared" si="90"/>
        <v>0</v>
      </c>
      <c r="AQ185" s="9" t="str">
        <f t="shared" si="77"/>
        <v/>
      </c>
      <c r="AR185" s="60" t="str">
        <f t="shared" si="78"/>
        <v/>
      </c>
      <c r="AS185" s="8">
        <f t="shared" si="91"/>
        <v>0</v>
      </c>
      <c r="AT185" s="11">
        <f t="shared" si="92"/>
        <v>0</v>
      </c>
      <c r="AU185" s="15">
        <v>0</v>
      </c>
      <c r="AV185" s="32">
        <f t="shared" si="93"/>
        <v>0</v>
      </c>
      <c r="AW185" s="33"/>
      <c r="AX185" s="75">
        <f t="shared" si="94"/>
        <v>0</v>
      </c>
    </row>
    <row r="186" spans="1:50" x14ac:dyDescent="0.25">
      <c r="A186" s="5">
        <f t="shared" si="95"/>
        <v>0</v>
      </c>
      <c r="B186" s="5">
        <f t="shared" si="79"/>
        <v>0</v>
      </c>
      <c r="C186" s="77">
        <f t="shared" si="97"/>
        <v>51257</v>
      </c>
      <c r="D186" s="122" t="str">
        <f t="shared" si="66"/>
        <v/>
      </c>
      <c r="E186" s="123">
        <f t="shared" si="80"/>
        <v>172</v>
      </c>
      <c r="F186" s="124">
        <f t="shared" si="81"/>
        <v>0</v>
      </c>
      <c r="G186" s="125">
        <f t="shared" si="82"/>
        <v>0</v>
      </c>
      <c r="H186" s="126" t="str">
        <f t="shared" si="67"/>
        <v/>
      </c>
      <c r="I186" s="127" t="str">
        <f t="shared" si="68"/>
        <v/>
      </c>
      <c r="J186" s="128">
        <f t="shared" si="69"/>
        <v>0</v>
      </c>
      <c r="K186" s="129">
        <f t="shared" si="70"/>
        <v>0</v>
      </c>
      <c r="L186" s="1">
        <f t="shared" si="83"/>
        <v>0</v>
      </c>
      <c r="M186" s="130">
        <f t="shared" si="71"/>
        <v>0</v>
      </c>
      <c r="N186" s="131">
        <f t="shared" si="72"/>
        <v>0</v>
      </c>
      <c r="O186" s="15"/>
      <c r="P186" s="32">
        <f t="shared" si="84"/>
        <v>0</v>
      </c>
      <c r="Q186" s="33"/>
      <c r="R186" s="75">
        <f t="shared" si="85"/>
        <v>0</v>
      </c>
      <c r="V186" s="68">
        <f t="shared" si="73"/>
        <v>0</v>
      </c>
      <c r="AA186" s="4">
        <f t="shared" si="74"/>
        <v>2</v>
      </c>
      <c r="AB186" s="4">
        <f t="shared" si="75"/>
        <v>5</v>
      </c>
      <c r="AC186" s="12">
        <f t="shared" si="76"/>
        <v>15</v>
      </c>
      <c r="AJ186" s="5">
        <f t="shared" si="96"/>
        <v>0</v>
      </c>
      <c r="AK186" s="5">
        <f t="shared" si="86"/>
        <v>0</v>
      </c>
      <c r="AL186" s="77">
        <f t="shared" si="98"/>
        <v>51257</v>
      </c>
      <c r="AM186" s="27" t="str">
        <f t="shared" si="87"/>
        <v/>
      </c>
      <c r="AN186" s="76">
        <f t="shared" si="88"/>
        <v>172</v>
      </c>
      <c r="AO186" s="13">
        <f t="shared" si="89"/>
        <v>0</v>
      </c>
      <c r="AP186" s="62">
        <f t="shared" si="90"/>
        <v>0</v>
      </c>
      <c r="AQ186" s="9" t="str">
        <f t="shared" si="77"/>
        <v/>
      </c>
      <c r="AR186" s="60" t="str">
        <f t="shared" si="78"/>
        <v/>
      </c>
      <c r="AS186" s="8">
        <f t="shared" si="91"/>
        <v>0</v>
      </c>
      <c r="AT186" s="11">
        <f t="shared" si="92"/>
        <v>0</v>
      </c>
      <c r="AU186" s="15">
        <v>0</v>
      </c>
      <c r="AV186" s="32">
        <f t="shared" si="93"/>
        <v>0</v>
      </c>
      <c r="AW186" s="33"/>
      <c r="AX186" s="75">
        <f t="shared" si="94"/>
        <v>0</v>
      </c>
    </row>
    <row r="187" spans="1:50" x14ac:dyDescent="0.25">
      <c r="A187" s="5">
        <f t="shared" si="95"/>
        <v>0</v>
      </c>
      <c r="B187" s="5">
        <f t="shared" si="79"/>
        <v>0</v>
      </c>
      <c r="C187" s="77">
        <f t="shared" si="97"/>
        <v>51288</v>
      </c>
      <c r="D187" s="122" t="str">
        <f t="shared" si="66"/>
        <v/>
      </c>
      <c r="E187" s="123">
        <f t="shared" si="80"/>
        <v>173</v>
      </c>
      <c r="F187" s="124">
        <f t="shared" si="81"/>
        <v>0</v>
      </c>
      <c r="G187" s="125">
        <f t="shared" si="82"/>
        <v>0</v>
      </c>
      <c r="H187" s="126" t="str">
        <f t="shared" si="67"/>
        <v/>
      </c>
      <c r="I187" s="127" t="str">
        <f t="shared" si="68"/>
        <v/>
      </c>
      <c r="J187" s="128">
        <f t="shared" si="69"/>
        <v>0</v>
      </c>
      <c r="K187" s="129">
        <f t="shared" si="70"/>
        <v>0</v>
      </c>
      <c r="L187" s="1">
        <f t="shared" si="83"/>
        <v>0</v>
      </c>
      <c r="M187" s="130">
        <f t="shared" si="71"/>
        <v>0</v>
      </c>
      <c r="N187" s="131">
        <f t="shared" si="72"/>
        <v>0</v>
      </c>
      <c r="O187" s="15"/>
      <c r="P187" s="32">
        <f t="shared" si="84"/>
        <v>0</v>
      </c>
      <c r="Q187" s="33"/>
      <c r="R187" s="75">
        <f t="shared" si="85"/>
        <v>0</v>
      </c>
      <c r="V187" s="68">
        <f t="shared" si="73"/>
        <v>0</v>
      </c>
      <c r="AA187" s="4">
        <f t="shared" si="74"/>
        <v>2</v>
      </c>
      <c r="AB187" s="4">
        <f t="shared" si="75"/>
        <v>5</v>
      </c>
      <c r="AC187" s="12">
        <f t="shared" si="76"/>
        <v>15</v>
      </c>
      <c r="AJ187" s="5">
        <f t="shared" si="96"/>
        <v>0</v>
      </c>
      <c r="AK187" s="5">
        <f t="shared" si="86"/>
        <v>0</v>
      </c>
      <c r="AL187" s="77">
        <f t="shared" si="98"/>
        <v>51288</v>
      </c>
      <c r="AM187" s="27" t="str">
        <f t="shared" si="87"/>
        <v/>
      </c>
      <c r="AN187" s="76">
        <f t="shared" si="88"/>
        <v>173</v>
      </c>
      <c r="AO187" s="13">
        <f t="shared" si="89"/>
        <v>0</v>
      </c>
      <c r="AP187" s="62">
        <f t="shared" si="90"/>
        <v>0</v>
      </c>
      <c r="AQ187" s="9" t="str">
        <f t="shared" si="77"/>
        <v/>
      </c>
      <c r="AR187" s="60" t="str">
        <f t="shared" si="78"/>
        <v/>
      </c>
      <c r="AS187" s="8">
        <f t="shared" si="91"/>
        <v>0</v>
      </c>
      <c r="AT187" s="11">
        <f t="shared" si="92"/>
        <v>0</v>
      </c>
      <c r="AU187" s="15">
        <v>0</v>
      </c>
      <c r="AV187" s="32">
        <f t="shared" si="93"/>
        <v>0</v>
      </c>
      <c r="AW187" s="33"/>
      <c r="AX187" s="75">
        <f t="shared" si="94"/>
        <v>0</v>
      </c>
    </row>
    <row r="188" spans="1:50" x14ac:dyDescent="0.25">
      <c r="A188" s="5">
        <f t="shared" si="95"/>
        <v>0</v>
      </c>
      <c r="B188" s="5">
        <f t="shared" si="79"/>
        <v>0</v>
      </c>
      <c r="C188" s="77">
        <f t="shared" si="97"/>
        <v>51318</v>
      </c>
      <c r="D188" s="122" t="str">
        <f t="shared" si="66"/>
        <v/>
      </c>
      <c r="E188" s="123">
        <f t="shared" si="80"/>
        <v>174</v>
      </c>
      <c r="F188" s="124">
        <f t="shared" si="81"/>
        <v>0</v>
      </c>
      <c r="G188" s="125">
        <f t="shared" si="82"/>
        <v>0</v>
      </c>
      <c r="H188" s="126" t="str">
        <f t="shared" si="67"/>
        <v/>
      </c>
      <c r="I188" s="127" t="str">
        <f t="shared" si="68"/>
        <v/>
      </c>
      <c r="J188" s="128">
        <f t="shared" si="69"/>
        <v>0</v>
      </c>
      <c r="K188" s="129">
        <f t="shared" si="70"/>
        <v>0</v>
      </c>
      <c r="L188" s="1">
        <f t="shared" si="83"/>
        <v>0</v>
      </c>
      <c r="M188" s="130">
        <f t="shared" si="71"/>
        <v>0</v>
      </c>
      <c r="N188" s="131">
        <f t="shared" si="72"/>
        <v>0</v>
      </c>
      <c r="O188" s="15"/>
      <c r="P188" s="32">
        <f t="shared" si="84"/>
        <v>0</v>
      </c>
      <c r="Q188" s="33"/>
      <c r="R188" s="75">
        <f t="shared" si="85"/>
        <v>0</v>
      </c>
      <c r="V188" s="68">
        <f t="shared" si="73"/>
        <v>0</v>
      </c>
      <c r="AA188" s="4">
        <f t="shared" si="74"/>
        <v>2</v>
      </c>
      <c r="AB188" s="4">
        <f t="shared" si="75"/>
        <v>5</v>
      </c>
      <c r="AC188" s="12">
        <f t="shared" si="76"/>
        <v>15</v>
      </c>
      <c r="AJ188" s="5">
        <f t="shared" si="96"/>
        <v>0</v>
      </c>
      <c r="AK188" s="5">
        <f t="shared" si="86"/>
        <v>0</v>
      </c>
      <c r="AL188" s="77">
        <f t="shared" si="98"/>
        <v>51318</v>
      </c>
      <c r="AM188" s="27" t="str">
        <f t="shared" si="87"/>
        <v/>
      </c>
      <c r="AN188" s="76">
        <f t="shared" si="88"/>
        <v>174</v>
      </c>
      <c r="AO188" s="13">
        <f t="shared" si="89"/>
        <v>0</v>
      </c>
      <c r="AP188" s="62">
        <f t="shared" si="90"/>
        <v>0</v>
      </c>
      <c r="AQ188" s="9" t="str">
        <f t="shared" si="77"/>
        <v/>
      </c>
      <c r="AR188" s="60" t="str">
        <f t="shared" si="78"/>
        <v/>
      </c>
      <c r="AS188" s="8">
        <f t="shared" si="91"/>
        <v>0</v>
      </c>
      <c r="AT188" s="11">
        <f t="shared" si="92"/>
        <v>0</v>
      </c>
      <c r="AU188" s="15">
        <v>0</v>
      </c>
      <c r="AV188" s="32">
        <f t="shared" si="93"/>
        <v>0</v>
      </c>
      <c r="AW188" s="33"/>
      <c r="AX188" s="75">
        <f t="shared" si="94"/>
        <v>0</v>
      </c>
    </row>
    <row r="189" spans="1:50" x14ac:dyDescent="0.25">
      <c r="A189" s="5">
        <f t="shared" si="95"/>
        <v>0</v>
      </c>
      <c r="B189" s="5">
        <f t="shared" si="79"/>
        <v>0</v>
      </c>
      <c r="C189" s="77">
        <f t="shared" si="97"/>
        <v>51349</v>
      </c>
      <c r="D189" s="122" t="str">
        <f t="shared" si="66"/>
        <v/>
      </c>
      <c r="E189" s="123">
        <f t="shared" si="80"/>
        <v>175</v>
      </c>
      <c r="F189" s="124">
        <f t="shared" si="81"/>
        <v>0</v>
      </c>
      <c r="G189" s="125">
        <f t="shared" si="82"/>
        <v>0</v>
      </c>
      <c r="H189" s="126" t="str">
        <f t="shared" si="67"/>
        <v/>
      </c>
      <c r="I189" s="127" t="str">
        <f t="shared" si="68"/>
        <v/>
      </c>
      <c r="J189" s="128">
        <f t="shared" si="69"/>
        <v>0</v>
      </c>
      <c r="K189" s="129">
        <f t="shared" si="70"/>
        <v>0</v>
      </c>
      <c r="L189" s="1">
        <f t="shared" si="83"/>
        <v>0</v>
      </c>
      <c r="M189" s="130">
        <f t="shared" si="71"/>
        <v>0</v>
      </c>
      <c r="N189" s="131">
        <f t="shared" si="72"/>
        <v>0</v>
      </c>
      <c r="O189" s="15"/>
      <c r="P189" s="32">
        <f t="shared" si="84"/>
        <v>0</v>
      </c>
      <c r="Q189" s="33"/>
      <c r="R189" s="75">
        <f t="shared" si="85"/>
        <v>0</v>
      </c>
      <c r="V189" s="68">
        <f t="shared" si="73"/>
        <v>0</v>
      </c>
      <c r="AA189" s="4">
        <f t="shared" si="74"/>
        <v>2</v>
      </c>
      <c r="AB189" s="4">
        <f t="shared" si="75"/>
        <v>5</v>
      </c>
      <c r="AC189" s="12">
        <f t="shared" si="76"/>
        <v>15</v>
      </c>
      <c r="AJ189" s="5">
        <f t="shared" si="96"/>
        <v>0</v>
      </c>
      <c r="AK189" s="5">
        <f t="shared" si="86"/>
        <v>0</v>
      </c>
      <c r="AL189" s="77">
        <f t="shared" si="98"/>
        <v>51349</v>
      </c>
      <c r="AM189" s="27" t="str">
        <f t="shared" si="87"/>
        <v/>
      </c>
      <c r="AN189" s="76">
        <f t="shared" si="88"/>
        <v>175</v>
      </c>
      <c r="AO189" s="13">
        <f t="shared" si="89"/>
        <v>0</v>
      </c>
      <c r="AP189" s="62">
        <f t="shared" si="90"/>
        <v>0</v>
      </c>
      <c r="AQ189" s="9" t="str">
        <f t="shared" si="77"/>
        <v/>
      </c>
      <c r="AR189" s="60" t="str">
        <f t="shared" si="78"/>
        <v/>
      </c>
      <c r="AS189" s="8">
        <f t="shared" si="91"/>
        <v>0</v>
      </c>
      <c r="AT189" s="11">
        <f t="shared" si="92"/>
        <v>0</v>
      </c>
      <c r="AU189" s="15">
        <v>0</v>
      </c>
      <c r="AV189" s="32">
        <f t="shared" si="93"/>
        <v>0</v>
      </c>
      <c r="AW189" s="33"/>
      <c r="AX189" s="75">
        <f t="shared" si="94"/>
        <v>0</v>
      </c>
    </row>
    <row r="190" spans="1:50" x14ac:dyDescent="0.25">
      <c r="A190" s="5">
        <f t="shared" si="95"/>
        <v>0</v>
      </c>
      <c r="B190" s="5">
        <f t="shared" si="79"/>
        <v>0</v>
      </c>
      <c r="C190" s="77">
        <f t="shared" si="97"/>
        <v>51380</v>
      </c>
      <c r="D190" s="122" t="str">
        <f t="shared" si="66"/>
        <v/>
      </c>
      <c r="E190" s="123">
        <f t="shared" si="80"/>
        <v>176</v>
      </c>
      <c r="F190" s="124">
        <f t="shared" si="81"/>
        <v>0</v>
      </c>
      <c r="G190" s="125">
        <f t="shared" si="82"/>
        <v>0</v>
      </c>
      <c r="H190" s="126" t="str">
        <f t="shared" si="67"/>
        <v/>
      </c>
      <c r="I190" s="127" t="str">
        <f t="shared" si="68"/>
        <v/>
      </c>
      <c r="J190" s="128">
        <f t="shared" si="69"/>
        <v>0</v>
      </c>
      <c r="K190" s="129">
        <f t="shared" si="70"/>
        <v>0</v>
      </c>
      <c r="L190" s="1">
        <f t="shared" si="83"/>
        <v>0</v>
      </c>
      <c r="M190" s="130">
        <f t="shared" si="71"/>
        <v>0</v>
      </c>
      <c r="N190" s="131">
        <f t="shared" si="72"/>
        <v>0</v>
      </c>
      <c r="O190" s="15"/>
      <c r="P190" s="32">
        <f t="shared" si="84"/>
        <v>0</v>
      </c>
      <c r="Q190" s="33"/>
      <c r="R190" s="75">
        <f t="shared" si="85"/>
        <v>0</v>
      </c>
      <c r="V190" s="68">
        <f t="shared" si="73"/>
        <v>0</v>
      </c>
      <c r="AA190" s="4">
        <f t="shared" si="74"/>
        <v>2</v>
      </c>
      <c r="AB190" s="4">
        <f t="shared" si="75"/>
        <v>5</v>
      </c>
      <c r="AC190" s="12">
        <f t="shared" si="76"/>
        <v>15</v>
      </c>
      <c r="AJ190" s="5">
        <f t="shared" si="96"/>
        <v>0</v>
      </c>
      <c r="AK190" s="5">
        <f t="shared" si="86"/>
        <v>0</v>
      </c>
      <c r="AL190" s="77">
        <f t="shared" si="98"/>
        <v>51380</v>
      </c>
      <c r="AM190" s="27" t="str">
        <f t="shared" si="87"/>
        <v/>
      </c>
      <c r="AN190" s="76">
        <f t="shared" si="88"/>
        <v>176</v>
      </c>
      <c r="AO190" s="13">
        <f t="shared" si="89"/>
        <v>0</v>
      </c>
      <c r="AP190" s="62">
        <f t="shared" si="90"/>
        <v>0</v>
      </c>
      <c r="AQ190" s="9" t="str">
        <f t="shared" si="77"/>
        <v/>
      </c>
      <c r="AR190" s="60" t="str">
        <f t="shared" si="78"/>
        <v/>
      </c>
      <c r="AS190" s="8">
        <f t="shared" si="91"/>
        <v>0</v>
      </c>
      <c r="AT190" s="11">
        <f t="shared" si="92"/>
        <v>0</v>
      </c>
      <c r="AU190" s="15">
        <v>0</v>
      </c>
      <c r="AV190" s="32">
        <f t="shared" si="93"/>
        <v>0</v>
      </c>
      <c r="AW190" s="33"/>
      <c r="AX190" s="75">
        <f t="shared" si="94"/>
        <v>0</v>
      </c>
    </row>
    <row r="191" spans="1:50" x14ac:dyDescent="0.25">
      <c r="A191" s="5">
        <f t="shared" si="95"/>
        <v>0</v>
      </c>
      <c r="B191" s="5">
        <f t="shared" si="79"/>
        <v>0</v>
      </c>
      <c r="C191" s="77">
        <f t="shared" si="97"/>
        <v>51410</v>
      </c>
      <c r="D191" s="122" t="str">
        <f t="shared" si="66"/>
        <v/>
      </c>
      <c r="E191" s="123">
        <f t="shared" si="80"/>
        <v>177</v>
      </c>
      <c r="F191" s="124">
        <f t="shared" si="81"/>
        <v>0</v>
      </c>
      <c r="G191" s="125">
        <f t="shared" si="82"/>
        <v>0</v>
      </c>
      <c r="H191" s="126" t="str">
        <f t="shared" si="67"/>
        <v/>
      </c>
      <c r="I191" s="127" t="str">
        <f t="shared" si="68"/>
        <v/>
      </c>
      <c r="J191" s="128">
        <f t="shared" si="69"/>
        <v>0</v>
      </c>
      <c r="K191" s="129">
        <f t="shared" si="70"/>
        <v>0</v>
      </c>
      <c r="L191" s="1">
        <f t="shared" si="83"/>
        <v>0</v>
      </c>
      <c r="M191" s="130">
        <f t="shared" si="71"/>
        <v>0</v>
      </c>
      <c r="N191" s="131">
        <f t="shared" si="72"/>
        <v>0</v>
      </c>
      <c r="O191" s="15"/>
      <c r="P191" s="32">
        <f t="shared" si="84"/>
        <v>0</v>
      </c>
      <c r="Q191" s="33"/>
      <c r="R191" s="75">
        <f t="shared" si="85"/>
        <v>0</v>
      </c>
      <c r="V191" s="68">
        <f t="shared" si="73"/>
        <v>0</v>
      </c>
      <c r="AA191" s="4">
        <f t="shared" si="74"/>
        <v>2</v>
      </c>
      <c r="AB191" s="4">
        <f t="shared" si="75"/>
        <v>5</v>
      </c>
      <c r="AC191" s="12">
        <f t="shared" si="76"/>
        <v>15</v>
      </c>
      <c r="AJ191" s="5">
        <f t="shared" si="96"/>
        <v>0</v>
      </c>
      <c r="AK191" s="5">
        <f t="shared" si="86"/>
        <v>0</v>
      </c>
      <c r="AL191" s="77">
        <f t="shared" si="98"/>
        <v>51410</v>
      </c>
      <c r="AM191" s="27" t="str">
        <f t="shared" si="87"/>
        <v/>
      </c>
      <c r="AN191" s="76">
        <f t="shared" si="88"/>
        <v>177</v>
      </c>
      <c r="AO191" s="13">
        <f t="shared" si="89"/>
        <v>0</v>
      </c>
      <c r="AP191" s="62">
        <f t="shared" si="90"/>
        <v>0</v>
      </c>
      <c r="AQ191" s="9" t="str">
        <f t="shared" si="77"/>
        <v/>
      </c>
      <c r="AR191" s="60" t="str">
        <f t="shared" si="78"/>
        <v/>
      </c>
      <c r="AS191" s="8">
        <f t="shared" si="91"/>
        <v>0</v>
      </c>
      <c r="AT191" s="11">
        <f t="shared" si="92"/>
        <v>0</v>
      </c>
      <c r="AU191" s="15">
        <v>0</v>
      </c>
      <c r="AV191" s="32">
        <f t="shared" si="93"/>
        <v>0</v>
      </c>
      <c r="AW191" s="33"/>
      <c r="AX191" s="75">
        <f t="shared" si="94"/>
        <v>0</v>
      </c>
    </row>
    <row r="192" spans="1:50" x14ac:dyDescent="0.25">
      <c r="A192" s="5">
        <f t="shared" si="95"/>
        <v>0</v>
      </c>
      <c r="B192" s="5">
        <f t="shared" si="79"/>
        <v>0</v>
      </c>
      <c r="C192" s="77">
        <f t="shared" si="97"/>
        <v>51441</v>
      </c>
      <c r="D192" s="122" t="str">
        <f t="shared" si="66"/>
        <v/>
      </c>
      <c r="E192" s="123">
        <f t="shared" si="80"/>
        <v>178</v>
      </c>
      <c r="F192" s="124">
        <f t="shared" si="81"/>
        <v>0</v>
      </c>
      <c r="G192" s="125">
        <f t="shared" si="82"/>
        <v>0</v>
      </c>
      <c r="H192" s="126" t="str">
        <f t="shared" si="67"/>
        <v/>
      </c>
      <c r="I192" s="127" t="str">
        <f t="shared" si="68"/>
        <v/>
      </c>
      <c r="J192" s="128">
        <f t="shared" si="69"/>
        <v>0</v>
      </c>
      <c r="K192" s="129">
        <f t="shared" si="70"/>
        <v>0</v>
      </c>
      <c r="L192" s="1">
        <f t="shared" si="83"/>
        <v>0</v>
      </c>
      <c r="M192" s="130">
        <f t="shared" si="71"/>
        <v>0</v>
      </c>
      <c r="N192" s="131">
        <f t="shared" si="72"/>
        <v>0</v>
      </c>
      <c r="O192" s="15"/>
      <c r="P192" s="32">
        <f t="shared" si="84"/>
        <v>0</v>
      </c>
      <c r="Q192" s="33"/>
      <c r="R192" s="75">
        <f t="shared" si="85"/>
        <v>0</v>
      </c>
      <c r="V192" s="68">
        <f t="shared" si="73"/>
        <v>0</v>
      </c>
      <c r="AA192" s="4">
        <f t="shared" si="74"/>
        <v>2</v>
      </c>
      <c r="AB192" s="4">
        <f t="shared" si="75"/>
        <v>5</v>
      </c>
      <c r="AC192" s="12">
        <f t="shared" si="76"/>
        <v>15</v>
      </c>
      <c r="AJ192" s="5">
        <f t="shared" si="96"/>
        <v>0</v>
      </c>
      <c r="AK192" s="5">
        <f t="shared" si="86"/>
        <v>0</v>
      </c>
      <c r="AL192" s="77">
        <f t="shared" si="98"/>
        <v>51441</v>
      </c>
      <c r="AM192" s="27" t="str">
        <f t="shared" si="87"/>
        <v/>
      </c>
      <c r="AN192" s="76">
        <f t="shared" si="88"/>
        <v>178</v>
      </c>
      <c r="AO192" s="13">
        <f t="shared" si="89"/>
        <v>0</v>
      </c>
      <c r="AP192" s="62">
        <f t="shared" si="90"/>
        <v>0</v>
      </c>
      <c r="AQ192" s="9" t="str">
        <f t="shared" si="77"/>
        <v/>
      </c>
      <c r="AR192" s="60" t="str">
        <f t="shared" si="78"/>
        <v/>
      </c>
      <c r="AS192" s="8">
        <f t="shared" si="91"/>
        <v>0</v>
      </c>
      <c r="AT192" s="11">
        <f t="shared" si="92"/>
        <v>0</v>
      </c>
      <c r="AU192" s="15">
        <v>0</v>
      </c>
      <c r="AV192" s="32">
        <f t="shared" si="93"/>
        <v>0</v>
      </c>
      <c r="AW192" s="33"/>
      <c r="AX192" s="75">
        <f t="shared" si="94"/>
        <v>0</v>
      </c>
    </row>
    <row r="193" spans="1:50" x14ac:dyDescent="0.25">
      <c r="A193" s="5">
        <f t="shared" si="95"/>
        <v>0</v>
      </c>
      <c r="B193" s="5">
        <f t="shared" si="79"/>
        <v>0</v>
      </c>
      <c r="C193" s="77">
        <f t="shared" si="97"/>
        <v>51471</v>
      </c>
      <c r="D193" s="122" t="str">
        <f t="shared" si="66"/>
        <v/>
      </c>
      <c r="E193" s="123">
        <f t="shared" si="80"/>
        <v>179</v>
      </c>
      <c r="F193" s="124">
        <f t="shared" si="81"/>
        <v>0</v>
      </c>
      <c r="G193" s="125">
        <f t="shared" si="82"/>
        <v>0</v>
      </c>
      <c r="H193" s="126" t="str">
        <f t="shared" si="67"/>
        <v/>
      </c>
      <c r="I193" s="127" t="str">
        <f t="shared" si="68"/>
        <v/>
      </c>
      <c r="J193" s="128">
        <f t="shared" si="69"/>
        <v>0</v>
      </c>
      <c r="K193" s="129">
        <f t="shared" si="70"/>
        <v>0</v>
      </c>
      <c r="L193" s="1">
        <f t="shared" si="83"/>
        <v>0</v>
      </c>
      <c r="M193" s="130">
        <f t="shared" si="71"/>
        <v>0</v>
      </c>
      <c r="N193" s="131">
        <f t="shared" si="72"/>
        <v>0</v>
      </c>
      <c r="O193" s="15"/>
      <c r="P193" s="32">
        <f t="shared" si="84"/>
        <v>0</v>
      </c>
      <c r="Q193" s="33"/>
      <c r="R193" s="75">
        <f t="shared" si="85"/>
        <v>0</v>
      </c>
      <c r="V193" s="68">
        <f t="shared" si="73"/>
        <v>0</v>
      </c>
      <c r="AA193" s="4">
        <f t="shared" si="74"/>
        <v>2</v>
      </c>
      <c r="AB193" s="4">
        <f t="shared" si="75"/>
        <v>5</v>
      </c>
      <c r="AC193" s="12">
        <f t="shared" si="76"/>
        <v>15</v>
      </c>
      <c r="AJ193" s="5">
        <f t="shared" si="96"/>
        <v>0</v>
      </c>
      <c r="AK193" s="5">
        <f t="shared" si="86"/>
        <v>0</v>
      </c>
      <c r="AL193" s="77">
        <f t="shared" si="98"/>
        <v>51471</v>
      </c>
      <c r="AM193" s="27" t="str">
        <f t="shared" si="87"/>
        <v/>
      </c>
      <c r="AN193" s="76">
        <f t="shared" si="88"/>
        <v>179</v>
      </c>
      <c r="AO193" s="13">
        <f t="shared" si="89"/>
        <v>0</v>
      </c>
      <c r="AP193" s="62">
        <f t="shared" si="90"/>
        <v>0</v>
      </c>
      <c r="AQ193" s="9" t="str">
        <f t="shared" si="77"/>
        <v/>
      </c>
      <c r="AR193" s="60" t="str">
        <f t="shared" si="78"/>
        <v/>
      </c>
      <c r="AS193" s="8">
        <f t="shared" si="91"/>
        <v>0</v>
      </c>
      <c r="AT193" s="11">
        <f t="shared" si="92"/>
        <v>0</v>
      </c>
      <c r="AU193" s="15">
        <v>0</v>
      </c>
      <c r="AV193" s="32">
        <f t="shared" si="93"/>
        <v>0</v>
      </c>
      <c r="AW193" s="33"/>
      <c r="AX193" s="75">
        <f t="shared" si="94"/>
        <v>0</v>
      </c>
    </row>
    <row r="194" spans="1:50" x14ac:dyDescent="0.25">
      <c r="A194" s="5">
        <f t="shared" si="95"/>
        <v>0</v>
      </c>
      <c r="B194" s="5">
        <f t="shared" si="79"/>
        <v>0</v>
      </c>
      <c r="C194" s="77">
        <f t="shared" si="97"/>
        <v>51502</v>
      </c>
      <c r="D194" s="122" t="str">
        <f t="shared" si="66"/>
        <v/>
      </c>
      <c r="E194" s="123">
        <f t="shared" si="80"/>
        <v>180</v>
      </c>
      <c r="F194" s="124">
        <f t="shared" si="81"/>
        <v>0</v>
      </c>
      <c r="G194" s="125">
        <f t="shared" si="82"/>
        <v>0</v>
      </c>
      <c r="H194" s="126" t="str">
        <f t="shared" si="67"/>
        <v/>
      </c>
      <c r="I194" s="127" t="str">
        <f t="shared" si="68"/>
        <v/>
      </c>
      <c r="J194" s="128">
        <f t="shared" si="69"/>
        <v>0</v>
      </c>
      <c r="K194" s="129">
        <f t="shared" si="70"/>
        <v>0</v>
      </c>
      <c r="L194" s="1">
        <f t="shared" si="83"/>
        <v>0</v>
      </c>
      <c r="M194" s="130">
        <f t="shared" si="71"/>
        <v>0</v>
      </c>
      <c r="N194" s="131">
        <f t="shared" si="72"/>
        <v>0</v>
      </c>
      <c r="O194" s="15"/>
      <c r="P194" s="32">
        <f t="shared" si="84"/>
        <v>0</v>
      </c>
      <c r="Q194" s="33"/>
      <c r="R194" s="75">
        <f t="shared" si="85"/>
        <v>0</v>
      </c>
      <c r="V194" s="68">
        <f t="shared" si="73"/>
        <v>0</v>
      </c>
      <c r="AA194" s="4">
        <f t="shared" si="74"/>
        <v>2</v>
      </c>
      <c r="AB194" s="4">
        <f t="shared" si="75"/>
        <v>5</v>
      </c>
      <c r="AC194" s="12">
        <f t="shared" si="76"/>
        <v>15</v>
      </c>
      <c r="AJ194" s="5">
        <f t="shared" si="96"/>
        <v>0</v>
      </c>
      <c r="AK194" s="5">
        <f t="shared" si="86"/>
        <v>0</v>
      </c>
      <c r="AL194" s="77">
        <f t="shared" si="98"/>
        <v>51502</v>
      </c>
      <c r="AM194" s="27" t="str">
        <f t="shared" si="87"/>
        <v/>
      </c>
      <c r="AN194" s="76">
        <f t="shared" si="88"/>
        <v>180</v>
      </c>
      <c r="AO194" s="13">
        <f t="shared" si="89"/>
        <v>0</v>
      </c>
      <c r="AP194" s="62">
        <f t="shared" si="90"/>
        <v>0</v>
      </c>
      <c r="AQ194" s="9" t="str">
        <f t="shared" si="77"/>
        <v/>
      </c>
      <c r="AR194" s="60" t="str">
        <f t="shared" si="78"/>
        <v/>
      </c>
      <c r="AS194" s="8">
        <f t="shared" si="91"/>
        <v>0</v>
      </c>
      <c r="AT194" s="11">
        <f t="shared" si="92"/>
        <v>0</v>
      </c>
      <c r="AU194" s="15">
        <v>0</v>
      </c>
      <c r="AV194" s="32">
        <f t="shared" si="93"/>
        <v>0</v>
      </c>
      <c r="AW194" s="33"/>
      <c r="AX194" s="75">
        <f t="shared" si="94"/>
        <v>0</v>
      </c>
    </row>
    <row r="195" spans="1:50" x14ac:dyDescent="0.25">
      <c r="A195" s="5">
        <f t="shared" si="95"/>
        <v>0</v>
      </c>
      <c r="B195" s="5">
        <f t="shared" si="79"/>
        <v>0</v>
      </c>
      <c r="C195" s="77">
        <f t="shared" si="97"/>
        <v>51533</v>
      </c>
      <c r="D195" s="122" t="str">
        <f t="shared" si="66"/>
        <v/>
      </c>
      <c r="E195" s="123">
        <f t="shared" si="80"/>
        <v>181</v>
      </c>
      <c r="F195" s="124">
        <f t="shared" si="81"/>
        <v>0</v>
      </c>
      <c r="G195" s="125">
        <f t="shared" si="82"/>
        <v>0</v>
      </c>
      <c r="H195" s="126" t="str">
        <f t="shared" si="67"/>
        <v/>
      </c>
      <c r="I195" s="127" t="str">
        <f t="shared" si="68"/>
        <v/>
      </c>
      <c r="J195" s="128">
        <f t="shared" si="69"/>
        <v>0</v>
      </c>
      <c r="K195" s="129">
        <f t="shared" si="70"/>
        <v>0</v>
      </c>
      <c r="L195" s="1">
        <f t="shared" si="83"/>
        <v>0</v>
      </c>
      <c r="M195" s="130">
        <f t="shared" si="71"/>
        <v>0</v>
      </c>
      <c r="N195" s="131">
        <f t="shared" si="72"/>
        <v>0</v>
      </c>
      <c r="O195" s="15"/>
      <c r="P195" s="32">
        <f t="shared" si="84"/>
        <v>0</v>
      </c>
      <c r="Q195" s="33"/>
      <c r="R195" s="75">
        <f t="shared" si="85"/>
        <v>0</v>
      </c>
      <c r="V195" s="68">
        <f t="shared" si="73"/>
        <v>0</v>
      </c>
      <c r="AA195" s="4">
        <f t="shared" si="74"/>
        <v>2</v>
      </c>
      <c r="AB195" s="4">
        <f t="shared" si="75"/>
        <v>6</v>
      </c>
      <c r="AC195" s="12">
        <f t="shared" si="76"/>
        <v>16</v>
      </c>
      <c r="AJ195" s="5">
        <f t="shared" si="96"/>
        <v>0</v>
      </c>
      <c r="AK195" s="5">
        <f t="shared" si="86"/>
        <v>0</v>
      </c>
      <c r="AL195" s="77">
        <f t="shared" si="98"/>
        <v>51533</v>
      </c>
      <c r="AM195" s="27" t="str">
        <f t="shared" si="87"/>
        <v/>
      </c>
      <c r="AN195" s="76">
        <f t="shared" si="88"/>
        <v>181</v>
      </c>
      <c r="AO195" s="13">
        <f t="shared" si="89"/>
        <v>0</v>
      </c>
      <c r="AP195" s="62">
        <f t="shared" si="90"/>
        <v>0</v>
      </c>
      <c r="AQ195" s="9" t="str">
        <f t="shared" si="77"/>
        <v/>
      </c>
      <c r="AR195" s="60" t="str">
        <f t="shared" si="78"/>
        <v/>
      </c>
      <c r="AS195" s="8">
        <f t="shared" si="91"/>
        <v>0</v>
      </c>
      <c r="AT195" s="11">
        <f t="shared" si="92"/>
        <v>0</v>
      </c>
      <c r="AU195" s="15">
        <v>0</v>
      </c>
      <c r="AV195" s="32">
        <f t="shared" si="93"/>
        <v>0</v>
      </c>
      <c r="AW195" s="33"/>
      <c r="AX195" s="75">
        <f t="shared" si="94"/>
        <v>0</v>
      </c>
    </row>
    <row r="196" spans="1:50" x14ac:dyDescent="0.25">
      <c r="A196" s="5">
        <f t="shared" si="95"/>
        <v>0</v>
      </c>
      <c r="B196" s="5">
        <f t="shared" si="79"/>
        <v>0</v>
      </c>
      <c r="C196" s="77">
        <f t="shared" si="97"/>
        <v>51561</v>
      </c>
      <c r="D196" s="122" t="str">
        <f t="shared" si="66"/>
        <v/>
      </c>
      <c r="E196" s="123">
        <f t="shared" si="80"/>
        <v>182</v>
      </c>
      <c r="F196" s="124">
        <f t="shared" si="81"/>
        <v>0</v>
      </c>
      <c r="G196" s="125">
        <f t="shared" si="82"/>
        <v>0</v>
      </c>
      <c r="H196" s="126" t="str">
        <f t="shared" si="67"/>
        <v/>
      </c>
      <c r="I196" s="127" t="str">
        <f t="shared" si="68"/>
        <v/>
      </c>
      <c r="J196" s="128">
        <f t="shared" si="69"/>
        <v>0</v>
      </c>
      <c r="K196" s="129">
        <f t="shared" si="70"/>
        <v>0</v>
      </c>
      <c r="L196" s="1">
        <f t="shared" si="83"/>
        <v>0</v>
      </c>
      <c r="M196" s="130">
        <f t="shared" si="71"/>
        <v>0</v>
      </c>
      <c r="N196" s="131">
        <f t="shared" si="72"/>
        <v>0</v>
      </c>
      <c r="O196" s="15"/>
      <c r="P196" s="32">
        <f t="shared" si="84"/>
        <v>0</v>
      </c>
      <c r="Q196" s="33"/>
      <c r="R196" s="75">
        <f t="shared" si="85"/>
        <v>0</v>
      </c>
      <c r="V196" s="68">
        <f t="shared" si="73"/>
        <v>0</v>
      </c>
      <c r="AA196" s="4">
        <f t="shared" si="74"/>
        <v>2</v>
      </c>
      <c r="AB196" s="4">
        <f t="shared" si="75"/>
        <v>6</v>
      </c>
      <c r="AC196" s="12">
        <f t="shared" si="76"/>
        <v>16</v>
      </c>
      <c r="AJ196" s="5">
        <f t="shared" si="96"/>
        <v>0</v>
      </c>
      <c r="AK196" s="5">
        <f t="shared" si="86"/>
        <v>0</v>
      </c>
      <c r="AL196" s="77">
        <f t="shared" si="98"/>
        <v>51561</v>
      </c>
      <c r="AM196" s="27" t="str">
        <f t="shared" si="87"/>
        <v/>
      </c>
      <c r="AN196" s="76">
        <f t="shared" si="88"/>
        <v>182</v>
      </c>
      <c r="AO196" s="13">
        <f t="shared" si="89"/>
        <v>0</v>
      </c>
      <c r="AP196" s="62">
        <f t="shared" si="90"/>
        <v>0</v>
      </c>
      <c r="AQ196" s="9" t="str">
        <f t="shared" si="77"/>
        <v/>
      </c>
      <c r="AR196" s="60" t="str">
        <f t="shared" si="78"/>
        <v/>
      </c>
      <c r="AS196" s="8">
        <f t="shared" si="91"/>
        <v>0</v>
      </c>
      <c r="AT196" s="11">
        <f t="shared" si="92"/>
        <v>0</v>
      </c>
      <c r="AU196" s="15">
        <v>0</v>
      </c>
      <c r="AV196" s="32">
        <f t="shared" si="93"/>
        <v>0</v>
      </c>
      <c r="AW196" s="33"/>
      <c r="AX196" s="75">
        <f t="shared" si="94"/>
        <v>0</v>
      </c>
    </row>
    <row r="197" spans="1:50" x14ac:dyDescent="0.25">
      <c r="A197" s="5">
        <f t="shared" si="95"/>
        <v>0</v>
      </c>
      <c r="B197" s="5">
        <f t="shared" si="79"/>
        <v>0</v>
      </c>
      <c r="C197" s="77">
        <f t="shared" si="97"/>
        <v>51592</v>
      </c>
      <c r="D197" s="122" t="str">
        <f t="shared" si="66"/>
        <v/>
      </c>
      <c r="E197" s="123">
        <f t="shared" si="80"/>
        <v>183</v>
      </c>
      <c r="F197" s="124">
        <f t="shared" si="81"/>
        <v>0</v>
      </c>
      <c r="G197" s="125">
        <f t="shared" si="82"/>
        <v>0</v>
      </c>
      <c r="H197" s="126" t="str">
        <f t="shared" si="67"/>
        <v/>
      </c>
      <c r="I197" s="127" t="str">
        <f t="shared" si="68"/>
        <v/>
      </c>
      <c r="J197" s="128">
        <f t="shared" si="69"/>
        <v>0</v>
      </c>
      <c r="K197" s="129">
        <f t="shared" si="70"/>
        <v>0</v>
      </c>
      <c r="L197" s="1">
        <f t="shared" si="83"/>
        <v>0</v>
      </c>
      <c r="M197" s="130">
        <f t="shared" si="71"/>
        <v>0</v>
      </c>
      <c r="N197" s="131">
        <f t="shared" si="72"/>
        <v>0</v>
      </c>
      <c r="O197" s="15"/>
      <c r="P197" s="32">
        <f t="shared" si="84"/>
        <v>0</v>
      </c>
      <c r="Q197" s="33"/>
      <c r="R197" s="75">
        <f t="shared" si="85"/>
        <v>0</v>
      </c>
      <c r="V197" s="68">
        <f t="shared" si="73"/>
        <v>0</v>
      </c>
      <c r="AA197" s="4">
        <f t="shared" si="74"/>
        <v>2</v>
      </c>
      <c r="AB197" s="4">
        <f t="shared" si="75"/>
        <v>6</v>
      </c>
      <c r="AC197" s="12">
        <f t="shared" si="76"/>
        <v>16</v>
      </c>
      <c r="AJ197" s="5">
        <f t="shared" si="96"/>
        <v>0</v>
      </c>
      <c r="AK197" s="5">
        <f t="shared" si="86"/>
        <v>0</v>
      </c>
      <c r="AL197" s="77">
        <f t="shared" si="98"/>
        <v>51592</v>
      </c>
      <c r="AM197" s="27" t="str">
        <f t="shared" si="87"/>
        <v/>
      </c>
      <c r="AN197" s="76">
        <f t="shared" si="88"/>
        <v>183</v>
      </c>
      <c r="AO197" s="13">
        <f t="shared" si="89"/>
        <v>0</v>
      </c>
      <c r="AP197" s="62">
        <f t="shared" si="90"/>
        <v>0</v>
      </c>
      <c r="AQ197" s="9" t="str">
        <f t="shared" si="77"/>
        <v/>
      </c>
      <c r="AR197" s="60" t="str">
        <f t="shared" si="78"/>
        <v/>
      </c>
      <c r="AS197" s="8">
        <f t="shared" si="91"/>
        <v>0</v>
      </c>
      <c r="AT197" s="11">
        <f t="shared" si="92"/>
        <v>0</v>
      </c>
      <c r="AU197" s="15">
        <v>0</v>
      </c>
      <c r="AV197" s="32">
        <f t="shared" si="93"/>
        <v>0</v>
      </c>
      <c r="AW197" s="33"/>
      <c r="AX197" s="75">
        <f t="shared" si="94"/>
        <v>0</v>
      </c>
    </row>
    <row r="198" spans="1:50" x14ac:dyDescent="0.25">
      <c r="A198" s="5">
        <f t="shared" si="95"/>
        <v>0</v>
      </c>
      <c r="B198" s="5">
        <f t="shared" si="79"/>
        <v>0</v>
      </c>
      <c r="C198" s="77">
        <f t="shared" si="97"/>
        <v>51622</v>
      </c>
      <c r="D198" s="122" t="str">
        <f t="shared" si="66"/>
        <v/>
      </c>
      <c r="E198" s="123">
        <f t="shared" si="80"/>
        <v>184</v>
      </c>
      <c r="F198" s="124">
        <f t="shared" si="81"/>
        <v>0</v>
      </c>
      <c r="G198" s="125">
        <f t="shared" si="82"/>
        <v>0</v>
      </c>
      <c r="H198" s="126" t="str">
        <f t="shared" si="67"/>
        <v/>
      </c>
      <c r="I198" s="127" t="str">
        <f t="shared" si="68"/>
        <v/>
      </c>
      <c r="J198" s="128">
        <f t="shared" si="69"/>
        <v>0</v>
      </c>
      <c r="K198" s="129">
        <f t="shared" si="70"/>
        <v>0</v>
      </c>
      <c r="L198" s="1">
        <f t="shared" si="83"/>
        <v>0</v>
      </c>
      <c r="M198" s="130">
        <f t="shared" si="71"/>
        <v>0</v>
      </c>
      <c r="N198" s="131">
        <f t="shared" si="72"/>
        <v>0</v>
      </c>
      <c r="O198" s="15"/>
      <c r="P198" s="32">
        <f t="shared" si="84"/>
        <v>0</v>
      </c>
      <c r="Q198" s="33"/>
      <c r="R198" s="75">
        <f t="shared" si="85"/>
        <v>0</v>
      </c>
      <c r="V198" s="68">
        <f t="shared" si="73"/>
        <v>0</v>
      </c>
      <c r="AA198" s="4">
        <f t="shared" si="74"/>
        <v>2</v>
      </c>
      <c r="AB198" s="4">
        <f t="shared" si="75"/>
        <v>6</v>
      </c>
      <c r="AC198" s="12">
        <f t="shared" si="76"/>
        <v>16</v>
      </c>
      <c r="AJ198" s="5">
        <f t="shared" si="96"/>
        <v>0</v>
      </c>
      <c r="AK198" s="5">
        <f t="shared" si="86"/>
        <v>0</v>
      </c>
      <c r="AL198" s="77">
        <f t="shared" si="98"/>
        <v>51622</v>
      </c>
      <c r="AM198" s="27" t="str">
        <f t="shared" si="87"/>
        <v/>
      </c>
      <c r="AN198" s="76">
        <f t="shared" si="88"/>
        <v>184</v>
      </c>
      <c r="AO198" s="13">
        <f t="shared" si="89"/>
        <v>0</v>
      </c>
      <c r="AP198" s="62">
        <f t="shared" si="90"/>
        <v>0</v>
      </c>
      <c r="AQ198" s="9" t="str">
        <f t="shared" si="77"/>
        <v/>
      </c>
      <c r="AR198" s="60" t="str">
        <f t="shared" si="78"/>
        <v/>
      </c>
      <c r="AS198" s="8">
        <f t="shared" si="91"/>
        <v>0</v>
      </c>
      <c r="AT198" s="11">
        <f t="shared" si="92"/>
        <v>0</v>
      </c>
      <c r="AU198" s="15">
        <v>0</v>
      </c>
      <c r="AV198" s="32">
        <f t="shared" si="93"/>
        <v>0</v>
      </c>
      <c r="AW198" s="33"/>
      <c r="AX198" s="75">
        <f t="shared" si="94"/>
        <v>0</v>
      </c>
    </row>
    <row r="199" spans="1:50" x14ac:dyDescent="0.25">
      <c r="A199" s="5">
        <f t="shared" si="95"/>
        <v>0</v>
      </c>
      <c r="B199" s="5">
        <f t="shared" si="79"/>
        <v>0</v>
      </c>
      <c r="C199" s="77">
        <f t="shared" si="97"/>
        <v>51653</v>
      </c>
      <c r="D199" s="122" t="str">
        <f t="shared" si="66"/>
        <v/>
      </c>
      <c r="E199" s="123">
        <f t="shared" si="80"/>
        <v>185</v>
      </c>
      <c r="F199" s="124">
        <f t="shared" si="81"/>
        <v>0</v>
      </c>
      <c r="G199" s="125">
        <f t="shared" si="82"/>
        <v>0</v>
      </c>
      <c r="H199" s="126" t="str">
        <f t="shared" si="67"/>
        <v/>
      </c>
      <c r="I199" s="127" t="str">
        <f t="shared" si="68"/>
        <v/>
      </c>
      <c r="J199" s="128">
        <f t="shared" si="69"/>
        <v>0</v>
      </c>
      <c r="K199" s="129">
        <f t="shared" si="70"/>
        <v>0</v>
      </c>
      <c r="L199" s="1">
        <f t="shared" si="83"/>
        <v>0</v>
      </c>
      <c r="M199" s="130">
        <f t="shared" si="71"/>
        <v>0</v>
      </c>
      <c r="N199" s="131">
        <f t="shared" si="72"/>
        <v>0</v>
      </c>
      <c r="O199" s="15"/>
      <c r="P199" s="32">
        <f t="shared" si="84"/>
        <v>0</v>
      </c>
      <c r="Q199" s="33"/>
      <c r="R199" s="75">
        <f t="shared" si="85"/>
        <v>0</v>
      </c>
      <c r="V199" s="68">
        <f t="shared" si="73"/>
        <v>0</v>
      </c>
      <c r="AA199" s="4">
        <f t="shared" si="74"/>
        <v>2</v>
      </c>
      <c r="AB199" s="4">
        <f t="shared" si="75"/>
        <v>6</v>
      </c>
      <c r="AC199" s="12">
        <f t="shared" si="76"/>
        <v>16</v>
      </c>
      <c r="AJ199" s="5">
        <f t="shared" si="96"/>
        <v>0</v>
      </c>
      <c r="AK199" s="5">
        <f t="shared" si="86"/>
        <v>0</v>
      </c>
      <c r="AL199" s="77">
        <f t="shared" si="98"/>
        <v>51653</v>
      </c>
      <c r="AM199" s="27" t="str">
        <f t="shared" si="87"/>
        <v/>
      </c>
      <c r="AN199" s="76">
        <f t="shared" si="88"/>
        <v>185</v>
      </c>
      <c r="AO199" s="13">
        <f t="shared" si="89"/>
        <v>0</v>
      </c>
      <c r="AP199" s="62">
        <f t="shared" si="90"/>
        <v>0</v>
      </c>
      <c r="AQ199" s="9" t="str">
        <f t="shared" si="77"/>
        <v/>
      </c>
      <c r="AR199" s="60" t="str">
        <f t="shared" si="78"/>
        <v/>
      </c>
      <c r="AS199" s="8">
        <f t="shared" si="91"/>
        <v>0</v>
      </c>
      <c r="AT199" s="11">
        <f t="shared" si="92"/>
        <v>0</v>
      </c>
      <c r="AU199" s="15">
        <v>0</v>
      </c>
      <c r="AV199" s="32">
        <f t="shared" si="93"/>
        <v>0</v>
      </c>
      <c r="AW199" s="33"/>
      <c r="AX199" s="75">
        <f t="shared" si="94"/>
        <v>0</v>
      </c>
    </row>
    <row r="200" spans="1:50" x14ac:dyDescent="0.25">
      <c r="A200" s="5">
        <f t="shared" si="95"/>
        <v>0</v>
      </c>
      <c r="B200" s="5">
        <f t="shared" si="79"/>
        <v>0</v>
      </c>
      <c r="C200" s="77">
        <f t="shared" si="97"/>
        <v>51683</v>
      </c>
      <c r="D200" s="122" t="str">
        <f t="shared" si="66"/>
        <v/>
      </c>
      <c r="E200" s="123">
        <f t="shared" si="80"/>
        <v>186</v>
      </c>
      <c r="F200" s="124">
        <f t="shared" si="81"/>
        <v>0</v>
      </c>
      <c r="G200" s="125">
        <f t="shared" si="82"/>
        <v>0</v>
      </c>
      <c r="H200" s="126" t="str">
        <f t="shared" si="67"/>
        <v/>
      </c>
      <c r="I200" s="127" t="str">
        <f t="shared" si="68"/>
        <v/>
      </c>
      <c r="J200" s="128">
        <f t="shared" si="69"/>
        <v>0</v>
      </c>
      <c r="K200" s="129">
        <f t="shared" si="70"/>
        <v>0</v>
      </c>
      <c r="L200" s="1">
        <f t="shared" si="83"/>
        <v>0</v>
      </c>
      <c r="M200" s="130">
        <f t="shared" si="71"/>
        <v>0</v>
      </c>
      <c r="N200" s="131">
        <f t="shared" si="72"/>
        <v>0</v>
      </c>
      <c r="O200" s="15"/>
      <c r="P200" s="32">
        <f t="shared" si="84"/>
        <v>0</v>
      </c>
      <c r="Q200" s="33"/>
      <c r="R200" s="75">
        <f t="shared" si="85"/>
        <v>0</v>
      </c>
      <c r="V200" s="68">
        <f t="shared" si="73"/>
        <v>0</v>
      </c>
      <c r="AA200" s="4">
        <f t="shared" si="74"/>
        <v>2</v>
      </c>
      <c r="AB200" s="4">
        <f t="shared" si="75"/>
        <v>6</v>
      </c>
      <c r="AC200" s="12">
        <f t="shared" si="76"/>
        <v>16</v>
      </c>
      <c r="AJ200" s="5">
        <f t="shared" si="96"/>
        <v>0</v>
      </c>
      <c r="AK200" s="5">
        <f t="shared" si="86"/>
        <v>0</v>
      </c>
      <c r="AL200" s="77">
        <f t="shared" si="98"/>
        <v>51683</v>
      </c>
      <c r="AM200" s="27" t="str">
        <f t="shared" si="87"/>
        <v/>
      </c>
      <c r="AN200" s="76">
        <f t="shared" si="88"/>
        <v>186</v>
      </c>
      <c r="AO200" s="13">
        <f t="shared" si="89"/>
        <v>0</v>
      </c>
      <c r="AP200" s="62">
        <f t="shared" si="90"/>
        <v>0</v>
      </c>
      <c r="AQ200" s="9" t="str">
        <f t="shared" si="77"/>
        <v/>
      </c>
      <c r="AR200" s="60" t="str">
        <f t="shared" si="78"/>
        <v/>
      </c>
      <c r="AS200" s="8">
        <f t="shared" si="91"/>
        <v>0</v>
      </c>
      <c r="AT200" s="11">
        <f t="shared" si="92"/>
        <v>0</v>
      </c>
      <c r="AU200" s="15">
        <v>0</v>
      </c>
      <c r="AV200" s="32">
        <f t="shared" si="93"/>
        <v>0</v>
      </c>
      <c r="AW200" s="33"/>
      <c r="AX200" s="75">
        <f t="shared" si="94"/>
        <v>0</v>
      </c>
    </row>
    <row r="201" spans="1:50" x14ac:dyDescent="0.25">
      <c r="A201" s="5">
        <f t="shared" si="95"/>
        <v>0</v>
      </c>
      <c r="B201" s="5">
        <f t="shared" si="79"/>
        <v>0</v>
      </c>
      <c r="C201" s="77">
        <f t="shared" si="97"/>
        <v>51714</v>
      </c>
      <c r="D201" s="122" t="str">
        <f t="shared" si="66"/>
        <v/>
      </c>
      <c r="E201" s="123">
        <f t="shared" si="80"/>
        <v>187</v>
      </c>
      <c r="F201" s="124">
        <f t="shared" si="81"/>
        <v>0</v>
      </c>
      <c r="G201" s="125">
        <f t="shared" si="82"/>
        <v>0</v>
      </c>
      <c r="H201" s="126" t="str">
        <f t="shared" si="67"/>
        <v/>
      </c>
      <c r="I201" s="127" t="str">
        <f t="shared" si="68"/>
        <v/>
      </c>
      <c r="J201" s="128">
        <f t="shared" si="69"/>
        <v>0</v>
      </c>
      <c r="K201" s="129">
        <f t="shared" si="70"/>
        <v>0</v>
      </c>
      <c r="L201" s="1">
        <f t="shared" si="83"/>
        <v>0</v>
      </c>
      <c r="M201" s="130">
        <f t="shared" si="71"/>
        <v>0</v>
      </c>
      <c r="N201" s="131">
        <f t="shared" si="72"/>
        <v>0</v>
      </c>
      <c r="O201" s="15"/>
      <c r="P201" s="32">
        <f t="shared" si="84"/>
        <v>0</v>
      </c>
      <c r="Q201" s="33"/>
      <c r="R201" s="75">
        <f t="shared" si="85"/>
        <v>0</v>
      </c>
      <c r="V201" s="68">
        <f t="shared" si="73"/>
        <v>0</v>
      </c>
      <c r="AA201" s="4">
        <f t="shared" si="74"/>
        <v>2</v>
      </c>
      <c r="AB201" s="4">
        <f t="shared" si="75"/>
        <v>6</v>
      </c>
      <c r="AC201" s="12">
        <f t="shared" si="76"/>
        <v>16</v>
      </c>
      <c r="AJ201" s="5">
        <f t="shared" si="96"/>
        <v>0</v>
      </c>
      <c r="AK201" s="5">
        <f t="shared" si="86"/>
        <v>0</v>
      </c>
      <c r="AL201" s="77">
        <f t="shared" si="98"/>
        <v>51714</v>
      </c>
      <c r="AM201" s="27" t="str">
        <f t="shared" si="87"/>
        <v/>
      </c>
      <c r="AN201" s="76">
        <f t="shared" si="88"/>
        <v>187</v>
      </c>
      <c r="AO201" s="13">
        <f t="shared" si="89"/>
        <v>0</v>
      </c>
      <c r="AP201" s="62">
        <f t="shared" si="90"/>
        <v>0</v>
      </c>
      <c r="AQ201" s="9" t="str">
        <f t="shared" si="77"/>
        <v/>
      </c>
      <c r="AR201" s="60" t="str">
        <f t="shared" si="78"/>
        <v/>
      </c>
      <c r="AS201" s="8">
        <f t="shared" si="91"/>
        <v>0</v>
      </c>
      <c r="AT201" s="11">
        <f t="shared" si="92"/>
        <v>0</v>
      </c>
      <c r="AU201" s="15">
        <v>0</v>
      </c>
      <c r="AV201" s="32">
        <f t="shared" si="93"/>
        <v>0</v>
      </c>
      <c r="AW201" s="33"/>
      <c r="AX201" s="75">
        <f t="shared" si="94"/>
        <v>0</v>
      </c>
    </row>
    <row r="202" spans="1:50" x14ac:dyDescent="0.25">
      <c r="A202" s="5">
        <f t="shared" si="95"/>
        <v>0</v>
      </c>
      <c r="B202" s="5">
        <f t="shared" si="79"/>
        <v>0</v>
      </c>
      <c r="C202" s="77">
        <f t="shared" si="97"/>
        <v>51745</v>
      </c>
      <c r="D202" s="122" t="str">
        <f t="shared" si="66"/>
        <v/>
      </c>
      <c r="E202" s="123">
        <f t="shared" si="80"/>
        <v>188</v>
      </c>
      <c r="F202" s="124">
        <f t="shared" si="81"/>
        <v>0</v>
      </c>
      <c r="G202" s="125">
        <f t="shared" si="82"/>
        <v>0</v>
      </c>
      <c r="H202" s="126" t="str">
        <f t="shared" si="67"/>
        <v/>
      </c>
      <c r="I202" s="127" t="str">
        <f t="shared" si="68"/>
        <v/>
      </c>
      <c r="J202" s="128">
        <f t="shared" si="69"/>
        <v>0</v>
      </c>
      <c r="K202" s="129">
        <f t="shared" si="70"/>
        <v>0</v>
      </c>
      <c r="L202" s="1">
        <f t="shared" si="83"/>
        <v>0</v>
      </c>
      <c r="M202" s="130">
        <f t="shared" si="71"/>
        <v>0</v>
      </c>
      <c r="N202" s="131">
        <f t="shared" si="72"/>
        <v>0</v>
      </c>
      <c r="O202" s="15"/>
      <c r="P202" s="32">
        <f t="shared" si="84"/>
        <v>0</v>
      </c>
      <c r="Q202" s="33"/>
      <c r="R202" s="75">
        <f t="shared" si="85"/>
        <v>0</v>
      </c>
      <c r="V202" s="68">
        <f t="shared" si="73"/>
        <v>0</v>
      </c>
      <c r="AA202" s="4">
        <f t="shared" si="74"/>
        <v>2</v>
      </c>
      <c r="AB202" s="4">
        <f t="shared" si="75"/>
        <v>6</v>
      </c>
      <c r="AC202" s="12">
        <f t="shared" si="76"/>
        <v>16</v>
      </c>
      <c r="AJ202" s="5">
        <f t="shared" si="96"/>
        <v>0</v>
      </c>
      <c r="AK202" s="5">
        <f t="shared" si="86"/>
        <v>0</v>
      </c>
      <c r="AL202" s="77">
        <f t="shared" si="98"/>
        <v>51745</v>
      </c>
      <c r="AM202" s="27" t="str">
        <f t="shared" si="87"/>
        <v/>
      </c>
      <c r="AN202" s="76">
        <f t="shared" si="88"/>
        <v>188</v>
      </c>
      <c r="AO202" s="13">
        <f t="shared" si="89"/>
        <v>0</v>
      </c>
      <c r="AP202" s="62">
        <f t="shared" si="90"/>
        <v>0</v>
      </c>
      <c r="AQ202" s="9" t="str">
        <f t="shared" si="77"/>
        <v/>
      </c>
      <c r="AR202" s="60" t="str">
        <f t="shared" si="78"/>
        <v/>
      </c>
      <c r="AS202" s="8">
        <f t="shared" si="91"/>
        <v>0</v>
      </c>
      <c r="AT202" s="11">
        <f t="shared" si="92"/>
        <v>0</v>
      </c>
      <c r="AU202" s="15">
        <v>0</v>
      </c>
      <c r="AV202" s="32">
        <f t="shared" si="93"/>
        <v>0</v>
      </c>
      <c r="AW202" s="33"/>
      <c r="AX202" s="75">
        <f t="shared" si="94"/>
        <v>0</v>
      </c>
    </row>
    <row r="203" spans="1:50" x14ac:dyDescent="0.25">
      <c r="A203" s="5">
        <f t="shared" si="95"/>
        <v>0</v>
      </c>
      <c r="B203" s="5">
        <f t="shared" si="79"/>
        <v>0</v>
      </c>
      <c r="C203" s="77">
        <f t="shared" si="97"/>
        <v>51775</v>
      </c>
      <c r="D203" s="122" t="str">
        <f t="shared" si="66"/>
        <v/>
      </c>
      <c r="E203" s="123">
        <f t="shared" si="80"/>
        <v>189</v>
      </c>
      <c r="F203" s="124">
        <f t="shared" si="81"/>
        <v>0</v>
      </c>
      <c r="G203" s="125">
        <f t="shared" si="82"/>
        <v>0</v>
      </c>
      <c r="H203" s="126" t="str">
        <f t="shared" si="67"/>
        <v/>
      </c>
      <c r="I203" s="127" t="str">
        <f t="shared" si="68"/>
        <v/>
      </c>
      <c r="J203" s="128">
        <f t="shared" si="69"/>
        <v>0</v>
      </c>
      <c r="K203" s="129">
        <f t="shared" si="70"/>
        <v>0</v>
      </c>
      <c r="L203" s="1">
        <f t="shared" si="83"/>
        <v>0</v>
      </c>
      <c r="M203" s="130">
        <f t="shared" si="71"/>
        <v>0</v>
      </c>
      <c r="N203" s="131">
        <f t="shared" si="72"/>
        <v>0</v>
      </c>
      <c r="O203" s="15"/>
      <c r="P203" s="32">
        <f t="shared" si="84"/>
        <v>0</v>
      </c>
      <c r="Q203" s="33"/>
      <c r="R203" s="75">
        <f t="shared" si="85"/>
        <v>0</v>
      </c>
      <c r="V203" s="68">
        <f t="shared" si="73"/>
        <v>0</v>
      </c>
      <c r="AA203" s="4">
        <f t="shared" si="74"/>
        <v>2</v>
      </c>
      <c r="AB203" s="4">
        <f t="shared" si="75"/>
        <v>6</v>
      </c>
      <c r="AC203" s="12">
        <f t="shared" si="76"/>
        <v>16</v>
      </c>
      <c r="AJ203" s="5">
        <f t="shared" si="96"/>
        <v>0</v>
      </c>
      <c r="AK203" s="5">
        <f t="shared" si="86"/>
        <v>0</v>
      </c>
      <c r="AL203" s="77">
        <f t="shared" si="98"/>
        <v>51775</v>
      </c>
      <c r="AM203" s="27" t="str">
        <f t="shared" si="87"/>
        <v/>
      </c>
      <c r="AN203" s="76">
        <f t="shared" si="88"/>
        <v>189</v>
      </c>
      <c r="AO203" s="13">
        <f t="shared" si="89"/>
        <v>0</v>
      </c>
      <c r="AP203" s="62">
        <f t="shared" si="90"/>
        <v>0</v>
      </c>
      <c r="AQ203" s="9" t="str">
        <f t="shared" si="77"/>
        <v/>
      </c>
      <c r="AR203" s="60" t="str">
        <f t="shared" si="78"/>
        <v/>
      </c>
      <c r="AS203" s="8">
        <f t="shared" si="91"/>
        <v>0</v>
      </c>
      <c r="AT203" s="11">
        <f t="shared" si="92"/>
        <v>0</v>
      </c>
      <c r="AU203" s="15">
        <v>0</v>
      </c>
      <c r="AV203" s="32">
        <f t="shared" si="93"/>
        <v>0</v>
      </c>
      <c r="AW203" s="33"/>
      <c r="AX203" s="75">
        <f t="shared" si="94"/>
        <v>0</v>
      </c>
    </row>
    <row r="204" spans="1:50" x14ac:dyDescent="0.25">
      <c r="A204" s="5">
        <f t="shared" si="95"/>
        <v>0</v>
      </c>
      <c r="B204" s="5">
        <f t="shared" si="79"/>
        <v>0</v>
      </c>
      <c r="C204" s="77">
        <f t="shared" si="97"/>
        <v>51806</v>
      </c>
      <c r="D204" s="122" t="str">
        <f t="shared" si="66"/>
        <v/>
      </c>
      <c r="E204" s="123">
        <f t="shared" si="80"/>
        <v>190</v>
      </c>
      <c r="F204" s="124">
        <f t="shared" si="81"/>
        <v>0</v>
      </c>
      <c r="G204" s="125">
        <f t="shared" si="82"/>
        <v>0</v>
      </c>
      <c r="H204" s="126" t="str">
        <f t="shared" si="67"/>
        <v/>
      </c>
      <c r="I204" s="127" t="str">
        <f t="shared" si="68"/>
        <v/>
      </c>
      <c r="J204" s="128">
        <f t="shared" si="69"/>
        <v>0</v>
      </c>
      <c r="K204" s="129">
        <f t="shared" si="70"/>
        <v>0</v>
      </c>
      <c r="L204" s="1">
        <f t="shared" si="83"/>
        <v>0</v>
      </c>
      <c r="M204" s="130">
        <f t="shared" si="71"/>
        <v>0</v>
      </c>
      <c r="N204" s="131">
        <f t="shared" si="72"/>
        <v>0</v>
      </c>
      <c r="O204" s="15"/>
      <c r="P204" s="32">
        <f t="shared" si="84"/>
        <v>0</v>
      </c>
      <c r="Q204" s="33"/>
      <c r="R204" s="75">
        <f t="shared" si="85"/>
        <v>0</v>
      </c>
      <c r="V204" s="68">
        <f t="shared" si="73"/>
        <v>0</v>
      </c>
      <c r="AA204" s="4">
        <f t="shared" si="74"/>
        <v>2</v>
      </c>
      <c r="AB204" s="4">
        <f t="shared" si="75"/>
        <v>6</v>
      </c>
      <c r="AC204" s="12">
        <f t="shared" si="76"/>
        <v>16</v>
      </c>
      <c r="AJ204" s="5">
        <f t="shared" si="96"/>
        <v>0</v>
      </c>
      <c r="AK204" s="5">
        <f t="shared" si="86"/>
        <v>0</v>
      </c>
      <c r="AL204" s="77">
        <f t="shared" si="98"/>
        <v>51806</v>
      </c>
      <c r="AM204" s="27" t="str">
        <f t="shared" si="87"/>
        <v/>
      </c>
      <c r="AN204" s="76">
        <f t="shared" si="88"/>
        <v>190</v>
      </c>
      <c r="AO204" s="13">
        <f t="shared" si="89"/>
        <v>0</v>
      </c>
      <c r="AP204" s="62">
        <f t="shared" si="90"/>
        <v>0</v>
      </c>
      <c r="AQ204" s="9" t="str">
        <f t="shared" si="77"/>
        <v/>
      </c>
      <c r="AR204" s="60" t="str">
        <f t="shared" si="78"/>
        <v/>
      </c>
      <c r="AS204" s="8">
        <f t="shared" si="91"/>
        <v>0</v>
      </c>
      <c r="AT204" s="11">
        <f t="shared" si="92"/>
        <v>0</v>
      </c>
      <c r="AU204" s="15">
        <v>0</v>
      </c>
      <c r="AV204" s="32">
        <f t="shared" si="93"/>
        <v>0</v>
      </c>
      <c r="AW204" s="33"/>
      <c r="AX204" s="75">
        <f t="shared" si="94"/>
        <v>0</v>
      </c>
    </row>
    <row r="205" spans="1:50" x14ac:dyDescent="0.25">
      <c r="A205" s="5">
        <f t="shared" si="95"/>
        <v>0</v>
      </c>
      <c r="B205" s="5">
        <f t="shared" si="79"/>
        <v>0</v>
      </c>
      <c r="C205" s="77">
        <f t="shared" si="97"/>
        <v>51836</v>
      </c>
      <c r="D205" s="122" t="str">
        <f t="shared" si="66"/>
        <v/>
      </c>
      <c r="E205" s="123">
        <f t="shared" si="80"/>
        <v>191</v>
      </c>
      <c r="F205" s="124">
        <f t="shared" si="81"/>
        <v>0</v>
      </c>
      <c r="G205" s="125">
        <f t="shared" si="82"/>
        <v>0</v>
      </c>
      <c r="H205" s="126" t="str">
        <f t="shared" si="67"/>
        <v/>
      </c>
      <c r="I205" s="127" t="str">
        <f t="shared" si="68"/>
        <v/>
      </c>
      <c r="J205" s="128">
        <f t="shared" si="69"/>
        <v>0</v>
      </c>
      <c r="K205" s="129">
        <f t="shared" si="70"/>
        <v>0</v>
      </c>
      <c r="L205" s="1">
        <f t="shared" si="83"/>
        <v>0</v>
      </c>
      <c r="M205" s="130">
        <f t="shared" si="71"/>
        <v>0</v>
      </c>
      <c r="N205" s="131">
        <f t="shared" si="72"/>
        <v>0</v>
      </c>
      <c r="O205" s="15"/>
      <c r="P205" s="32">
        <f t="shared" si="84"/>
        <v>0</v>
      </c>
      <c r="Q205" s="33"/>
      <c r="R205" s="75">
        <f t="shared" si="85"/>
        <v>0</v>
      </c>
      <c r="V205" s="68">
        <f t="shared" si="73"/>
        <v>0</v>
      </c>
      <c r="AA205" s="4">
        <f t="shared" si="74"/>
        <v>2</v>
      </c>
      <c r="AB205" s="4">
        <f t="shared" si="75"/>
        <v>6</v>
      </c>
      <c r="AC205" s="12">
        <f t="shared" si="76"/>
        <v>16</v>
      </c>
      <c r="AJ205" s="5">
        <f t="shared" si="96"/>
        <v>0</v>
      </c>
      <c r="AK205" s="5">
        <f t="shared" si="86"/>
        <v>0</v>
      </c>
      <c r="AL205" s="77">
        <f t="shared" si="98"/>
        <v>51836</v>
      </c>
      <c r="AM205" s="27" t="str">
        <f t="shared" si="87"/>
        <v/>
      </c>
      <c r="AN205" s="76">
        <f t="shared" si="88"/>
        <v>191</v>
      </c>
      <c r="AO205" s="13">
        <f t="shared" si="89"/>
        <v>0</v>
      </c>
      <c r="AP205" s="62">
        <f t="shared" si="90"/>
        <v>0</v>
      </c>
      <c r="AQ205" s="9" t="str">
        <f t="shared" si="77"/>
        <v/>
      </c>
      <c r="AR205" s="60" t="str">
        <f t="shared" si="78"/>
        <v/>
      </c>
      <c r="AS205" s="8">
        <f t="shared" si="91"/>
        <v>0</v>
      </c>
      <c r="AT205" s="11">
        <f t="shared" si="92"/>
        <v>0</v>
      </c>
      <c r="AU205" s="15">
        <v>0</v>
      </c>
      <c r="AV205" s="32">
        <f t="shared" si="93"/>
        <v>0</v>
      </c>
      <c r="AW205" s="33"/>
      <c r="AX205" s="75">
        <f t="shared" si="94"/>
        <v>0</v>
      </c>
    </row>
    <row r="206" spans="1:50" x14ac:dyDescent="0.25">
      <c r="A206" s="5">
        <f t="shared" si="95"/>
        <v>0</v>
      </c>
      <c r="B206" s="5">
        <f t="shared" si="79"/>
        <v>0</v>
      </c>
      <c r="C206" s="77">
        <f t="shared" si="97"/>
        <v>51867</v>
      </c>
      <c r="D206" s="122" t="str">
        <f t="shared" si="66"/>
        <v/>
      </c>
      <c r="E206" s="123">
        <f t="shared" si="80"/>
        <v>192</v>
      </c>
      <c r="F206" s="124">
        <f t="shared" si="81"/>
        <v>0</v>
      </c>
      <c r="G206" s="125">
        <f t="shared" si="82"/>
        <v>0</v>
      </c>
      <c r="H206" s="126" t="str">
        <f t="shared" si="67"/>
        <v/>
      </c>
      <c r="I206" s="127" t="str">
        <f t="shared" si="68"/>
        <v/>
      </c>
      <c r="J206" s="128">
        <f t="shared" si="69"/>
        <v>0</v>
      </c>
      <c r="K206" s="129">
        <f t="shared" si="70"/>
        <v>0</v>
      </c>
      <c r="L206" s="1">
        <f t="shared" si="83"/>
        <v>0</v>
      </c>
      <c r="M206" s="130">
        <f t="shared" si="71"/>
        <v>0</v>
      </c>
      <c r="N206" s="131">
        <f t="shared" si="72"/>
        <v>0</v>
      </c>
      <c r="O206" s="15"/>
      <c r="P206" s="32">
        <f t="shared" si="84"/>
        <v>0</v>
      </c>
      <c r="Q206" s="33"/>
      <c r="R206" s="75">
        <f t="shared" si="85"/>
        <v>0</v>
      </c>
      <c r="V206" s="68">
        <f t="shared" si="73"/>
        <v>0</v>
      </c>
      <c r="AA206" s="4">
        <f t="shared" si="74"/>
        <v>2</v>
      </c>
      <c r="AB206" s="4">
        <f t="shared" si="75"/>
        <v>6</v>
      </c>
      <c r="AC206" s="12">
        <f t="shared" si="76"/>
        <v>16</v>
      </c>
      <c r="AJ206" s="5">
        <f t="shared" si="96"/>
        <v>0</v>
      </c>
      <c r="AK206" s="5">
        <f t="shared" si="86"/>
        <v>0</v>
      </c>
      <c r="AL206" s="77">
        <f t="shared" si="98"/>
        <v>51867</v>
      </c>
      <c r="AM206" s="27" t="str">
        <f t="shared" si="87"/>
        <v/>
      </c>
      <c r="AN206" s="76">
        <f t="shared" si="88"/>
        <v>192</v>
      </c>
      <c r="AO206" s="13">
        <f t="shared" si="89"/>
        <v>0</v>
      </c>
      <c r="AP206" s="62">
        <f t="shared" si="90"/>
        <v>0</v>
      </c>
      <c r="AQ206" s="9" t="str">
        <f t="shared" si="77"/>
        <v/>
      </c>
      <c r="AR206" s="60" t="str">
        <f t="shared" si="78"/>
        <v/>
      </c>
      <c r="AS206" s="8">
        <f t="shared" si="91"/>
        <v>0</v>
      </c>
      <c r="AT206" s="11">
        <f t="shared" si="92"/>
        <v>0</v>
      </c>
      <c r="AU206" s="15">
        <v>0</v>
      </c>
      <c r="AV206" s="32">
        <f t="shared" si="93"/>
        <v>0</v>
      </c>
      <c r="AW206" s="33"/>
      <c r="AX206" s="75">
        <f t="shared" si="94"/>
        <v>0</v>
      </c>
    </row>
    <row r="207" spans="1:50" x14ac:dyDescent="0.25">
      <c r="A207" s="5">
        <f t="shared" si="95"/>
        <v>0</v>
      </c>
      <c r="B207" s="5">
        <f t="shared" si="79"/>
        <v>0</v>
      </c>
      <c r="C207" s="77">
        <f t="shared" si="97"/>
        <v>51898</v>
      </c>
      <c r="D207" s="122" t="str">
        <f t="shared" ref="D207:D270" si="99">IF(N206&gt;0,G207/N206,"")</f>
        <v/>
      </c>
      <c r="E207" s="123">
        <f t="shared" si="80"/>
        <v>193</v>
      </c>
      <c r="F207" s="124">
        <f t="shared" si="81"/>
        <v>0</v>
      </c>
      <c r="G207" s="125">
        <f t="shared" si="82"/>
        <v>0</v>
      </c>
      <c r="H207" s="126" t="str">
        <f t="shared" ref="H207:H270" si="100">IF(L207&lt;1,"",IF(G207/L207&gt;90%,"🛩",IF(G207/L207&gt;70%,"🏎",IF(G207/L207&gt;50%,"🚙",IF(G207/L207&gt;30%,"🛵",IF(G207/L207&gt;15%,"🐢","⚓️"))))))</f>
        <v/>
      </c>
      <c r="I207" s="127" t="str">
        <f t="shared" ref="I207:I270" si="101">IFERROR(IF((G207+O207-R207)/L207&lt;0,"🗑️",IF((G207+O207-R207)/L207&lt;10%,"🥾",IF((G207+O207-R207)/L207&lt;20%,"🛴",IF((G207+O207-R207)/L207&lt;50%,"🚴‍♂️",IF((G207+O207-R207)/L207&lt;75%,"🚖","🚁"))))),"")</f>
        <v/>
      </c>
      <c r="J207" s="128">
        <f t="shared" ref="J207:J270" si="102">G207+O207-R207</f>
        <v>0</v>
      </c>
      <c r="K207" s="129">
        <f t="shared" ref="K207:K270" si="103">IFERROR(J207/(L207+O207),0)</f>
        <v>0</v>
      </c>
      <c r="L207" s="1">
        <f t="shared" si="83"/>
        <v>0</v>
      </c>
      <c r="M207" s="130">
        <f t="shared" ref="M207:M270" si="104">IFERROR(N206/P207-G207+L207,0)</f>
        <v>0</v>
      </c>
      <c r="N207" s="131">
        <f t="shared" ref="N207:N270" si="105">IF(N206-O207-G207&lt;0,0,IF(N206-G207&gt;0,N206-G207,0)-IF(N206-G207&gt;0,O207-R207,0))</f>
        <v>0</v>
      </c>
      <c r="O207" s="15"/>
      <c r="P207" s="32">
        <f t="shared" si="84"/>
        <v>0</v>
      </c>
      <c r="Q207" s="33"/>
      <c r="R207" s="75">
        <f t="shared" si="85"/>
        <v>0</v>
      </c>
      <c r="V207" s="68">
        <f t="shared" ref="V207:V270" si="106">-L207-O207</f>
        <v>0</v>
      </c>
      <c r="AA207" s="4">
        <f t="shared" ref="AA207:AA270" si="107">ROUNDUP(E207/120,0)</f>
        <v>2</v>
      </c>
      <c r="AB207" s="4">
        <f t="shared" ref="AB207:AB270" si="108">ROUNDUP(E207/36,0)</f>
        <v>6</v>
      </c>
      <c r="AC207" s="12">
        <f t="shared" ref="AC207:AC270" si="109">ROUNDUP(E207/12,0)</f>
        <v>17</v>
      </c>
      <c r="AJ207" s="5">
        <f t="shared" si="96"/>
        <v>0</v>
      </c>
      <c r="AK207" s="5">
        <f t="shared" si="86"/>
        <v>0</v>
      </c>
      <c r="AL207" s="77">
        <f t="shared" si="98"/>
        <v>51898</v>
      </c>
      <c r="AM207" s="27" t="str">
        <f t="shared" si="87"/>
        <v/>
      </c>
      <c r="AN207" s="76">
        <f t="shared" si="88"/>
        <v>193</v>
      </c>
      <c r="AO207" s="13">
        <f t="shared" si="89"/>
        <v>0</v>
      </c>
      <c r="AP207" s="62">
        <f t="shared" si="90"/>
        <v>0</v>
      </c>
      <c r="AQ207" s="9" t="str">
        <f t="shared" ref="AQ207:AQ270" si="110">IF(AS207&lt;1,"",IF(AP207/AS207&gt;90%,"🛩",IF(AP207/AS207&gt;70%,"🏎",IF(AP207/AS207&gt;50%,"🚙",IF(AP207/AS207&gt;30%,"🛵",IF(AP207/AS207&gt;15%,"🐢","⚓️"))))))</f>
        <v/>
      </c>
      <c r="AR207" s="60" t="str">
        <f t="shared" ref="AR207:AR270" si="111">IFERROR(IF((AP207+AU207-AX207)/AS207&lt;0,"🗑️",IF((AP207+AU207-AX207)/AS207&lt;10%,"🥾",IF((AP207+AU207-AX207)/AS207&lt;20%,"🛴",IF((AP207+AU207-AX207)/AS207&lt;50%,"🚴‍♂️",IF((AP207+AU207-AX207)/AS207&lt;75%,"🚖","🚁"))))),"")</f>
        <v/>
      </c>
      <c r="AS207" s="8">
        <f t="shared" si="91"/>
        <v>0</v>
      </c>
      <c r="AT207" s="11">
        <f t="shared" si="92"/>
        <v>0</v>
      </c>
      <c r="AU207" s="15">
        <v>0</v>
      </c>
      <c r="AV207" s="32">
        <f t="shared" si="93"/>
        <v>0</v>
      </c>
      <c r="AW207" s="33"/>
      <c r="AX207" s="75">
        <f t="shared" si="94"/>
        <v>0</v>
      </c>
    </row>
    <row r="208" spans="1:50" x14ac:dyDescent="0.25">
      <c r="A208" s="5">
        <f t="shared" si="95"/>
        <v>0</v>
      </c>
      <c r="B208" s="5">
        <f t="shared" ref="B208:B271" si="112">IF(N207&lt;1,0,B207)</f>
        <v>0</v>
      </c>
      <c r="C208" s="77">
        <f t="shared" si="97"/>
        <v>51926</v>
      </c>
      <c r="D208" s="122" t="str">
        <f t="shared" si="99"/>
        <v/>
      </c>
      <c r="E208" s="123">
        <f t="shared" ref="E208:E271" si="113">E207+1</f>
        <v>194</v>
      </c>
      <c r="F208" s="124">
        <f t="shared" ref="F208:F271" si="114">IF(N207&gt;0,N207*$E$7,0)</f>
        <v>0</v>
      </c>
      <c r="G208" s="125">
        <f t="shared" ref="G208:G271" si="115">IF(N207&gt;G207,L208-F208-A208-B208,N207)</f>
        <v>0</v>
      </c>
      <c r="H208" s="126" t="str">
        <f t="shared" si="100"/>
        <v/>
      </c>
      <c r="I208" s="127" t="str">
        <f t="shared" si="101"/>
        <v/>
      </c>
      <c r="J208" s="128">
        <f t="shared" si="102"/>
        <v>0</v>
      </c>
      <c r="K208" s="129">
        <f t="shared" si="103"/>
        <v>0</v>
      </c>
      <c r="L208" s="1">
        <f t="shared" ref="L208:L271" si="116">IF(INT(N207)=0,0,IF(N207&lt;G207,N207+F208+A208+B208,-PMT($E$7,IF(Q207="V",P207,NPER($E$7,-L207+A208+B208,N207)),N207+R207)+A208+B208))+IF(INT(P207)=1,R208,0)</f>
        <v>0</v>
      </c>
      <c r="M208" s="130">
        <f t="shared" si="104"/>
        <v>0</v>
      </c>
      <c r="N208" s="131">
        <f t="shared" si="105"/>
        <v>0</v>
      </c>
      <c r="O208" s="15"/>
      <c r="P208" s="32">
        <f t="shared" ref="P208:P271" si="117">IFERROR(NPER($E$7,-L208+A207+B207,N207+R207)-1,0)</f>
        <v>0</v>
      </c>
      <c r="Q208" s="33"/>
      <c r="R208" s="75">
        <f t="shared" ref="R208:R271" si="118">N207*$D$9</f>
        <v>0</v>
      </c>
      <c r="V208" s="68">
        <f t="shared" si="106"/>
        <v>0</v>
      </c>
      <c r="AA208" s="4">
        <f t="shared" si="107"/>
        <v>2</v>
      </c>
      <c r="AB208" s="4">
        <f t="shared" si="108"/>
        <v>6</v>
      </c>
      <c r="AC208" s="12">
        <f t="shared" si="109"/>
        <v>17</v>
      </c>
      <c r="AJ208" s="5">
        <f t="shared" si="96"/>
        <v>0</v>
      </c>
      <c r="AK208" s="5">
        <f t="shared" ref="AK208:AK271" si="119">IF(AT207&lt;1,0,AK207)</f>
        <v>0</v>
      </c>
      <c r="AL208" s="77">
        <f t="shared" si="98"/>
        <v>51926</v>
      </c>
      <c r="AM208" s="27" t="str">
        <f t="shared" ref="AM208:AM271" si="120">IF(AT207&gt;0,AP208/AT207,"")</f>
        <v/>
      </c>
      <c r="AN208" s="76">
        <f t="shared" ref="AN208:AN271" si="121">AN207+1</f>
        <v>194</v>
      </c>
      <c r="AO208" s="13">
        <f t="shared" ref="AO208:AO271" si="122">IF(AT207&gt;0,AT207*$E$7,0)</f>
        <v>0</v>
      </c>
      <c r="AP208" s="62">
        <f t="shared" ref="AP208:AP271" si="123">IF(AT207&gt;AP207,AS208-AO208-AJ208-AK208,AT207)</f>
        <v>0</v>
      </c>
      <c r="AQ208" s="9" t="str">
        <f t="shared" si="110"/>
        <v/>
      </c>
      <c r="AR208" s="60" t="str">
        <f t="shared" si="111"/>
        <v/>
      </c>
      <c r="AS208" s="8">
        <f t="shared" ref="AS208:AS271" si="124">IF(INT(AT207)=0,0,IF(AT207&lt;AP207,AT207+AO208+AJ208+AK208,-PMT($E$7,IF(AW207="V",AV207,NPER($E$7,-AS207+AJ208+AK208,AT207)),AT207+AX207)+AJ208+AK208))+IF(INT(AV207)=1,AX208,0)</f>
        <v>0</v>
      </c>
      <c r="AT208" s="11">
        <f t="shared" ref="AT208:AT271" si="125">IF(AT207-AU208-AP208&lt;0,0,IF(AT207-AP208&gt;0,AT207-AP208,0)-IF(AT207-AP208&gt;0,AU208-AX208,0))</f>
        <v>0</v>
      </c>
      <c r="AU208" s="15">
        <v>0</v>
      </c>
      <c r="AV208" s="32">
        <f t="shared" ref="AV208:AV271" si="126">IFERROR(NPER($E$7,-AS208+AJ207+AK207,AT207+AX207)-1,0)</f>
        <v>0</v>
      </c>
      <c r="AW208" s="33"/>
      <c r="AX208" s="75">
        <f t="shared" ref="AX208:AX271" si="127">AT207*$D$9</f>
        <v>0</v>
      </c>
    </row>
    <row r="209" spans="1:50" x14ac:dyDescent="0.25">
      <c r="A209" s="5">
        <f t="shared" ref="A209:A272" si="128">IF(N208&lt;1,0,A208)</f>
        <v>0</v>
      </c>
      <c r="B209" s="5">
        <f t="shared" si="112"/>
        <v>0</v>
      </c>
      <c r="C209" s="77">
        <f t="shared" si="97"/>
        <v>51957</v>
      </c>
      <c r="D209" s="122" t="str">
        <f t="shared" si="99"/>
        <v/>
      </c>
      <c r="E209" s="123">
        <f t="shared" si="113"/>
        <v>195</v>
      </c>
      <c r="F209" s="124">
        <f t="shared" si="114"/>
        <v>0</v>
      </c>
      <c r="G209" s="125">
        <f t="shared" si="115"/>
        <v>0</v>
      </c>
      <c r="H209" s="126" t="str">
        <f t="shared" si="100"/>
        <v/>
      </c>
      <c r="I209" s="127" t="str">
        <f t="shared" si="101"/>
        <v/>
      </c>
      <c r="J209" s="128">
        <f t="shared" si="102"/>
        <v>0</v>
      </c>
      <c r="K209" s="129">
        <f t="shared" si="103"/>
        <v>0</v>
      </c>
      <c r="L209" s="1">
        <f t="shared" si="116"/>
        <v>0</v>
      </c>
      <c r="M209" s="130">
        <f t="shared" si="104"/>
        <v>0</v>
      </c>
      <c r="N209" s="131">
        <f t="shared" si="105"/>
        <v>0</v>
      </c>
      <c r="O209" s="15"/>
      <c r="P209" s="32">
        <f t="shared" si="117"/>
        <v>0</v>
      </c>
      <c r="Q209" s="33"/>
      <c r="R209" s="75">
        <f t="shared" si="118"/>
        <v>0</v>
      </c>
      <c r="V209" s="68">
        <f t="shared" si="106"/>
        <v>0</v>
      </c>
      <c r="AA209" s="4">
        <f t="shared" si="107"/>
        <v>2</v>
      </c>
      <c r="AB209" s="4">
        <f t="shared" si="108"/>
        <v>6</v>
      </c>
      <c r="AC209" s="12">
        <f t="shared" si="109"/>
        <v>17</v>
      </c>
      <c r="AJ209" s="5">
        <f t="shared" ref="AJ209:AJ272" si="129">IF(AT208&lt;1,0,AJ208)</f>
        <v>0</v>
      </c>
      <c r="AK209" s="5">
        <f t="shared" si="119"/>
        <v>0</v>
      </c>
      <c r="AL209" s="77">
        <f t="shared" si="98"/>
        <v>51957</v>
      </c>
      <c r="AM209" s="27" t="str">
        <f t="shared" si="120"/>
        <v/>
      </c>
      <c r="AN209" s="76">
        <f t="shared" si="121"/>
        <v>195</v>
      </c>
      <c r="AO209" s="13">
        <f t="shared" si="122"/>
        <v>0</v>
      </c>
      <c r="AP209" s="62">
        <f t="shared" si="123"/>
        <v>0</v>
      </c>
      <c r="AQ209" s="9" t="str">
        <f t="shared" si="110"/>
        <v/>
      </c>
      <c r="AR209" s="60" t="str">
        <f t="shared" si="111"/>
        <v/>
      </c>
      <c r="AS209" s="8">
        <f t="shared" si="124"/>
        <v>0</v>
      </c>
      <c r="AT209" s="11">
        <f t="shared" si="125"/>
        <v>0</v>
      </c>
      <c r="AU209" s="15">
        <v>0</v>
      </c>
      <c r="AV209" s="32">
        <f t="shared" si="126"/>
        <v>0</v>
      </c>
      <c r="AW209" s="33"/>
      <c r="AX209" s="75">
        <f t="shared" si="127"/>
        <v>0</v>
      </c>
    </row>
    <row r="210" spans="1:50" x14ac:dyDescent="0.25">
      <c r="A210" s="5">
        <f t="shared" si="128"/>
        <v>0</v>
      </c>
      <c r="B210" s="5">
        <f t="shared" si="112"/>
        <v>0</v>
      </c>
      <c r="C210" s="77">
        <f t="shared" ref="C210:C273" si="130">DATE(YEAR(C209),MONTH(C209)+1,1)</f>
        <v>51987</v>
      </c>
      <c r="D210" s="122" t="str">
        <f t="shared" si="99"/>
        <v/>
      </c>
      <c r="E210" s="123">
        <f t="shared" si="113"/>
        <v>196</v>
      </c>
      <c r="F210" s="124">
        <f t="shared" si="114"/>
        <v>0</v>
      </c>
      <c r="G210" s="125">
        <f t="shared" si="115"/>
        <v>0</v>
      </c>
      <c r="H210" s="126" t="str">
        <f t="shared" si="100"/>
        <v/>
      </c>
      <c r="I210" s="127" t="str">
        <f t="shared" si="101"/>
        <v/>
      </c>
      <c r="J210" s="128">
        <f t="shared" si="102"/>
        <v>0</v>
      </c>
      <c r="K210" s="129">
        <f t="shared" si="103"/>
        <v>0</v>
      </c>
      <c r="L210" s="1">
        <f t="shared" si="116"/>
        <v>0</v>
      </c>
      <c r="M210" s="130">
        <f t="shared" si="104"/>
        <v>0</v>
      </c>
      <c r="N210" s="131">
        <f t="shared" si="105"/>
        <v>0</v>
      </c>
      <c r="O210" s="15"/>
      <c r="P210" s="32">
        <f t="shared" si="117"/>
        <v>0</v>
      </c>
      <c r="Q210" s="33"/>
      <c r="R210" s="75">
        <f t="shared" si="118"/>
        <v>0</v>
      </c>
      <c r="V210" s="68">
        <f t="shared" si="106"/>
        <v>0</v>
      </c>
      <c r="AA210" s="4">
        <f t="shared" si="107"/>
        <v>2</v>
      </c>
      <c r="AB210" s="4">
        <f t="shared" si="108"/>
        <v>6</v>
      </c>
      <c r="AC210" s="12">
        <f t="shared" si="109"/>
        <v>17</v>
      </c>
      <c r="AJ210" s="5">
        <f t="shared" si="129"/>
        <v>0</v>
      </c>
      <c r="AK210" s="5">
        <f t="shared" si="119"/>
        <v>0</v>
      </c>
      <c r="AL210" s="77">
        <f t="shared" ref="AL210:AL273" si="131">DATE(YEAR(AL209),MONTH(AL209)+1,1)</f>
        <v>51987</v>
      </c>
      <c r="AM210" s="27" t="str">
        <f t="shared" si="120"/>
        <v/>
      </c>
      <c r="AN210" s="76">
        <f t="shared" si="121"/>
        <v>196</v>
      </c>
      <c r="AO210" s="13">
        <f t="shared" si="122"/>
        <v>0</v>
      </c>
      <c r="AP210" s="62">
        <f t="shared" si="123"/>
        <v>0</v>
      </c>
      <c r="AQ210" s="9" t="str">
        <f t="shared" si="110"/>
        <v/>
      </c>
      <c r="AR210" s="60" t="str">
        <f t="shared" si="111"/>
        <v/>
      </c>
      <c r="AS210" s="8">
        <f t="shared" si="124"/>
        <v>0</v>
      </c>
      <c r="AT210" s="11">
        <f t="shared" si="125"/>
        <v>0</v>
      </c>
      <c r="AU210" s="15">
        <v>0</v>
      </c>
      <c r="AV210" s="32">
        <f t="shared" si="126"/>
        <v>0</v>
      </c>
      <c r="AW210" s="33"/>
      <c r="AX210" s="75">
        <f t="shared" si="127"/>
        <v>0</v>
      </c>
    </row>
    <row r="211" spans="1:50" x14ac:dyDescent="0.25">
      <c r="A211" s="5">
        <f t="shared" si="128"/>
        <v>0</v>
      </c>
      <c r="B211" s="5">
        <f t="shared" si="112"/>
        <v>0</v>
      </c>
      <c r="C211" s="77">
        <f t="shared" si="130"/>
        <v>52018</v>
      </c>
      <c r="D211" s="122" t="str">
        <f t="shared" si="99"/>
        <v/>
      </c>
      <c r="E211" s="123">
        <f t="shared" si="113"/>
        <v>197</v>
      </c>
      <c r="F211" s="124">
        <f t="shared" si="114"/>
        <v>0</v>
      </c>
      <c r="G211" s="125">
        <f t="shared" si="115"/>
        <v>0</v>
      </c>
      <c r="H211" s="126" t="str">
        <f t="shared" si="100"/>
        <v/>
      </c>
      <c r="I211" s="127" t="str">
        <f t="shared" si="101"/>
        <v/>
      </c>
      <c r="J211" s="128">
        <f t="shared" si="102"/>
        <v>0</v>
      </c>
      <c r="K211" s="129">
        <f t="shared" si="103"/>
        <v>0</v>
      </c>
      <c r="L211" s="1">
        <f t="shared" si="116"/>
        <v>0</v>
      </c>
      <c r="M211" s="130">
        <f t="shared" si="104"/>
        <v>0</v>
      </c>
      <c r="N211" s="131">
        <f t="shared" si="105"/>
        <v>0</v>
      </c>
      <c r="O211" s="15"/>
      <c r="P211" s="32">
        <f t="shared" si="117"/>
        <v>0</v>
      </c>
      <c r="Q211" s="33"/>
      <c r="R211" s="75">
        <f t="shared" si="118"/>
        <v>0</v>
      </c>
      <c r="V211" s="68">
        <f t="shared" si="106"/>
        <v>0</v>
      </c>
      <c r="AA211" s="4">
        <f t="shared" si="107"/>
        <v>2</v>
      </c>
      <c r="AB211" s="4">
        <f t="shared" si="108"/>
        <v>6</v>
      </c>
      <c r="AC211" s="12">
        <f t="shared" si="109"/>
        <v>17</v>
      </c>
      <c r="AJ211" s="5">
        <f t="shared" si="129"/>
        <v>0</v>
      </c>
      <c r="AK211" s="5">
        <f t="shared" si="119"/>
        <v>0</v>
      </c>
      <c r="AL211" s="77">
        <f t="shared" si="131"/>
        <v>52018</v>
      </c>
      <c r="AM211" s="27" t="str">
        <f t="shared" si="120"/>
        <v/>
      </c>
      <c r="AN211" s="76">
        <f t="shared" si="121"/>
        <v>197</v>
      </c>
      <c r="AO211" s="13">
        <f t="shared" si="122"/>
        <v>0</v>
      </c>
      <c r="AP211" s="62">
        <f t="shared" si="123"/>
        <v>0</v>
      </c>
      <c r="AQ211" s="9" t="str">
        <f t="shared" si="110"/>
        <v/>
      </c>
      <c r="AR211" s="60" t="str">
        <f t="shared" si="111"/>
        <v/>
      </c>
      <c r="AS211" s="8">
        <f t="shared" si="124"/>
        <v>0</v>
      </c>
      <c r="AT211" s="11">
        <f t="shared" si="125"/>
        <v>0</v>
      </c>
      <c r="AU211" s="15">
        <v>0</v>
      </c>
      <c r="AV211" s="32">
        <f t="shared" si="126"/>
        <v>0</v>
      </c>
      <c r="AW211" s="33"/>
      <c r="AX211" s="75">
        <f t="shared" si="127"/>
        <v>0</v>
      </c>
    </row>
    <row r="212" spans="1:50" x14ac:dyDescent="0.25">
      <c r="A212" s="5">
        <f t="shared" si="128"/>
        <v>0</v>
      </c>
      <c r="B212" s="5">
        <f t="shared" si="112"/>
        <v>0</v>
      </c>
      <c r="C212" s="77">
        <f t="shared" si="130"/>
        <v>52048</v>
      </c>
      <c r="D212" s="122" t="str">
        <f t="shared" si="99"/>
        <v/>
      </c>
      <c r="E212" s="123">
        <f t="shared" si="113"/>
        <v>198</v>
      </c>
      <c r="F212" s="124">
        <f t="shared" si="114"/>
        <v>0</v>
      </c>
      <c r="G212" s="125">
        <f t="shared" si="115"/>
        <v>0</v>
      </c>
      <c r="H212" s="126" t="str">
        <f t="shared" si="100"/>
        <v/>
      </c>
      <c r="I212" s="127" t="str">
        <f t="shared" si="101"/>
        <v/>
      </c>
      <c r="J212" s="128">
        <f t="shared" si="102"/>
        <v>0</v>
      </c>
      <c r="K212" s="129">
        <f t="shared" si="103"/>
        <v>0</v>
      </c>
      <c r="L212" s="1">
        <f t="shared" si="116"/>
        <v>0</v>
      </c>
      <c r="M212" s="130">
        <f t="shared" si="104"/>
        <v>0</v>
      </c>
      <c r="N212" s="131">
        <f t="shared" si="105"/>
        <v>0</v>
      </c>
      <c r="O212" s="15"/>
      <c r="P212" s="32">
        <f t="shared" si="117"/>
        <v>0</v>
      </c>
      <c r="Q212" s="33"/>
      <c r="R212" s="75">
        <f t="shared" si="118"/>
        <v>0</v>
      </c>
      <c r="V212" s="68">
        <f t="shared" si="106"/>
        <v>0</v>
      </c>
      <c r="AA212" s="4">
        <f t="shared" si="107"/>
        <v>2</v>
      </c>
      <c r="AB212" s="4">
        <f t="shared" si="108"/>
        <v>6</v>
      </c>
      <c r="AC212" s="12">
        <f t="shared" si="109"/>
        <v>17</v>
      </c>
      <c r="AJ212" s="5">
        <f t="shared" si="129"/>
        <v>0</v>
      </c>
      <c r="AK212" s="5">
        <f t="shared" si="119"/>
        <v>0</v>
      </c>
      <c r="AL212" s="77">
        <f t="shared" si="131"/>
        <v>52048</v>
      </c>
      <c r="AM212" s="27" t="str">
        <f t="shared" si="120"/>
        <v/>
      </c>
      <c r="AN212" s="76">
        <f t="shared" si="121"/>
        <v>198</v>
      </c>
      <c r="AO212" s="13">
        <f t="shared" si="122"/>
        <v>0</v>
      </c>
      <c r="AP212" s="62">
        <f t="shared" si="123"/>
        <v>0</v>
      </c>
      <c r="AQ212" s="9" t="str">
        <f t="shared" si="110"/>
        <v/>
      </c>
      <c r="AR212" s="60" t="str">
        <f t="shared" si="111"/>
        <v/>
      </c>
      <c r="AS212" s="8">
        <f t="shared" si="124"/>
        <v>0</v>
      </c>
      <c r="AT212" s="11">
        <f t="shared" si="125"/>
        <v>0</v>
      </c>
      <c r="AU212" s="15">
        <v>0</v>
      </c>
      <c r="AV212" s="32">
        <f t="shared" si="126"/>
        <v>0</v>
      </c>
      <c r="AW212" s="33"/>
      <c r="AX212" s="75">
        <f t="shared" si="127"/>
        <v>0</v>
      </c>
    </row>
    <row r="213" spans="1:50" x14ac:dyDescent="0.25">
      <c r="A213" s="5">
        <f t="shared" si="128"/>
        <v>0</v>
      </c>
      <c r="B213" s="5">
        <f t="shared" si="112"/>
        <v>0</v>
      </c>
      <c r="C213" s="77">
        <f t="shared" si="130"/>
        <v>52079</v>
      </c>
      <c r="D213" s="122" t="str">
        <f t="shared" si="99"/>
        <v/>
      </c>
      <c r="E213" s="123">
        <f t="shared" si="113"/>
        <v>199</v>
      </c>
      <c r="F213" s="124">
        <f t="shared" si="114"/>
        <v>0</v>
      </c>
      <c r="G213" s="125">
        <f t="shared" si="115"/>
        <v>0</v>
      </c>
      <c r="H213" s="126" t="str">
        <f t="shared" si="100"/>
        <v/>
      </c>
      <c r="I213" s="127" t="str">
        <f t="shared" si="101"/>
        <v/>
      </c>
      <c r="J213" s="128">
        <f t="shared" si="102"/>
        <v>0</v>
      </c>
      <c r="K213" s="129">
        <f t="shared" si="103"/>
        <v>0</v>
      </c>
      <c r="L213" s="1">
        <f t="shared" si="116"/>
        <v>0</v>
      </c>
      <c r="M213" s="130">
        <f t="shared" si="104"/>
        <v>0</v>
      </c>
      <c r="N213" s="131">
        <f t="shared" si="105"/>
        <v>0</v>
      </c>
      <c r="O213" s="15"/>
      <c r="P213" s="32">
        <f t="shared" si="117"/>
        <v>0</v>
      </c>
      <c r="Q213" s="33"/>
      <c r="R213" s="75">
        <f t="shared" si="118"/>
        <v>0</v>
      </c>
      <c r="V213" s="68">
        <f t="shared" si="106"/>
        <v>0</v>
      </c>
      <c r="AA213" s="4">
        <f t="shared" si="107"/>
        <v>2</v>
      </c>
      <c r="AB213" s="4">
        <f t="shared" si="108"/>
        <v>6</v>
      </c>
      <c r="AC213" s="12">
        <f t="shared" si="109"/>
        <v>17</v>
      </c>
      <c r="AJ213" s="5">
        <f t="shared" si="129"/>
        <v>0</v>
      </c>
      <c r="AK213" s="5">
        <f t="shared" si="119"/>
        <v>0</v>
      </c>
      <c r="AL213" s="77">
        <f t="shared" si="131"/>
        <v>52079</v>
      </c>
      <c r="AM213" s="27" t="str">
        <f t="shared" si="120"/>
        <v/>
      </c>
      <c r="AN213" s="76">
        <f t="shared" si="121"/>
        <v>199</v>
      </c>
      <c r="AO213" s="13">
        <f t="shared" si="122"/>
        <v>0</v>
      </c>
      <c r="AP213" s="62">
        <f t="shared" si="123"/>
        <v>0</v>
      </c>
      <c r="AQ213" s="9" t="str">
        <f t="shared" si="110"/>
        <v/>
      </c>
      <c r="AR213" s="60" t="str">
        <f t="shared" si="111"/>
        <v/>
      </c>
      <c r="AS213" s="8">
        <f t="shared" si="124"/>
        <v>0</v>
      </c>
      <c r="AT213" s="11">
        <f t="shared" si="125"/>
        <v>0</v>
      </c>
      <c r="AU213" s="15">
        <v>0</v>
      </c>
      <c r="AV213" s="32">
        <f t="shared" si="126"/>
        <v>0</v>
      </c>
      <c r="AW213" s="33"/>
      <c r="AX213" s="75">
        <f t="shared" si="127"/>
        <v>0</v>
      </c>
    </row>
    <row r="214" spans="1:50" x14ac:dyDescent="0.25">
      <c r="A214" s="5">
        <f t="shared" si="128"/>
        <v>0</v>
      </c>
      <c r="B214" s="5">
        <f t="shared" si="112"/>
        <v>0</v>
      </c>
      <c r="C214" s="77">
        <f t="shared" si="130"/>
        <v>52110</v>
      </c>
      <c r="D214" s="122" t="str">
        <f t="shared" si="99"/>
        <v/>
      </c>
      <c r="E214" s="123">
        <f t="shared" si="113"/>
        <v>200</v>
      </c>
      <c r="F214" s="124">
        <f t="shared" si="114"/>
        <v>0</v>
      </c>
      <c r="G214" s="125">
        <f t="shared" si="115"/>
        <v>0</v>
      </c>
      <c r="H214" s="126" t="str">
        <f t="shared" si="100"/>
        <v/>
      </c>
      <c r="I214" s="127" t="str">
        <f t="shared" si="101"/>
        <v/>
      </c>
      <c r="J214" s="128">
        <f t="shared" si="102"/>
        <v>0</v>
      </c>
      <c r="K214" s="129">
        <f t="shared" si="103"/>
        <v>0</v>
      </c>
      <c r="L214" s="1">
        <f t="shared" si="116"/>
        <v>0</v>
      </c>
      <c r="M214" s="130">
        <f t="shared" si="104"/>
        <v>0</v>
      </c>
      <c r="N214" s="131">
        <f t="shared" si="105"/>
        <v>0</v>
      </c>
      <c r="O214" s="15"/>
      <c r="P214" s="32">
        <f t="shared" si="117"/>
        <v>0</v>
      </c>
      <c r="Q214" s="33"/>
      <c r="R214" s="75">
        <f t="shared" si="118"/>
        <v>0</v>
      </c>
      <c r="V214" s="68">
        <f t="shared" si="106"/>
        <v>0</v>
      </c>
      <c r="AA214" s="4">
        <f t="shared" si="107"/>
        <v>2</v>
      </c>
      <c r="AB214" s="4">
        <f t="shared" si="108"/>
        <v>6</v>
      </c>
      <c r="AC214" s="12">
        <f t="shared" si="109"/>
        <v>17</v>
      </c>
      <c r="AJ214" s="5">
        <f t="shared" si="129"/>
        <v>0</v>
      </c>
      <c r="AK214" s="5">
        <f t="shared" si="119"/>
        <v>0</v>
      </c>
      <c r="AL214" s="77">
        <f t="shared" si="131"/>
        <v>52110</v>
      </c>
      <c r="AM214" s="27" t="str">
        <f t="shared" si="120"/>
        <v/>
      </c>
      <c r="AN214" s="76">
        <f t="shared" si="121"/>
        <v>200</v>
      </c>
      <c r="AO214" s="13">
        <f t="shared" si="122"/>
        <v>0</v>
      </c>
      <c r="AP214" s="62">
        <f t="shared" si="123"/>
        <v>0</v>
      </c>
      <c r="AQ214" s="9" t="str">
        <f t="shared" si="110"/>
        <v/>
      </c>
      <c r="AR214" s="60" t="str">
        <f t="shared" si="111"/>
        <v/>
      </c>
      <c r="AS214" s="8">
        <f t="shared" si="124"/>
        <v>0</v>
      </c>
      <c r="AT214" s="11">
        <f t="shared" si="125"/>
        <v>0</v>
      </c>
      <c r="AU214" s="15">
        <v>0</v>
      </c>
      <c r="AV214" s="32">
        <f t="shared" si="126"/>
        <v>0</v>
      </c>
      <c r="AW214" s="33"/>
      <c r="AX214" s="75">
        <f t="shared" si="127"/>
        <v>0</v>
      </c>
    </row>
    <row r="215" spans="1:50" x14ac:dyDescent="0.25">
      <c r="A215" s="5">
        <f t="shared" si="128"/>
        <v>0</v>
      </c>
      <c r="B215" s="5">
        <f t="shared" si="112"/>
        <v>0</v>
      </c>
      <c r="C215" s="77">
        <f t="shared" si="130"/>
        <v>52140</v>
      </c>
      <c r="D215" s="122" t="str">
        <f t="shared" si="99"/>
        <v/>
      </c>
      <c r="E215" s="123">
        <f t="shared" si="113"/>
        <v>201</v>
      </c>
      <c r="F215" s="124">
        <f t="shared" si="114"/>
        <v>0</v>
      </c>
      <c r="G215" s="125">
        <f t="shared" si="115"/>
        <v>0</v>
      </c>
      <c r="H215" s="126" t="str">
        <f t="shared" si="100"/>
        <v/>
      </c>
      <c r="I215" s="127" t="str">
        <f t="shared" si="101"/>
        <v/>
      </c>
      <c r="J215" s="128">
        <f t="shared" si="102"/>
        <v>0</v>
      </c>
      <c r="K215" s="129">
        <f t="shared" si="103"/>
        <v>0</v>
      </c>
      <c r="L215" s="1">
        <f t="shared" si="116"/>
        <v>0</v>
      </c>
      <c r="M215" s="130">
        <f t="shared" si="104"/>
        <v>0</v>
      </c>
      <c r="N215" s="131">
        <f t="shared" si="105"/>
        <v>0</v>
      </c>
      <c r="O215" s="15"/>
      <c r="P215" s="32">
        <f t="shared" si="117"/>
        <v>0</v>
      </c>
      <c r="Q215" s="33"/>
      <c r="R215" s="75">
        <f t="shared" si="118"/>
        <v>0</v>
      </c>
      <c r="V215" s="68">
        <f t="shared" si="106"/>
        <v>0</v>
      </c>
      <c r="AA215" s="4">
        <f t="shared" si="107"/>
        <v>2</v>
      </c>
      <c r="AB215" s="4">
        <f t="shared" si="108"/>
        <v>6</v>
      </c>
      <c r="AC215" s="12">
        <f t="shared" si="109"/>
        <v>17</v>
      </c>
      <c r="AJ215" s="5">
        <f t="shared" si="129"/>
        <v>0</v>
      </c>
      <c r="AK215" s="5">
        <f t="shared" si="119"/>
        <v>0</v>
      </c>
      <c r="AL215" s="77">
        <f t="shared" si="131"/>
        <v>52140</v>
      </c>
      <c r="AM215" s="27" t="str">
        <f t="shared" si="120"/>
        <v/>
      </c>
      <c r="AN215" s="76">
        <f t="shared" si="121"/>
        <v>201</v>
      </c>
      <c r="AO215" s="13">
        <f t="shared" si="122"/>
        <v>0</v>
      </c>
      <c r="AP215" s="62">
        <f t="shared" si="123"/>
        <v>0</v>
      </c>
      <c r="AQ215" s="9" t="str">
        <f t="shared" si="110"/>
        <v/>
      </c>
      <c r="AR215" s="60" t="str">
        <f t="shared" si="111"/>
        <v/>
      </c>
      <c r="AS215" s="8">
        <f t="shared" si="124"/>
        <v>0</v>
      </c>
      <c r="AT215" s="11">
        <f t="shared" si="125"/>
        <v>0</v>
      </c>
      <c r="AU215" s="15">
        <v>0</v>
      </c>
      <c r="AV215" s="32">
        <f t="shared" si="126"/>
        <v>0</v>
      </c>
      <c r="AW215" s="33"/>
      <c r="AX215" s="75">
        <f t="shared" si="127"/>
        <v>0</v>
      </c>
    </row>
    <row r="216" spans="1:50" x14ac:dyDescent="0.25">
      <c r="A216" s="5">
        <f t="shared" si="128"/>
        <v>0</v>
      </c>
      <c r="B216" s="5">
        <f t="shared" si="112"/>
        <v>0</v>
      </c>
      <c r="C216" s="77">
        <f t="shared" si="130"/>
        <v>52171</v>
      </c>
      <c r="D216" s="122" t="str">
        <f t="shared" si="99"/>
        <v/>
      </c>
      <c r="E216" s="123">
        <f t="shared" si="113"/>
        <v>202</v>
      </c>
      <c r="F216" s="124">
        <f t="shared" si="114"/>
        <v>0</v>
      </c>
      <c r="G216" s="125">
        <f t="shared" si="115"/>
        <v>0</v>
      </c>
      <c r="H216" s="126" t="str">
        <f t="shared" si="100"/>
        <v/>
      </c>
      <c r="I216" s="127" t="str">
        <f t="shared" si="101"/>
        <v/>
      </c>
      <c r="J216" s="128">
        <f t="shared" si="102"/>
        <v>0</v>
      </c>
      <c r="K216" s="129">
        <f t="shared" si="103"/>
        <v>0</v>
      </c>
      <c r="L216" s="1">
        <f t="shared" si="116"/>
        <v>0</v>
      </c>
      <c r="M216" s="130">
        <f t="shared" si="104"/>
        <v>0</v>
      </c>
      <c r="N216" s="131">
        <f t="shared" si="105"/>
        <v>0</v>
      </c>
      <c r="O216" s="15"/>
      <c r="P216" s="32">
        <f t="shared" si="117"/>
        <v>0</v>
      </c>
      <c r="Q216" s="33"/>
      <c r="R216" s="75">
        <f t="shared" si="118"/>
        <v>0</v>
      </c>
      <c r="V216" s="68">
        <f t="shared" si="106"/>
        <v>0</v>
      </c>
      <c r="AA216" s="4">
        <f t="shared" si="107"/>
        <v>2</v>
      </c>
      <c r="AB216" s="4">
        <f t="shared" si="108"/>
        <v>6</v>
      </c>
      <c r="AC216" s="12">
        <f t="shared" si="109"/>
        <v>17</v>
      </c>
      <c r="AJ216" s="5">
        <f t="shared" si="129"/>
        <v>0</v>
      </c>
      <c r="AK216" s="5">
        <f t="shared" si="119"/>
        <v>0</v>
      </c>
      <c r="AL216" s="77">
        <f t="shared" si="131"/>
        <v>52171</v>
      </c>
      <c r="AM216" s="27" t="str">
        <f t="shared" si="120"/>
        <v/>
      </c>
      <c r="AN216" s="76">
        <f t="shared" si="121"/>
        <v>202</v>
      </c>
      <c r="AO216" s="13">
        <f t="shared" si="122"/>
        <v>0</v>
      </c>
      <c r="AP216" s="62">
        <f t="shared" si="123"/>
        <v>0</v>
      </c>
      <c r="AQ216" s="9" t="str">
        <f t="shared" si="110"/>
        <v/>
      </c>
      <c r="AR216" s="60" t="str">
        <f t="shared" si="111"/>
        <v/>
      </c>
      <c r="AS216" s="8">
        <f t="shared" si="124"/>
        <v>0</v>
      </c>
      <c r="AT216" s="11">
        <f t="shared" si="125"/>
        <v>0</v>
      </c>
      <c r="AU216" s="15">
        <v>0</v>
      </c>
      <c r="AV216" s="32">
        <f t="shared" si="126"/>
        <v>0</v>
      </c>
      <c r="AW216" s="33"/>
      <c r="AX216" s="75">
        <f t="shared" si="127"/>
        <v>0</v>
      </c>
    </row>
    <row r="217" spans="1:50" x14ac:dyDescent="0.25">
      <c r="A217" s="5">
        <f t="shared" si="128"/>
        <v>0</v>
      </c>
      <c r="B217" s="5">
        <f t="shared" si="112"/>
        <v>0</v>
      </c>
      <c r="C217" s="77">
        <f t="shared" si="130"/>
        <v>52201</v>
      </c>
      <c r="D217" s="122" t="str">
        <f t="shared" si="99"/>
        <v/>
      </c>
      <c r="E217" s="123">
        <f t="shared" si="113"/>
        <v>203</v>
      </c>
      <c r="F217" s="124">
        <f t="shared" si="114"/>
        <v>0</v>
      </c>
      <c r="G217" s="125">
        <f t="shared" si="115"/>
        <v>0</v>
      </c>
      <c r="H217" s="126" t="str">
        <f t="shared" si="100"/>
        <v/>
      </c>
      <c r="I217" s="127" t="str">
        <f t="shared" si="101"/>
        <v/>
      </c>
      <c r="J217" s="128">
        <f t="shared" si="102"/>
        <v>0</v>
      </c>
      <c r="K217" s="129">
        <f t="shared" si="103"/>
        <v>0</v>
      </c>
      <c r="L217" s="1">
        <f t="shared" si="116"/>
        <v>0</v>
      </c>
      <c r="M217" s="130">
        <f t="shared" si="104"/>
        <v>0</v>
      </c>
      <c r="N217" s="131">
        <f t="shared" si="105"/>
        <v>0</v>
      </c>
      <c r="O217" s="15"/>
      <c r="P217" s="32">
        <f t="shared" si="117"/>
        <v>0</v>
      </c>
      <c r="Q217" s="33"/>
      <c r="R217" s="75">
        <f t="shared" si="118"/>
        <v>0</v>
      </c>
      <c r="V217" s="68">
        <f t="shared" si="106"/>
        <v>0</v>
      </c>
      <c r="AA217" s="4">
        <f t="shared" si="107"/>
        <v>2</v>
      </c>
      <c r="AB217" s="4">
        <f t="shared" si="108"/>
        <v>6</v>
      </c>
      <c r="AC217" s="12">
        <f t="shared" si="109"/>
        <v>17</v>
      </c>
      <c r="AJ217" s="5">
        <f t="shared" si="129"/>
        <v>0</v>
      </c>
      <c r="AK217" s="5">
        <f t="shared" si="119"/>
        <v>0</v>
      </c>
      <c r="AL217" s="77">
        <f t="shared" si="131"/>
        <v>52201</v>
      </c>
      <c r="AM217" s="27" t="str">
        <f t="shared" si="120"/>
        <v/>
      </c>
      <c r="AN217" s="76">
        <f t="shared" si="121"/>
        <v>203</v>
      </c>
      <c r="AO217" s="13">
        <f t="shared" si="122"/>
        <v>0</v>
      </c>
      <c r="AP217" s="62">
        <f t="shared" si="123"/>
        <v>0</v>
      </c>
      <c r="AQ217" s="9" t="str">
        <f t="shared" si="110"/>
        <v/>
      </c>
      <c r="AR217" s="60" t="str">
        <f t="shared" si="111"/>
        <v/>
      </c>
      <c r="AS217" s="8">
        <f t="shared" si="124"/>
        <v>0</v>
      </c>
      <c r="AT217" s="11">
        <f t="shared" si="125"/>
        <v>0</v>
      </c>
      <c r="AU217" s="15">
        <v>0</v>
      </c>
      <c r="AV217" s="32">
        <f t="shared" si="126"/>
        <v>0</v>
      </c>
      <c r="AW217" s="33"/>
      <c r="AX217" s="75">
        <f t="shared" si="127"/>
        <v>0</v>
      </c>
    </row>
    <row r="218" spans="1:50" x14ac:dyDescent="0.25">
      <c r="A218" s="5">
        <f t="shared" si="128"/>
        <v>0</v>
      </c>
      <c r="B218" s="5">
        <f t="shared" si="112"/>
        <v>0</v>
      </c>
      <c r="C218" s="77">
        <f t="shared" si="130"/>
        <v>52232</v>
      </c>
      <c r="D218" s="122" t="str">
        <f t="shared" si="99"/>
        <v/>
      </c>
      <c r="E218" s="123">
        <f t="shared" si="113"/>
        <v>204</v>
      </c>
      <c r="F218" s="124">
        <f t="shared" si="114"/>
        <v>0</v>
      </c>
      <c r="G218" s="125">
        <f t="shared" si="115"/>
        <v>0</v>
      </c>
      <c r="H218" s="126" t="str">
        <f t="shared" si="100"/>
        <v/>
      </c>
      <c r="I218" s="127" t="str">
        <f t="shared" si="101"/>
        <v/>
      </c>
      <c r="J218" s="128">
        <f t="shared" si="102"/>
        <v>0</v>
      </c>
      <c r="K218" s="129">
        <f t="shared" si="103"/>
        <v>0</v>
      </c>
      <c r="L218" s="1">
        <f t="shared" si="116"/>
        <v>0</v>
      </c>
      <c r="M218" s="130">
        <f t="shared" si="104"/>
        <v>0</v>
      </c>
      <c r="N218" s="131">
        <f t="shared" si="105"/>
        <v>0</v>
      </c>
      <c r="O218" s="15"/>
      <c r="P218" s="32">
        <f t="shared" si="117"/>
        <v>0</v>
      </c>
      <c r="Q218" s="33"/>
      <c r="R218" s="75">
        <f t="shared" si="118"/>
        <v>0</v>
      </c>
      <c r="V218" s="68">
        <f t="shared" si="106"/>
        <v>0</v>
      </c>
      <c r="AA218" s="4">
        <f t="shared" si="107"/>
        <v>2</v>
      </c>
      <c r="AB218" s="4">
        <f t="shared" si="108"/>
        <v>6</v>
      </c>
      <c r="AC218" s="12">
        <f t="shared" si="109"/>
        <v>17</v>
      </c>
      <c r="AJ218" s="5">
        <f t="shared" si="129"/>
        <v>0</v>
      </c>
      <c r="AK218" s="5">
        <f t="shared" si="119"/>
        <v>0</v>
      </c>
      <c r="AL218" s="77">
        <f t="shared" si="131"/>
        <v>52232</v>
      </c>
      <c r="AM218" s="27" t="str">
        <f t="shared" si="120"/>
        <v/>
      </c>
      <c r="AN218" s="76">
        <f t="shared" si="121"/>
        <v>204</v>
      </c>
      <c r="AO218" s="13">
        <f t="shared" si="122"/>
        <v>0</v>
      </c>
      <c r="AP218" s="62">
        <f t="shared" si="123"/>
        <v>0</v>
      </c>
      <c r="AQ218" s="9" t="str">
        <f t="shared" si="110"/>
        <v/>
      </c>
      <c r="AR218" s="60" t="str">
        <f t="shared" si="111"/>
        <v/>
      </c>
      <c r="AS218" s="8">
        <f t="shared" si="124"/>
        <v>0</v>
      </c>
      <c r="AT218" s="11">
        <f t="shared" si="125"/>
        <v>0</v>
      </c>
      <c r="AU218" s="15">
        <v>0</v>
      </c>
      <c r="AV218" s="32">
        <f t="shared" si="126"/>
        <v>0</v>
      </c>
      <c r="AW218" s="33"/>
      <c r="AX218" s="75">
        <f t="shared" si="127"/>
        <v>0</v>
      </c>
    </row>
    <row r="219" spans="1:50" x14ac:dyDescent="0.25">
      <c r="A219" s="5">
        <f t="shared" si="128"/>
        <v>0</v>
      </c>
      <c r="B219" s="5">
        <f t="shared" si="112"/>
        <v>0</v>
      </c>
      <c r="C219" s="77">
        <f t="shared" si="130"/>
        <v>52263</v>
      </c>
      <c r="D219" s="122" t="str">
        <f t="shared" si="99"/>
        <v/>
      </c>
      <c r="E219" s="123">
        <f t="shared" si="113"/>
        <v>205</v>
      </c>
      <c r="F219" s="124">
        <f t="shared" si="114"/>
        <v>0</v>
      </c>
      <c r="G219" s="125">
        <f t="shared" si="115"/>
        <v>0</v>
      </c>
      <c r="H219" s="126" t="str">
        <f t="shared" si="100"/>
        <v/>
      </c>
      <c r="I219" s="127" t="str">
        <f t="shared" si="101"/>
        <v/>
      </c>
      <c r="J219" s="128">
        <f t="shared" si="102"/>
        <v>0</v>
      </c>
      <c r="K219" s="129">
        <f t="shared" si="103"/>
        <v>0</v>
      </c>
      <c r="L219" s="1">
        <f t="shared" si="116"/>
        <v>0</v>
      </c>
      <c r="M219" s="130">
        <f t="shared" si="104"/>
        <v>0</v>
      </c>
      <c r="N219" s="131">
        <f t="shared" si="105"/>
        <v>0</v>
      </c>
      <c r="O219" s="15"/>
      <c r="P219" s="32">
        <f t="shared" si="117"/>
        <v>0</v>
      </c>
      <c r="Q219" s="33"/>
      <c r="R219" s="75">
        <f t="shared" si="118"/>
        <v>0</v>
      </c>
      <c r="V219" s="68">
        <f t="shared" si="106"/>
        <v>0</v>
      </c>
      <c r="AA219" s="4">
        <f t="shared" si="107"/>
        <v>2</v>
      </c>
      <c r="AB219" s="4">
        <f t="shared" si="108"/>
        <v>6</v>
      </c>
      <c r="AC219" s="12">
        <f t="shared" si="109"/>
        <v>18</v>
      </c>
      <c r="AJ219" s="5">
        <f t="shared" si="129"/>
        <v>0</v>
      </c>
      <c r="AK219" s="5">
        <f t="shared" si="119"/>
        <v>0</v>
      </c>
      <c r="AL219" s="77">
        <f t="shared" si="131"/>
        <v>52263</v>
      </c>
      <c r="AM219" s="27" t="str">
        <f t="shared" si="120"/>
        <v/>
      </c>
      <c r="AN219" s="76">
        <f t="shared" si="121"/>
        <v>205</v>
      </c>
      <c r="AO219" s="13">
        <f t="shared" si="122"/>
        <v>0</v>
      </c>
      <c r="AP219" s="62">
        <f t="shared" si="123"/>
        <v>0</v>
      </c>
      <c r="AQ219" s="9" t="str">
        <f t="shared" si="110"/>
        <v/>
      </c>
      <c r="AR219" s="60" t="str">
        <f t="shared" si="111"/>
        <v/>
      </c>
      <c r="AS219" s="8">
        <f t="shared" si="124"/>
        <v>0</v>
      </c>
      <c r="AT219" s="11">
        <f t="shared" si="125"/>
        <v>0</v>
      </c>
      <c r="AU219" s="15">
        <v>0</v>
      </c>
      <c r="AV219" s="32">
        <f t="shared" si="126"/>
        <v>0</v>
      </c>
      <c r="AW219" s="33"/>
      <c r="AX219" s="75">
        <f t="shared" si="127"/>
        <v>0</v>
      </c>
    </row>
    <row r="220" spans="1:50" x14ac:dyDescent="0.25">
      <c r="A220" s="5">
        <f t="shared" si="128"/>
        <v>0</v>
      </c>
      <c r="B220" s="5">
        <f t="shared" si="112"/>
        <v>0</v>
      </c>
      <c r="C220" s="77">
        <f t="shared" si="130"/>
        <v>52291</v>
      </c>
      <c r="D220" s="122" t="str">
        <f t="shared" si="99"/>
        <v/>
      </c>
      <c r="E220" s="123">
        <f t="shared" si="113"/>
        <v>206</v>
      </c>
      <c r="F220" s="124">
        <f t="shared" si="114"/>
        <v>0</v>
      </c>
      <c r="G220" s="125">
        <f t="shared" si="115"/>
        <v>0</v>
      </c>
      <c r="H220" s="126" t="str">
        <f t="shared" si="100"/>
        <v/>
      </c>
      <c r="I220" s="127" t="str">
        <f t="shared" si="101"/>
        <v/>
      </c>
      <c r="J220" s="128">
        <f t="shared" si="102"/>
        <v>0</v>
      </c>
      <c r="K220" s="129">
        <f t="shared" si="103"/>
        <v>0</v>
      </c>
      <c r="L220" s="1">
        <f t="shared" si="116"/>
        <v>0</v>
      </c>
      <c r="M220" s="130">
        <f t="shared" si="104"/>
        <v>0</v>
      </c>
      <c r="N220" s="131">
        <f t="shared" si="105"/>
        <v>0</v>
      </c>
      <c r="O220" s="15"/>
      <c r="P220" s="32">
        <f t="shared" si="117"/>
        <v>0</v>
      </c>
      <c r="Q220" s="33"/>
      <c r="R220" s="75">
        <f t="shared" si="118"/>
        <v>0</v>
      </c>
      <c r="V220" s="68">
        <f t="shared" si="106"/>
        <v>0</v>
      </c>
      <c r="AA220" s="4">
        <f t="shared" si="107"/>
        <v>2</v>
      </c>
      <c r="AB220" s="4">
        <f t="shared" si="108"/>
        <v>6</v>
      </c>
      <c r="AC220" s="12">
        <f t="shared" si="109"/>
        <v>18</v>
      </c>
      <c r="AJ220" s="5">
        <f t="shared" si="129"/>
        <v>0</v>
      </c>
      <c r="AK220" s="5">
        <f t="shared" si="119"/>
        <v>0</v>
      </c>
      <c r="AL220" s="77">
        <f t="shared" si="131"/>
        <v>52291</v>
      </c>
      <c r="AM220" s="27" t="str">
        <f t="shared" si="120"/>
        <v/>
      </c>
      <c r="AN220" s="76">
        <f t="shared" si="121"/>
        <v>206</v>
      </c>
      <c r="AO220" s="13">
        <f t="shared" si="122"/>
        <v>0</v>
      </c>
      <c r="AP220" s="62">
        <f t="shared" si="123"/>
        <v>0</v>
      </c>
      <c r="AQ220" s="9" t="str">
        <f t="shared" si="110"/>
        <v/>
      </c>
      <c r="AR220" s="60" t="str">
        <f t="shared" si="111"/>
        <v/>
      </c>
      <c r="AS220" s="8">
        <f t="shared" si="124"/>
        <v>0</v>
      </c>
      <c r="AT220" s="11">
        <f t="shared" si="125"/>
        <v>0</v>
      </c>
      <c r="AU220" s="15">
        <v>0</v>
      </c>
      <c r="AV220" s="32">
        <f t="shared" si="126"/>
        <v>0</v>
      </c>
      <c r="AW220" s="33"/>
      <c r="AX220" s="75">
        <f t="shared" si="127"/>
        <v>0</v>
      </c>
    </row>
    <row r="221" spans="1:50" x14ac:dyDescent="0.25">
      <c r="A221" s="5">
        <f t="shared" si="128"/>
        <v>0</v>
      </c>
      <c r="B221" s="5">
        <f t="shared" si="112"/>
        <v>0</v>
      </c>
      <c r="C221" s="77">
        <f t="shared" si="130"/>
        <v>52322</v>
      </c>
      <c r="D221" s="122" t="str">
        <f t="shared" si="99"/>
        <v/>
      </c>
      <c r="E221" s="123">
        <f t="shared" si="113"/>
        <v>207</v>
      </c>
      <c r="F221" s="124">
        <f t="shared" si="114"/>
        <v>0</v>
      </c>
      <c r="G221" s="125">
        <f t="shared" si="115"/>
        <v>0</v>
      </c>
      <c r="H221" s="126" t="str">
        <f t="shared" si="100"/>
        <v/>
      </c>
      <c r="I221" s="127" t="str">
        <f t="shared" si="101"/>
        <v/>
      </c>
      <c r="J221" s="128">
        <f t="shared" si="102"/>
        <v>0</v>
      </c>
      <c r="K221" s="129">
        <f t="shared" si="103"/>
        <v>0</v>
      </c>
      <c r="L221" s="1">
        <f t="shared" si="116"/>
        <v>0</v>
      </c>
      <c r="M221" s="130">
        <f t="shared" si="104"/>
        <v>0</v>
      </c>
      <c r="N221" s="131">
        <f t="shared" si="105"/>
        <v>0</v>
      </c>
      <c r="O221" s="15"/>
      <c r="P221" s="32">
        <f t="shared" si="117"/>
        <v>0</v>
      </c>
      <c r="Q221" s="33"/>
      <c r="R221" s="75">
        <f t="shared" si="118"/>
        <v>0</v>
      </c>
      <c r="V221" s="68">
        <f t="shared" si="106"/>
        <v>0</v>
      </c>
      <c r="AA221" s="4">
        <f t="shared" si="107"/>
        <v>2</v>
      </c>
      <c r="AB221" s="4">
        <f t="shared" si="108"/>
        <v>6</v>
      </c>
      <c r="AC221" s="12">
        <f t="shared" si="109"/>
        <v>18</v>
      </c>
      <c r="AJ221" s="5">
        <f t="shared" si="129"/>
        <v>0</v>
      </c>
      <c r="AK221" s="5">
        <f t="shared" si="119"/>
        <v>0</v>
      </c>
      <c r="AL221" s="77">
        <f t="shared" si="131"/>
        <v>52322</v>
      </c>
      <c r="AM221" s="27" t="str">
        <f t="shared" si="120"/>
        <v/>
      </c>
      <c r="AN221" s="76">
        <f t="shared" si="121"/>
        <v>207</v>
      </c>
      <c r="AO221" s="13">
        <f t="shared" si="122"/>
        <v>0</v>
      </c>
      <c r="AP221" s="62">
        <f t="shared" si="123"/>
        <v>0</v>
      </c>
      <c r="AQ221" s="9" t="str">
        <f t="shared" si="110"/>
        <v/>
      </c>
      <c r="AR221" s="60" t="str">
        <f t="shared" si="111"/>
        <v/>
      </c>
      <c r="AS221" s="8">
        <f t="shared" si="124"/>
        <v>0</v>
      </c>
      <c r="AT221" s="11">
        <f t="shared" si="125"/>
        <v>0</v>
      </c>
      <c r="AU221" s="15">
        <v>0</v>
      </c>
      <c r="AV221" s="32">
        <f t="shared" si="126"/>
        <v>0</v>
      </c>
      <c r="AW221" s="33"/>
      <c r="AX221" s="75">
        <f t="shared" si="127"/>
        <v>0</v>
      </c>
    </row>
    <row r="222" spans="1:50" x14ac:dyDescent="0.25">
      <c r="A222" s="5">
        <f t="shared" si="128"/>
        <v>0</v>
      </c>
      <c r="B222" s="5">
        <f t="shared" si="112"/>
        <v>0</v>
      </c>
      <c r="C222" s="77">
        <f t="shared" si="130"/>
        <v>52352</v>
      </c>
      <c r="D222" s="122" t="str">
        <f t="shared" si="99"/>
        <v/>
      </c>
      <c r="E222" s="123">
        <f t="shared" si="113"/>
        <v>208</v>
      </c>
      <c r="F222" s="124">
        <f t="shared" si="114"/>
        <v>0</v>
      </c>
      <c r="G222" s="125">
        <f t="shared" si="115"/>
        <v>0</v>
      </c>
      <c r="H222" s="126" t="str">
        <f t="shared" si="100"/>
        <v/>
      </c>
      <c r="I222" s="127" t="str">
        <f t="shared" si="101"/>
        <v/>
      </c>
      <c r="J222" s="128">
        <f t="shared" si="102"/>
        <v>0</v>
      </c>
      <c r="K222" s="129">
        <f t="shared" si="103"/>
        <v>0</v>
      </c>
      <c r="L222" s="1">
        <f t="shared" si="116"/>
        <v>0</v>
      </c>
      <c r="M222" s="130">
        <f t="shared" si="104"/>
        <v>0</v>
      </c>
      <c r="N222" s="131">
        <f t="shared" si="105"/>
        <v>0</v>
      </c>
      <c r="O222" s="15"/>
      <c r="P222" s="32">
        <f t="shared" si="117"/>
        <v>0</v>
      </c>
      <c r="Q222" s="33"/>
      <c r="R222" s="75">
        <f t="shared" si="118"/>
        <v>0</v>
      </c>
      <c r="V222" s="68">
        <f t="shared" si="106"/>
        <v>0</v>
      </c>
      <c r="AA222" s="4">
        <f t="shared" si="107"/>
        <v>2</v>
      </c>
      <c r="AB222" s="4">
        <f t="shared" si="108"/>
        <v>6</v>
      </c>
      <c r="AC222" s="12">
        <f t="shared" si="109"/>
        <v>18</v>
      </c>
      <c r="AJ222" s="5">
        <f t="shared" si="129"/>
        <v>0</v>
      </c>
      <c r="AK222" s="5">
        <f t="shared" si="119"/>
        <v>0</v>
      </c>
      <c r="AL222" s="77">
        <f t="shared" si="131"/>
        <v>52352</v>
      </c>
      <c r="AM222" s="27" t="str">
        <f t="shared" si="120"/>
        <v/>
      </c>
      <c r="AN222" s="76">
        <f t="shared" si="121"/>
        <v>208</v>
      </c>
      <c r="AO222" s="13">
        <f t="shared" si="122"/>
        <v>0</v>
      </c>
      <c r="AP222" s="62">
        <f t="shared" si="123"/>
        <v>0</v>
      </c>
      <c r="AQ222" s="9" t="str">
        <f t="shared" si="110"/>
        <v/>
      </c>
      <c r="AR222" s="60" t="str">
        <f t="shared" si="111"/>
        <v/>
      </c>
      <c r="AS222" s="8">
        <f t="shared" si="124"/>
        <v>0</v>
      </c>
      <c r="AT222" s="11">
        <f t="shared" si="125"/>
        <v>0</v>
      </c>
      <c r="AU222" s="15">
        <v>0</v>
      </c>
      <c r="AV222" s="32">
        <f t="shared" si="126"/>
        <v>0</v>
      </c>
      <c r="AW222" s="33"/>
      <c r="AX222" s="75">
        <f t="shared" si="127"/>
        <v>0</v>
      </c>
    </row>
    <row r="223" spans="1:50" x14ac:dyDescent="0.25">
      <c r="A223" s="5">
        <f t="shared" si="128"/>
        <v>0</v>
      </c>
      <c r="B223" s="5">
        <f t="shared" si="112"/>
        <v>0</v>
      </c>
      <c r="C223" s="77">
        <f t="shared" si="130"/>
        <v>52383</v>
      </c>
      <c r="D223" s="122" t="str">
        <f t="shared" si="99"/>
        <v/>
      </c>
      <c r="E223" s="123">
        <f t="shared" si="113"/>
        <v>209</v>
      </c>
      <c r="F223" s="124">
        <f t="shared" si="114"/>
        <v>0</v>
      </c>
      <c r="G223" s="125">
        <f t="shared" si="115"/>
        <v>0</v>
      </c>
      <c r="H223" s="126" t="str">
        <f t="shared" si="100"/>
        <v/>
      </c>
      <c r="I223" s="127" t="str">
        <f t="shared" si="101"/>
        <v/>
      </c>
      <c r="J223" s="128">
        <f t="shared" si="102"/>
        <v>0</v>
      </c>
      <c r="K223" s="129">
        <f t="shared" si="103"/>
        <v>0</v>
      </c>
      <c r="L223" s="1">
        <f t="shared" si="116"/>
        <v>0</v>
      </c>
      <c r="M223" s="130">
        <f t="shared" si="104"/>
        <v>0</v>
      </c>
      <c r="N223" s="131">
        <f t="shared" si="105"/>
        <v>0</v>
      </c>
      <c r="O223" s="15"/>
      <c r="P223" s="32">
        <f t="shared" si="117"/>
        <v>0</v>
      </c>
      <c r="Q223" s="33"/>
      <c r="R223" s="75">
        <f t="shared" si="118"/>
        <v>0</v>
      </c>
      <c r="V223" s="68">
        <f t="shared" si="106"/>
        <v>0</v>
      </c>
      <c r="AA223" s="4">
        <f t="shared" si="107"/>
        <v>2</v>
      </c>
      <c r="AB223" s="4">
        <f t="shared" si="108"/>
        <v>6</v>
      </c>
      <c r="AC223" s="12">
        <f t="shared" si="109"/>
        <v>18</v>
      </c>
      <c r="AJ223" s="5">
        <f t="shared" si="129"/>
        <v>0</v>
      </c>
      <c r="AK223" s="5">
        <f t="shared" si="119"/>
        <v>0</v>
      </c>
      <c r="AL223" s="77">
        <f t="shared" si="131"/>
        <v>52383</v>
      </c>
      <c r="AM223" s="27" t="str">
        <f t="shared" si="120"/>
        <v/>
      </c>
      <c r="AN223" s="76">
        <f t="shared" si="121"/>
        <v>209</v>
      </c>
      <c r="AO223" s="13">
        <f t="shared" si="122"/>
        <v>0</v>
      </c>
      <c r="AP223" s="62">
        <f t="shared" si="123"/>
        <v>0</v>
      </c>
      <c r="AQ223" s="9" t="str">
        <f t="shared" si="110"/>
        <v/>
      </c>
      <c r="AR223" s="60" t="str">
        <f t="shared" si="111"/>
        <v/>
      </c>
      <c r="AS223" s="8">
        <f t="shared" si="124"/>
        <v>0</v>
      </c>
      <c r="AT223" s="11">
        <f t="shared" si="125"/>
        <v>0</v>
      </c>
      <c r="AU223" s="15">
        <v>0</v>
      </c>
      <c r="AV223" s="32">
        <f t="shared" si="126"/>
        <v>0</v>
      </c>
      <c r="AW223" s="33"/>
      <c r="AX223" s="75">
        <f t="shared" si="127"/>
        <v>0</v>
      </c>
    </row>
    <row r="224" spans="1:50" x14ac:dyDescent="0.25">
      <c r="A224" s="5">
        <f t="shared" si="128"/>
        <v>0</v>
      </c>
      <c r="B224" s="5">
        <f t="shared" si="112"/>
        <v>0</v>
      </c>
      <c r="C224" s="77">
        <f t="shared" si="130"/>
        <v>52413</v>
      </c>
      <c r="D224" s="122" t="str">
        <f t="shared" si="99"/>
        <v/>
      </c>
      <c r="E224" s="123">
        <f t="shared" si="113"/>
        <v>210</v>
      </c>
      <c r="F224" s="124">
        <f t="shared" si="114"/>
        <v>0</v>
      </c>
      <c r="G224" s="125">
        <f t="shared" si="115"/>
        <v>0</v>
      </c>
      <c r="H224" s="126" t="str">
        <f t="shared" si="100"/>
        <v/>
      </c>
      <c r="I224" s="127" t="str">
        <f t="shared" si="101"/>
        <v/>
      </c>
      <c r="J224" s="128">
        <f t="shared" si="102"/>
        <v>0</v>
      </c>
      <c r="K224" s="129">
        <f t="shared" si="103"/>
        <v>0</v>
      </c>
      <c r="L224" s="1">
        <f t="shared" si="116"/>
        <v>0</v>
      </c>
      <c r="M224" s="130">
        <f t="shared" si="104"/>
        <v>0</v>
      </c>
      <c r="N224" s="131">
        <f t="shared" si="105"/>
        <v>0</v>
      </c>
      <c r="O224" s="15"/>
      <c r="P224" s="32">
        <f t="shared" si="117"/>
        <v>0</v>
      </c>
      <c r="Q224" s="33"/>
      <c r="R224" s="75">
        <f t="shared" si="118"/>
        <v>0</v>
      </c>
      <c r="V224" s="68">
        <f t="shared" si="106"/>
        <v>0</v>
      </c>
      <c r="AA224" s="4">
        <f t="shared" si="107"/>
        <v>2</v>
      </c>
      <c r="AB224" s="4">
        <f t="shared" si="108"/>
        <v>6</v>
      </c>
      <c r="AC224" s="12">
        <f t="shared" si="109"/>
        <v>18</v>
      </c>
      <c r="AJ224" s="5">
        <f t="shared" si="129"/>
        <v>0</v>
      </c>
      <c r="AK224" s="5">
        <f t="shared" si="119"/>
        <v>0</v>
      </c>
      <c r="AL224" s="77">
        <f t="shared" si="131"/>
        <v>52413</v>
      </c>
      <c r="AM224" s="27" t="str">
        <f t="shared" si="120"/>
        <v/>
      </c>
      <c r="AN224" s="76">
        <f t="shared" si="121"/>
        <v>210</v>
      </c>
      <c r="AO224" s="13">
        <f t="shared" si="122"/>
        <v>0</v>
      </c>
      <c r="AP224" s="62">
        <f t="shared" si="123"/>
        <v>0</v>
      </c>
      <c r="AQ224" s="9" t="str">
        <f t="shared" si="110"/>
        <v/>
      </c>
      <c r="AR224" s="60" t="str">
        <f t="shared" si="111"/>
        <v/>
      </c>
      <c r="AS224" s="8">
        <f t="shared" si="124"/>
        <v>0</v>
      </c>
      <c r="AT224" s="11">
        <f t="shared" si="125"/>
        <v>0</v>
      </c>
      <c r="AU224" s="15">
        <v>0</v>
      </c>
      <c r="AV224" s="32">
        <f t="shared" si="126"/>
        <v>0</v>
      </c>
      <c r="AW224" s="33"/>
      <c r="AX224" s="75">
        <f t="shared" si="127"/>
        <v>0</v>
      </c>
    </row>
    <row r="225" spans="1:50" x14ac:dyDescent="0.25">
      <c r="A225" s="5">
        <f t="shared" si="128"/>
        <v>0</v>
      </c>
      <c r="B225" s="5">
        <f t="shared" si="112"/>
        <v>0</v>
      </c>
      <c r="C225" s="77">
        <f t="shared" si="130"/>
        <v>52444</v>
      </c>
      <c r="D225" s="122" t="str">
        <f t="shared" si="99"/>
        <v/>
      </c>
      <c r="E225" s="123">
        <f t="shared" si="113"/>
        <v>211</v>
      </c>
      <c r="F225" s="124">
        <f t="shared" si="114"/>
        <v>0</v>
      </c>
      <c r="G225" s="125">
        <f t="shared" si="115"/>
        <v>0</v>
      </c>
      <c r="H225" s="126" t="str">
        <f t="shared" si="100"/>
        <v/>
      </c>
      <c r="I225" s="127" t="str">
        <f t="shared" si="101"/>
        <v/>
      </c>
      <c r="J225" s="128">
        <f t="shared" si="102"/>
        <v>0</v>
      </c>
      <c r="K225" s="129">
        <f t="shared" si="103"/>
        <v>0</v>
      </c>
      <c r="L225" s="1">
        <f t="shared" si="116"/>
        <v>0</v>
      </c>
      <c r="M225" s="130">
        <f t="shared" si="104"/>
        <v>0</v>
      </c>
      <c r="N225" s="131">
        <f t="shared" si="105"/>
        <v>0</v>
      </c>
      <c r="O225" s="15"/>
      <c r="P225" s="32">
        <f t="shared" si="117"/>
        <v>0</v>
      </c>
      <c r="Q225" s="33"/>
      <c r="R225" s="75">
        <f t="shared" si="118"/>
        <v>0</v>
      </c>
      <c r="V225" s="68">
        <f t="shared" si="106"/>
        <v>0</v>
      </c>
      <c r="AA225" s="4">
        <f t="shared" si="107"/>
        <v>2</v>
      </c>
      <c r="AB225" s="4">
        <f t="shared" si="108"/>
        <v>6</v>
      </c>
      <c r="AC225" s="12">
        <f t="shared" si="109"/>
        <v>18</v>
      </c>
      <c r="AJ225" s="5">
        <f t="shared" si="129"/>
        <v>0</v>
      </c>
      <c r="AK225" s="5">
        <f t="shared" si="119"/>
        <v>0</v>
      </c>
      <c r="AL225" s="77">
        <f t="shared" si="131"/>
        <v>52444</v>
      </c>
      <c r="AM225" s="27" t="str">
        <f t="shared" si="120"/>
        <v/>
      </c>
      <c r="AN225" s="76">
        <f t="shared" si="121"/>
        <v>211</v>
      </c>
      <c r="AO225" s="13">
        <f t="shared" si="122"/>
        <v>0</v>
      </c>
      <c r="AP225" s="62">
        <f t="shared" si="123"/>
        <v>0</v>
      </c>
      <c r="AQ225" s="9" t="str">
        <f t="shared" si="110"/>
        <v/>
      </c>
      <c r="AR225" s="60" t="str">
        <f t="shared" si="111"/>
        <v/>
      </c>
      <c r="AS225" s="8">
        <f t="shared" si="124"/>
        <v>0</v>
      </c>
      <c r="AT225" s="11">
        <f t="shared" si="125"/>
        <v>0</v>
      </c>
      <c r="AU225" s="15">
        <v>0</v>
      </c>
      <c r="AV225" s="32">
        <f t="shared" si="126"/>
        <v>0</v>
      </c>
      <c r="AW225" s="33"/>
      <c r="AX225" s="75">
        <f t="shared" si="127"/>
        <v>0</v>
      </c>
    </row>
    <row r="226" spans="1:50" x14ac:dyDescent="0.25">
      <c r="A226" s="5">
        <f t="shared" si="128"/>
        <v>0</v>
      </c>
      <c r="B226" s="5">
        <f t="shared" si="112"/>
        <v>0</v>
      </c>
      <c r="C226" s="77">
        <f t="shared" si="130"/>
        <v>52475</v>
      </c>
      <c r="D226" s="122" t="str">
        <f t="shared" si="99"/>
        <v/>
      </c>
      <c r="E226" s="123">
        <f t="shared" si="113"/>
        <v>212</v>
      </c>
      <c r="F226" s="124">
        <f t="shared" si="114"/>
        <v>0</v>
      </c>
      <c r="G226" s="125">
        <f t="shared" si="115"/>
        <v>0</v>
      </c>
      <c r="H226" s="126" t="str">
        <f t="shared" si="100"/>
        <v/>
      </c>
      <c r="I226" s="127" t="str">
        <f t="shared" si="101"/>
        <v/>
      </c>
      <c r="J226" s="128">
        <f t="shared" si="102"/>
        <v>0</v>
      </c>
      <c r="K226" s="129">
        <f t="shared" si="103"/>
        <v>0</v>
      </c>
      <c r="L226" s="1">
        <f t="shared" si="116"/>
        <v>0</v>
      </c>
      <c r="M226" s="130">
        <f t="shared" si="104"/>
        <v>0</v>
      </c>
      <c r="N226" s="131">
        <f t="shared" si="105"/>
        <v>0</v>
      </c>
      <c r="O226" s="15"/>
      <c r="P226" s="32">
        <f t="shared" si="117"/>
        <v>0</v>
      </c>
      <c r="Q226" s="33"/>
      <c r="R226" s="75">
        <f t="shared" si="118"/>
        <v>0</v>
      </c>
      <c r="V226" s="68">
        <f t="shared" si="106"/>
        <v>0</v>
      </c>
      <c r="AA226" s="4">
        <f t="shared" si="107"/>
        <v>2</v>
      </c>
      <c r="AB226" s="4">
        <f t="shared" si="108"/>
        <v>6</v>
      </c>
      <c r="AC226" s="12">
        <f t="shared" si="109"/>
        <v>18</v>
      </c>
      <c r="AJ226" s="5">
        <f t="shared" si="129"/>
        <v>0</v>
      </c>
      <c r="AK226" s="5">
        <f t="shared" si="119"/>
        <v>0</v>
      </c>
      <c r="AL226" s="77">
        <f t="shared" si="131"/>
        <v>52475</v>
      </c>
      <c r="AM226" s="27" t="str">
        <f t="shared" si="120"/>
        <v/>
      </c>
      <c r="AN226" s="76">
        <f t="shared" si="121"/>
        <v>212</v>
      </c>
      <c r="AO226" s="13">
        <f t="shared" si="122"/>
        <v>0</v>
      </c>
      <c r="AP226" s="62">
        <f t="shared" si="123"/>
        <v>0</v>
      </c>
      <c r="AQ226" s="9" t="str">
        <f t="shared" si="110"/>
        <v/>
      </c>
      <c r="AR226" s="60" t="str">
        <f t="shared" si="111"/>
        <v/>
      </c>
      <c r="AS226" s="8">
        <f t="shared" si="124"/>
        <v>0</v>
      </c>
      <c r="AT226" s="11">
        <f t="shared" si="125"/>
        <v>0</v>
      </c>
      <c r="AU226" s="15">
        <v>0</v>
      </c>
      <c r="AV226" s="32">
        <f t="shared" si="126"/>
        <v>0</v>
      </c>
      <c r="AW226" s="33"/>
      <c r="AX226" s="75">
        <f t="shared" si="127"/>
        <v>0</v>
      </c>
    </row>
    <row r="227" spans="1:50" x14ac:dyDescent="0.25">
      <c r="A227" s="5">
        <f t="shared" si="128"/>
        <v>0</v>
      </c>
      <c r="B227" s="5">
        <f t="shared" si="112"/>
        <v>0</v>
      </c>
      <c r="C227" s="77">
        <f t="shared" si="130"/>
        <v>52505</v>
      </c>
      <c r="D227" s="122" t="str">
        <f t="shared" si="99"/>
        <v/>
      </c>
      <c r="E227" s="123">
        <f t="shared" si="113"/>
        <v>213</v>
      </c>
      <c r="F227" s="124">
        <f t="shared" si="114"/>
        <v>0</v>
      </c>
      <c r="G227" s="125">
        <f t="shared" si="115"/>
        <v>0</v>
      </c>
      <c r="H227" s="126" t="str">
        <f t="shared" si="100"/>
        <v/>
      </c>
      <c r="I227" s="127" t="str">
        <f t="shared" si="101"/>
        <v/>
      </c>
      <c r="J227" s="128">
        <f t="shared" si="102"/>
        <v>0</v>
      </c>
      <c r="K227" s="129">
        <f t="shared" si="103"/>
        <v>0</v>
      </c>
      <c r="L227" s="1">
        <f t="shared" si="116"/>
        <v>0</v>
      </c>
      <c r="M227" s="130">
        <f t="shared" si="104"/>
        <v>0</v>
      </c>
      <c r="N227" s="131">
        <f t="shared" si="105"/>
        <v>0</v>
      </c>
      <c r="O227" s="15"/>
      <c r="P227" s="32">
        <f t="shared" si="117"/>
        <v>0</v>
      </c>
      <c r="Q227" s="33"/>
      <c r="R227" s="75">
        <f t="shared" si="118"/>
        <v>0</v>
      </c>
      <c r="V227" s="68">
        <f t="shared" si="106"/>
        <v>0</v>
      </c>
      <c r="AA227" s="4">
        <f t="shared" si="107"/>
        <v>2</v>
      </c>
      <c r="AB227" s="4">
        <f t="shared" si="108"/>
        <v>6</v>
      </c>
      <c r="AC227" s="12">
        <f t="shared" si="109"/>
        <v>18</v>
      </c>
      <c r="AJ227" s="5">
        <f t="shared" si="129"/>
        <v>0</v>
      </c>
      <c r="AK227" s="5">
        <f t="shared" si="119"/>
        <v>0</v>
      </c>
      <c r="AL227" s="77">
        <f t="shared" si="131"/>
        <v>52505</v>
      </c>
      <c r="AM227" s="27" t="str">
        <f t="shared" si="120"/>
        <v/>
      </c>
      <c r="AN227" s="76">
        <f t="shared" si="121"/>
        <v>213</v>
      </c>
      <c r="AO227" s="13">
        <f t="shared" si="122"/>
        <v>0</v>
      </c>
      <c r="AP227" s="62">
        <f t="shared" si="123"/>
        <v>0</v>
      </c>
      <c r="AQ227" s="9" t="str">
        <f t="shared" si="110"/>
        <v/>
      </c>
      <c r="AR227" s="60" t="str">
        <f t="shared" si="111"/>
        <v/>
      </c>
      <c r="AS227" s="8">
        <f t="shared" si="124"/>
        <v>0</v>
      </c>
      <c r="AT227" s="11">
        <f t="shared" si="125"/>
        <v>0</v>
      </c>
      <c r="AU227" s="15">
        <v>0</v>
      </c>
      <c r="AV227" s="32">
        <f t="shared" si="126"/>
        <v>0</v>
      </c>
      <c r="AW227" s="33"/>
      <c r="AX227" s="75">
        <f t="shared" si="127"/>
        <v>0</v>
      </c>
    </row>
    <row r="228" spans="1:50" x14ac:dyDescent="0.25">
      <c r="A228" s="5">
        <f t="shared" si="128"/>
        <v>0</v>
      </c>
      <c r="B228" s="5">
        <f t="shared" si="112"/>
        <v>0</v>
      </c>
      <c r="C228" s="77">
        <f t="shared" si="130"/>
        <v>52536</v>
      </c>
      <c r="D228" s="122" t="str">
        <f t="shared" si="99"/>
        <v/>
      </c>
      <c r="E228" s="123">
        <f t="shared" si="113"/>
        <v>214</v>
      </c>
      <c r="F228" s="124">
        <f t="shared" si="114"/>
        <v>0</v>
      </c>
      <c r="G228" s="125">
        <f t="shared" si="115"/>
        <v>0</v>
      </c>
      <c r="H228" s="126" t="str">
        <f t="shared" si="100"/>
        <v/>
      </c>
      <c r="I228" s="127" t="str">
        <f t="shared" si="101"/>
        <v/>
      </c>
      <c r="J228" s="128">
        <f t="shared" si="102"/>
        <v>0</v>
      </c>
      <c r="K228" s="129">
        <f t="shared" si="103"/>
        <v>0</v>
      </c>
      <c r="L228" s="1">
        <f t="shared" si="116"/>
        <v>0</v>
      </c>
      <c r="M228" s="130">
        <f t="shared" si="104"/>
        <v>0</v>
      </c>
      <c r="N228" s="131">
        <f t="shared" si="105"/>
        <v>0</v>
      </c>
      <c r="O228" s="15"/>
      <c r="P228" s="32">
        <f t="shared" si="117"/>
        <v>0</v>
      </c>
      <c r="Q228" s="33"/>
      <c r="R228" s="75">
        <f t="shared" si="118"/>
        <v>0</v>
      </c>
      <c r="V228" s="68">
        <f t="shared" si="106"/>
        <v>0</v>
      </c>
      <c r="AA228" s="4">
        <f t="shared" si="107"/>
        <v>2</v>
      </c>
      <c r="AB228" s="4">
        <f t="shared" si="108"/>
        <v>6</v>
      </c>
      <c r="AC228" s="12">
        <f t="shared" si="109"/>
        <v>18</v>
      </c>
      <c r="AJ228" s="5">
        <f t="shared" si="129"/>
        <v>0</v>
      </c>
      <c r="AK228" s="5">
        <f t="shared" si="119"/>
        <v>0</v>
      </c>
      <c r="AL228" s="77">
        <f t="shared" si="131"/>
        <v>52536</v>
      </c>
      <c r="AM228" s="27" t="str">
        <f t="shared" si="120"/>
        <v/>
      </c>
      <c r="AN228" s="76">
        <f t="shared" si="121"/>
        <v>214</v>
      </c>
      <c r="AO228" s="13">
        <f t="shared" si="122"/>
        <v>0</v>
      </c>
      <c r="AP228" s="62">
        <f t="shared" si="123"/>
        <v>0</v>
      </c>
      <c r="AQ228" s="9" t="str">
        <f t="shared" si="110"/>
        <v/>
      </c>
      <c r="AR228" s="60" t="str">
        <f t="shared" si="111"/>
        <v/>
      </c>
      <c r="AS228" s="8">
        <f t="shared" si="124"/>
        <v>0</v>
      </c>
      <c r="AT228" s="11">
        <f t="shared" si="125"/>
        <v>0</v>
      </c>
      <c r="AU228" s="15">
        <v>0</v>
      </c>
      <c r="AV228" s="32">
        <f t="shared" si="126"/>
        <v>0</v>
      </c>
      <c r="AW228" s="33"/>
      <c r="AX228" s="75">
        <f t="shared" si="127"/>
        <v>0</v>
      </c>
    </row>
    <row r="229" spans="1:50" x14ac:dyDescent="0.25">
      <c r="A229" s="5">
        <f t="shared" si="128"/>
        <v>0</v>
      </c>
      <c r="B229" s="5">
        <f t="shared" si="112"/>
        <v>0</v>
      </c>
      <c r="C229" s="77">
        <f t="shared" si="130"/>
        <v>52566</v>
      </c>
      <c r="D229" s="122" t="str">
        <f t="shared" si="99"/>
        <v/>
      </c>
      <c r="E229" s="123">
        <f t="shared" si="113"/>
        <v>215</v>
      </c>
      <c r="F229" s="124">
        <f t="shared" si="114"/>
        <v>0</v>
      </c>
      <c r="G229" s="125">
        <f t="shared" si="115"/>
        <v>0</v>
      </c>
      <c r="H229" s="126" t="str">
        <f t="shared" si="100"/>
        <v/>
      </c>
      <c r="I229" s="127" t="str">
        <f t="shared" si="101"/>
        <v/>
      </c>
      <c r="J229" s="128">
        <f t="shared" si="102"/>
        <v>0</v>
      </c>
      <c r="K229" s="129">
        <f t="shared" si="103"/>
        <v>0</v>
      </c>
      <c r="L229" s="1">
        <f t="shared" si="116"/>
        <v>0</v>
      </c>
      <c r="M229" s="130">
        <f t="shared" si="104"/>
        <v>0</v>
      </c>
      <c r="N229" s="131">
        <f t="shared" si="105"/>
        <v>0</v>
      </c>
      <c r="O229" s="15"/>
      <c r="P229" s="32">
        <f t="shared" si="117"/>
        <v>0</v>
      </c>
      <c r="Q229" s="33"/>
      <c r="R229" s="75">
        <f t="shared" si="118"/>
        <v>0</v>
      </c>
      <c r="V229" s="68">
        <f t="shared" si="106"/>
        <v>0</v>
      </c>
      <c r="AA229" s="4">
        <f t="shared" si="107"/>
        <v>2</v>
      </c>
      <c r="AB229" s="4">
        <f t="shared" si="108"/>
        <v>6</v>
      </c>
      <c r="AC229" s="12">
        <f t="shared" si="109"/>
        <v>18</v>
      </c>
      <c r="AJ229" s="5">
        <f t="shared" si="129"/>
        <v>0</v>
      </c>
      <c r="AK229" s="5">
        <f t="shared" si="119"/>
        <v>0</v>
      </c>
      <c r="AL229" s="77">
        <f t="shared" si="131"/>
        <v>52566</v>
      </c>
      <c r="AM229" s="27" t="str">
        <f t="shared" si="120"/>
        <v/>
      </c>
      <c r="AN229" s="76">
        <f t="shared" si="121"/>
        <v>215</v>
      </c>
      <c r="AO229" s="13">
        <f t="shared" si="122"/>
        <v>0</v>
      </c>
      <c r="AP229" s="62">
        <f t="shared" si="123"/>
        <v>0</v>
      </c>
      <c r="AQ229" s="9" t="str">
        <f t="shared" si="110"/>
        <v/>
      </c>
      <c r="AR229" s="60" t="str">
        <f t="shared" si="111"/>
        <v/>
      </c>
      <c r="AS229" s="8">
        <f t="shared" si="124"/>
        <v>0</v>
      </c>
      <c r="AT229" s="11">
        <f t="shared" si="125"/>
        <v>0</v>
      </c>
      <c r="AU229" s="15">
        <v>0</v>
      </c>
      <c r="AV229" s="32">
        <f t="shared" si="126"/>
        <v>0</v>
      </c>
      <c r="AW229" s="33"/>
      <c r="AX229" s="75">
        <f t="shared" si="127"/>
        <v>0</v>
      </c>
    </row>
    <row r="230" spans="1:50" x14ac:dyDescent="0.25">
      <c r="A230" s="5">
        <f t="shared" si="128"/>
        <v>0</v>
      </c>
      <c r="B230" s="5">
        <f t="shared" si="112"/>
        <v>0</v>
      </c>
      <c r="C230" s="77">
        <f t="shared" si="130"/>
        <v>52597</v>
      </c>
      <c r="D230" s="122" t="str">
        <f t="shared" si="99"/>
        <v/>
      </c>
      <c r="E230" s="123">
        <f t="shared" si="113"/>
        <v>216</v>
      </c>
      <c r="F230" s="124">
        <f t="shared" si="114"/>
        <v>0</v>
      </c>
      <c r="G230" s="125">
        <f t="shared" si="115"/>
        <v>0</v>
      </c>
      <c r="H230" s="126" t="str">
        <f t="shared" si="100"/>
        <v/>
      </c>
      <c r="I230" s="127" t="str">
        <f t="shared" si="101"/>
        <v/>
      </c>
      <c r="J230" s="128">
        <f t="shared" si="102"/>
        <v>0</v>
      </c>
      <c r="K230" s="129">
        <f t="shared" si="103"/>
        <v>0</v>
      </c>
      <c r="L230" s="1">
        <f t="shared" si="116"/>
        <v>0</v>
      </c>
      <c r="M230" s="130">
        <f t="shared" si="104"/>
        <v>0</v>
      </c>
      <c r="N230" s="131">
        <f t="shared" si="105"/>
        <v>0</v>
      </c>
      <c r="O230" s="15"/>
      <c r="P230" s="32">
        <f t="shared" si="117"/>
        <v>0</v>
      </c>
      <c r="Q230" s="33"/>
      <c r="R230" s="75">
        <f t="shared" si="118"/>
        <v>0</v>
      </c>
      <c r="V230" s="68">
        <f t="shared" si="106"/>
        <v>0</v>
      </c>
      <c r="AA230" s="4">
        <f t="shared" si="107"/>
        <v>2</v>
      </c>
      <c r="AB230" s="4">
        <f t="shared" si="108"/>
        <v>6</v>
      </c>
      <c r="AC230" s="12">
        <f t="shared" si="109"/>
        <v>18</v>
      </c>
      <c r="AJ230" s="5">
        <f t="shared" si="129"/>
        <v>0</v>
      </c>
      <c r="AK230" s="5">
        <f t="shared" si="119"/>
        <v>0</v>
      </c>
      <c r="AL230" s="77">
        <f t="shared" si="131"/>
        <v>52597</v>
      </c>
      <c r="AM230" s="27" t="str">
        <f t="shared" si="120"/>
        <v/>
      </c>
      <c r="AN230" s="76">
        <f t="shared" si="121"/>
        <v>216</v>
      </c>
      <c r="AO230" s="13">
        <f t="shared" si="122"/>
        <v>0</v>
      </c>
      <c r="AP230" s="62">
        <f t="shared" si="123"/>
        <v>0</v>
      </c>
      <c r="AQ230" s="9" t="str">
        <f t="shared" si="110"/>
        <v/>
      </c>
      <c r="AR230" s="60" t="str">
        <f t="shared" si="111"/>
        <v/>
      </c>
      <c r="AS230" s="8">
        <f t="shared" si="124"/>
        <v>0</v>
      </c>
      <c r="AT230" s="11">
        <f t="shared" si="125"/>
        <v>0</v>
      </c>
      <c r="AU230" s="15">
        <v>0</v>
      </c>
      <c r="AV230" s="32">
        <f t="shared" si="126"/>
        <v>0</v>
      </c>
      <c r="AW230" s="33"/>
      <c r="AX230" s="75">
        <f t="shared" si="127"/>
        <v>0</v>
      </c>
    </row>
    <row r="231" spans="1:50" x14ac:dyDescent="0.25">
      <c r="A231" s="5">
        <f t="shared" si="128"/>
        <v>0</v>
      </c>
      <c r="B231" s="5">
        <f t="shared" si="112"/>
        <v>0</v>
      </c>
      <c r="C231" s="77">
        <f t="shared" si="130"/>
        <v>52628</v>
      </c>
      <c r="D231" s="122" t="str">
        <f t="shared" si="99"/>
        <v/>
      </c>
      <c r="E231" s="123">
        <f t="shared" si="113"/>
        <v>217</v>
      </c>
      <c r="F231" s="124">
        <f t="shared" si="114"/>
        <v>0</v>
      </c>
      <c r="G231" s="125">
        <f t="shared" si="115"/>
        <v>0</v>
      </c>
      <c r="H231" s="126" t="str">
        <f t="shared" si="100"/>
        <v/>
      </c>
      <c r="I231" s="127" t="str">
        <f t="shared" si="101"/>
        <v/>
      </c>
      <c r="J231" s="128">
        <f t="shared" si="102"/>
        <v>0</v>
      </c>
      <c r="K231" s="129">
        <f t="shared" si="103"/>
        <v>0</v>
      </c>
      <c r="L231" s="1">
        <f t="shared" si="116"/>
        <v>0</v>
      </c>
      <c r="M231" s="130">
        <f t="shared" si="104"/>
        <v>0</v>
      </c>
      <c r="N231" s="131">
        <f t="shared" si="105"/>
        <v>0</v>
      </c>
      <c r="O231" s="15"/>
      <c r="P231" s="32">
        <f t="shared" si="117"/>
        <v>0</v>
      </c>
      <c r="Q231" s="33"/>
      <c r="R231" s="75">
        <f t="shared" si="118"/>
        <v>0</v>
      </c>
      <c r="V231" s="68">
        <f t="shared" si="106"/>
        <v>0</v>
      </c>
      <c r="AA231" s="4">
        <f t="shared" si="107"/>
        <v>2</v>
      </c>
      <c r="AB231" s="4">
        <f t="shared" si="108"/>
        <v>7</v>
      </c>
      <c r="AC231" s="12">
        <f t="shared" si="109"/>
        <v>19</v>
      </c>
      <c r="AJ231" s="5">
        <f t="shared" si="129"/>
        <v>0</v>
      </c>
      <c r="AK231" s="5">
        <f t="shared" si="119"/>
        <v>0</v>
      </c>
      <c r="AL231" s="77">
        <f t="shared" si="131"/>
        <v>52628</v>
      </c>
      <c r="AM231" s="27" t="str">
        <f t="shared" si="120"/>
        <v/>
      </c>
      <c r="AN231" s="76">
        <f t="shared" si="121"/>
        <v>217</v>
      </c>
      <c r="AO231" s="13">
        <f t="shared" si="122"/>
        <v>0</v>
      </c>
      <c r="AP231" s="62">
        <f t="shared" si="123"/>
        <v>0</v>
      </c>
      <c r="AQ231" s="9" t="str">
        <f t="shared" si="110"/>
        <v/>
      </c>
      <c r="AR231" s="60" t="str">
        <f t="shared" si="111"/>
        <v/>
      </c>
      <c r="AS231" s="8">
        <f t="shared" si="124"/>
        <v>0</v>
      </c>
      <c r="AT231" s="11">
        <f t="shared" si="125"/>
        <v>0</v>
      </c>
      <c r="AU231" s="15">
        <v>0</v>
      </c>
      <c r="AV231" s="32">
        <f t="shared" si="126"/>
        <v>0</v>
      </c>
      <c r="AW231" s="33"/>
      <c r="AX231" s="75">
        <f t="shared" si="127"/>
        <v>0</v>
      </c>
    </row>
    <row r="232" spans="1:50" x14ac:dyDescent="0.25">
      <c r="A232" s="5">
        <f t="shared" si="128"/>
        <v>0</v>
      </c>
      <c r="B232" s="5">
        <f t="shared" si="112"/>
        <v>0</v>
      </c>
      <c r="C232" s="77">
        <f t="shared" si="130"/>
        <v>52657</v>
      </c>
      <c r="D232" s="122" t="str">
        <f t="shared" si="99"/>
        <v/>
      </c>
      <c r="E232" s="123">
        <f t="shared" si="113"/>
        <v>218</v>
      </c>
      <c r="F232" s="124">
        <f t="shared" si="114"/>
        <v>0</v>
      </c>
      <c r="G232" s="125">
        <f t="shared" si="115"/>
        <v>0</v>
      </c>
      <c r="H232" s="126" t="str">
        <f t="shared" si="100"/>
        <v/>
      </c>
      <c r="I232" s="127" t="str">
        <f t="shared" si="101"/>
        <v/>
      </c>
      <c r="J232" s="128">
        <f t="shared" si="102"/>
        <v>0</v>
      </c>
      <c r="K232" s="129">
        <f t="shared" si="103"/>
        <v>0</v>
      </c>
      <c r="L232" s="1">
        <f t="shared" si="116"/>
        <v>0</v>
      </c>
      <c r="M232" s="130">
        <f t="shared" si="104"/>
        <v>0</v>
      </c>
      <c r="N232" s="131">
        <f t="shared" si="105"/>
        <v>0</v>
      </c>
      <c r="O232" s="15"/>
      <c r="P232" s="32">
        <f t="shared" si="117"/>
        <v>0</v>
      </c>
      <c r="Q232" s="33"/>
      <c r="R232" s="75">
        <f t="shared" si="118"/>
        <v>0</v>
      </c>
      <c r="V232" s="68">
        <f t="shared" si="106"/>
        <v>0</v>
      </c>
      <c r="AA232" s="4">
        <f t="shared" si="107"/>
        <v>2</v>
      </c>
      <c r="AB232" s="4">
        <f t="shared" si="108"/>
        <v>7</v>
      </c>
      <c r="AC232" s="12">
        <f t="shared" si="109"/>
        <v>19</v>
      </c>
      <c r="AJ232" s="5">
        <f t="shared" si="129"/>
        <v>0</v>
      </c>
      <c r="AK232" s="5">
        <f t="shared" si="119"/>
        <v>0</v>
      </c>
      <c r="AL232" s="77">
        <f t="shared" si="131"/>
        <v>52657</v>
      </c>
      <c r="AM232" s="27" t="str">
        <f t="shared" si="120"/>
        <v/>
      </c>
      <c r="AN232" s="76">
        <f t="shared" si="121"/>
        <v>218</v>
      </c>
      <c r="AO232" s="13">
        <f t="shared" si="122"/>
        <v>0</v>
      </c>
      <c r="AP232" s="62">
        <f t="shared" si="123"/>
        <v>0</v>
      </c>
      <c r="AQ232" s="9" t="str">
        <f t="shared" si="110"/>
        <v/>
      </c>
      <c r="AR232" s="60" t="str">
        <f t="shared" si="111"/>
        <v/>
      </c>
      <c r="AS232" s="8">
        <f t="shared" si="124"/>
        <v>0</v>
      </c>
      <c r="AT232" s="11">
        <f t="shared" si="125"/>
        <v>0</v>
      </c>
      <c r="AU232" s="15">
        <v>0</v>
      </c>
      <c r="AV232" s="32">
        <f t="shared" si="126"/>
        <v>0</v>
      </c>
      <c r="AW232" s="33"/>
      <c r="AX232" s="75">
        <f t="shared" si="127"/>
        <v>0</v>
      </c>
    </row>
    <row r="233" spans="1:50" x14ac:dyDescent="0.25">
      <c r="A233" s="5">
        <f t="shared" si="128"/>
        <v>0</v>
      </c>
      <c r="B233" s="5">
        <f t="shared" si="112"/>
        <v>0</v>
      </c>
      <c r="C233" s="77">
        <f t="shared" si="130"/>
        <v>52688</v>
      </c>
      <c r="D233" s="122" t="str">
        <f t="shared" si="99"/>
        <v/>
      </c>
      <c r="E233" s="123">
        <f t="shared" si="113"/>
        <v>219</v>
      </c>
      <c r="F233" s="124">
        <f t="shared" si="114"/>
        <v>0</v>
      </c>
      <c r="G233" s="125">
        <f t="shared" si="115"/>
        <v>0</v>
      </c>
      <c r="H233" s="126" t="str">
        <f t="shared" si="100"/>
        <v/>
      </c>
      <c r="I233" s="127" t="str">
        <f t="shared" si="101"/>
        <v/>
      </c>
      <c r="J233" s="128">
        <f t="shared" si="102"/>
        <v>0</v>
      </c>
      <c r="K233" s="129">
        <f t="shared" si="103"/>
        <v>0</v>
      </c>
      <c r="L233" s="1">
        <f t="shared" si="116"/>
        <v>0</v>
      </c>
      <c r="M233" s="130">
        <f t="shared" si="104"/>
        <v>0</v>
      </c>
      <c r="N233" s="131">
        <f t="shared" si="105"/>
        <v>0</v>
      </c>
      <c r="O233" s="15"/>
      <c r="P233" s="32">
        <f t="shared" si="117"/>
        <v>0</v>
      </c>
      <c r="Q233" s="33"/>
      <c r="R233" s="75">
        <f t="shared" si="118"/>
        <v>0</v>
      </c>
      <c r="V233" s="68">
        <f t="shared" si="106"/>
        <v>0</v>
      </c>
      <c r="AA233" s="4">
        <f t="shared" si="107"/>
        <v>2</v>
      </c>
      <c r="AB233" s="4">
        <f t="shared" si="108"/>
        <v>7</v>
      </c>
      <c r="AC233" s="12">
        <f t="shared" si="109"/>
        <v>19</v>
      </c>
      <c r="AJ233" s="5">
        <f t="shared" si="129"/>
        <v>0</v>
      </c>
      <c r="AK233" s="5">
        <f t="shared" si="119"/>
        <v>0</v>
      </c>
      <c r="AL233" s="77">
        <f t="shared" si="131"/>
        <v>52688</v>
      </c>
      <c r="AM233" s="27" t="str">
        <f t="shared" si="120"/>
        <v/>
      </c>
      <c r="AN233" s="76">
        <f t="shared" si="121"/>
        <v>219</v>
      </c>
      <c r="AO233" s="13">
        <f t="shared" si="122"/>
        <v>0</v>
      </c>
      <c r="AP233" s="62">
        <f t="shared" si="123"/>
        <v>0</v>
      </c>
      <c r="AQ233" s="9" t="str">
        <f t="shared" si="110"/>
        <v/>
      </c>
      <c r="AR233" s="60" t="str">
        <f t="shared" si="111"/>
        <v/>
      </c>
      <c r="AS233" s="8">
        <f t="shared" si="124"/>
        <v>0</v>
      </c>
      <c r="AT233" s="11">
        <f t="shared" si="125"/>
        <v>0</v>
      </c>
      <c r="AU233" s="15">
        <v>0</v>
      </c>
      <c r="AV233" s="32">
        <f t="shared" si="126"/>
        <v>0</v>
      </c>
      <c r="AW233" s="33"/>
      <c r="AX233" s="75">
        <f t="shared" si="127"/>
        <v>0</v>
      </c>
    </row>
    <row r="234" spans="1:50" x14ac:dyDescent="0.25">
      <c r="A234" s="5">
        <f t="shared" si="128"/>
        <v>0</v>
      </c>
      <c r="B234" s="5">
        <f t="shared" si="112"/>
        <v>0</v>
      </c>
      <c r="C234" s="77">
        <f t="shared" si="130"/>
        <v>52718</v>
      </c>
      <c r="D234" s="122" t="str">
        <f t="shared" si="99"/>
        <v/>
      </c>
      <c r="E234" s="123">
        <f t="shared" si="113"/>
        <v>220</v>
      </c>
      <c r="F234" s="124">
        <f t="shared" si="114"/>
        <v>0</v>
      </c>
      <c r="G234" s="125">
        <f t="shared" si="115"/>
        <v>0</v>
      </c>
      <c r="H234" s="126" t="str">
        <f t="shared" si="100"/>
        <v/>
      </c>
      <c r="I234" s="127" t="str">
        <f t="shared" si="101"/>
        <v/>
      </c>
      <c r="J234" s="128">
        <f t="shared" si="102"/>
        <v>0</v>
      </c>
      <c r="K234" s="129">
        <f t="shared" si="103"/>
        <v>0</v>
      </c>
      <c r="L234" s="1">
        <f t="shared" si="116"/>
        <v>0</v>
      </c>
      <c r="M234" s="130">
        <f t="shared" si="104"/>
        <v>0</v>
      </c>
      <c r="N234" s="131">
        <f t="shared" si="105"/>
        <v>0</v>
      </c>
      <c r="O234" s="15"/>
      <c r="P234" s="32">
        <f t="shared" si="117"/>
        <v>0</v>
      </c>
      <c r="Q234" s="33"/>
      <c r="R234" s="75">
        <f t="shared" si="118"/>
        <v>0</v>
      </c>
      <c r="V234" s="68">
        <f t="shared" si="106"/>
        <v>0</v>
      </c>
      <c r="AA234" s="4">
        <f t="shared" si="107"/>
        <v>2</v>
      </c>
      <c r="AB234" s="4">
        <f t="shared" si="108"/>
        <v>7</v>
      </c>
      <c r="AC234" s="12">
        <f t="shared" si="109"/>
        <v>19</v>
      </c>
      <c r="AJ234" s="5">
        <f t="shared" si="129"/>
        <v>0</v>
      </c>
      <c r="AK234" s="5">
        <f t="shared" si="119"/>
        <v>0</v>
      </c>
      <c r="AL234" s="77">
        <f t="shared" si="131"/>
        <v>52718</v>
      </c>
      <c r="AM234" s="27" t="str">
        <f t="shared" si="120"/>
        <v/>
      </c>
      <c r="AN234" s="76">
        <f t="shared" si="121"/>
        <v>220</v>
      </c>
      <c r="AO234" s="13">
        <f t="shared" si="122"/>
        <v>0</v>
      </c>
      <c r="AP234" s="62">
        <f t="shared" si="123"/>
        <v>0</v>
      </c>
      <c r="AQ234" s="9" t="str">
        <f t="shared" si="110"/>
        <v/>
      </c>
      <c r="AR234" s="60" t="str">
        <f t="shared" si="111"/>
        <v/>
      </c>
      <c r="AS234" s="8">
        <f t="shared" si="124"/>
        <v>0</v>
      </c>
      <c r="AT234" s="11">
        <f t="shared" si="125"/>
        <v>0</v>
      </c>
      <c r="AU234" s="15">
        <v>0</v>
      </c>
      <c r="AV234" s="32">
        <f t="shared" si="126"/>
        <v>0</v>
      </c>
      <c r="AW234" s="33"/>
      <c r="AX234" s="75">
        <f t="shared" si="127"/>
        <v>0</v>
      </c>
    </row>
    <row r="235" spans="1:50" x14ac:dyDescent="0.25">
      <c r="A235" s="5">
        <f t="shared" si="128"/>
        <v>0</v>
      </c>
      <c r="B235" s="5">
        <f t="shared" si="112"/>
        <v>0</v>
      </c>
      <c r="C235" s="77">
        <f t="shared" si="130"/>
        <v>52749</v>
      </c>
      <c r="D235" s="122" t="str">
        <f t="shared" si="99"/>
        <v/>
      </c>
      <c r="E235" s="123">
        <f t="shared" si="113"/>
        <v>221</v>
      </c>
      <c r="F235" s="124">
        <f t="shared" si="114"/>
        <v>0</v>
      </c>
      <c r="G235" s="125">
        <f t="shared" si="115"/>
        <v>0</v>
      </c>
      <c r="H235" s="126" t="str">
        <f t="shared" si="100"/>
        <v/>
      </c>
      <c r="I235" s="127" t="str">
        <f t="shared" si="101"/>
        <v/>
      </c>
      <c r="J235" s="128">
        <f t="shared" si="102"/>
        <v>0</v>
      </c>
      <c r="K235" s="129">
        <f t="shared" si="103"/>
        <v>0</v>
      </c>
      <c r="L235" s="1">
        <f t="shared" si="116"/>
        <v>0</v>
      </c>
      <c r="M235" s="130">
        <f t="shared" si="104"/>
        <v>0</v>
      </c>
      <c r="N235" s="131">
        <f t="shared" si="105"/>
        <v>0</v>
      </c>
      <c r="O235" s="15"/>
      <c r="P235" s="32">
        <f t="shared" si="117"/>
        <v>0</v>
      </c>
      <c r="Q235" s="33"/>
      <c r="R235" s="75">
        <f t="shared" si="118"/>
        <v>0</v>
      </c>
      <c r="V235" s="68">
        <f t="shared" si="106"/>
        <v>0</v>
      </c>
      <c r="AA235" s="4">
        <f t="shared" si="107"/>
        <v>2</v>
      </c>
      <c r="AB235" s="4">
        <f t="shared" si="108"/>
        <v>7</v>
      </c>
      <c r="AC235" s="12">
        <f t="shared" si="109"/>
        <v>19</v>
      </c>
      <c r="AJ235" s="5">
        <f t="shared" si="129"/>
        <v>0</v>
      </c>
      <c r="AK235" s="5">
        <f t="shared" si="119"/>
        <v>0</v>
      </c>
      <c r="AL235" s="77">
        <f t="shared" si="131"/>
        <v>52749</v>
      </c>
      <c r="AM235" s="27" t="str">
        <f t="shared" si="120"/>
        <v/>
      </c>
      <c r="AN235" s="76">
        <f t="shared" si="121"/>
        <v>221</v>
      </c>
      <c r="AO235" s="13">
        <f t="shared" si="122"/>
        <v>0</v>
      </c>
      <c r="AP235" s="62">
        <f t="shared" si="123"/>
        <v>0</v>
      </c>
      <c r="AQ235" s="9" t="str">
        <f t="shared" si="110"/>
        <v/>
      </c>
      <c r="AR235" s="60" t="str">
        <f t="shared" si="111"/>
        <v/>
      </c>
      <c r="AS235" s="8">
        <f t="shared" si="124"/>
        <v>0</v>
      </c>
      <c r="AT235" s="11">
        <f t="shared" si="125"/>
        <v>0</v>
      </c>
      <c r="AU235" s="15">
        <v>0</v>
      </c>
      <c r="AV235" s="32">
        <f t="shared" si="126"/>
        <v>0</v>
      </c>
      <c r="AW235" s="33"/>
      <c r="AX235" s="75">
        <f t="shared" si="127"/>
        <v>0</v>
      </c>
    </row>
    <row r="236" spans="1:50" x14ac:dyDescent="0.25">
      <c r="A236" s="5">
        <f t="shared" si="128"/>
        <v>0</v>
      </c>
      <c r="B236" s="5">
        <f t="shared" si="112"/>
        <v>0</v>
      </c>
      <c r="C236" s="77">
        <f t="shared" si="130"/>
        <v>52779</v>
      </c>
      <c r="D236" s="122" t="str">
        <f t="shared" si="99"/>
        <v/>
      </c>
      <c r="E236" s="123">
        <f t="shared" si="113"/>
        <v>222</v>
      </c>
      <c r="F236" s="124">
        <f t="shared" si="114"/>
        <v>0</v>
      </c>
      <c r="G236" s="125">
        <f t="shared" si="115"/>
        <v>0</v>
      </c>
      <c r="H236" s="126" t="str">
        <f t="shared" si="100"/>
        <v/>
      </c>
      <c r="I236" s="127" t="str">
        <f t="shared" si="101"/>
        <v/>
      </c>
      <c r="J236" s="128">
        <f t="shared" si="102"/>
        <v>0</v>
      </c>
      <c r="K236" s="129">
        <f t="shared" si="103"/>
        <v>0</v>
      </c>
      <c r="L236" s="1">
        <f t="shared" si="116"/>
        <v>0</v>
      </c>
      <c r="M236" s="130">
        <f t="shared" si="104"/>
        <v>0</v>
      </c>
      <c r="N236" s="131">
        <f t="shared" si="105"/>
        <v>0</v>
      </c>
      <c r="O236" s="15"/>
      <c r="P236" s="32">
        <f t="shared" si="117"/>
        <v>0</v>
      </c>
      <c r="Q236" s="33"/>
      <c r="R236" s="75">
        <f t="shared" si="118"/>
        <v>0</v>
      </c>
      <c r="V236" s="68">
        <f t="shared" si="106"/>
        <v>0</v>
      </c>
      <c r="AA236" s="4">
        <f t="shared" si="107"/>
        <v>2</v>
      </c>
      <c r="AB236" s="4">
        <f t="shared" si="108"/>
        <v>7</v>
      </c>
      <c r="AC236" s="12">
        <f t="shared" si="109"/>
        <v>19</v>
      </c>
      <c r="AJ236" s="5">
        <f t="shared" si="129"/>
        <v>0</v>
      </c>
      <c r="AK236" s="5">
        <f t="shared" si="119"/>
        <v>0</v>
      </c>
      <c r="AL236" s="77">
        <f t="shared" si="131"/>
        <v>52779</v>
      </c>
      <c r="AM236" s="27" t="str">
        <f t="shared" si="120"/>
        <v/>
      </c>
      <c r="AN236" s="76">
        <f t="shared" si="121"/>
        <v>222</v>
      </c>
      <c r="AO236" s="13">
        <f t="shared" si="122"/>
        <v>0</v>
      </c>
      <c r="AP236" s="62">
        <f t="shared" si="123"/>
        <v>0</v>
      </c>
      <c r="AQ236" s="9" t="str">
        <f t="shared" si="110"/>
        <v/>
      </c>
      <c r="AR236" s="60" t="str">
        <f t="shared" si="111"/>
        <v/>
      </c>
      <c r="AS236" s="8">
        <f t="shared" si="124"/>
        <v>0</v>
      </c>
      <c r="AT236" s="11">
        <f t="shared" si="125"/>
        <v>0</v>
      </c>
      <c r="AU236" s="15">
        <v>0</v>
      </c>
      <c r="AV236" s="32">
        <f t="shared" si="126"/>
        <v>0</v>
      </c>
      <c r="AW236" s="33"/>
      <c r="AX236" s="75">
        <f t="shared" si="127"/>
        <v>0</v>
      </c>
    </row>
    <row r="237" spans="1:50" x14ac:dyDescent="0.25">
      <c r="A237" s="5">
        <f t="shared" si="128"/>
        <v>0</v>
      </c>
      <c r="B237" s="5">
        <f t="shared" si="112"/>
        <v>0</v>
      </c>
      <c r="C237" s="77">
        <f t="shared" si="130"/>
        <v>52810</v>
      </c>
      <c r="D237" s="122" t="str">
        <f t="shared" si="99"/>
        <v/>
      </c>
      <c r="E237" s="123">
        <f t="shared" si="113"/>
        <v>223</v>
      </c>
      <c r="F237" s="124">
        <f t="shared" si="114"/>
        <v>0</v>
      </c>
      <c r="G237" s="125">
        <f t="shared" si="115"/>
        <v>0</v>
      </c>
      <c r="H237" s="126" t="str">
        <f t="shared" si="100"/>
        <v/>
      </c>
      <c r="I237" s="127" t="str">
        <f t="shared" si="101"/>
        <v/>
      </c>
      <c r="J237" s="128">
        <f t="shared" si="102"/>
        <v>0</v>
      </c>
      <c r="K237" s="129">
        <f t="shared" si="103"/>
        <v>0</v>
      </c>
      <c r="L237" s="1">
        <f t="shared" si="116"/>
        <v>0</v>
      </c>
      <c r="M237" s="130">
        <f t="shared" si="104"/>
        <v>0</v>
      </c>
      <c r="N237" s="131">
        <f t="shared" si="105"/>
        <v>0</v>
      </c>
      <c r="O237" s="15"/>
      <c r="P237" s="32">
        <f t="shared" si="117"/>
        <v>0</v>
      </c>
      <c r="Q237" s="33"/>
      <c r="R237" s="75">
        <f t="shared" si="118"/>
        <v>0</v>
      </c>
      <c r="V237" s="68">
        <f t="shared" si="106"/>
        <v>0</v>
      </c>
      <c r="AA237" s="4">
        <f t="shared" si="107"/>
        <v>2</v>
      </c>
      <c r="AB237" s="4">
        <f t="shared" si="108"/>
        <v>7</v>
      </c>
      <c r="AC237" s="12">
        <f t="shared" si="109"/>
        <v>19</v>
      </c>
      <c r="AJ237" s="5">
        <f t="shared" si="129"/>
        <v>0</v>
      </c>
      <c r="AK237" s="5">
        <f t="shared" si="119"/>
        <v>0</v>
      </c>
      <c r="AL237" s="77">
        <f t="shared" si="131"/>
        <v>52810</v>
      </c>
      <c r="AM237" s="27" t="str">
        <f t="shared" si="120"/>
        <v/>
      </c>
      <c r="AN237" s="76">
        <f t="shared" si="121"/>
        <v>223</v>
      </c>
      <c r="AO237" s="13">
        <f t="shared" si="122"/>
        <v>0</v>
      </c>
      <c r="AP237" s="62">
        <f t="shared" si="123"/>
        <v>0</v>
      </c>
      <c r="AQ237" s="9" t="str">
        <f t="shared" si="110"/>
        <v/>
      </c>
      <c r="AR237" s="60" t="str">
        <f t="shared" si="111"/>
        <v/>
      </c>
      <c r="AS237" s="8">
        <f t="shared" si="124"/>
        <v>0</v>
      </c>
      <c r="AT237" s="11">
        <f t="shared" si="125"/>
        <v>0</v>
      </c>
      <c r="AU237" s="15">
        <v>0</v>
      </c>
      <c r="AV237" s="32">
        <f t="shared" si="126"/>
        <v>0</v>
      </c>
      <c r="AW237" s="33"/>
      <c r="AX237" s="75">
        <f t="shared" si="127"/>
        <v>0</v>
      </c>
    </row>
    <row r="238" spans="1:50" x14ac:dyDescent="0.25">
      <c r="A238" s="5">
        <f t="shared" si="128"/>
        <v>0</v>
      </c>
      <c r="B238" s="5">
        <f t="shared" si="112"/>
        <v>0</v>
      </c>
      <c r="C238" s="77">
        <f t="shared" si="130"/>
        <v>52841</v>
      </c>
      <c r="D238" s="122" t="str">
        <f t="shared" si="99"/>
        <v/>
      </c>
      <c r="E238" s="123">
        <f t="shared" si="113"/>
        <v>224</v>
      </c>
      <c r="F238" s="124">
        <f t="shared" si="114"/>
        <v>0</v>
      </c>
      <c r="G238" s="125">
        <f t="shared" si="115"/>
        <v>0</v>
      </c>
      <c r="H238" s="126" t="str">
        <f t="shared" si="100"/>
        <v/>
      </c>
      <c r="I238" s="127" t="str">
        <f t="shared" si="101"/>
        <v/>
      </c>
      <c r="J238" s="128">
        <f t="shared" si="102"/>
        <v>0</v>
      </c>
      <c r="K238" s="129">
        <f t="shared" si="103"/>
        <v>0</v>
      </c>
      <c r="L238" s="1">
        <f t="shared" si="116"/>
        <v>0</v>
      </c>
      <c r="M238" s="130">
        <f t="shared" si="104"/>
        <v>0</v>
      </c>
      <c r="N238" s="131">
        <f t="shared" si="105"/>
        <v>0</v>
      </c>
      <c r="O238" s="15"/>
      <c r="P238" s="32">
        <f t="shared" si="117"/>
        <v>0</v>
      </c>
      <c r="Q238" s="33"/>
      <c r="R238" s="75">
        <f t="shared" si="118"/>
        <v>0</v>
      </c>
      <c r="V238" s="68">
        <f t="shared" si="106"/>
        <v>0</v>
      </c>
      <c r="AA238" s="4">
        <f t="shared" si="107"/>
        <v>2</v>
      </c>
      <c r="AB238" s="4">
        <f t="shared" si="108"/>
        <v>7</v>
      </c>
      <c r="AC238" s="12">
        <f t="shared" si="109"/>
        <v>19</v>
      </c>
      <c r="AJ238" s="5">
        <f t="shared" si="129"/>
        <v>0</v>
      </c>
      <c r="AK238" s="5">
        <f t="shared" si="119"/>
        <v>0</v>
      </c>
      <c r="AL238" s="77">
        <f t="shared" si="131"/>
        <v>52841</v>
      </c>
      <c r="AM238" s="27" t="str">
        <f t="shared" si="120"/>
        <v/>
      </c>
      <c r="AN238" s="76">
        <f t="shared" si="121"/>
        <v>224</v>
      </c>
      <c r="AO238" s="13">
        <f t="shared" si="122"/>
        <v>0</v>
      </c>
      <c r="AP238" s="62">
        <f t="shared" si="123"/>
        <v>0</v>
      </c>
      <c r="AQ238" s="9" t="str">
        <f t="shared" si="110"/>
        <v/>
      </c>
      <c r="AR238" s="60" t="str">
        <f t="shared" si="111"/>
        <v/>
      </c>
      <c r="AS238" s="8">
        <f t="shared" si="124"/>
        <v>0</v>
      </c>
      <c r="AT238" s="11">
        <f t="shared" si="125"/>
        <v>0</v>
      </c>
      <c r="AU238" s="15">
        <v>0</v>
      </c>
      <c r="AV238" s="32">
        <f t="shared" si="126"/>
        <v>0</v>
      </c>
      <c r="AW238" s="33"/>
      <c r="AX238" s="75">
        <f t="shared" si="127"/>
        <v>0</v>
      </c>
    </row>
    <row r="239" spans="1:50" x14ac:dyDescent="0.25">
      <c r="A239" s="5">
        <f t="shared" si="128"/>
        <v>0</v>
      </c>
      <c r="B239" s="5">
        <f t="shared" si="112"/>
        <v>0</v>
      </c>
      <c r="C239" s="77">
        <f t="shared" si="130"/>
        <v>52871</v>
      </c>
      <c r="D239" s="122" t="str">
        <f t="shared" si="99"/>
        <v/>
      </c>
      <c r="E239" s="123">
        <f t="shared" si="113"/>
        <v>225</v>
      </c>
      <c r="F239" s="124">
        <f t="shared" si="114"/>
        <v>0</v>
      </c>
      <c r="G239" s="125">
        <f t="shared" si="115"/>
        <v>0</v>
      </c>
      <c r="H239" s="126" t="str">
        <f t="shared" si="100"/>
        <v/>
      </c>
      <c r="I239" s="127" t="str">
        <f t="shared" si="101"/>
        <v/>
      </c>
      <c r="J239" s="128">
        <f t="shared" si="102"/>
        <v>0</v>
      </c>
      <c r="K239" s="129">
        <f t="shared" si="103"/>
        <v>0</v>
      </c>
      <c r="L239" s="1">
        <f t="shared" si="116"/>
        <v>0</v>
      </c>
      <c r="M239" s="130">
        <f t="shared" si="104"/>
        <v>0</v>
      </c>
      <c r="N239" s="131">
        <f t="shared" si="105"/>
        <v>0</v>
      </c>
      <c r="O239" s="15"/>
      <c r="P239" s="32">
        <f t="shared" si="117"/>
        <v>0</v>
      </c>
      <c r="Q239" s="33"/>
      <c r="R239" s="75">
        <f t="shared" si="118"/>
        <v>0</v>
      </c>
      <c r="V239" s="68">
        <f t="shared" si="106"/>
        <v>0</v>
      </c>
      <c r="AA239" s="4">
        <f t="shared" si="107"/>
        <v>2</v>
      </c>
      <c r="AB239" s="4">
        <f t="shared" si="108"/>
        <v>7</v>
      </c>
      <c r="AC239" s="12">
        <f t="shared" si="109"/>
        <v>19</v>
      </c>
      <c r="AJ239" s="5">
        <f t="shared" si="129"/>
        <v>0</v>
      </c>
      <c r="AK239" s="5">
        <f t="shared" si="119"/>
        <v>0</v>
      </c>
      <c r="AL239" s="77">
        <f t="shared" si="131"/>
        <v>52871</v>
      </c>
      <c r="AM239" s="27" t="str">
        <f t="shared" si="120"/>
        <v/>
      </c>
      <c r="AN239" s="76">
        <f t="shared" si="121"/>
        <v>225</v>
      </c>
      <c r="AO239" s="13">
        <f t="shared" si="122"/>
        <v>0</v>
      </c>
      <c r="AP239" s="62">
        <f t="shared" si="123"/>
        <v>0</v>
      </c>
      <c r="AQ239" s="9" t="str">
        <f t="shared" si="110"/>
        <v/>
      </c>
      <c r="AR239" s="60" t="str">
        <f t="shared" si="111"/>
        <v/>
      </c>
      <c r="AS239" s="8">
        <f t="shared" si="124"/>
        <v>0</v>
      </c>
      <c r="AT239" s="11">
        <f t="shared" si="125"/>
        <v>0</v>
      </c>
      <c r="AU239" s="15">
        <v>0</v>
      </c>
      <c r="AV239" s="32">
        <f t="shared" si="126"/>
        <v>0</v>
      </c>
      <c r="AW239" s="33"/>
      <c r="AX239" s="75">
        <f t="shared" si="127"/>
        <v>0</v>
      </c>
    </row>
    <row r="240" spans="1:50" x14ac:dyDescent="0.25">
      <c r="A240" s="5">
        <f t="shared" si="128"/>
        <v>0</v>
      </c>
      <c r="B240" s="5">
        <f t="shared" si="112"/>
        <v>0</v>
      </c>
      <c r="C240" s="77">
        <f t="shared" si="130"/>
        <v>52902</v>
      </c>
      <c r="D240" s="122" t="str">
        <f t="shared" si="99"/>
        <v/>
      </c>
      <c r="E240" s="123">
        <f t="shared" si="113"/>
        <v>226</v>
      </c>
      <c r="F240" s="124">
        <f t="shared" si="114"/>
        <v>0</v>
      </c>
      <c r="G240" s="125">
        <f t="shared" si="115"/>
        <v>0</v>
      </c>
      <c r="H240" s="126" t="str">
        <f t="shared" si="100"/>
        <v/>
      </c>
      <c r="I240" s="127" t="str">
        <f t="shared" si="101"/>
        <v/>
      </c>
      <c r="J240" s="128">
        <f t="shared" si="102"/>
        <v>0</v>
      </c>
      <c r="K240" s="129">
        <f t="shared" si="103"/>
        <v>0</v>
      </c>
      <c r="L240" s="1">
        <f t="shared" si="116"/>
        <v>0</v>
      </c>
      <c r="M240" s="130">
        <f t="shared" si="104"/>
        <v>0</v>
      </c>
      <c r="N240" s="131">
        <f t="shared" si="105"/>
        <v>0</v>
      </c>
      <c r="O240" s="15"/>
      <c r="P240" s="32">
        <f t="shared" si="117"/>
        <v>0</v>
      </c>
      <c r="Q240" s="33"/>
      <c r="R240" s="75">
        <f t="shared" si="118"/>
        <v>0</v>
      </c>
      <c r="V240" s="68">
        <f t="shared" si="106"/>
        <v>0</v>
      </c>
      <c r="AA240" s="4">
        <f t="shared" si="107"/>
        <v>2</v>
      </c>
      <c r="AB240" s="4">
        <f t="shared" si="108"/>
        <v>7</v>
      </c>
      <c r="AC240" s="12">
        <f t="shared" si="109"/>
        <v>19</v>
      </c>
      <c r="AJ240" s="5">
        <f t="shared" si="129"/>
        <v>0</v>
      </c>
      <c r="AK240" s="5">
        <f t="shared" si="119"/>
        <v>0</v>
      </c>
      <c r="AL240" s="77">
        <f t="shared" si="131"/>
        <v>52902</v>
      </c>
      <c r="AM240" s="27" t="str">
        <f t="shared" si="120"/>
        <v/>
      </c>
      <c r="AN240" s="76">
        <f t="shared" si="121"/>
        <v>226</v>
      </c>
      <c r="AO240" s="13">
        <f t="shared" si="122"/>
        <v>0</v>
      </c>
      <c r="AP240" s="62">
        <f t="shared" si="123"/>
        <v>0</v>
      </c>
      <c r="AQ240" s="9" t="str">
        <f t="shared" si="110"/>
        <v/>
      </c>
      <c r="AR240" s="60" t="str">
        <f t="shared" si="111"/>
        <v/>
      </c>
      <c r="AS240" s="8">
        <f t="shared" si="124"/>
        <v>0</v>
      </c>
      <c r="AT240" s="11">
        <f t="shared" si="125"/>
        <v>0</v>
      </c>
      <c r="AU240" s="15">
        <v>0</v>
      </c>
      <c r="AV240" s="32">
        <f t="shared" si="126"/>
        <v>0</v>
      </c>
      <c r="AW240" s="33"/>
      <c r="AX240" s="75">
        <f t="shared" si="127"/>
        <v>0</v>
      </c>
    </row>
    <row r="241" spans="1:50" x14ac:dyDescent="0.25">
      <c r="A241" s="5">
        <f t="shared" si="128"/>
        <v>0</v>
      </c>
      <c r="B241" s="5">
        <f t="shared" si="112"/>
        <v>0</v>
      </c>
      <c r="C241" s="77">
        <f t="shared" si="130"/>
        <v>52932</v>
      </c>
      <c r="D241" s="122" t="str">
        <f t="shared" si="99"/>
        <v/>
      </c>
      <c r="E241" s="123">
        <f t="shared" si="113"/>
        <v>227</v>
      </c>
      <c r="F241" s="124">
        <f t="shared" si="114"/>
        <v>0</v>
      </c>
      <c r="G241" s="125">
        <f t="shared" si="115"/>
        <v>0</v>
      </c>
      <c r="H241" s="126" t="str">
        <f t="shared" si="100"/>
        <v/>
      </c>
      <c r="I241" s="127" t="str">
        <f t="shared" si="101"/>
        <v/>
      </c>
      <c r="J241" s="128">
        <f t="shared" si="102"/>
        <v>0</v>
      </c>
      <c r="K241" s="129">
        <f t="shared" si="103"/>
        <v>0</v>
      </c>
      <c r="L241" s="1">
        <f t="shared" si="116"/>
        <v>0</v>
      </c>
      <c r="M241" s="130">
        <f t="shared" si="104"/>
        <v>0</v>
      </c>
      <c r="N241" s="131">
        <f t="shared" si="105"/>
        <v>0</v>
      </c>
      <c r="O241" s="15"/>
      <c r="P241" s="32">
        <f t="shared" si="117"/>
        <v>0</v>
      </c>
      <c r="Q241" s="33"/>
      <c r="R241" s="75">
        <f t="shared" si="118"/>
        <v>0</v>
      </c>
      <c r="V241" s="68">
        <f t="shared" si="106"/>
        <v>0</v>
      </c>
      <c r="AA241" s="4">
        <f t="shared" si="107"/>
        <v>2</v>
      </c>
      <c r="AB241" s="4">
        <f t="shared" si="108"/>
        <v>7</v>
      </c>
      <c r="AC241" s="12">
        <f t="shared" si="109"/>
        <v>19</v>
      </c>
      <c r="AJ241" s="5">
        <f t="shared" si="129"/>
        <v>0</v>
      </c>
      <c r="AK241" s="5">
        <f t="shared" si="119"/>
        <v>0</v>
      </c>
      <c r="AL241" s="77">
        <f t="shared" si="131"/>
        <v>52932</v>
      </c>
      <c r="AM241" s="27" t="str">
        <f t="shared" si="120"/>
        <v/>
      </c>
      <c r="AN241" s="76">
        <f t="shared" si="121"/>
        <v>227</v>
      </c>
      <c r="AO241" s="13">
        <f t="shared" si="122"/>
        <v>0</v>
      </c>
      <c r="AP241" s="62">
        <f t="shared" si="123"/>
        <v>0</v>
      </c>
      <c r="AQ241" s="9" t="str">
        <f t="shared" si="110"/>
        <v/>
      </c>
      <c r="AR241" s="60" t="str">
        <f t="shared" si="111"/>
        <v/>
      </c>
      <c r="AS241" s="8">
        <f t="shared" si="124"/>
        <v>0</v>
      </c>
      <c r="AT241" s="11">
        <f t="shared" si="125"/>
        <v>0</v>
      </c>
      <c r="AU241" s="15">
        <v>0</v>
      </c>
      <c r="AV241" s="32">
        <f t="shared" si="126"/>
        <v>0</v>
      </c>
      <c r="AW241" s="33"/>
      <c r="AX241" s="75">
        <f t="shared" si="127"/>
        <v>0</v>
      </c>
    </row>
    <row r="242" spans="1:50" x14ac:dyDescent="0.25">
      <c r="A242" s="5">
        <f t="shared" si="128"/>
        <v>0</v>
      </c>
      <c r="B242" s="5">
        <f t="shared" si="112"/>
        <v>0</v>
      </c>
      <c r="C242" s="77">
        <f t="shared" si="130"/>
        <v>52963</v>
      </c>
      <c r="D242" s="122" t="str">
        <f t="shared" si="99"/>
        <v/>
      </c>
      <c r="E242" s="123">
        <f t="shared" si="113"/>
        <v>228</v>
      </c>
      <c r="F242" s="124">
        <f t="shared" si="114"/>
        <v>0</v>
      </c>
      <c r="G242" s="125">
        <f t="shared" si="115"/>
        <v>0</v>
      </c>
      <c r="H242" s="126" t="str">
        <f t="shared" si="100"/>
        <v/>
      </c>
      <c r="I242" s="127" t="str">
        <f t="shared" si="101"/>
        <v/>
      </c>
      <c r="J242" s="128">
        <f t="shared" si="102"/>
        <v>0</v>
      </c>
      <c r="K242" s="129">
        <f t="shared" si="103"/>
        <v>0</v>
      </c>
      <c r="L242" s="1">
        <f t="shared" si="116"/>
        <v>0</v>
      </c>
      <c r="M242" s="130">
        <f t="shared" si="104"/>
        <v>0</v>
      </c>
      <c r="N242" s="131">
        <f t="shared" si="105"/>
        <v>0</v>
      </c>
      <c r="O242" s="15"/>
      <c r="P242" s="32">
        <f t="shared" si="117"/>
        <v>0</v>
      </c>
      <c r="Q242" s="33"/>
      <c r="R242" s="75">
        <f t="shared" si="118"/>
        <v>0</v>
      </c>
      <c r="V242" s="68">
        <f t="shared" si="106"/>
        <v>0</v>
      </c>
      <c r="AA242" s="4">
        <f t="shared" si="107"/>
        <v>2</v>
      </c>
      <c r="AB242" s="4">
        <f t="shared" si="108"/>
        <v>7</v>
      </c>
      <c r="AC242" s="12">
        <f t="shared" si="109"/>
        <v>19</v>
      </c>
      <c r="AJ242" s="5">
        <f t="shared" si="129"/>
        <v>0</v>
      </c>
      <c r="AK242" s="5">
        <f t="shared" si="119"/>
        <v>0</v>
      </c>
      <c r="AL242" s="77">
        <f t="shared" si="131"/>
        <v>52963</v>
      </c>
      <c r="AM242" s="27" t="str">
        <f t="shared" si="120"/>
        <v/>
      </c>
      <c r="AN242" s="76">
        <f t="shared" si="121"/>
        <v>228</v>
      </c>
      <c r="AO242" s="13">
        <f t="shared" si="122"/>
        <v>0</v>
      </c>
      <c r="AP242" s="62">
        <f t="shared" si="123"/>
        <v>0</v>
      </c>
      <c r="AQ242" s="9" t="str">
        <f t="shared" si="110"/>
        <v/>
      </c>
      <c r="AR242" s="60" t="str">
        <f t="shared" si="111"/>
        <v/>
      </c>
      <c r="AS242" s="8">
        <f t="shared" si="124"/>
        <v>0</v>
      </c>
      <c r="AT242" s="11">
        <f t="shared" si="125"/>
        <v>0</v>
      </c>
      <c r="AU242" s="15">
        <v>0</v>
      </c>
      <c r="AV242" s="32">
        <f t="shared" si="126"/>
        <v>0</v>
      </c>
      <c r="AW242" s="33"/>
      <c r="AX242" s="75">
        <f t="shared" si="127"/>
        <v>0</v>
      </c>
    </row>
    <row r="243" spans="1:50" x14ac:dyDescent="0.25">
      <c r="A243" s="5">
        <f t="shared" si="128"/>
        <v>0</v>
      </c>
      <c r="B243" s="5">
        <f t="shared" si="112"/>
        <v>0</v>
      </c>
      <c r="C243" s="77">
        <f t="shared" si="130"/>
        <v>52994</v>
      </c>
      <c r="D243" s="122" t="str">
        <f t="shared" si="99"/>
        <v/>
      </c>
      <c r="E243" s="123">
        <f t="shared" si="113"/>
        <v>229</v>
      </c>
      <c r="F243" s="124">
        <f t="shared" si="114"/>
        <v>0</v>
      </c>
      <c r="G243" s="125">
        <f t="shared" si="115"/>
        <v>0</v>
      </c>
      <c r="H243" s="126" t="str">
        <f t="shared" si="100"/>
        <v/>
      </c>
      <c r="I243" s="127" t="str">
        <f t="shared" si="101"/>
        <v/>
      </c>
      <c r="J243" s="128">
        <f t="shared" si="102"/>
        <v>0</v>
      </c>
      <c r="K243" s="129">
        <f t="shared" si="103"/>
        <v>0</v>
      </c>
      <c r="L243" s="1">
        <f t="shared" si="116"/>
        <v>0</v>
      </c>
      <c r="M243" s="130">
        <f t="shared" si="104"/>
        <v>0</v>
      </c>
      <c r="N243" s="131">
        <f t="shared" si="105"/>
        <v>0</v>
      </c>
      <c r="O243" s="15"/>
      <c r="P243" s="32">
        <f t="shared" si="117"/>
        <v>0</v>
      </c>
      <c r="Q243" s="33"/>
      <c r="R243" s="75">
        <f t="shared" si="118"/>
        <v>0</v>
      </c>
      <c r="V243" s="68">
        <f t="shared" si="106"/>
        <v>0</v>
      </c>
      <c r="AA243" s="4">
        <f t="shared" si="107"/>
        <v>2</v>
      </c>
      <c r="AB243" s="4">
        <f t="shared" si="108"/>
        <v>7</v>
      </c>
      <c r="AC243" s="12">
        <f t="shared" si="109"/>
        <v>20</v>
      </c>
      <c r="AJ243" s="5">
        <f t="shared" si="129"/>
        <v>0</v>
      </c>
      <c r="AK243" s="5">
        <f t="shared" si="119"/>
        <v>0</v>
      </c>
      <c r="AL243" s="77">
        <f t="shared" si="131"/>
        <v>52994</v>
      </c>
      <c r="AM243" s="27" t="str">
        <f t="shared" si="120"/>
        <v/>
      </c>
      <c r="AN243" s="76">
        <f t="shared" si="121"/>
        <v>229</v>
      </c>
      <c r="AO243" s="13">
        <f t="shared" si="122"/>
        <v>0</v>
      </c>
      <c r="AP243" s="62">
        <f t="shared" si="123"/>
        <v>0</v>
      </c>
      <c r="AQ243" s="9" t="str">
        <f t="shared" si="110"/>
        <v/>
      </c>
      <c r="AR243" s="60" t="str">
        <f t="shared" si="111"/>
        <v/>
      </c>
      <c r="AS243" s="8">
        <f t="shared" si="124"/>
        <v>0</v>
      </c>
      <c r="AT243" s="11">
        <f t="shared" si="125"/>
        <v>0</v>
      </c>
      <c r="AU243" s="15">
        <v>0</v>
      </c>
      <c r="AV243" s="32">
        <f t="shared" si="126"/>
        <v>0</v>
      </c>
      <c r="AW243" s="33"/>
      <c r="AX243" s="75">
        <f t="shared" si="127"/>
        <v>0</v>
      </c>
    </row>
    <row r="244" spans="1:50" x14ac:dyDescent="0.25">
      <c r="A244" s="5">
        <f t="shared" si="128"/>
        <v>0</v>
      </c>
      <c r="B244" s="5">
        <f t="shared" si="112"/>
        <v>0</v>
      </c>
      <c r="C244" s="77">
        <f t="shared" si="130"/>
        <v>53022</v>
      </c>
      <c r="D244" s="122" t="str">
        <f t="shared" si="99"/>
        <v/>
      </c>
      <c r="E244" s="123">
        <f t="shared" si="113"/>
        <v>230</v>
      </c>
      <c r="F244" s="124">
        <f t="shared" si="114"/>
        <v>0</v>
      </c>
      <c r="G244" s="125">
        <f t="shared" si="115"/>
        <v>0</v>
      </c>
      <c r="H244" s="126" t="str">
        <f t="shared" si="100"/>
        <v/>
      </c>
      <c r="I244" s="127" t="str">
        <f t="shared" si="101"/>
        <v/>
      </c>
      <c r="J244" s="128">
        <f t="shared" si="102"/>
        <v>0</v>
      </c>
      <c r="K244" s="129">
        <f t="shared" si="103"/>
        <v>0</v>
      </c>
      <c r="L244" s="1">
        <f t="shared" si="116"/>
        <v>0</v>
      </c>
      <c r="M244" s="130">
        <f t="shared" si="104"/>
        <v>0</v>
      </c>
      <c r="N244" s="131">
        <f t="shared" si="105"/>
        <v>0</v>
      </c>
      <c r="O244" s="15"/>
      <c r="P244" s="32">
        <f t="shared" si="117"/>
        <v>0</v>
      </c>
      <c r="Q244" s="33"/>
      <c r="R244" s="75">
        <f t="shared" si="118"/>
        <v>0</v>
      </c>
      <c r="V244" s="68">
        <f t="shared" si="106"/>
        <v>0</v>
      </c>
      <c r="AA244" s="4">
        <f t="shared" si="107"/>
        <v>2</v>
      </c>
      <c r="AB244" s="4">
        <f t="shared" si="108"/>
        <v>7</v>
      </c>
      <c r="AC244" s="12">
        <f t="shared" si="109"/>
        <v>20</v>
      </c>
      <c r="AJ244" s="5">
        <f t="shared" si="129"/>
        <v>0</v>
      </c>
      <c r="AK244" s="5">
        <f t="shared" si="119"/>
        <v>0</v>
      </c>
      <c r="AL244" s="77">
        <f t="shared" si="131"/>
        <v>53022</v>
      </c>
      <c r="AM244" s="27" t="str">
        <f t="shared" si="120"/>
        <v/>
      </c>
      <c r="AN244" s="76">
        <f t="shared" si="121"/>
        <v>230</v>
      </c>
      <c r="AO244" s="13">
        <f t="shared" si="122"/>
        <v>0</v>
      </c>
      <c r="AP244" s="62">
        <f t="shared" si="123"/>
        <v>0</v>
      </c>
      <c r="AQ244" s="9" t="str">
        <f t="shared" si="110"/>
        <v/>
      </c>
      <c r="AR244" s="60" t="str">
        <f t="shared" si="111"/>
        <v/>
      </c>
      <c r="AS244" s="8">
        <f t="shared" si="124"/>
        <v>0</v>
      </c>
      <c r="AT244" s="11">
        <f t="shared" si="125"/>
        <v>0</v>
      </c>
      <c r="AU244" s="15">
        <v>0</v>
      </c>
      <c r="AV244" s="32">
        <f t="shared" si="126"/>
        <v>0</v>
      </c>
      <c r="AW244" s="33"/>
      <c r="AX244" s="75">
        <f t="shared" si="127"/>
        <v>0</v>
      </c>
    </row>
    <row r="245" spans="1:50" x14ac:dyDescent="0.25">
      <c r="A245" s="5">
        <f t="shared" si="128"/>
        <v>0</v>
      </c>
      <c r="B245" s="5">
        <f t="shared" si="112"/>
        <v>0</v>
      </c>
      <c r="C245" s="77">
        <f t="shared" si="130"/>
        <v>53053</v>
      </c>
      <c r="D245" s="122" t="str">
        <f t="shared" si="99"/>
        <v/>
      </c>
      <c r="E245" s="123">
        <f t="shared" si="113"/>
        <v>231</v>
      </c>
      <c r="F245" s="124">
        <f t="shared" si="114"/>
        <v>0</v>
      </c>
      <c r="G245" s="125">
        <f t="shared" si="115"/>
        <v>0</v>
      </c>
      <c r="H245" s="126" t="str">
        <f t="shared" si="100"/>
        <v/>
      </c>
      <c r="I245" s="127" t="str">
        <f t="shared" si="101"/>
        <v/>
      </c>
      <c r="J245" s="128">
        <f t="shared" si="102"/>
        <v>0</v>
      </c>
      <c r="K245" s="129">
        <f t="shared" si="103"/>
        <v>0</v>
      </c>
      <c r="L245" s="1">
        <f t="shared" si="116"/>
        <v>0</v>
      </c>
      <c r="M245" s="130">
        <f t="shared" si="104"/>
        <v>0</v>
      </c>
      <c r="N245" s="131">
        <f t="shared" si="105"/>
        <v>0</v>
      </c>
      <c r="O245" s="15"/>
      <c r="P245" s="32">
        <f t="shared" si="117"/>
        <v>0</v>
      </c>
      <c r="Q245" s="33"/>
      <c r="R245" s="75">
        <f t="shared" si="118"/>
        <v>0</v>
      </c>
      <c r="V245" s="68">
        <f t="shared" si="106"/>
        <v>0</v>
      </c>
      <c r="AA245" s="4">
        <f t="shared" si="107"/>
        <v>2</v>
      </c>
      <c r="AB245" s="4">
        <f t="shared" si="108"/>
        <v>7</v>
      </c>
      <c r="AC245" s="12">
        <f t="shared" si="109"/>
        <v>20</v>
      </c>
      <c r="AJ245" s="5">
        <f t="shared" si="129"/>
        <v>0</v>
      </c>
      <c r="AK245" s="5">
        <f t="shared" si="119"/>
        <v>0</v>
      </c>
      <c r="AL245" s="77">
        <f t="shared" si="131"/>
        <v>53053</v>
      </c>
      <c r="AM245" s="27" t="str">
        <f t="shared" si="120"/>
        <v/>
      </c>
      <c r="AN245" s="76">
        <f t="shared" si="121"/>
        <v>231</v>
      </c>
      <c r="AO245" s="13">
        <f t="shared" si="122"/>
        <v>0</v>
      </c>
      <c r="AP245" s="62">
        <f t="shared" si="123"/>
        <v>0</v>
      </c>
      <c r="AQ245" s="9" t="str">
        <f t="shared" si="110"/>
        <v/>
      </c>
      <c r="AR245" s="60" t="str">
        <f t="shared" si="111"/>
        <v/>
      </c>
      <c r="AS245" s="8">
        <f t="shared" si="124"/>
        <v>0</v>
      </c>
      <c r="AT245" s="11">
        <f t="shared" si="125"/>
        <v>0</v>
      </c>
      <c r="AU245" s="15">
        <v>0</v>
      </c>
      <c r="AV245" s="32">
        <f t="shared" si="126"/>
        <v>0</v>
      </c>
      <c r="AW245" s="33"/>
      <c r="AX245" s="75">
        <f t="shared" si="127"/>
        <v>0</v>
      </c>
    </row>
    <row r="246" spans="1:50" x14ac:dyDescent="0.25">
      <c r="A246" s="5">
        <f t="shared" si="128"/>
        <v>0</v>
      </c>
      <c r="B246" s="5">
        <f t="shared" si="112"/>
        <v>0</v>
      </c>
      <c r="C246" s="77">
        <f t="shared" si="130"/>
        <v>53083</v>
      </c>
      <c r="D246" s="122" t="str">
        <f t="shared" si="99"/>
        <v/>
      </c>
      <c r="E246" s="123">
        <f t="shared" si="113"/>
        <v>232</v>
      </c>
      <c r="F246" s="124">
        <f t="shared" si="114"/>
        <v>0</v>
      </c>
      <c r="G246" s="125">
        <f t="shared" si="115"/>
        <v>0</v>
      </c>
      <c r="H246" s="126" t="str">
        <f t="shared" si="100"/>
        <v/>
      </c>
      <c r="I246" s="127" t="str">
        <f t="shared" si="101"/>
        <v/>
      </c>
      <c r="J246" s="128">
        <f t="shared" si="102"/>
        <v>0</v>
      </c>
      <c r="K246" s="129">
        <f t="shared" si="103"/>
        <v>0</v>
      </c>
      <c r="L246" s="1">
        <f t="shared" si="116"/>
        <v>0</v>
      </c>
      <c r="M246" s="130">
        <f t="shared" si="104"/>
        <v>0</v>
      </c>
      <c r="N246" s="131">
        <f t="shared" si="105"/>
        <v>0</v>
      </c>
      <c r="O246" s="15"/>
      <c r="P246" s="32">
        <f t="shared" si="117"/>
        <v>0</v>
      </c>
      <c r="Q246" s="33"/>
      <c r="R246" s="75">
        <f t="shared" si="118"/>
        <v>0</v>
      </c>
      <c r="V246" s="68">
        <f t="shared" si="106"/>
        <v>0</v>
      </c>
      <c r="AA246" s="4">
        <f t="shared" si="107"/>
        <v>2</v>
      </c>
      <c r="AB246" s="4">
        <f t="shared" si="108"/>
        <v>7</v>
      </c>
      <c r="AC246" s="12">
        <f t="shared" si="109"/>
        <v>20</v>
      </c>
      <c r="AJ246" s="5">
        <f t="shared" si="129"/>
        <v>0</v>
      </c>
      <c r="AK246" s="5">
        <f t="shared" si="119"/>
        <v>0</v>
      </c>
      <c r="AL246" s="77">
        <f t="shared" si="131"/>
        <v>53083</v>
      </c>
      <c r="AM246" s="27" t="str">
        <f t="shared" si="120"/>
        <v/>
      </c>
      <c r="AN246" s="76">
        <f t="shared" si="121"/>
        <v>232</v>
      </c>
      <c r="AO246" s="13">
        <f t="shared" si="122"/>
        <v>0</v>
      </c>
      <c r="AP246" s="62">
        <f t="shared" si="123"/>
        <v>0</v>
      </c>
      <c r="AQ246" s="9" t="str">
        <f t="shared" si="110"/>
        <v/>
      </c>
      <c r="AR246" s="60" t="str">
        <f t="shared" si="111"/>
        <v/>
      </c>
      <c r="AS246" s="8">
        <f t="shared" si="124"/>
        <v>0</v>
      </c>
      <c r="AT246" s="11">
        <f t="shared" si="125"/>
        <v>0</v>
      </c>
      <c r="AU246" s="15">
        <v>0</v>
      </c>
      <c r="AV246" s="32">
        <f t="shared" si="126"/>
        <v>0</v>
      </c>
      <c r="AW246" s="33"/>
      <c r="AX246" s="75">
        <f t="shared" si="127"/>
        <v>0</v>
      </c>
    </row>
    <row r="247" spans="1:50" x14ac:dyDescent="0.25">
      <c r="A247" s="5">
        <f t="shared" si="128"/>
        <v>0</v>
      </c>
      <c r="B247" s="5">
        <f t="shared" si="112"/>
        <v>0</v>
      </c>
      <c r="C247" s="77">
        <f t="shared" si="130"/>
        <v>53114</v>
      </c>
      <c r="D247" s="122" t="str">
        <f t="shared" si="99"/>
        <v/>
      </c>
      <c r="E247" s="123">
        <f t="shared" si="113"/>
        <v>233</v>
      </c>
      <c r="F247" s="124">
        <f t="shared" si="114"/>
        <v>0</v>
      </c>
      <c r="G247" s="125">
        <f t="shared" si="115"/>
        <v>0</v>
      </c>
      <c r="H247" s="126" t="str">
        <f t="shared" si="100"/>
        <v/>
      </c>
      <c r="I247" s="127" t="str">
        <f t="shared" si="101"/>
        <v/>
      </c>
      <c r="J247" s="128">
        <f t="shared" si="102"/>
        <v>0</v>
      </c>
      <c r="K247" s="129">
        <f t="shared" si="103"/>
        <v>0</v>
      </c>
      <c r="L247" s="1">
        <f t="shared" si="116"/>
        <v>0</v>
      </c>
      <c r="M247" s="130">
        <f t="shared" si="104"/>
        <v>0</v>
      </c>
      <c r="N247" s="131">
        <f t="shared" si="105"/>
        <v>0</v>
      </c>
      <c r="O247" s="15"/>
      <c r="P247" s="32">
        <f t="shared" si="117"/>
        <v>0</v>
      </c>
      <c r="Q247" s="33"/>
      <c r="R247" s="75">
        <f t="shared" si="118"/>
        <v>0</v>
      </c>
      <c r="V247" s="68">
        <f t="shared" si="106"/>
        <v>0</v>
      </c>
      <c r="AA247" s="4">
        <f t="shared" si="107"/>
        <v>2</v>
      </c>
      <c r="AB247" s="4">
        <f t="shared" si="108"/>
        <v>7</v>
      </c>
      <c r="AC247" s="12">
        <f t="shared" si="109"/>
        <v>20</v>
      </c>
      <c r="AJ247" s="5">
        <f t="shared" si="129"/>
        <v>0</v>
      </c>
      <c r="AK247" s="5">
        <f t="shared" si="119"/>
        <v>0</v>
      </c>
      <c r="AL247" s="77">
        <f t="shared" si="131"/>
        <v>53114</v>
      </c>
      <c r="AM247" s="27" t="str">
        <f t="shared" si="120"/>
        <v/>
      </c>
      <c r="AN247" s="76">
        <f t="shared" si="121"/>
        <v>233</v>
      </c>
      <c r="AO247" s="13">
        <f t="shared" si="122"/>
        <v>0</v>
      </c>
      <c r="AP247" s="62">
        <f t="shared" si="123"/>
        <v>0</v>
      </c>
      <c r="AQ247" s="9" t="str">
        <f t="shared" si="110"/>
        <v/>
      </c>
      <c r="AR247" s="60" t="str">
        <f t="shared" si="111"/>
        <v/>
      </c>
      <c r="AS247" s="8">
        <f t="shared" si="124"/>
        <v>0</v>
      </c>
      <c r="AT247" s="11">
        <f t="shared" si="125"/>
        <v>0</v>
      </c>
      <c r="AU247" s="15">
        <v>0</v>
      </c>
      <c r="AV247" s="32">
        <f t="shared" si="126"/>
        <v>0</v>
      </c>
      <c r="AW247" s="33"/>
      <c r="AX247" s="75">
        <f t="shared" si="127"/>
        <v>0</v>
      </c>
    </row>
    <row r="248" spans="1:50" x14ac:dyDescent="0.25">
      <c r="A248" s="5">
        <f t="shared" si="128"/>
        <v>0</v>
      </c>
      <c r="B248" s="5">
        <f t="shared" si="112"/>
        <v>0</v>
      </c>
      <c r="C248" s="77">
        <f t="shared" si="130"/>
        <v>53144</v>
      </c>
      <c r="D248" s="122" t="str">
        <f t="shared" si="99"/>
        <v/>
      </c>
      <c r="E248" s="123">
        <f t="shared" si="113"/>
        <v>234</v>
      </c>
      <c r="F248" s="124">
        <f t="shared" si="114"/>
        <v>0</v>
      </c>
      <c r="G248" s="125">
        <f t="shared" si="115"/>
        <v>0</v>
      </c>
      <c r="H248" s="126" t="str">
        <f t="shared" si="100"/>
        <v/>
      </c>
      <c r="I248" s="127" t="str">
        <f t="shared" si="101"/>
        <v/>
      </c>
      <c r="J248" s="128">
        <f t="shared" si="102"/>
        <v>0</v>
      </c>
      <c r="K248" s="129">
        <f t="shared" si="103"/>
        <v>0</v>
      </c>
      <c r="L248" s="1">
        <f t="shared" si="116"/>
        <v>0</v>
      </c>
      <c r="M248" s="130">
        <f t="shared" si="104"/>
        <v>0</v>
      </c>
      <c r="N248" s="131">
        <f t="shared" si="105"/>
        <v>0</v>
      </c>
      <c r="O248" s="15"/>
      <c r="P248" s="32">
        <f t="shared" si="117"/>
        <v>0</v>
      </c>
      <c r="Q248" s="33"/>
      <c r="R248" s="75">
        <f t="shared" si="118"/>
        <v>0</v>
      </c>
      <c r="V248" s="68">
        <f t="shared" si="106"/>
        <v>0</v>
      </c>
      <c r="AA248" s="4">
        <f t="shared" si="107"/>
        <v>2</v>
      </c>
      <c r="AB248" s="4">
        <f t="shared" si="108"/>
        <v>7</v>
      </c>
      <c r="AC248" s="12">
        <f t="shared" si="109"/>
        <v>20</v>
      </c>
      <c r="AJ248" s="5">
        <f t="shared" si="129"/>
        <v>0</v>
      </c>
      <c r="AK248" s="5">
        <f t="shared" si="119"/>
        <v>0</v>
      </c>
      <c r="AL248" s="77">
        <f t="shared" si="131"/>
        <v>53144</v>
      </c>
      <c r="AM248" s="27" t="str">
        <f t="shared" si="120"/>
        <v/>
      </c>
      <c r="AN248" s="76">
        <f t="shared" si="121"/>
        <v>234</v>
      </c>
      <c r="AO248" s="13">
        <f t="shared" si="122"/>
        <v>0</v>
      </c>
      <c r="AP248" s="62">
        <f t="shared" si="123"/>
        <v>0</v>
      </c>
      <c r="AQ248" s="9" t="str">
        <f t="shared" si="110"/>
        <v/>
      </c>
      <c r="AR248" s="60" t="str">
        <f t="shared" si="111"/>
        <v/>
      </c>
      <c r="AS248" s="8">
        <f t="shared" si="124"/>
        <v>0</v>
      </c>
      <c r="AT248" s="11">
        <f t="shared" si="125"/>
        <v>0</v>
      </c>
      <c r="AU248" s="15">
        <v>0</v>
      </c>
      <c r="AV248" s="32">
        <f t="shared" si="126"/>
        <v>0</v>
      </c>
      <c r="AW248" s="33"/>
      <c r="AX248" s="75">
        <f t="shared" si="127"/>
        <v>0</v>
      </c>
    </row>
    <row r="249" spans="1:50" x14ac:dyDescent="0.25">
      <c r="A249" s="5">
        <f t="shared" si="128"/>
        <v>0</v>
      </c>
      <c r="B249" s="5">
        <f t="shared" si="112"/>
        <v>0</v>
      </c>
      <c r="C249" s="77">
        <f t="shared" si="130"/>
        <v>53175</v>
      </c>
      <c r="D249" s="122" t="str">
        <f t="shared" si="99"/>
        <v/>
      </c>
      <c r="E249" s="123">
        <f t="shared" si="113"/>
        <v>235</v>
      </c>
      <c r="F249" s="124">
        <f t="shared" si="114"/>
        <v>0</v>
      </c>
      <c r="G249" s="125">
        <f t="shared" si="115"/>
        <v>0</v>
      </c>
      <c r="H249" s="126" t="str">
        <f t="shared" si="100"/>
        <v/>
      </c>
      <c r="I249" s="127" t="str">
        <f t="shared" si="101"/>
        <v/>
      </c>
      <c r="J249" s="128">
        <f t="shared" si="102"/>
        <v>0</v>
      </c>
      <c r="K249" s="129">
        <f t="shared" si="103"/>
        <v>0</v>
      </c>
      <c r="L249" s="1">
        <f t="shared" si="116"/>
        <v>0</v>
      </c>
      <c r="M249" s="130">
        <f t="shared" si="104"/>
        <v>0</v>
      </c>
      <c r="N249" s="131">
        <f t="shared" si="105"/>
        <v>0</v>
      </c>
      <c r="O249" s="15"/>
      <c r="P249" s="32">
        <f t="shared" si="117"/>
        <v>0</v>
      </c>
      <c r="Q249" s="33"/>
      <c r="R249" s="75">
        <f t="shared" si="118"/>
        <v>0</v>
      </c>
      <c r="V249" s="68">
        <f t="shared" si="106"/>
        <v>0</v>
      </c>
      <c r="AA249" s="4">
        <f t="shared" si="107"/>
        <v>2</v>
      </c>
      <c r="AB249" s="4">
        <f t="shared" si="108"/>
        <v>7</v>
      </c>
      <c r="AC249" s="12">
        <f t="shared" si="109"/>
        <v>20</v>
      </c>
      <c r="AJ249" s="5">
        <f t="shared" si="129"/>
        <v>0</v>
      </c>
      <c r="AK249" s="5">
        <f t="shared" si="119"/>
        <v>0</v>
      </c>
      <c r="AL249" s="77">
        <f t="shared" si="131"/>
        <v>53175</v>
      </c>
      <c r="AM249" s="27" t="str">
        <f t="shared" si="120"/>
        <v/>
      </c>
      <c r="AN249" s="76">
        <f t="shared" si="121"/>
        <v>235</v>
      </c>
      <c r="AO249" s="13">
        <f t="shared" si="122"/>
        <v>0</v>
      </c>
      <c r="AP249" s="62">
        <f t="shared" si="123"/>
        <v>0</v>
      </c>
      <c r="AQ249" s="9" t="str">
        <f t="shared" si="110"/>
        <v/>
      </c>
      <c r="AR249" s="60" t="str">
        <f t="shared" si="111"/>
        <v/>
      </c>
      <c r="AS249" s="8">
        <f t="shared" si="124"/>
        <v>0</v>
      </c>
      <c r="AT249" s="11">
        <f t="shared" si="125"/>
        <v>0</v>
      </c>
      <c r="AU249" s="15">
        <v>0</v>
      </c>
      <c r="AV249" s="32">
        <f t="shared" si="126"/>
        <v>0</v>
      </c>
      <c r="AW249" s="33"/>
      <c r="AX249" s="75">
        <f t="shared" si="127"/>
        <v>0</v>
      </c>
    </row>
    <row r="250" spans="1:50" x14ac:dyDescent="0.25">
      <c r="A250" s="5">
        <f t="shared" si="128"/>
        <v>0</v>
      </c>
      <c r="B250" s="5">
        <f t="shared" si="112"/>
        <v>0</v>
      </c>
      <c r="C250" s="77">
        <f t="shared" si="130"/>
        <v>53206</v>
      </c>
      <c r="D250" s="122" t="str">
        <f t="shared" si="99"/>
        <v/>
      </c>
      <c r="E250" s="123">
        <f t="shared" si="113"/>
        <v>236</v>
      </c>
      <c r="F250" s="124">
        <f t="shared" si="114"/>
        <v>0</v>
      </c>
      <c r="G250" s="125">
        <f t="shared" si="115"/>
        <v>0</v>
      </c>
      <c r="H250" s="126" t="str">
        <f t="shared" si="100"/>
        <v/>
      </c>
      <c r="I250" s="127" t="str">
        <f t="shared" si="101"/>
        <v/>
      </c>
      <c r="J250" s="128">
        <f t="shared" si="102"/>
        <v>0</v>
      </c>
      <c r="K250" s="129">
        <f t="shared" si="103"/>
        <v>0</v>
      </c>
      <c r="L250" s="1">
        <f t="shared" si="116"/>
        <v>0</v>
      </c>
      <c r="M250" s="130">
        <f t="shared" si="104"/>
        <v>0</v>
      </c>
      <c r="N250" s="131">
        <f t="shared" si="105"/>
        <v>0</v>
      </c>
      <c r="O250" s="15"/>
      <c r="P250" s="32">
        <f t="shared" si="117"/>
        <v>0</v>
      </c>
      <c r="Q250" s="33"/>
      <c r="R250" s="75">
        <f t="shared" si="118"/>
        <v>0</v>
      </c>
      <c r="V250" s="68">
        <f t="shared" si="106"/>
        <v>0</v>
      </c>
      <c r="AA250" s="4">
        <f t="shared" si="107"/>
        <v>2</v>
      </c>
      <c r="AB250" s="4">
        <f t="shared" si="108"/>
        <v>7</v>
      </c>
      <c r="AC250" s="12">
        <f t="shared" si="109"/>
        <v>20</v>
      </c>
      <c r="AJ250" s="5">
        <f t="shared" si="129"/>
        <v>0</v>
      </c>
      <c r="AK250" s="5">
        <f t="shared" si="119"/>
        <v>0</v>
      </c>
      <c r="AL250" s="77">
        <f t="shared" si="131"/>
        <v>53206</v>
      </c>
      <c r="AM250" s="27" t="str">
        <f t="shared" si="120"/>
        <v/>
      </c>
      <c r="AN250" s="76">
        <f t="shared" si="121"/>
        <v>236</v>
      </c>
      <c r="AO250" s="13">
        <f t="shared" si="122"/>
        <v>0</v>
      </c>
      <c r="AP250" s="62">
        <f t="shared" si="123"/>
        <v>0</v>
      </c>
      <c r="AQ250" s="9" t="str">
        <f t="shared" si="110"/>
        <v/>
      </c>
      <c r="AR250" s="60" t="str">
        <f t="shared" si="111"/>
        <v/>
      </c>
      <c r="AS250" s="8">
        <f t="shared" si="124"/>
        <v>0</v>
      </c>
      <c r="AT250" s="11">
        <f t="shared" si="125"/>
        <v>0</v>
      </c>
      <c r="AU250" s="15">
        <v>0</v>
      </c>
      <c r="AV250" s="32">
        <f t="shared" si="126"/>
        <v>0</v>
      </c>
      <c r="AW250" s="33"/>
      <c r="AX250" s="75">
        <f t="shared" si="127"/>
        <v>0</v>
      </c>
    </row>
    <row r="251" spans="1:50" x14ac:dyDescent="0.25">
      <c r="A251" s="5">
        <f t="shared" si="128"/>
        <v>0</v>
      </c>
      <c r="B251" s="5">
        <f t="shared" si="112"/>
        <v>0</v>
      </c>
      <c r="C251" s="77">
        <f t="shared" si="130"/>
        <v>53236</v>
      </c>
      <c r="D251" s="122" t="str">
        <f t="shared" si="99"/>
        <v/>
      </c>
      <c r="E251" s="123">
        <f t="shared" si="113"/>
        <v>237</v>
      </c>
      <c r="F251" s="124">
        <f t="shared" si="114"/>
        <v>0</v>
      </c>
      <c r="G251" s="125">
        <f t="shared" si="115"/>
        <v>0</v>
      </c>
      <c r="H251" s="126" t="str">
        <f t="shared" si="100"/>
        <v/>
      </c>
      <c r="I251" s="127" t="str">
        <f t="shared" si="101"/>
        <v/>
      </c>
      <c r="J251" s="128">
        <f t="shared" si="102"/>
        <v>0</v>
      </c>
      <c r="K251" s="129">
        <f t="shared" si="103"/>
        <v>0</v>
      </c>
      <c r="L251" s="1">
        <f t="shared" si="116"/>
        <v>0</v>
      </c>
      <c r="M251" s="130">
        <f t="shared" si="104"/>
        <v>0</v>
      </c>
      <c r="N251" s="131">
        <f t="shared" si="105"/>
        <v>0</v>
      </c>
      <c r="O251" s="15"/>
      <c r="P251" s="32">
        <f t="shared" si="117"/>
        <v>0</v>
      </c>
      <c r="Q251" s="33"/>
      <c r="R251" s="75">
        <f t="shared" si="118"/>
        <v>0</v>
      </c>
      <c r="V251" s="68">
        <f t="shared" si="106"/>
        <v>0</v>
      </c>
      <c r="AA251" s="4">
        <f t="shared" si="107"/>
        <v>2</v>
      </c>
      <c r="AB251" s="4">
        <f t="shared" si="108"/>
        <v>7</v>
      </c>
      <c r="AC251" s="12">
        <f t="shared" si="109"/>
        <v>20</v>
      </c>
      <c r="AJ251" s="5">
        <f t="shared" si="129"/>
        <v>0</v>
      </c>
      <c r="AK251" s="5">
        <f t="shared" si="119"/>
        <v>0</v>
      </c>
      <c r="AL251" s="77">
        <f t="shared" si="131"/>
        <v>53236</v>
      </c>
      <c r="AM251" s="27" t="str">
        <f t="shared" si="120"/>
        <v/>
      </c>
      <c r="AN251" s="76">
        <f t="shared" si="121"/>
        <v>237</v>
      </c>
      <c r="AO251" s="13">
        <f t="shared" si="122"/>
        <v>0</v>
      </c>
      <c r="AP251" s="62">
        <f t="shared" si="123"/>
        <v>0</v>
      </c>
      <c r="AQ251" s="9" t="str">
        <f t="shared" si="110"/>
        <v/>
      </c>
      <c r="AR251" s="60" t="str">
        <f t="shared" si="111"/>
        <v/>
      </c>
      <c r="AS251" s="8">
        <f t="shared" si="124"/>
        <v>0</v>
      </c>
      <c r="AT251" s="11">
        <f t="shared" si="125"/>
        <v>0</v>
      </c>
      <c r="AU251" s="15">
        <v>0</v>
      </c>
      <c r="AV251" s="32">
        <f t="shared" si="126"/>
        <v>0</v>
      </c>
      <c r="AW251" s="33"/>
      <c r="AX251" s="75">
        <f t="shared" si="127"/>
        <v>0</v>
      </c>
    </row>
    <row r="252" spans="1:50" x14ac:dyDescent="0.25">
      <c r="A252" s="5">
        <f t="shared" si="128"/>
        <v>0</v>
      </c>
      <c r="B252" s="5">
        <f t="shared" si="112"/>
        <v>0</v>
      </c>
      <c r="C252" s="77">
        <f t="shared" si="130"/>
        <v>53267</v>
      </c>
      <c r="D252" s="122" t="str">
        <f t="shared" si="99"/>
        <v/>
      </c>
      <c r="E252" s="123">
        <f t="shared" si="113"/>
        <v>238</v>
      </c>
      <c r="F252" s="124">
        <f t="shared" si="114"/>
        <v>0</v>
      </c>
      <c r="G252" s="125">
        <f t="shared" si="115"/>
        <v>0</v>
      </c>
      <c r="H252" s="126" t="str">
        <f t="shared" si="100"/>
        <v/>
      </c>
      <c r="I252" s="127" t="str">
        <f t="shared" si="101"/>
        <v/>
      </c>
      <c r="J252" s="128">
        <f t="shared" si="102"/>
        <v>0</v>
      </c>
      <c r="K252" s="129">
        <f t="shared" si="103"/>
        <v>0</v>
      </c>
      <c r="L252" s="1">
        <f t="shared" si="116"/>
        <v>0</v>
      </c>
      <c r="M252" s="130">
        <f t="shared" si="104"/>
        <v>0</v>
      </c>
      <c r="N252" s="131">
        <f t="shared" si="105"/>
        <v>0</v>
      </c>
      <c r="O252" s="15"/>
      <c r="P252" s="32">
        <f t="shared" si="117"/>
        <v>0</v>
      </c>
      <c r="Q252" s="33"/>
      <c r="R252" s="75">
        <f t="shared" si="118"/>
        <v>0</v>
      </c>
      <c r="V252" s="68">
        <f t="shared" si="106"/>
        <v>0</v>
      </c>
      <c r="AA252" s="4">
        <f t="shared" si="107"/>
        <v>2</v>
      </c>
      <c r="AB252" s="4">
        <f t="shared" si="108"/>
        <v>7</v>
      </c>
      <c r="AC252" s="12">
        <f t="shared" si="109"/>
        <v>20</v>
      </c>
      <c r="AJ252" s="5">
        <f t="shared" si="129"/>
        <v>0</v>
      </c>
      <c r="AK252" s="5">
        <f t="shared" si="119"/>
        <v>0</v>
      </c>
      <c r="AL252" s="77">
        <f t="shared" si="131"/>
        <v>53267</v>
      </c>
      <c r="AM252" s="27" t="str">
        <f t="shared" si="120"/>
        <v/>
      </c>
      <c r="AN252" s="76">
        <f t="shared" si="121"/>
        <v>238</v>
      </c>
      <c r="AO252" s="13">
        <f t="shared" si="122"/>
        <v>0</v>
      </c>
      <c r="AP252" s="62">
        <f t="shared" si="123"/>
        <v>0</v>
      </c>
      <c r="AQ252" s="9" t="str">
        <f t="shared" si="110"/>
        <v/>
      </c>
      <c r="AR252" s="60" t="str">
        <f t="shared" si="111"/>
        <v/>
      </c>
      <c r="AS252" s="8">
        <f t="shared" si="124"/>
        <v>0</v>
      </c>
      <c r="AT252" s="11">
        <f t="shared" si="125"/>
        <v>0</v>
      </c>
      <c r="AU252" s="15">
        <v>0</v>
      </c>
      <c r="AV252" s="32">
        <f t="shared" si="126"/>
        <v>0</v>
      </c>
      <c r="AW252" s="33"/>
      <c r="AX252" s="75">
        <f t="shared" si="127"/>
        <v>0</v>
      </c>
    </row>
    <row r="253" spans="1:50" x14ac:dyDescent="0.25">
      <c r="A253" s="5">
        <f t="shared" si="128"/>
        <v>0</v>
      </c>
      <c r="B253" s="5">
        <f t="shared" si="112"/>
        <v>0</v>
      </c>
      <c r="C253" s="77">
        <f t="shared" si="130"/>
        <v>53297</v>
      </c>
      <c r="D253" s="122" t="str">
        <f t="shared" si="99"/>
        <v/>
      </c>
      <c r="E253" s="123">
        <f t="shared" si="113"/>
        <v>239</v>
      </c>
      <c r="F253" s="124">
        <f t="shared" si="114"/>
        <v>0</v>
      </c>
      <c r="G253" s="125">
        <f t="shared" si="115"/>
        <v>0</v>
      </c>
      <c r="H253" s="126" t="str">
        <f t="shared" si="100"/>
        <v/>
      </c>
      <c r="I253" s="127" t="str">
        <f t="shared" si="101"/>
        <v/>
      </c>
      <c r="J253" s="128">
        <f t="shared" si="102"/>
        <v>0</v>
      </c>
      <c r="K253" s="129">
        <f t="shared" si="103"/>
        <v>0</v>
      </c>
      <c r="L253" s="1">
        <f t="shared" si="116"/>
        <v>0</v>
      </c>
      <c r="M253" s="130">
        <f t="shared" si="104"/>
        <v>0</v>
      </c>
      <c r="N253" s="131">
        <f t="shared" si="105"/>
        <v>0</v>
      </c>
      <c r="O253" s="15"/>
      <c r="P253" s="32">
        <f t="shared" si="117"/>
        <v>0</v>
      </c>
      <c r="Q253" s="33"/>
      <c r="R253" s="75">
        <f t="shared" si="118"/>
        <v>0</v>
      </c>
      <c r="V253" s="68">
        <f t="shared" si="106"/>
        <v>0</v>
      </c>
      <c r="AA253" s="4">
        <f t="shared" si="107"/>
        <v>2</v>
      </c>
      <c r="AB253" s="4">
        <f t="shared" si="108"/>
        <v>7</v>
      </c>
      <c r="AC253" s="12">
        <f t="shared" si="109"/>
        <v>20</v>
      </c>
      <c r="AJ253" s="5">
        <f t="shared" si="129"/>
        <v>0</v>
      </c>
      <c r="AK253" s="5">
        <f t="shared" si="119"/>
        <v>0</v>
      </c>
      <c r="AL253" s="77">
        <f t="shared" si="131"/>
        <v>53297</v>
      </c>
      <c r="AM253" s="27" t="str">
        <f t="shared" si="120"/>
        <v/>
      </c>
      <c r="AN253" s="76">
        <f t="shared" si="121"/>
        <v>239</v>
      </c>
      <c r="AO253" s="13">
        <f t="shared" si="122"/>
        <v>0</v>
      </c>
      <c r="AP253" s="62">
        <f t="shared" si="123"/>
        <v>0</v>
      </c>
      <c r="AQ253" s="9" t="str">
        <f t="shared" si="110"/>
        <v/>
      </c>
      <c r="AR253" s="60" t="str">
        <f t="shared" si="111"/>
        <v/>
      </c>
      <c r="AS253" s="8">
        <f t="shared" si="124"/>
        <v>0</v>
      </c>
      <c r="AT253" s="11">
        <f t="shared" si="125"/>
        <v>0</v>
      </c>
      <c r="AU253" s="15">
        <v>0</v>
      </c>
      <c r="AV253" s="32">
        <f t="shared" si="126"/>
        <v>0</v>
      </c>
      <c r="AW253" s="33"/>
      <c r="AX253" s="75">
        <f t="shared" si="127"/>
        <v>0</v>
      </c>
    </row>
    <row r="254" spans="1:50" x14ac:dyDescent="0.25">
      <c r="A254" s="5">
        <f t="shared" si="128"/>
        <v>0</v>
      </c>
      <c r="B254" s="5">
        <f t="shared" si="112"/>
        <v>0</v>
      </c>
      <c r="C254" s="77">
        <f t="shared" si="130"/>
        <v>53328</v>
      </c>
      <c r="D254" s="122" t="str">
        <f t="shared" si="99"/>
        <v/>
      </c>
      <c r="E254" s="123">
        <f t="shared" si="113"/>
        <v>240</v>
      </c>
      <c r="F254" s="124">
        <f t="shared" si="114"/>
        <v>0</v>
      </c>
      <c r="G254" s="125">
        <f t="shared" si="115"/>
        <v>0</v>
      </c>
      <c r="H254" s="126" t="str">
        <f t="shared" si="100"/>
        <v/>
      </c>
      <c r="I254" s="127" t="str">
        <f t="shared" si="101"/>
        <v/>
      </c>
      <c r="J254" s="128">
        <f t="shared" si="102"/>
        <v>0</v>
      </c>
      <c r="K254" s="129">
        <f t="shared" si="103"/>
        <v>0</v>
      </c>
      <c r="L254" s="1">
        <f t="shared" si="116"/>
        <v>0</v>
      </c>
      <c r="M254" s="130">
        <f t="shared" si="104"/>
        <v>0</v>
      </c>
      <c r="N254" s="131">
        <f t="shared" si="105"/>
        <v>0</v>
      </c>
      <c r="O254" s="15"/>
      <c r="P254" s="32">
        <f t="shared" si="117"/>
        <v>0</v>
      </c>
      <c r="Q254" s="33"/>
      <c r="R254" s="75">
        <f t="shared" si="118"/>
        <v>0</v>
      </c>
      <c r="V254" s="68">
        <f t="shared" si="106"/>
        <v>0</v>
      </c>
      <c r="AA254" s="4">
        <f t="shared" si="107"/>
        <v>2</v>
      </c>
      <c r="AB254" s="4">
        <f t="shared" si="108"/>
        <v>7</v>
      </c>
      <c r="AC254" s="12">
        <f t="shared" si="109"/>
        <v>20</v>
      </c>
      <c r="AJ254" s="5">
        <f t="shared" si="129"/>
        <v>0</v>
      </c>
      <c r="AK254" s="5">
        <f t="shared" si="119"/>
        <v>0</v>
      </c>
      <c r="AL254" s="77">
        <f t="shared" si="131"/>
        <v>53328</v>
      </c>
      <c r="AM254" s="27" t="str">
        <f t="shared" si="120"/>
        <v/>
      </c>
      <c r="AN254" s="76">
        <f t="shared" si="121"/>
        <v>240</v>
      </c>
      <c r="AO254" s="13">
        <f t="shared" si="122"/>
        <v>0</v>
      </c>
      <c r="AP254" s="62">
        <f t="shared" si="123"/>
        <v>0</v>
      </c>
      <c r="AQ254" s="9" t="str">
        <f t="shared" si="110"/>
        <v/>
      </c>
      <c r="AR254" s="60" t="str">
        <f t="shared" si="111"/>
        <v/>
      </c>
      <c r="AS254" s="8">
        <f t="shared" si="124"/>
        <v>0</v>
      </c>
      <c r="AT254" s="11">
        <f t="shared" si="125"/>
        <v>0</v>
      </c>
      <c r="AU254" s="15">
        <v>0</v>
      </c>
      <c r="AV254" s="32">
        <f t="shared" si="126"/>
        <v>0</v>
      </c>
      <c r="AW254" s="33"/>
      <c r="AX254" s="75">
        <f t="shared" si="127"/>
        <v>0</v>
      </c>
    </row>
    <row r="255" spans="1:50" x14ac:dyDescent="0.25">
      <c r="A255" s="5">
        <f t="shared" si="128"/>
        <v>0</v>
      </c>
      <c r="B255" s="5">
        <f t="shared" si="112"/>
        <v>0</v>
      </c>
      <c r="C255" s="77">
        <f t="shared" si="130"/>
        <v>53359</v>
      </c>
      <c r="D255" s="122" t="str">
        <f t="shared" si="99"/>
        <v/>
      </c>
      <c r="E255" s="123">
        <f t="shared" si="113"/>
        <v>241</v>
      </c>
      <c r="F255" s="124">
        <f t="shared" si="114"/>
        <v>0</v>
      </c>
      <c r="G255" s="125">
        <f t="shared" si="115"/>
        <v>0</v>
      </c>
      <c r="H255" s="126" t="str">
        <f t="shared" si="100"/>
        <v/>
      </c>
      <c r="I255" s="127" t="str">
        <f t="shared" si="101"/>
        <v/>
      </c>
      <c r="J255" s="128">
        <f t="shared" si="102"/>
        <v>0</v>
      </c>
      <c r="K255" s="129">
        <f t="shared" si="103"/>
        <v>0</v>
      </c>
      <c r="L255" s="1">
        <f t="shared" si="116"/>
        <v>0</v>
      </c>
      <c r="M255" s="130">
        <f t="shared" si="104"/>
        <v>0</v>
      </c>
      <c r="N255" s="131">
        <f t="shared" si="105"/>
        <v>0</v>
      </c>
      <c r="O255" s="15"/>
      <c r="P255" s="32">
        <f t="shared" si="117"/>
        <v>0</v>
      </c>
      <c r="Q255" s="33"/>
      <c r="R255" s="75">
        <f t="shared" si="118"/>
        <v>0</v>
      </c>
      <c r="V255" s="68">
        <f t="shared" si="106"/>
        <v>0</v>
      </c>
      <c r="AA255" s="4">
        <f t="shared" si="107"/>
        <v>3</v>
      </c>
      <c r="AB255" s="4">
        <f t="shared" si="108"/>
        <v>7</v>
      </c>
      <c r="AC255" s="12">
        <f t="shared" si="109"/>
        <v>21</v>
      </c>
      <c r="AJ255" s="5">
        <f t="shared" si="129"/>
        <v>0</v>
      </c>
      <c r="AK255" s="5">
        <f t="shared" si="119"/>
        <v>0</v>
      </c>
      <c r="AL255" s="77">
        <f t="shared" si="131"/>
        <v>53359</v>
      </c>
      <c r="AM255" s="27" t="str">
        <f t="shared" si="120"/>
        <v/>
      </c>
      <c r="AN255" s="76">
        <f t="shared" si="121"/>
        <v>241</v>
      </c>
      <c r="AO255" s="13">
        <f t="shared" si="122"/>
        <v>0</v>
      </c>
      <c r="AP255" s="62">
        <f t="shared" si="123"/>
        <v>0</v>
      </c>
      <c r="AQ255" s="9" t="str">
        <f t="shared" si="110"/>
        <v/>
      </c>
      <c r="AR255" s="60" t="str">
        <f t="shared" si="111"/>
        <v/>
      </c>
      <c r="AS255" s="8">
        <f t="shared" si="124"/>
        <v>0</v>
      </c>
      <c r="AT255" s="11">
        <f t="shared" si="125"/>
        <v>0</v>
      </c>
      <c r="AU255" s="15">
        <v>0</v>
      </c>
      <c r="AV255" s="32">
        <f t="shared" si="126"/>
        <v>0</v>
      </c>
      <c r="AW255" s="33"/>
      <c r="AX255" s="75">
        <f t="shared" si="127"/>
        <v>0</v>
      </c>
    </row>
    <row r="256" spans="1:50" x14ac:dyDescent="0.25">
      <c r="A256" s="5">
        <f t="shared" si="128"/>
        <v>0</v>
      </c>
      <c r="B256" s="5">
        <f t="shared" si="112"/>
        <v>0</v>
      </c>
      <c r="C256" s="77">
        <f t="shared" si="130"/>
        <v>53387</v>
      </c>
      <c r="D256" s="122" t="str">
        <f t="shared" si="99"/>
        <v/>
      </c>
      <c r="E256" s="123">
        <f t="shared" si="113"/>
        <v>242</v>
      </c>
      <c r="F256" s="124">
        <f t="shared" si="114"/>
        <v>0</v>
      </c>
      <c r="G256" s="125">
        <f t="shared" si="115"/>
        <v>0</v>
      </c>
      <c r="H256" s="126" t="str">
        <f t="shared" si="100"/>
        <v/>
      </c>
      <c r="I256" s="127" t="str">
        <f t="shared" si="101"/>
        <v/>
      </c>
      <c r="J256" s="128">
        <f t="shared" si="102"/>
        <v>0</v>
      </c>
      <c r="K256" s="129">
        <f t="shared" si="103"/>
        <v>0</v>
      </c>
      <c r="L256" s="1">
        <f t="shared" si="116"/>
        <v>0</v>
      </c>
      <c r="M256" s="130">
        <f t="shared" si="104"/>
        <v>0</v>
      </c>
      <c r="N256" s="131">
        <f t="shared" si="105"/>
        <v>0</v>
      </c>
      <c r="O256" s="15"/>
      <c r="P256" s="32">
        <f t="shared" si="117"/>
        <v>0</v>
      </c>
      <c r="Q256" s="33"/>
      <c r="R256" s="75">
        <f t="shared" si="118"/>
        <v>0</v>
      </c>
      <c r="V256" s="68">
        <f t="shared" si="106"/>
        <v>0</v>
      </c>
      <c r="AA256" s="4">
        <f t="shared" si="107"/>
        <v>3</v>
      </c>
      <c r="AB256" s="4">
        <f t="shared" si="108"/>
        <v>7</v>
      </c>
      <c r="AC256" s="12">
        <f t="shared" si="109"/>
        <v>21</v>
      </c>
      <c r="AJ256" s="5">
        <f t="shared" si="129"/>
        <v>0</v>
      </c>
      <c r="AK256" s="5">
        <f t="shared" si="119"/>
        <v>0</v>
      </c>
      <c r="AL256" s="77">
        <f t="shared" si="131"/>
        <v>53387</v>
      </c>
      <c r="AM256" s="27" t="str">
        <f t="shared" si="120"/>
        <v/>
      </c>
      <c r="AN256" s="76">
        <f t="shared" si="121"/>
        <v>242</v>
      </c>
      <c r="AO256" s="13">
        <f t="shared" si="122"/>
        <v>0</v>
      </c>
      <c r="AP256" s="62">
        <f t="shared" si="123"/>
        <v>0</v>
      </c>
      <c r="AQ256" s="9" t="str">
        <f t="shared" si="110"/>
        <v/>
      </c>
      <c r="AR256" s="60" t="str">
        <f t="shared" si="111"/>
        <v/>
      </c>
      <c r="AS256" s="8">
        <f t="shared" si="124"/>
        <v>0</v>
      </c>
      <c r="AT256" s="11">
        <f t="shared" si="125"/>
        <v>0</v>
      </c>
      <c r="AU256" s="15">
        <v>0</v>
      </c>
      <c r="AV256" s="32">
        <f t="shared" si="126"/>
        <v>0</v>
      </c>
      <c r="AW256" s="33"/>
      <c r="AX256" s="75">
        <f t="shared" si="127"/>
        <v>0</v>
      </c>
    </row>
    <row r="257" spans="1:50" x14ac:dyDescent="0.25">
      <c r="A257" s="5">
        <f t="shared" si="128"/>
        <v>0</v>
      </c>
      <c r="B257" s="5">
        <f t="shared" si="112"/>
        <v>0</v>
      </c>
      <c r="C257" s="77">
        <f t="shared" si="130"/>
        <v>53418</v>
      </c>
      <c r="D257" s="122" t="str">
        <f t="shared" si="99"/>
        <v/>
      </c>
      <c r="E257" s="123">
        <f t="shared" si="113"/>
        <v>243</v>
      </c>
      <c r="F257" s="124">
        <f t="shared" si="114"/>
        <v>0</v>
      </c>
      <c r="G257" s="125">
        <f t="shared" si="115"/>
        <v>0</v>
      </c>
      <c r="H257" s="126" t="str">
        <f t="shared" si="100"/>
        <v/>
      </c>
      <c r="I257" s="127" t="str">
        <f t="shared" si="101"/>
        <v/>
      </c>
      <c r="J257" s="128">
        <f t="shared" si="102"/>
        <v>0</v>
      </c>
      <c r="K257" s="129">
        <f t="shared" si="103"/>
        <v>0</v>
      </c>
      <c r="L257" s="1">
        <f t="shared" si="116"/>
        <v>0</v>
      </c>
      <c r="M257" s="130">
        <f t="shared" si="104"/>
        <v>0</v>
      </c>
      <c r="N257" s="131">
        <f t="shared" si="105"/>
        <v>0</v>
      </c>
      <c r="O257" s="15"/>
      <c r="P257" s="32">
        <f t="shared" si="117"/>
        <v>0</v>
      </c>
      <c r="Q257" s="33"/>
      <c r="R257" s="75">
        <f t="shared" si="118"/>
        <v>0</v>
      </c>
      <c r="V257" s="68">
        <f t="shared" si="106"/>
        <v>0</v>
      </c>
      <c r="AA257" s="4">
        <f t="shared" si="107"/>
        <v>3</v>
      </c>
      <c r="AB257" s="4">
        <f t="shared" si="108"/>
        <v>7</v>
      </c>
      <c r="AC257" s="12">
        <f t="shared" si="109"/>
        <v>21</v>
      </c>
      <c r="AJ257" s="5">
        <f t="shared" si="129"/>
        <v>0</v>
      </c>
      <c r="AK257" s="5">
        <f t="shared" si="119"/>
        <v>0</v>
      </c>
      <c r="AL257" s="77">
        <f t="shared" si="131"/>
        <v>53418</v>
      </c>
      <c r="AM257" s="27" t="str">
        <f t="shared" si="120"/>
        <v/>
      </c>
      <c r="AN257" s="76">
        <f t="shared" si="121"/>
        <v>243</v>
      </c>
      <c r="AO257" s="13">
        <f t="shared" si="122"/>
        <v>0</v>
      </c>
      <c r="AP257" s="62">
        <f t="shared" si="123"/>
        <v>0</v>
      </c>
      <c r="AQ257" s="9" t="str">
        <f t="shared" si="110"/>
        <v/>
      </c>
      <c r="AR257" s="60" t="str">
        <f t="shared" si="111"/>
        <v/>
      </c>
      <c r="AS257" s="8">
        <f t="shared" si="124"/>
        <v>0</v>
      </c>
      <c r="AT257" s="11">
        <f t="shared" si="125"/>
        <v>0</v>
      </c>
      <c r="AU257" s="15">
        <v>0</v>
      </c>
      <c r="AV257" s="32">
        <f t="shared" si="126"/>
        <v>0</v>
      </c>
      <c r="AW257" s="33"/>
      <c r="AX257" s="75">
        <f t="shared" si="127"/>
        <v>0</v>
      </c>
    </row>
    <row r="258" spans="1:50" x14ac:dyDescent="0.25">
      <c r="A258" s="5">
        <f t="shared" si="128"/>
        <v>0</v>
      </c>
      <c r="B258" s="5">
        <f t="shared" si="112"/>
        <v>0</v>
      </c>
      <c r="C258" s="77">
        <f t="shared" si="130"/>
        <v>53448</v>
      </c>
      <c r="D258" s="122" t="str">
        <f t="shared" si="99"/>
        <v/>
      </c>
      <c r="E258" s="123">
        <f t="shared" si="113"/>
        <v>244</v>
      </c>
      <c r="F258" s="124">
        <f t="shared" si="114"/>
        <v>0</v>
      </c>
      <c r="G258" s="125">
        <f t="shared" si="115"/>
        <v>0</v>
      </c>
      <c r="H258" s="126" t="str">
        <f t="shared" si="100"/>
        <v/>
      </c>
      <c r="I258" s="127" t="str">
        <f t="shared" si="101"/>
        <v/>
      </c>
      <c r="J258" s="128">
        <f t="shared" si="102"/>
        <v>0</v>
      </c>
      <c r="K258" s="129">
        <f t="shared" si="103"/>
        <v>0</v>
      </c>
      <c r="L258" s="1">
        <f t="shared" si="116"/>
        <v>0</v>
      </c>
      <c r="M258" s="130">
        <f t="shared" si="104"/>
        <v>0</v>
      </c>
      <c r="N258" s="131">
        <f t="shared" si="105"/>
        <v>0</v>
      </c>
      <c r="O258" s="15"/>
      <c r="P258" s="32">
        <f t="shared" si="117"/>
        <v>0</v>
      </c>
      <c r="Q258" s="33"/>
      <c r="R258" s="75">
        <f t="shared" si="118"/>
        <v>0</v>
      </c>
      <c r="V258" s="68">
        <f t="shared" si="106"/>
        <v>0</v>
      </c>
      <c r="AA258" s="4">
        <f t="shared" si="107"/>
        <v>3</v>
      </c>
      <c r="AB258" s="4">
        <f t="shared" si="108"/>
        <v>7</v>
      </c>
      <c r="AC258" s="12">
        <f t="shared" si="109"/>
        <v>21</v>
      </c>
      <c r="AJ258" s="5">
        <f t="shared" si="129"/>
        <v>0</v>
      </c>
      <c r="AK258" s="5">
        <f t="shared" si="119"/>
        <v>0</v>
      </c>
      <c r="AL258" s="77">
        <f t="shared" si="131"/>
        <v>53448</v>
      </c>
      <c r="AM258" s="27" t="str">
        <f t="shared" si="120"/>
        <v/>
      </c>
      <c r="AN258" s="76">
        <f t="shared" si="121"/>
        <v>244</v>
      </c>
      <c r="AO258" s="13">
        <f t="shared" si="122"/>
        <v>0</v>
      </c>
      <c r="AP258" s="62">
        <f t="shared" si="123"/>
        <v>0</v>
      </c>
      <c r="AQ258" s="9" t="str">
        <f t="shared" si="110"/>
        <v/>
      </c>
      <c r="AR258" s="60" t="str">
        <f t="shared" si="111"/>
        <v/>
      </c>
      <c r="AS258" s="8">
        <f t="shared" si="124"/>
        <v>0</v>
      </c>
      <c r="AT258" s="11">
        <f t="shared" si="125"/>
        <v>0</v>
      </c>
      <c r="AU258" s="15">
        <v>0</v>
      </c>
      <c r="AV258" s="32">
        <f t="shared" si="126"/>
        <v>0</v>
      </c>
      <c r="AW258" s="33"/>
      <c r="AX258" s="75">
        <f t="shared" si="127"/>
        <v>0</v>
      </c>
    </row>
    <row r="259" spans="1:50" x14ac:dyDescent="0.25">
      <c r="A259" s="5">
        <f t="shared" si="128"/>
        <v>0</v>
      </c>
      <c r="B259" s="5">
        <f t="shared" si="112"/>
        <v>0</v>
      </c>
      <c r="C259" s="77">
        <f t="shared" si="130"/>
        <v>53479</v>
      </c>
      <c r="D259" s="122" t="str">
        <f t="shared" si="99"/>
        <v/>
      </c>
      <c r="E259" s="123">
        <f t="shared" si="113"/>
        <v>245</v>
      </c>
      <c r="F259" s="124">
        <f t="shared" si="114"/>
        <v>0</v>
      </c>
      <c r="G259" s="125">
        <f t="shared" si="115"/>
        <v>0</v>
      </c>
      <c r="H259" s="126" t="str">
        <f t="shared" si="100"/>
        <v/>
      </c>
      <c r="I259" s="127" t="str">
        <f t="shared" si="101"/>
        <v/>
      </c>
      <c r="J259" s="128">
        <f t="shared" si="102"/>
        <v>0</v>
      </c>
      <c r="K259" s="129">
        <f t="shared" si="103"/>
        <v>0</v>
      </c>
      <c r="L259" s="1">
        <f t="shared" si="116"/>
        <v>0</v>
      </c>
      <c r="M259" s="130">
        <f t="shared" si="104"/>
        <v>0</v>
      </c>
      <c r="N259" s="131">
        <f t="shared" si="105"/>
        <v>0</v>
      </c>
      <c r="O259" s="15"/>
      <c r="P259" s="32">
        <f t="shared" si="117"/>
        <v>0</v>
      </c>
      <c r="Q259" s="33"/>
      <c r="R259" s="75">
        <f t="shared" si="118"/>
        <v>0</v>
      </c>
      <c r="V259" s="68">
        <f t="shared" si="106"/>
        <v>0</v>
      </c>
      <c r="AA259" s="4">
        <f t="shared" si="107"/>
        <v>3</v>
      </c>
      <c r="AB259" s="4">
        <f t="shared" si="108"/>
        <v>7</v>
      </c>
      <c r="AC259" s="12">
        <f t="shared" si="109"/>
        <v>21</v>
      </c>
      <c r="AJ259" s="5">
        <f t="shared" si="129"/>
        <v>0</v>
      </c>
      <c r="AK259" s="5">
        <f t="shared" si="119"/>
        <v>0</v>
      </c>
      <c r="AL259" s="77">
        <f t="shared" si="131"/>
        <v>53479</v>
      </c>
      <c r="AM259" s="27" t="str">
        <f t="shared" si="120"/>
        <v/>
      </c>
      <c r="AN259" s="76">
        <f t="shared" si="121"/>
        <v>245</v>
      </c>
      <c r="AO259" s="13">
        <f t="shared" si="122"/>
        <v>0</v>
      </c>
      <c r="AP259" s="62">
        <f t="shared" si="123"/>
        <v>0</v>
      </c>
      <c r="AQ259" s="9" t="str">
        <f t="shared" si="110"/>
        <v/>
      </c>
      <c r="AR259" s="60" t="str">
        <f t="shared" si="111"/>
        <v/>
      </c>
      <c r="AS259" s="8">
        <f t="shared" si="124"/>
        <v>0</v>
      </c>
      <c r="AT259" s="11">
        <f t="shared" si="125"/>
        <v>0</v>
      </c>
      <c r="AU259" s="15">
        <v>0</v>
      </c>
      <c r="AV259" s="32">
        <f t="shared" si="126"/>
        <v>0</v>
      </c>
      <c r="AW259" s="33"/>
      <c r="AX259" s="75">
        <f t="shared" si="127"/>
        <v>0</v>
      </c>
    </row>
    <row r="260" spans="1:50" x14ac:dyDescent="0.25">
      <c r="A260" s="5">
        <f t="shared" si="128"/>
        <v>0</v>
      </c>
      <c r="B260" s="5">
        <f t="shared" si="112"/>
        <v>0</v>
      </c>
      <c r="C260" s="77">
        <f t="shared" si="130"/>
        <v>53509</v>
      </c>
      <c r="D260" s="122" t="str">
        <f t="shared" si="99"/>
        <v/>
      </c>
      <c r="E260" s="123">
        <f t="shared" si="113"/>
        <v>246</v>
      </c>
      <c r="F260" s="124">
        <f t="shared" si="114"/>
        <v>0</v>
      </c>
      <c r="G260" s="125">
        <f t="shared" si="115"/>
        <v>0</v>
      </c>
      <c r="H260" s="126" t="str">
        <f t="shared" si="100"/>
        <v/>
      </c>
      <c r="I260" s="127" t="str">
        <f t="shared" si="101"/>
        <v/>
      </c>
      <c r="J260" s="128">
        <f t="shared" si="102"/>
        <v>0</v>
      </c>
      <c r="K260" s="129">
        <f t="shared" si="103"/>
        <v>0</v>
      </c>
      <c r="L260" s="1">
        <f t="shared" si="116"/>
        <v>0</v>
      </c>
      <c r="M260" s="130">
        <f t="shared" si="104"/>
        <v>0</v>
      </c>
      <c r="N260" s="131">
        <f t="shared" si="105"/>
        <v>0</v>
      </c>
      <c r="O260" s="15"/>
      <c r="P260" s="32">
        <f t="shared" si="117"/>
        <v>0</v>
      </c>
      <c r="Q260" s="33"/>
      <c r="R260" s="75">
        <f t="shared" si="118"/>
        <v>0</v>
      </c>
      <c r="V260" s="68">
        <f t="shared" si="106"/>
        <v>0</v>
      </c>
      <c r="AA260" s="4">
        <f t="shared" si="107"/>
        <v>3</v>
      </c>
      <c r="AB260" s="4">
        <f t="shared" si="108"/>
        <v>7</v>
      </c>
      <c r="AC260" s="12">
        <f t="shared" si="109"/>
        <v>21</v>
      </c>
      <c r="AJ260" s="5">
        <f t="shared" si="129"/>
        <v>0</v>
      </c>
      <c r="AK260" s="5">
        <f t="shared" si="119"/>
        <v>0</v>
      </c>
      <c r="AL260" s="77">
        <f t="shared" si="131"/>
        <v>53509</v>
      </c>
      <c r="AM260" s="27" t="str">
        <f t="shared" si="120"/>
        <v/>
      </c>
      <c r="AN260" s="76">
        <f t="shared" si="121"/>
        <v>246</v>
      </c>
      <c r="AO260" s="13">
        <f t="shared" si="122"/>
        <v>0</v>
      </c>
      <c r="AP260" s="62">
        <f t="shared" si="123"/>
        <v>0</v>
      </c>
      <c r="AQ260" s="9" t="str">
        <f t="shared" si="110"/>
        <v/>
      </c>
      <c r="AR260" s="60" t="str">
        <f t="shared" si="111"/>
        <v/>
      </c>
      <c r="AS260" s="8">
        <f t="shared" si="124"/>
        <v>0</v>
      </c>
      <c r="AT260" s="11">
        <f t="shared" si="125"/>
        <v>0</v>
      </c>
      <c r="AU260" s="15">
        <v>0</v>
      </c>
      <c r="AV260" s="32">
        <f t="shared" si="126"/>
        <v>0</v>
      </c>
      <c r="AW260" s="33"/>
      <c r="AX260" s="75">
        <f t="shared" si="127"/>
        <v>0</v>
      </c>
    </row>
    <row r="261" spans="1:50" x14ac:dyDescent="0.25">
      <c r="A261" s="5">
        <f t="shared" si="128"/>
        <v>0</v>
      </c>
      <c r="B261" s="5">
        <f t="shared" si="112"/>
        <v>0</v>
      </c>
      <c r="C261" s="77">
        <f t="shared" si="130"/>
        <v>53540</v>
      </c>
      <c r="D261" s="122" t="str">
        <f t="shared" si="99"/>
        <v/>
      </c>
      <c r="E261" s="123">
        <f t="shared" si="113"/>
        <v>247</v>
      </c>
      <c r="F261" s="124">
        <f t="shared" si="114"/>
        <v>0</v>
      </c>
      <c r="G261" s="125">
        <f t="shared" si="115"/>
        <v>0</v>
      </c>
      <c r="H261" s="126" t="str">
        <f t="shared" si="100"/>
        <v/>
      </c>
      <c r="I261" s="127" t="str">
        <f t="shared" si="101"/>
        <v/>
      </c>
      <c r="J261" s="128">
        <f t="shared" si="102"/>
        <v>0</v>
      </c>
      <c r="K261" s="129">
        <f t="shared" si="103"/>
        <v>0</v>
      </c>
      <c r="L261" s="1">
        <f t="shared" si="116"/>
        <v>0</v>
      </c>
      <c r="M261" s="130">
        <f t="shared" si="104"/>
        <v>0</v>
      </c>
      <c r="N261" s="131">
        <f t="shared" si="105"/>
        <v>0</v>
      </c>
      <c r="O261" s="15"/>
      <c r="P261" s="32">
        <f t="shared" si="117"/>
        <v>0</v>
      </c>
      <c r="Q261" s="33"/>
      <c r="R261" s="75">
        <f t="shared" si="118"/>
        <v>0</v>
      </c>
      <c r="V261" s="68">
        <f t="shared" si="106"/>
        <v>0</v>
      </c>
      <c r="AA261" s="4">
        <f t="shared" si="107"/>
        <v>3</v>
      </c>
      <c r="AB261" s="4">
        <f t="shared" si="108"/>
        <v>7</v>
      </c>
      <c r="AC261" s="12">
        <f t="shared" si="109"/>
        <v>21</v>
      </c>
      <c r="AJ261" s="5">
        <f t="shared" si="129"/>
        <v>0</v>
      </c>
      <c r="AK261" s="5">
        <f t="shared" si="119"/>
        <v>0</v>
      </c>
      <c r="AL261" s="77">
        <f t="shared" si="131"/>
        <v>53540</v>
      </c>
      <c r="AM261" s="27" t="str">
        <f t="shared" si="120"/>
        <v/>
      </c>
      <c r="AN261" s="76">
        <f t="shared" si="121"/>
        <v>247</v>
      </c>
      <c r="AO261" s="13">
        <f t="shared" si="122"/>
        <v>0</v>
      </c>
      <c r="AP261" s="62">
        <f t="shared" si="123"/>
        <v>0</v>
      </c>
      <c r="AQ261" s="9" t="str">
        <f t="shared" si="110"/>
        <v/>
      </c>
      <c r="AR261" s="60" t="str">
        <f t="shared" si="111"/>
        <v/>
      </c>
      <c r="AS261" s="8">
        <f t="shared" si="124"/>
        <v>0</v>
      </c>
      <c r="AT261" s="11">
        <f t="shared" si="125"/>
        <v>0</v>
      </c>
      <c r="AU261" s="15">
        <v>0</v>
      </c>
      <c r="AV261" s="32">
        <f t="shared" si="126"/>
        <v>0</v>
      </c>
      <c r="AW261" s="33"/>
      <c r="AX261" s="75">
        <f t="shared" si="127"/>
        <v>0</v>
      </c>
    </row>
    <row r="262" spans="1:50" x14ac:dyDescent="0.25">
      <c r="A262" s="5">
        <f t="shared" si="128"/>
        <v>0</v>
      </c>
      <c r="B262" s="5">
        <f t="shared" si="112"/>
        <v>0</v>
      </c>
      <c r="C262" s="77">
        <f t="shared" si="130"/>
        <v>53571</v>
      </c>
      <c r="D262" s="122" t="str">
        <f t="shared" si="99"/>
        <v/>
      </c>
      <c r="E262" s="123">
        <f t="shared" si="113"/>
        <v>248</v>
      </c>
      <c r="F262" s="124">
        <f t="shared" si="114"/>
        <v>0</v>
      </c>
      <c r="G262" s="125">
        <f t="shared" si="115"/>
        <v>0</v>
      </c>
      <c r="H262" s="126" t="str">
        <f t="shared" si="100"/>
        <v/>
      </c>
      <c r="I262" s="127" t="str">
        <f t="shared" si="101"/>
        <v/>
      </c>
      <c r="J262" s="128">
        <f t="shared" si="102"/>
        <v>0</v>
      </c>
      <c r="K262" s="129">
        <f t="shared" si="103"/>
        <v>0</v>
      </c>
      <c r="L262" s="1">
        <f t="shared" si="116"/>
        <v>0</v>
      </c>
      <c r="M262" s="130">
        <f t="shared" si="104"/>
        <v>0</v>
      </c>
      <c r="N262" s="131">
        <f t="shared" si="105"/>
        <v>0</v>
      </c>
      <c r="O262" s="15"/>
      <c r="P262" s="32">
        <f t="shared" si="117"/>
        <v>0</v>
      </c>
      <c r="Q262" s="33"/>
      <c r="R262" s="75">
        <f t="shared" si="118"/>
        <v>0</v>
      </c>
      <c r="V262" s="68">
        <f t="shared" si="106"/>
        <v>0</v>
      </c>
      <c r="AA262" s="4">
        <f t="shared" si="107"/>
        <v>3</v>
      </c>
      <c r="AB262" s="4">
        <f t="shared" si="108"/>
        <v>7</v>
      </c>
      <c r="AC262" s="12">
        <f t="shared" si="109"/>
        <v>21</v>
      </c>
      <c r="AJ262" s="5">
        <f t="shared" si="129"/>
        <v>0</v>
      </c>
      <c r="AK262" s="5">
        <f t="shared" si="119"/>
        <v>0</v>
      </c>
      <c r="AL262" s="77">
        <f t="shared" si="131"/>
        <v>53571</v>
      </c>
      <c r="AM262" s="27" t="str">
        <f t="shared" si="120"/>
        <v/>
      </c>
      <c r="AN262" s="76">
        <f t="shared" si="121"/>
        <v>248</v>
      </c>
      <c r="AO262" s="13">
        <f t="shared" si="122"/>
        <v>0</v>
      </c>
      <c r="AP262" s="62">
        <f t="shared" si="123"/>
        <v>0</v>
      </c>
      <c r="AQ262" s="9" t="str">
        <f t="shared" si="110"/>
        <v/>
      </c>
      <c r="AR262" s="60" t="str">
        <f t="shared" si="111"/>
        <v/>
      </c>
      <c r="AS262" s="8">
        <f t="shared" si="124"/>
        <v>0</v>
      </c>
      <c r="AT262" s="11">
        <f t="shared" si="125"/>
        <v>0</v>
      </c>
      <c r="AU262" s="15">
        <v>0</v>
      </c>
      <c r="AV262" s="32">
        <f t="shared" si="126"/>
        <v>0</v>
      </c>
      <c r="AW262" s="33"/>
      <c r="AX262" s="75">
        <f t="shared" si="127"/>
        <v>0</v>
      </c>
    </row>
    <row r="263" spans="1:50" x14ac:dyDescent="0.25">
      <c r="A263" s="5">
        <f t="shared" si="128"/>
        <v>0</v>
      </c>
      <c r="B263" s="5">
        <f t="shared" si="112"/>
        <v>0</v>
      </c>
      <c r="C263" s="77">
        <f t="shared" si="130"/>
        <v>53601</v>
      </c>
      <c r="D263" s="122" t="str">
        <f t="shared" si="99"/>
        <v/>
      </c>
      <c r="E263" s="123">
        <f t="shared" si="113"/>
        <v>249</v>
      </c>
      <c r="F263" s="124">
        <f t="shared" si="114"/>
        <v>0</v>
      </c>
      <c r="G263" s="125">
        <f t="shared" si="115"/>
        <v>0</v>
      </c>
      <c r="H263" s="126" t="str">
        <f t="shared" si="100"/>
        <v/>
      </c>
      <c r="I263" s="127" t="str">
        <f t="shared" si="101"/>
        <v/>
      </c>
      <c r="J263" s="128">
        <f t="shared" si="102"/>
        <v>0</v>
      </c>
      <c r="K263" s="129">
        <f t="shared" si="103"/>
        <v>0</v>
      </c>
      <c r="L263" s="1">
        <f t="shared" si="116"/>
        <v>0</v>
      </c>
      <c r="M263" s="130">
        <f t="shared" si="104"/>
        <v>0</v>
      </c>
      <c r="N263" s="131">
        <f t="shared" si="105"/>
        <v>0</v>
      </c>
      <c r="O263" s="15"/>
      <c r="P263" s="32">
        <f t="shared" si="117"/>
        <v>0</v>
      </c>
      <c r="Q263" s="33"/>
      <c r="R263" s="75">
        <f t="shared" si="118"/>
        <v>0</v>
      </c>
      <c r="V263" s="68">
        <f t="shared" si="106"/>
        <v>0</v>
      </c>
      <c r="AA263" s="4">
        <f t="shared" si="107"/>
        <v>3</v>
      </c>
      <c r="AB263" s="4">
        <f t="shared" si="108"/>
        <v>7</v>
      </c>
      <c r="AC263" s="12">
        <f t="shared" si="109"/>
        <v>21</v>
      </c>
      <c r="AJ263" s="5">
        <f t="shared" si="129"/>
        <v>0</v>
      </c>
      <c r="AK263" s="5">
        <f t="shared" si="119"/>
        <v>0</v>
      </c>
      <c r="AL263" s="77">
        <f t="shared" si="131"/>
        <v>53601</v>
      </c>
      <c r="AM263" s="27" t="str">
        <f t="shared" si="120"/>
        <v/>
      </c>
      <c r="AN263" s="76">
        <f t="shared" si="121"/>
        <v>249</v>
      </c>
      <c r="AO263" s="13">
        <f t="shared" si="122"/>
        <v>0</v>
      </c>
      <c r="AP263" s="62">
        <f t="shared" si="123"/>
        <v>0</v>
      </c>
      <c r="AQ263" s="9" t="str">
        <f t="shared" si="110"/>
        <v/>
      </c>
      <c r="AR263" s="60" t="str">
        <f t="shared" si="111"/>
        <v/>
      </c>
      <c r="AS263" s="8">
        <f t="shared" si="124"/>
        <v>0</v>
      </c>
      <c r="AT263" s="11">
        <f t="shared" si="125"/>
        <v>0</v>
      </c>
      <c r="AU263" s="15">
        <v>0</v>
      </c>
      <c r="AV263" s="32">
        <f t="shared" si="126"/>
        <v>0</v>
      </c>
      <c r="AW263" s="33"/>
      <c r="AX263" s="75">
        <f t="shared" si="127"/>
        <v>0</v>
      </c>
    </row>
    <row r="264" spans="1:50" x14ac:dyDescent="0.25">
      <c r="A264" s="5">
        <f t="shared" si="128"/>
        <v>0</v>
      </c>
      <c r="B264" s="5">
        <f t="shared" si="112"/>
        <v>0</v>
      </c>
      <c r="C264" s="77">
        <f t="shared" si="130"/>
        <v>53632</v>
      </c>
      <c r="D264" s="122" t="str">
        <f t="shared" si="99"/>
        <v/>
      </c>
      <c r="E264" s="123">
        <f t="shared" si="113"/>
        <v>250</v>
      </c>
      <c r="F264" s="124">
        <f t="shared" si="114"/>
        <v>0</v>
      </c>
      <c r="G264" s="125">
        <f t="shared" si="115"/>
        <v>0</v>
      </c>
      <c r="H264" s="126" t="str">
        <f t="shared" si="100"/>
        <v/>
      </c>
      <c r="I264" s="127" t="str">
        <f t="shared" si="101"/>
        <v/>
      </c>
      <c r="J264" s="128">
        <f t="shared" si="102"/>
        <v>0</v>
      </c>
      <c r="K264" s="129">
        <f t="shared" si="103"/>
        <v>0</v>
      </c>
      <c r="L264" s="1">
        <f t="shared" si="116"/>
        <v>0</v>
      </c>
      <c r="M264" s="130">
        <f t="shared" si="104"/>
        <v>0</v>
      </c>
      <c r="N264" s="131">
        <f t="shared" si="105"/>
        <v>0</v>
      </c>
      <c r="O264" s="15"/>
      <c r="P264" s="32">
        <f t="shared" si="117"/>
        <v>0</v>
      </c>
      <c r="Q264" s="33"/>
      <c r="R264" s="75">
        <f t="shared" si="118"/>
        <v>0</v>
      </c>
      <c r="V264" s="68">
        <f t="shared" si="106"/>
        <v>0</v>
      </c>
      <c r="AA264" s="4">
        <f t="shared" si="107"/>
        <v>3</v>
      </c>
      <c r="AB264" s="4">
        <f t="shared" si="108"/>
        <v>7</v>
      </c>
      <c r="AC264" s="12">
        <f t="shared" si="109"/>
        <v>21</v>
      </c>
      <c r="AJ264" s="5">
        <f t="shared" si="129"/>
        <v>0</v>
      </c>
      <c r="AK264" s="5">
        <f t="shared" si="119"/>
        <v>0</v>
      </c>
      <c r="AL264" s="77">
        <f t="shared" si="131"/>
        <v>53632</v>
      </c>
      <c r="AM264" s="27" t="str">
        <f t="shared" si="120"/>
        <v/>
      </c>
      <c r="AN264" s="76">
        <f t="shared" si="121"/>
        <v>250</v>
      </c>
      <c r="AO264" s="13">
        <f t="shared" si="122"/>
        <v>0</v>
      </c>
      <c r="AP264" s="62">
        <f t="shared" si="123"/>
        <v>0</v>
      </c>
      <c r="AQ264" s="9" t="str">
        <f t="shared" si="110"/>
        <v/>
      </c>
      <c r="AR264" s="60" t="str">
        <f t="shared" si="111"/>
        <v/>
      </c>
      <c r="AS264" s="8">
        <f t="shared" si="124"/>
        <v>0</v>
      </c>
      <c r="AT264" s="11">
        <f t="shared" si="125"/>
        <v>0</v>
      </c>
      <c r="AU264" s="15">
        <v>0</v>
      </c>
      <c r="AV264" s="32">
        <f t="shared" si="126"/>
        <v>0</v>
      </c>
      <c r="AW264" s="33"/>
      <c r="AX264" s="75">
        <f t="shared" si="127"/>
        <v>0</v>
      </c>
    </row>
    <row r="265" spans="1:50" x14ac:dyDescent="0.25">
      <c r="A265" s="5">
        <f t="shared" si="128"/>
        <v>0</v>
      </c>
      <c r="B265" s="5">
        <f t="shared" si="112"/>
        <v>0</v>
      </c>
      <c r="C265" s="77">
        <f t="shared" si="130"/>
        <v>53662</v>
      </c>
      <c r="D265" s="122" t="str">
        <f t="shared" si="99"/>
        <v/>
      </c>
      <c r="E265" s="123">
        <f t="shared" si="113"/>
        <v>251</v>
      </c>
      <c r="F265" s="124">
        <f t="shared" si="114"/>
        <v>0</v>
      </c>
      <c r="G265" s="125">
        <f t="shared" si="115"/>
        <v>0</v>
      </c>
      <c r="H265" s="126" t="str">
        <f t="shared" si="100"/>
        <v/>
      </c>
      <c r="I265" s="127" t="str">
        <f t="shared" si="101"/>
        <v/>
      </c>
      <c r="J265" s="128">
        <f t="shared" si="102"/>
        <v>0</v>
      </c>
      <c r="K265" s="129">
        <f t="shared" si="103"/>
        <v>0</v>
      </c>
      <c r="L265" s="1">
        <f t="shared" si="116"/>
        <v>0</v>
      </c>
      <c r="M265" s="130">
        <f t="shared" si="104"/>
        <v>0</v>
      </c>
      <c r="N265" s="131">
        <f t="shared" si="105"/>
        <v>0</v>
      </c>
      <c r="O265" s="15"/>
      <c r="P265" s="32">
        <f t="shared" si="117"/>
        <v>0</v>
      </c>
      <c r="Q265" s="33"/>
      <c r="R265" s="75">
        <f t="shared" si="118"/>
        <v>0</v>
      </c>
      <c r="V265" s="68">
        <f t="shared" si="106"/>
        <v>0</v>
      </c>
      <c r="AA265" s="4">
        <f t="shared" si="107"/>
        <v>3</v>
      </c>
      <c r="AB265" s="4">
        <f t="shared" si="108"/>
        <v>7</v>
      </c>
      <c r="AC265" s="12">
        <f t="shared" si="109"/>
        <v>21</v>
      </c>
      <c r="AJ265" s="5">
        <f t="shared" si="129"/>
        <v>0</v>
      </c>
      <c r="AK265" s="5">
        <f t="shared" si="119"/>
        <v>0</v>
      </c>
      <c r="AL265" s="77">
        <f t="shared" si="131"/>
        <v>53662</v>
      </c>
      <c r="AM265" s="27" t="str">
        <f t="shared" si="120"/>
        <v/>
      </c>
      <c r="AN265" s="76">
        <f t="shared" si="121"/>
        <v>251</v>
      </c>
      <c r="AO265" s="13">
        <f t="shared" si="122"/>
        <v>0</v>
      </c>
      <c r="AP265" s="62">
        <f t="shared" si="123"/>
        <v>0</v>
      </c>
      <c r="AQ265" s="9" t="str">
        <f t="shared" si="110"/>
        <v/>
      </c>
      <c r="AR265" s="60" t="str">
        <f t="shared" si="111"/>
        <v/>
      </c>
      <c r="AS265" s="8">
        <f t="shared" si="124"/>
        <v>0</v>
      </c>
      <c r="AT265" s="11">
        <f t="shared" si="125"/>
        <v>0</v>
      </c>
      <c r="AU265" s="15">
        <v>0</v>
      </c>
      <c r="AV265" s="32">
        <f t="shared" si="126"/>
        <v>0</v>
      </c>
      <c r="AW265" s="33"/>
      <c r="AX265" s="75">
        <f t="shared" si="127"/>
        <v>0</v>
      </c>
    </row>
    <row r="266" spans="1:50" x14ac:dyDescent="0.25">
      <c r="A266" s="5">
        <f t="shared" si="128"/>
        <v>0</v>
      </c>
      <c r="B266" s="5">
        <f t="shared" si="112"/>
        <v>0</v>
      </c>
      <c r="C266" s="77">
        <f t="shared" si="130"/>
        <v>53693</v>
      </c>
      <c r="D266" s="122" t="str">
        <f t="shared" si="99"/>
        <v/>
      </c>
      <c r="E266" s="123">
        <f t="shared" si="113"/>
        <v>252</v>
      </c>
      <c r="F266" s="124">
        <f t="shared" si="114"/>
        <v>0</v>
      </c>
      <c r="G266" s="125">
        <f t="shared" si="115"/>
        <v>0</v>
      </c>
      <c r="H266" s="126" t="str">
        <f t="shared" si="100"/>
        <v/>
      </c>
      <c r="I266" s="127" t="str">
        <f t="shared" si="101"/>
        <v/>
      </c>
      <c r="J266" s="128">
        <f t="shared" si="102"/>
        <v>0</v>
      </c>
      <c r="K266" s="129">
        <f t="shared" si="103"/>
        <v>0</v>
      </c>
      <c r="L266" s="1">
        <f t="shared" si="116"/>
        <v>0</v>
      </c>
      <c r="M266" s="130">
        <f t="shared" si="104"/>
        <v>0</v>
      </c>
      <c r="N266" s="131">
        <f t="shared" si="105"/>
        <v>0</v>
      </c>
      <c r="O266" s="15"/>
      <c r="P266" s="32">
        <f t="shared" si="117"/>
        <v>0</v>
      </c>
      <c r="Q266" s="33"/>
      <c r="R266" s="75">
        <f t="shared" si="118"/>
        <v>0</v>
      </c>
      <c r="V266" s="68">
        <f t="shared" si="106"/>
        <v>0</v>
      </c>
      <c r="AA266" s="4">
        <f t="shared" si="107"/>
        <v>3</v>
      </c>
      <c r="AB266" s="4">
        <f t="shared" si="108"/>
        <v>7</v>
      </c>
      <c r="AC266" s="12">
        <f t="shared" si="109"/>
        <v>21</v>
      </c>
      <c r="AJ266" s="5">
        <f t="shared" si="129"/>
        <v>0</v>
      </c>
      <c r="AK266" s="5">
        <f t="shared" si="119"/>
        <v>0</v>
      </c>
      <c r="AL266" s="77">
        <f t="shared" si="131"/>
        <v>53693</v>
      </c>
      <c r="AM266" s="27" t="str">
        <f t="shared" si="120"/>
        <v/>
      </c>
      <c r="AN266" s="76">
        <f t="shared" si="121"/>
        <v>252</v>
      </c>
      <c r="AO266" s="13">
        <f t="shared" si="122"/>
        <v>0</v>
      </c>
      <c r="AP266" s="62">
        <f t="shared" si="123"/>
        <v>0</v>
      </c>
      <c r="AQ266" s="9" t="str">
        <f t="shared" si="110"/>
        <v/>
      </c>
      <c r="AR266" s="60" t="str">
        <f t="shared" si="111"/>
        <v/>
      </c>
      <c r="AS266" s="8">
        <f t="shared" si="124"/>
        <v>0</v>
      </c>
      <c r="AT266" s="11">
        <f t="shared" si="125"/>
        <v>0</v>
      </c>
      <c r="AU266" s="15">
        <v>0</v>
      </c>
      <c r="AV266" s="32">
        <f t="shared" si="126"/>
        <v>0</v>
      </c>
      <c r="AW266" s="33"/>
      <c r="AX266" s="75">
        <f t="shared" si="127"/>
        <v>0</v>
      </c>
    </row>
    <row r="267" spans="1:50" x14ac:dyDescent="0.25">
      <c r="A267" s="5">
        <f t="shared" si="128"/>
        <v>0</v>
      </c>
      <c r="B267" s="5">
        <f t="shared" si="112"/>
        <v>0</v>
      </c>
      <c r="C267" s="77">
        <f t="shared" si="130"/>
        <v>53724</v>
      </c>
      <c r="D267" s="122" t="str">
        <f t="shared" si="99"/>
        <v/>
      </c>
      <c r="E267" s="123">
        <f t="shared" si="113"/>
        <v>253</v>
      </c>
      <c r="F267" s="124">
        <f t="shared" si="114"/>
        <v>0</v>
      </c>
      <c r="G267" s="125">
        <f t="shared" si="115"/>
        <v>0</v>
      </c>
      <c r="H267" s="126" t="str">
        <f t="shared" si="100"/>
        <v/>
      </c>
      <c r="I267" s="127" t="str">
        <f t="shared" si="101"/>
        <v/>
      </c>
      <c r="J267" s="128">
        <f t="shared" si="102"/>
        <v>0</v>
      </c>
      <c r="K267" s="129">
        <f t="shared" si="103"/>
        <v>0</v>
      </c>
      <c r="L267" s="1">
        <f t="shared" si="116"/>
        <v>0</v>
      </c>
      <c r="M267" s="130">
        <f t="shared" si="104"/>
        <v>0</v>
      </c>
      <c r="N267" s="131">
        <f t="shared" si="105"/>
        <v>0</v>
      </c>
      <c r="O267" s="15"/>
      <c r="P267" s="32">
        <f t="shared" si="117"/>
        <v>0</v>
      </c>
      <c r="Q267" s="33"/>
      <c r="R267" s="75">
        <f t="shared" si="118"/>
        <v>0</v>
      </c>
      <c r="V267" s="68">
        <f t="shared" si="106"/>
        <v>0</v>
      </c>
      <c r="AA267" s="4">
        <f t="shared" si="107"/>
        <v>3</v>
      </c>
      <c r="AB267" s="4">
        <f t="shared" si="108"/>
        <v>8</v>
      </c>
      <c r="AC267" s="12">
        <f t="shared" si="109"/>
        <v>22</v>
      </c>
      <c r="AJ267" s="5">
        <f t="shared" si="129"/>
        <v>0</v>
      </c>
      <c r="AK267" s="5">
        <f t="shared" si="119"/>
        <v>0</v>
      </c>
      <c r="AL267" s="77">
        <f t="shared" si="131"/>
        <v>53724</v>
      </c>
      <c r="AM267" s="27" t="str">
        <f t="shared" si="120"/>
        <v/>
      </c>
      <c r="AN267" s="76">
        <f t="shared" si="121"/>
        <v>253</v>
      </c>
      <c r="AO267" s="13">
        <f t="shared" si="122"/>
        <v>0</v>
      </c>
      <c r="AP267" s="62">
        <f t="shared" si="123"/>
        <v>0</v>
      </c>
      <c r="AQ267" s="9" t="str">
        <f t="shared" si="110"/>
        <v/>
      </c>
      <c r="AR267" s="60" t="str">
        <f t="shared" si="111"/>
        <v/>
      </c>
      <c r="AS267" s="8">
        <f t="shared" si="124"/>
        <v>0</v>
      </c>
      <c r="AT267" s="11">
        <f t="shared" si="125"/>
        <v>0</v>
      </c>
      <c r="AU267" s="15">
        <v>0</v>
      </c>
      <c r="AV267" s="32">
        <f t="shared" si="126"/>
        <v>0</v>
      </c>
      <c r="AW267" s="33"/>
      <c r="AX267" s="75">
        <f t="shared" si="127"/>
        <v>0</v>
      </c>
    </row>
    <row r="268" spans="1:50" x14ac:dyDescent="0.25">
      <c r="A268" s="5">
        <f t="shared" si="128"/>
        <v>0</v>
      </c>
      <c r="B268" s="5">
        <f t="shared" si="112"/>
        <v>0</v>
      </c>
      <c r="C268" s="77">
        <f t="shared" si="130"/>
        <v>53752</v>
      </c>
      <c r="D268" s="122" t="str">
        <f t="shared" si="99"/>
        <v/>
      </c>
      <c r="E268" s="123">
        <f t="shared" si="113"/>
        <v>254</v>
      </c>
      <c r="F268" s="124">
        <f t="shared" si="114"/>
        <v>0</v>
      </c>
      <c r="G268" s="125">
        <f t="shared" si="115"/>
        <v>0</v>
      </c>
      <c r="H268" s="126" t="str">
        <f t="shared" si="100"/>
        <v/>
      </c>
      <c r="I268" s="127" t="str">
        <f t="shared" si="101"/>
        <v/>
      </c>
      <c r="J268" s="128">
        <f t="shared" si="102"/>
        <v>0</v>
      </c>
      <c r="K268" s="129">
        <f t="shared" si="103"/>
        <v>0</v>
      </c>
      <c r="L268" s="1">
        <f t="shared" si="116"/>
        <v>0</v>
      </c>
      <c r="M268" s="130">
        <f t="shared" si="104"/>
        <v>0</v>
      </c>
      <c r="N268" s="131">
        <f t="shared" si="105"/>
        <v>0</v>
      </c>
      <c r="O268" s="15"/>
      <c r="P268" s="32">
        <f t="shared" si="117"/>
        <v>0</v>
      </c>
      <c r="Q268" s="33"/>
      <c r="R268" s="75">
        <f t="shared" si="118"/>
        <v>0</v>
      </c>
      <c r="V268" s="68">
        <f t="shared" si="106"/>
        <v>0</v>
      </c>
      <c r="AA268" s="4">
        <f t="shared" si="107"/>
        <v>3</v>
      </c>
      <c r="AB268" s="4">
        <f t="shared" si="108"/>
        <v>8</v>
      </c>
      <c r="AC268" s="12">
        <f t="shared" si="109"/>
        <v>22</v>
      </c>
      <c r="AJ268" s="5">
        <f t="shared" si="129"/>
        <v>0</v>
      </c>
      <c r="AK268" s="5">
        <f t="shared" si="119"/>
        <v>0</v>
      </c>
      <c r="AL268" s="77">
        <f t="shared" si="131"/>
        <v>53752</v>
      </c>
      <c r="AM268" s="27" t="str">
        <f t="shared" si="120"/>
        <v/>
      </c>
      <c r="AN268" s="76">
        <f t="shared" si="121"/>
        <v>254</v>
      </c>
      <c r="AO268" s="13">
        <f t="shared" si="122"/>
        <v>0</v>
      </c>
      <c r="AP268" s="62">
        <f t="shared" si="123"/>
        <v>0</v>
      </c>
      <c r="AQ268" s="9" t="str">
        <f t="shared" si="110"/>
        <v/>
      </c>
      <c r="AR268" s="60" t="str">
        <f t="shared" si="111"/>
        <v/>
      </c>
      <c r="AS268" s="8">
        <f t="shared" si="124"/>
        <v>0</v>
      </c>
      <c r="AT268" s="11">
        <f t="shared" si="125"/>
        <v>0</v>
      </c>
      <c r="AU268" s="15">
        <v>0</v>
      </c>
      <c r="AV268" s="32">
        <f t="shared" si="126"/>
        <v>0</v>
      </c>
      <c r="AW268" s="33"/>
      <c r="AX268" s="75">
        <f t="shared" si="127"/>
        <v>0</v>
      </c>
    </row>
    <row r="269" spans="1:50" x14ac:dyDescent="0.25">
      <c r="A269" s="5">
        <f t="shared" si="128"/>
        <v>0</v>
      </c>
      <c r="B269" s="5">
        <f t="shared" si="112"/>
        <v>0</v>
      </c>
      <c r="C269" s="77">
        <f t="shared" si="130"/>
        <v>53783</v>
      </c>
      <c r="D269" s="122" t="str">
        <f t="shared" si="99"/>
        <v/>
      </c>
      <c r="E269" s="123">
        <f t="shared" si="113"/>
        <v>255</v>
      </c>
      <c r="F269" s="124">
        <f t="shared" si="114"/>
        <v>0</v>
      </c>
      <c r="G269" s="125">
        <f t="shared" si="115"/>
        <v>0</v>
      </c>
      <c r="H269" s="126" t="str">
        <f t="shared" si="100"/>
        <v/>
      </c>
      <c r="I269" s="127" t="str">
        <f t="shared" si="101"/>
        <v/>
      </c>
      <c r="J269" s="128">
        <f t="shared" si="102"/>
        <v>0</v>
      </c>
      <c r="K269" s="129">
        <f t="shared" si="103"/>
        <v>0</v>
      </c>
      <c r="L269" s="1">
        <f t="shared" si="116"/>
        <v>0</v>
      </c>
      <c r="M269" s="130">
        <f t="shared" si="104"/>
        <v>0</v>
      </c>
      <c r="N269" s="131">
        <f t="shared" si="105"/>
        <v>0</v>
      </c>
      <c r="O269" s="15"/>
      <c r="P269" s="32">
        <f t="shared" si="117"/>
        <v>0</v>
      </c>
      <c r="Q269" s="33"/>
      <c r="R269" s="75">
        <f t="shared" si="118"/>
        <v>0</v>
      </c>
      <c r="V269" s="68">
        <f t="shared" si="106"/>
        <v>0</v>
      </c>
      <c r="AA269" s="4">
        <f t="shared" si="107"/>
        <v>3</v>
      </c>
      <c r="AB269" s="4">
        <f t="shared" si="108"/>
        <v>8</v>
      </c>
      <c r="AC269" s="12">
        <f t="shared" si="109"/>
        <v>22</v>
      </c>
      <c r="AJ269" s="5">
        <f t="shared" si="129"/>
        <v>0</v>
      </c>
      <c r="AK269" s="5">
        <f t="shared" si="119"/>
        <v>0</v>
      </c>
      <c r="AL269" s="77">
        <f t="shared" si="131"/>
        <v>53783</v>
      </c>
      <c r="AM269" s="27" t="str">
        <f t="shared" si="120"/>
        <v/>
      </c>
      <c r="AN269" s="76">
        <f t="shared" si="121"/>
        <v>255</v>
      </c>
      <c r="AO269" s="13">
        <f t="shared" si="122"/>
        <v>0</v>
      </c>
      <c r="AP269" s="62">
        <f t="shared" si="123"/>
        <v>0</v>
      </c>
      <c r="AQ269" s="9" t="str">
        <f t="shared" si="110"/>
        <v/>
      </c>
      <c r="AR269" s="60" t="str">
        <f t="shared" si="111"/>
        <v/>
      </c>
      <c r="AS269" s="8">
        <f t="shared" si="124"/>
        <v>0</v>
      </c>
      <c r="AT269" s="11">
        <f t="shared" si="125"/>
        <v>0</v>
      </c>
      <c r="AU269" s="15">
        <v>0</v>
      </c>
      <c r="AV269" s="32">
        <f t="shared" si="126"/>
        <v>0</v>
      </c>
      <c r="AW269" s="33"/>
      <c r="AX269" s="75">
        <f t="shared" si="127"/>
        <v>0</v>
      </c>
    </row>
    <row r="270" spans="1:50" x14ac:dyDescent="0.25">
      <c r="A270" s="5">
        <f t="shared" si="128"/>
        <v>0</v>
      </c>
      <c r="B270" s="5">
        <f t="shared" si="112"/>
        <v>0</v>
      </c>
      <c r="C270" s="77">
        <f t="shared" si="130"/>
        <v>53813</v>
      </c>
      <c r="D270" s="122" t="str">
        <f t="shared" si="99"/>
        <v/>
      </c>
      <c r="E270" s="123">
        <f t="shared" si="113"/>
        <v>256</v>
      </c>
      <c r="F270" s="124">
        <f t="shared" si="114"/>
        <v>0</v>
      </c>
      <c r="G270" s="125">
        <f t="shared" si="115"/>
        <v>0</v>
      </c>
      <c r="H270" s="126" t="str">
        <f t="shared" si="100"/>
        <v/>
      </c>
      <c r="I270" s="127" t="str">
        <f t="shared" si="101"/>
        <v/>
      </c>
      <c r="J270" s="128">
        <f t="shared" si="102"/>
        <v>0</v>
      </c>
      <c r="K270" s="129">
        <f t="shared" si="103"/>
        <v>0</v>
      </c>
      <c r="L270" s="1">
        <f t="shared" si="116"/>
        <v>0</v>
      </c>
      <c r="M270" s="130">
        <f t="shared" si="104"/>
        <v>0</v>
      </c>
      <c r="N270" s="131">
        <f t="shared" si="105"/>
        <v>0</v>
      </c>
      <c r="O270" s="15"/>
      <c r="P270" s="32">
        <f t="shared" si="117"/>
        <v>0</v>
      </c>
      <c r="Q270" s="33"/>
      <c r="R270" s="75">
        <f t="shared" si="118"/>
        <v>0</v>
      </c>
      <c r="V270" s="68">
        <f t="shared" si="106"/>
        <v>0</v>
      </c>
      <c r="AA270" s="4">
        <f t="shared" si="107"/>
        <v>3</v>
      </c>
      <c r="AB270" s="4">
        <f t="shared" si="108"/>
        <v>8</v>
      </c>
      <c r="AC270" s="12">
        <f t="shared" si="109"/>
        <v>22</v>
      </c>
      <c r="AJ270" s="5">
        <f t="shared" si="129"/>
        <v>0</v>
      </c>
      <c r="AK270" s="5">
        <f t="shared" si="119"/>
        <v>0</v>
      </c>
      <c r="AL270" s="77">
        <f t="shared" si="131"/>
        <v>53813</v>
      </c>
      <c r="AM270" s="27" t="str">
        <f t="shared" si="120"/>
        <v/>
      </c>
      <c r="AN270" s="76">
        <f t="shared" si="121"/>
        <v>256</v>
      </c>
      <c r="AO270" s="13">
        <f t="shared" si="122"/>
        <v>0</v>
      </c>
      <c r="AP270" s="62">
        <f t="shared" si="123"/>
        <v>0</v>
      </c>
      <c r="AQ270" s="9" t="str">
        <f t="shared" si="110"/>
        <v/>
      </c>
      <c r="AR270" s="60" t="str">
        <f t="shared" si="111"/>
        <v/>
      </c>
      <c r="AS270" s="8">
        <f t="shared" si="124"/>
        <v>0</v>
      </c>
      <c r="AT270" s="11">
        <f t="shared" si="125"/>
        <v>0</v>
      </c>
      <c r="AU270" s="15">
        <v>0</v>
      </c>
      <c r="AV270" s="32">
        <f t="shared" si="126"/>
        <v>0</v>
      </c>
      <c r="AW270" s="33"/>
      <c r="AX270" s="75">
        <f t="shared" si="127"/>
        <v>0</v>
      </c>
    </row>
    <row r="271" spans="1:50" x14ac:dyDescent="0.25">
      <c r="A271" s="5">
        <f t="shared" si="128"/>
        <v>0</v>
      </c>
      <c r="B271" s="5">
        <f t="shared" si="112"/>
        <v>0</v>
      </c>
      <c r="C271" s="77">
        <f t="shared" si="130"/>
        <v>53844</v>
      </c>
      <c r="D271" s="122" t="str">
        <f t="shared" ref="D271:D334" si="132">IF(N270&gt;0,G271/N270,"")</f>
        <v/>
      </c>
      <c r="E271" s="123">
        <f t="shared" si="113"/>
        <v>257</v>
      </c>
      <c r="F271" s="124">
        <f t="shared" si="114"/>
        <v>0</v>
      </c>
      <c r="G271" s="125">
        <f t="shared" si="115"/>
        <v>0</v>
      </c>
      <c r="H271" s="126" t="str">
        <f t="shared" ref="H271:H334" si="133">IF(L271&lt;1,"",IF(G271/L271&gt;90%,"🛩",IF(G271/L271&gt;70%,"🏎",IF(G271/L271&gt;50%,"🚙",IF(G271/L271&gt;30%,"🛵",IF(G271/L271&gt;15%,"🐢","⚓️"))))))</f>
        <v/>
      </c>
      <c r="I271" s="127" t="str">
        <f t="shared" ref="I271:I334" si="134">IFERROR(IF((G271+O271-R271)/L271&lt;0,"🗑️",IF((G271+O271-R271)/L271&lt;10%,"🥾",IF((G271+O271-R271)/L271&lt;20%,"🛴",IF((G271+O271-R271)/L271&lt;50%,"🚴‍♂️",IF((G271+O271-R271)/L271&lt;75%,"🚖","🚁"))))),"")</f>
        <v/>
      </c>
      <c r="J271" s="128">
        <f t="shared" ref="J271:J334" si="135">G271+O271-R271</f>
        <v>0</v>
      </c>
      <c r="K271" s="129">
        <f t="shared" ref="K271:K334" si="136">IFERROR(J271/(L271+O271),0)</f>
        <v>0</v>
      </c>
      <c r="L271" s="1">
        <f t="shared" si="116"/>
        <v>0</v>
      </c>
      <c r="M271" s="130">
        <f t="shared" ref="M271:M334" si="137">IFERROR(N270/P271-G271+L271,0)</f>
        <v>0</v>
      </c>
      <c r="N271" s="131">
        <f t="shared" ref="N271:N334" si="138">IF(N270-O271-G271&lt;0,0,IF(N270-G271&gt;0,N270-G271,0)-IF(N270-G271&gt;0,O271-R271,0))</f>
        <v>0</v>
      </c>
      <c r="O271" s="15"/>
      <c r="P271" s="32">
        <f t="shared" si="117"/>
        <v>0</v>
      </c>
      <c r="Q271" s="33"/>
      <c r="R271" s="75">
        <f t="shared" si="118"/>
        <v>0</v>
      </c>
      <c r="V271" s="68">
        <f t="shared" ref="V271:V334" si="139">-L271-O271</f>
        <v>0</v>
      </c>
      <c r="AA271" s="4">
        <f t="shared" ref="AA271:AA334" si="140">ROUNDUP(E271/120,0)</f>
        <v>3</v>
      </c>
      <c r="AB271" s="4">
        <f t="shared" ref="AB271:AB334" si="141">ROUNDUP(E271/36,0)</f>
        <v>8</v>
      </c>
      <c r="AC271" s="12">
        <f t="shared" ref="AC271:AC334" si="142">ROUNDUP(E271/12,0)</f>
        <v>22</v>
      </c>
      <c r="AJ271" s="5">
        <f t="shared" si="129"/>
        <v>0</v>
      </c>
      <c r="AK271" s="5">
        <f t="shared" si="119"/>
        <v>0</v>
      </c>
      <c r="AL271" s="77">
        <f t="shared" si="131"/>
        <v>53844</v>
      </c>
      <c r="AM271" s="27" t="str">
        <f t="shared" si="120"/>
        <v/>
      </c>
      <c r="AN271" s="76">
        <f t="shared" si="121"/>
        <v>257</v>
      </c>
      <c r="AO271" s="13">
        <f t="shared" si="122"/>
        <v>0</v>
      </c>
      <c r="AP271" s="62">
        <f t="shared" si="123"/>
        <v>0</v>
      </c>
      <c r="AQ271" s="9" t="str">
        <f t="shared" ref="AQ271:AQ334" si="143">IF(AS271&lt;1,"",IF(AP271/AS271&gt;90%,"🛩",IF(AP271/AS271&gt;70%,"🏎",IF(AP271/AS271&gt;50%,"🚙",IF(AP271/AS271&gt;30%,"🛵",IF(AP271/AS271&gt;15%,"🐢","⚓️"))))))</f>
        <v/>
      </c>
      <c r="AR271" s="60" t="str">
        <f t="shared" ref="AR271:AR334" si="144">IFERROR(IF((AP271+AU271-AX271)/AS271&lt;0,"🗑️",IF((AP271+AU271-AX271)/AS271&lt;10%,"🥾",IF((AP271+AU271-AX271)/AS271&lt;20%,"🛴",IF((AP271+AU271-AX271)/AS271&lt;50%,"🚴‍♂️",IF((AP271+AU271-AX271)/AS271&lt;75%,"🚖","🚁"))))),"")</f>
        <v/>
      </c>
      <c r="AS271" s="8">
        <f t="shared" si="124"/>
        <v>0</v>
      </c>
      <c r="AT271" s="11">
        <f t="shared" si="125"/>
        <v>0</v>
      </c>
      <c r="AU271" s="15">
        <v>0</v>
      </c>
      <c r="AV271" s="32">
        <f t="shared" si="126"/>
        <v>0</v>
      </c>
      <c r="AW271" s="33"/>
      <c r="AX271" s="75">
        <f t="shared" si="127"/>
        <v>0</v>
      </c>
    </row>
    <row r="272" spans="1:50" x14ac:dyDescent="0.25">
      <c r="A272" s="5">
        <f t="shared" si="128"/>
        <v>0</v>
      </c>
      <c r="B272" s="5">
        <f t="shared" ref="B272:B335" si="145">IF(N271&lt;1,0,B271)</f>
        <v>0</v>
      </c>
      <c r="C272" s="77">
        <f t="shared" si="130"/>
        <v>53874</v>
      </c>
      <c r="D272" s="122" t="str">
        <f t="shared" si="132"/>
        <v/>
      </c>
      <c r="E272" s="123">
        <f t="shared" ref="E272:E335" si="146">E271+1</f>
        <v>258</v>
      </c>
      <c r="F272" s="124">
        <f t="shared" ref="F272:F335" si="147">IF(N271&gt;0,N271*$E$7,0)</f>
        <v>0</v>
      </c>
      <c r="G272" s="125">
        <f t="shared" ref="G272:G335" si="148">IF(N271&gt;G271,L272-F272-A272-B272,N271)</f>
        <v>0</v>
      </c>
      <c r="H272" s="126" t="str">
        <f t="shared" si="133"/>
        <v/>
      </c>
      <c r="I272" s="127" t="str">
        <f t="shared" si="134"/>
        <v/>
      </c>
      <c r="J272" s="128">
        <f t="shared" si="135"/>
        <v>0</v>
      </c>
      <c r="K272" s="129">
        <f t="shared" si="136"/>
        <v>0</v>
      </c>
      <c r="L272" s="1">
        <f t="shared" ref="L272:L335" si="149">IF(INT(N271)=0,0,IF(N271&lt;G271,N271+F272+A272+B272,-PMT($E$7,IF(Q271="V",P271,NPER($E$7,-L271+A272+B272,N271)),N271+R271)+A272+B272))+IF(INT(P271)=1,R272,0)</f>
        <v>0</v>
      </c>
      <c r="M272" s="130">
        <f t="shared" si="137"/>
        <v>0</v>
      </c>
      <c r="N272" s="131">
        <f t="shared" si="138"/>
        <v>0</v>
      </c>
      <c r="O272" s="15"/>
      <c r="P272" s="32">
        <f t="shared" ref="P272:P335" si="150">IFERROR(NPER($E$7,-L272+A271+B271,N271+R271)-1,0)</f>
        <v>0</v>
      </c>
      <c r="Q272" s="33"/>
      <c r="R272" s="75">
        <f t="shared" ref="R272:R335" si="151">N271*$D$9</f>
        <v>0</v>
      </c>
      <c r="V272" s="68">
        <f t="shared" si="139"/>
        <v>0</v>
      </c>
      <c r="AA272" s="4">
        <f t="shared" si="140"/>
        <v>3</v>
      </c>
      <c r="AB272" s="4">
        <f t="shared" si="141"/>
        <v>8</v>
      </c>
      <c r="AC272" s="12">
        <f t="shared" si="142"/>
        <v>22</v>
      </c>
      <c r="AJ272" s="5">
        <f t="shared" si="129"/>
        <v>0</v>
      </c>
      <c r="AK272" s="5">
        <f t="shared" ref="AK272:AK335" si="152">IF(AT271&lt;1,0,AK271)</f>
        <v>0</v>
      </c>
      <c r="AL272" s="77">
        <f t="shared" si="131"/>
        <v>53874</v>
      </c>
      <c r="AM272" s="27" t="str">
        <f t="shared" ref="AM272:AM335" si="153">IF(AT271&gt;0,AP272/AT271,"")</f>
        <v/>
      </c>
      <c r="AN272" s="76">
        <f t="shared" ref="AN272:AN335" si="154">AN271+1</f>
        <v>258</v>
      </c>
      <c r="AO272" s="13">
        <f t="shared" ref="AO272:AO335" si="155">IF(AT271&gt;0,AT271*$E$7,0)</f>
        <v>0</v>
      </c>
      <c r="AP272" s="62">
        <f t="shared" ref="AP272:AP335" si="156">IF(AT271&gt;AP271,AS272-AO272-AJ272-AK272,AT271)</f>
        <v>0</v>
      </c>
      <c r="AQ272" s="9" t="str">
        <f t="shared" si="143"/>
        <v/>
      </c>
      <c r="AR272" s="60" t="str">
        <f t="shared" si="144"/>
        <v/>
      </c>
      <c r="AS272" s="8">
        <f t="shared" ref="AS272:AS335" si="157">IF(INT(AT271)=0,0,IF(AT271&lt;AP271,AT271+AO272+AJ272+AK272,-PMT($E$7,IF(AW271="V",AV271,NPER($E$7,-AS271+AJ272+AK272,AT271)),AT271+AX271)+AJ272+AK272))+IF(INT(AV271)=1,AX272,0)</f>
        <v>0</v>
      </c>
      <c r="AT272" s="11">
        <f t="shared" ref="AT272:AT335" si="158">IF(AT271-AU272-AP272&lt;0,0,IF(AT271-AP272&gt;0,AT271-AP272,0)-IF(AT271-AP272&gt;0,AU272-AX272,0))</f>
        <v>0</v>
      </c>
      <c r="AU272" s="15">
        <v>0</v>
      </c>
      <c r="AV272" s="32">
        <f t="shared" ref="AV272:AV335" si="159">IFERROR(NPER($E$7,-AS272+AJ271+AK271,AT271+AX271)-1,0)</f>
        <v>0</v>
      </c>
      <c r="AW272" s="33"/>
      <c r="AX272" s="75">
        <f t="shared" ref="AX272:AX335" si="160">AT271*$D$9</f>
        <v>0</v>
      </c>
    </row>
    <row r="273" spans="1:50" x14ac:dyDescent="0.25">
      <c r="A273" s="5">
        <f t="shared" ref="A273:A336" si="161">IF(N272&lt;1,0,A272)</f>
        <v>0</v>
      </c>
      <c r="B273" s="5">
        <f t="shared" si="145"/>
        <v>0</v>
      </c>
      <c r="C273" s="77">
        <f t="shared" si="130"/>
        <v>53905</v>
      </c>
      <c r="D273" s="122" t="str">
        <f t="shared" si="132"/>
        <v/>
      </c>
      <c r="E273" s="123">
        <f t="shared" si="146"/>
        <v>259</v>
      </c>
      <c r="F273" s="124">
        <f t="shared" si="147"/>
        <v>0</v>
      </c>
      <c r="G273" s="125">
        <f t="shared" si="148"/>
        <v>0</v>
      </c>
      <c r="H273" s="126" t="str">
        <f t="shared" si="133"/>
        <v/>
      </c>
      <c r="I273" s="127" t="str">
        <f t="shared" si="134"/>
        <v/>
      </c>
      <c r="J273" s="128">
        <f t="shared" si="135"/>
        <v>0</v>
      </c>
      <c r="K273" s="129">
        <f t="shared" si="136"/>
        <v>0</v>
      </c>
      <c r="L273" s="1">
        <f t="shared" si="149"/>
        <v>0</v>
      </c>
      <c r="M273" s="130">
        <f t="shared" si="137"/>
        <v>0</v>
      </c>
      <c r="N273" s="131">
        <f t="shared" si="138"/>
        <v>0</v>
      </c>
      <c r="O273" s="15"/>
      <c r="P273" s="32">
        <f t="shared" si="150"/>
        <v>0</v>
      </c>
      <c r="Q273" s="33"/>
      <c r="R273" s="75">
        <f t="shared" si="151"/>
        <v>0</v>
      </c>
      <c r="V273" s="68">
        <f t="shared" si="139"/>
        <v>0</v>
      </c>
      <c r="AA273" s="4">
        <f t="shared" si="140"/>
        <v>3</v>
      </c>
      <c r="AB273" s="4">
        <f t="shared" si="141"/>
        <v>8</v>
      </c>
      <c r="AC273" s="12">
        <f t="shared" si="142"/>
        <v>22</v>
      </c>
      <c r="AJ273" s="5">
        <f t="shared" ref="AJ273:AJ336" si="162">IF(AT272&lt;1,0,AJ272)</f>
        <v>0</v>
      </c>
      <c r="AK273" s="5">
        <f t="shared" si="152"/>
        <v>0</v>
      </c>
      <c r="AL273" s="77">
        <f t="shared" si="131"/>
        <v>53905</v>
      </c>
      <c r="AM273" s="27" t="str">
        <f t="shared" si="153"/>
        <v/>
      </c>
      <c r="AN273" s="76">
        <f t="shared" si="154"/>
        <v>259</v>
      </c>
      <c r="AO273" s="13">
        <f t="shared" si="155"/>
        <v>0</v>
      </c>
      <c r="AP273" s="62">
        <f t="shared" si="156"/>
        <v>0</v>
      </c>
      <c r="AQ273" s="9" t="str">
        <f t="shared" si="143"/>
        <v/>
      </c>
      <c r="AR273" s="60" t="str">
        <f t="shared" si="144"/>
        <v/>
      </c>
      <c r="AS273" s="8">
        <f t="shared" si="157"/>
        <v>0</v>
      </c>
      <c r="AT273" s="11">
        <f t="shared" si="158"/>
        <v>0</v>
      </c>
      <c r="AU273" s="15">
        <v>0</v>
      </c>
      <c r="AV273" s="32">
        <f t="shared" si="159"/>
        <v>0</v>
      </c>
      <c r="AW273" s="33"/>
      <c r="AX273" s="75">
        <f t="shared" si="160"/>
        <v>0</v>
      </c>
    </row>
    <row r="274" spans="1:50" x14ac:dyDescent="0.25">
      <c r="A274" s="5">
        <f t="shared" si="161"/>
        <v>0</v>
      </c>
      <c r="B274" s="5">
        <f t="shared" si="145"/>
        <v>0</v>
      </c>
      <c r="C274" s="77">
        <f t="shared" ref="C274:C337" si="163">DATE(YEAR(C273),MONTH(C273)+1,1)</f>
        <v>53936</v>
      </c>
      <c r="D274" s="122" t="str">
        <f t="shared" si="132"/>
        <v/>
      </c>
      <c r="E274" s="123">
        <f t="shared" si="146"/>
        <v>260</v>
      </c>
      <c r="F274" s="124">
        <f t="shared" si="147"/>
        <v>0</v>
      </c>
      <c r="G274" s="125">
        <f t="shared" si="148"/>
        <v>0</v>
      </c>
      <c r="H274" s="126" t="str">
        <f t="shared" si="133"/>
        <v/>
      </c>
      <c r="I274" s="127" t="str">
        <f t="shared" si="134"/>
        <v/>
      </c>
      <c r="J274" s="128">
        <f t="shared" si="135"/>
        <v>0</v>
      </c>
      <c r="K274" s="129">
        <f t="shared" si="136"/>
        <v>0</v>
      </c>
      <c r="L274" s="1">
        <f t="shared" si="149"/>
        <v>0</v>
      </c>
      <c r="M274" s="130">
        <f t="shared" si="137"/>
        <v>0</v>
      </c>
      <c r="N274" s="131">
        <f t="shared" si="138"/>
        <v>0</v>
      </c>
      <c r="O274" s="15"/>
      <c r="P274" s="32">
        <f t="shared" si="150"/>
        <v>0</v>
      </c>
      <c r="Q274" s="33"/>
      <c r="R274" s="75">
        <f t="shared" si="151"/>
        <v>0</v>
      </c>
      <c r="V274" s="68">
        <f t="shared" si="139"/>
        <v>0</v>
      </c>
      <c r="AA274" s="4">
        <f t="shared" si="140"/>
        <v>3</v>
      </c>
      <c r="AB274" s="4">
        <f t="shared" si="141"/>
        <v>8</v>
      </c>
      <c r="AC274" s="12">
        <f t="shared" si="142"/>
        <v>22</v>
      </c>
      <c r="AJ274" s="5">
        <f t="shared" si="162"/>
        <v>0</v>
      </c>
      <c r="AK274" s="5">
        <f t="shared" si="152"/>
        <v>0</v>
      </c>
      <c r="AL274" s="77">
        <f t="shared" ref="AL274:AL337" si="164">DATE(YEAR(AL273),MONTH(AL273)+1,1)</f>
        <v>53936</v>
      </c>
      <c r="AM274" s="27" t="str">
        <f t="shared" si="153"/>
        <v/>
      </c>
      <c r="AN274" s="76">
        <f t="shared" si="154"/>
        <v>260</v>
      </c>
      <c r="AO274" s="13">
        <f t="shared" si="155"/>
        <v>0</v>
      </c>
      <c r="AP274" s="62">
        <f t="shared" si="156"/>
        <v>0</v>
      </c>
      <c r="AQ274" s="9" t="str">
        <f t="shared" si="143"/>
        <v/>
      </c>
      <c r="AR274" s="60" t="str">
        <f t="shared" si="144"/>
        <v/>
      </c>
      <c r="AS274" s="8">
        <f t="shared" si="157"/>
        <v>0</v>
      </c>
      <c r="AT274" s="11">
        <f t="shared" si="158"/>
        <v>0</v>
      </c>
      <c r="AU274" s="15">
        <v>0</v>
      </c>
      <c r="AV274" s="32">
        <f t="shared" si="159"/>
        <v>0</v>
      </c>
      <c r="AW274" s="33"/>
      <c r="AX274" s="75">
        <f t="shared" si="160"/>
        <v>0</v>
      </c>
    </row>
    <row r="275" spans="1:50" x14ac:dyDescent="0.25">
      <c r="A275" s="5">
        <f t="shared" si="161"/>
        <v>0</v>
      </c>
      <c r="B275" s="5">
        <f t="shared" si="145"/>
        <v>0</v>
      </c>
      <c r="C275" s="77">
        <f t="shared" si="163"/>
        <v>53966</v>
      </c>
      <c r="D275" s="122" t="str">
        <f t="shared" si="132"/>
        <v/>
      </c>
      <c r="E275" s="123">
        <f t="shared" si="146"/>
        <v>261</v>
      </c>
      <c r="F275" s="124">
        <f t="shared" si="147"/>
        <v>0</v>
      </c>
      <c r="G275" s="125">
        <f t="shared" si="148"/>
        <v>0</v>
      </c>
      <c r="H275" s="126" t="str">
        <f t="shared" si="133"/>
        <v/>
      </c>
      <c r="I275" s="127" t="str">
        <f t="shared" si="134"/>
        <v/>
      </c>
      <c r="J275" s="128">
        <f t="shared" si="135"/>
        <v>0</v>
      </c>
      <c r="K275" s="129">
        <f t="shared" si="136"/>
        <v>0</v>
      </c>
      <c r="L275" s="1">
        <f t="shared" si="149"/>
        <v>0</v>
      </c>
      <c r="M275" s="130">
        <f t="shared" si="137"/>
        <v>0</v>
      </c>
      <c r="N275" s="131">
        <f t="shared" si="138"/>
        <v>0</v>
      </c>
      <c r="O275" s="15"/>
      <c r="P275" s="32">
        <f t="shared" si="150"/>
        <v>0</v>
      </c>
      <c r="Q275" s="33"/>
      <c r="R275" s="75">
        <f t="shared" si="151"/>
        <v>0</v>
      </c>
      <c r="V275" s="68">
        <f t="shared" si="139"/>
        <v>0</v>
      </c>
      <c r="AA275" s="4">
        <f t="shared" si="140"/>
        <v>3</v>
      </c>
      <c r="AB275" s="4">
        <f t="shared" si="141"/>
        <v>8</v>
      </c>
      <c r="AC275" s="12">
        <f t="shared" si="142"/>
        <v>22</v>
      </c>
      <c r="AJ275" s="5">
        <f t="shared" si="162"/>
        <v>0</v>
      </c>
      <c r="AK275" s="5">
        <f t="shared" si="152"/>
        <v>0</v>
      </c>
      <c r="AL275" s="77">
        <f t="shared" si="164"/>
        <v>53966</v>
      </c>
      <c r="AM275" s="27" t="str">
        <f t="shared" si="153"/>
        <v/>
      </c>
      <c r="AN275" s="76">
        <f t="shared" si="154"/>
        <v>261</v>
      </c>
      <c r="AO275" s="13">
        <f t="shared" si="155"/>
        <v>0</v>
      </c>
      <c r="AP275" s="62">
        <f t="shared" si="156"/>
        <v>0</v>
      </c>
      <c r="AQ275" s="9" t="str">
        <f t="shared" si="143"/>
        <v/>
      </c>
      <c r="AR275" s="60" t="str">
        <f t="shared" si="144"/>
        <v/>
      </c>
      <c r="AS275" s="8">
        <f t="shared" si="157"/>
        <v>0</v>
      </c>
      <c r="AT275" s="11">
        <f t="shared" si="158"/>
        <v>0</v>
      </c>
      <c r="AU275" s="15">
        <v>0</v>
      </c>
      <c r="AV275" s="32">
        <f t="shared" si="159"/>
        <v>0</v>
      </c>
      <c r="AW275" s="33"/>
      <c r="AX275" s="75">
        <f t="shared" si="160"/>
        <v>0</v>
      </c>
    </row>
    <row r="276" spans="1:50" x14ac:dyDescent="0.25">
      <c r="A276" s="5">
        <f t="shared" si="161"/>
        <v>0</v>
      </c>
      <c r="B276" s="5">
        <f t="shared" si="145"/>
        <v>0</v>
      </c>
      <c r="C276" s="77">
        <f t="shared" si="163"/>
        <v>53997</v>
      </c>
      <c r="D276" s="122" t="str">
        <f t="shared" si="132"/>
        <v/>
      </c>
      <c r="E276" s="123">
        <f t="shared" si="146"/>
        <v>262</v>
      </c>
      <c r="F276" s="124">
        <f t="shared" si="147"/>
        <v>0</v>
      </c>
      <c r="G276" s="125">
        <f t="shared" si="148"/>
        <v>0</v>
      </c>
      <c r="H276" s="126" t="str">
        <f t="shared" si="133"/>
        <v/>
      </c>
      <c r="I276" s="127" t="str">
        <f t="shared" si="134"/>
        <v/>
      </c>
      <c r="J276" s="128">
        <f t="shared" si="135"/>
        <v>0</v>
      </c>
      <c r="K276" s="129">
        <f t="shared" si="136"/>
        <v>0</v>
      </c>
      <c r="L276" s="1">
        <f t="shared" si="149"/>
        <v>0</v>
      </c>
      <c r="M276" s="130">
        <f t="shared" si="137"/>
        <v>0</v>
      </c>
      <c r="N276" s="131">
        <f t="shared" si="138"/>
        <v>0</v>
      </c>
      <c r="O276" s="15"/>
      <c r="P276" s="32">
        <f t="shared" si="150"/>
        <v>0</v>
      </c>
      <c r="Q276" s="33"/>
      <c r="R276" s="75">
        <f t="shared" si="151"/>
        <v>0</v>
      </c>
      <c r="V276" s="68">
        <f t="shared" si="139"/>
        <v>0</v>
      </c>
      <c r="AA276" s="4">
        <f t="shared" si="140"/>
        <v>3</v>
      </c>
      <c r="AB276" s="4">
        <f t="shared" si="141"/>
        <v>8</v>
      </c>
      <c r="AC276" s="12">
        <f t="shared" si="142"/>
        <v>22</v>
      </c>
      <c r="AJ276" s="5">
        <f t="shared" si="162"/>
        <v>0</v>
      </c>
      <c r="AK276" s="5">
        <f t="shared" si="152"/>
        <v>0</v>
      </c>
      <c r="AL276" s="77">
        <f t="shared" si="164"/>
        <v>53997</v>
      </c>
      <c r="AM276" s="27" t="str">
        <f t="shared" si="153"/>
        <v/>
      </c>
      <c r="AN276" s="76">
        <f t="shared" si="154"/>
        <v>262</v>
      </c>
      <c r="AO276" s="13">
        <f t="shared" si="155"/>
        <v>0</v>
      </c>
      <c r="AP276" s="62">
        <f t="shared" si="156"/>
        <v>0</v>
      </c>
      <c r="AQ276" s="9" t="str">
        <f t="shared" si="143"/>
        <v/>
      </c>
      <c r="AR276" s="60" t="str">
        <f t="shared" si="144"/>
        <v/>
      </c>
      <c r="AS276" s="8">
        <f t="shared" si="157"/>
        <v>0</v>
      </c>
      <c r="AT276" s="11">
        <f t="shared" si="158"/>
        <v>0</v>
      </c>
      <c r="AU276" s="15">
        <v>0</v>
      </c>
      <c r="AV276" s="32">
        <f t="shared" si="159"/>
        <v>0</v>
      </c>
      <c r="AW276" s="33"/>
      <c r="AX276" s="75">
        <f t="shared" si="160"/>
        <v>0</v>
      </c>
    </row>
    <row r="277" spans="1:50" x14ac:dyDescent="0.25">
      <c r="A277" s="5">
        <f t="shared" si="161"/>
        <v>0</v>
      </c>
      <c r="B277" s="5">
        <f t="shared" si="145"/>
        <v>0</v>
      </c>
      <c r="C277" s="77">
        <f t="shared" si="163"/>
        <v>54027</v>
      </c>
      <c r="D277" s="122" t="str">
        <f t="shared" si="132"/>
        <v/>
      </c>
      <c r="E277" s="123">
        <f t="shared" si="146"/>
        <v>263</v>
      </c>
      <c r="F277" s="124">
        <f t="shared" si="147"/>
        <v>0</v>
      </c>
      <c r="G277" s="125">
        <f t="shared" si="148"/>
        <v>0</v>
      </c>
      <c r="H277" s="126" t="str">
        <f t="shared" si="133"/>
        <v/>
      </c>
      <c r="I277" s="127" t="str">
        <f t="shared" si="134"/>
        <v/>
      </c>
      <c r="J277" s="128">
        <f t="shared" si="135"/>
        <v>0</v>
      </c>
      <c r="K277" s="129">
        <f t="shared" si="136"/>
        <v>0</v>
      </c>
      <c r="L277" s="1">
        <f t="shared" si="149"/>
        <v>0</v>
      </c>
      <c r="M277" s="130">
        <f t="shared" si="137"/>
        <v>0</v>
      </c>
      <c r="N277" s="131">
        <f t="shared" si="138"/>
        <v>0</v>
      </c>
      <c r="O277" s="15"/>
      <c r="P277" s="32">
        <f t="shared" si="150"/>
        <v>0</v>
      </c>
      <c r="Q277" s="33"/>
      <c r="R277" s="75">
        <f t="shared" si="151"/>
        <v>0</v>
      </c>
      <c r="V277" s="68">
        <f t="shared" si="139"/>
        <v>0</v>
      </c>
      <c r="AA277" s="4">
        <f t="shared" si="140"/>
        <v>3</v>
      </c>
      <c r="AB277" s="4">
        <f t="shared" si="141"/>
        <v>8</v>
      </c>
      <c r="AC277" s="12">
        <f t="shared" si="142"/>
        <v>22</v>
      </c>
      <c r="AJ277" s="5">
        <f t="shared" si="162"/>
        <v>0</v>
      </c>
      <c r="AK277" s="5">
        <f t="shared" si="152"/>
        <v>0</v>
      </c>
      <c r="AL277" s="77">
        <f t="shared" si="164"/>
        <v>54027</v>
      </c>
      <c r="AM277" s="27" t="str">
        <f t="shared" si="153"/>
        <v/>
      </c>
      <c r="AN277" s="76">
        <f t="shared" si="154"/>
        <v>263</v>
      </c>
      <c r="AO277" s="13">
        <f t="shared" si="155"/>
        <v>0</v>
      </c>
      <c r="AP277" s="62">
        <f t="shared" si="156"/>
        <v>0</v>
      </c>
      <c r="AQ277" s="9" t="str">
        <f t="shared" si="143"/>
        <v/>
      </c>
      <c r="AR277" s="60" t="str">
        <f t="shared" si="144"/>
        <v/>
      </c>
      <c r="AS277" s="8">
        <f t="shared" si="157"/>
        <v>0</v>
      </c>
      <c r="AT277" s="11">
        <f t="shared" si="158"/>
        <v>0</v>
      </c>
      <c r="AU277" s="15">
        <v>0</v>
      </c>
      <c r="AV277" s="32">
        <f t="shared" si="159"/>
        <v>0</v>
      </c>
      <c r="AW277" s="33"/>
      <c r="AX277" s="75">
        <f t="shared" si="160"/>
        <v>0</v>
      </c>
    </row>
    <row r="278" spans="1:50" x14ac:dyDescent="0.25">
      <c r="A278" s="5">
        <f t="shared" si="161"/>
        <v>0</v>
      </c>
      <c r="B278" s="5">
        <f t="shared" si="145"/>
        <v>0</v>
      </c>
      <c r="C278" s="77">
        <f t="shared" si="163"/>
        <v>54058</v>
      </c>
      <c r="D278" s="122" t="str">
        <f t="shared" si="132"/>
        <v/>
      </c>
      <c r="E278" s="123">
        <f t="shared" si="146"/>
        <v>264</v>
      </c>
      <c r="F278" s="124">
        <f t="shared" si="147"/>
        <v>0</v>
      </c>
      <c r="G278" s="125">
        <f t="shared" si="148"/>
        <v>0</v>
      </c>
      <c r="H278" s="126" t="str">
        <f t="shared" si="133"/>
        <v/>
      </c>
      <c r="I278" s="127" t="str">
        <f t="shared" si="134"/>
        <v/>
      </c>
      <c r="J278" s="128">
        <f t="shared" si="135"/>
        <v>0</v>
      </c>
      <c r="K278" s="129">
        <f t="shared" si="136"/>
        <v>0</v>
      </c>
      <c r="L278" s="1">
        <f t="shared" si="149"/>
        <v>0</v>
      </c>
      <c r="M278" s="130">
        <f t="shared" si="137"/>
        <v>0</v>
      </c>
      <c r="N278" s="131">
        <f t="shared" si="138"/>
        <v>0</v>
      </c>
      <c r="O278" s="15"/>
      <c r="P278" s="32">
        <f t="shared" si="150"/>
        <v>0</v>
      </c>
      <c r="Q278" s="33"/>
      <c r="R278" s="75">
        <f t="shared" si="151"/>
        <v>0</v>
      </c>
      <c r="V278" s="68">
        <f t="shared" si="139"/>
        <v>0</v>
      </c>
      <c r="AA278" s="4">
        <f t="shared" si="140"/>
        <v>3</v>
      </c>
      <c r="AB278" s="4">
        <f t="shared" si="141"/>
        <v>8</v>
      </c>
      <c r="AC278" s="12">
        <f t="shared" si="142"/>
        <v>22</v>
      </c>
      <c r="AJ278" s="5">
        <f t="shared" si="162"/>
        <v>0</v>
      </c>
      <c r="AK278" s="5">
        <f t="shared" si="152"/>
        <v>0</v>
      </c>
      <c r="AL278" s="77">
        <f t="shared" si="164"/>
        <v>54058</v>
      </c>
      <c r="AM278" s="27" t="str">
        <f t="shared" si="153"/>
        <v/>
      </c>
      <c r="AN278" s="76">
        <f t="shared" si="154"/>
        <v>264</v>
      </c>
      <c r="AO278" s="13">
        <f t="shared" si="155"/>
        <v>0</v>
      </c>
      <c r="AP278" s="62">
        <f t="shared" si="156"/>
        <v>0</v>
      </c>
      <c r="AQ278" s="9" t="str">
        <f t="shared" si="143"/>
        <v/>
      </c>
      <c r="AR278" s="60" t="str">
        <f t="shared" si="144"/>
        <v/>
      </c>
      <c r="AS278" s="8">
        <f t="shared" si="157"/>
        <v>0</v>
      </c>
      <c r="AT278" s="11">
        <f t="shared" si="158"/>
        <v>0</v>
      </c>
      <c r="AU278" s="15">
        <v>0</v>
      </c>
      <c r="AV278" s="32">
        <f t="shared" si="159"/>
        <v>0</v>
      </c>
      <c r="AW278" s="33"/>
      <c r="AX278" s="75">
        <f t="shared" si="160"/>
        <v>0</v>
      </c>
    </row>
    <row r="279" spans="1:50" x14ac:dyDescent="0.25">
      <c r="A279" s="5">
        <f t="shared" si="161"/>
        <v>0</v>
      </c>
      <c r="B279" s="5">
        <f t="shared" si="145"/>
        <v>0</v>
      </c>
      <c r="C279" s="77">
        <f t="shared" si="163"/>
        <v>54089</v>
      </c>
      <c r="D279" s="122" t="str">
        <f t="shared" si="132"/>
        <v/>
      </c>
      <c r="E279" s="123">
        <f t="shared" si="146"/>
        <v>265</v>
      </c>
      <c r="F279" s="124">
        <f t="shared" si="147"/>
        <v>0</v>
      </c>
      <c r="G279" s="125">
        <f t="shared" si="148"/>
        <v>0</v>
      </c>
      <c r="H279" s="126" t="str">
        <f t="shared" si="133"/>
        <v/>
      </c>
      <c r="I279" s="127" t="str">
        <f t="shared" si="134"/>
        <v/>
      </c>
      <c r="J279" s="128">
        <f t="shared" si="135"/>
        <v>0</v>
      </c>
      <c r="K279" s="129">
        <f t="shared" si="136"/>
        <v>0</v>
      </c>
      <c r="L279" s="1">
        <f t="shared" si="149"/>
        <v>0</v>
      </c>
      <c r="M279" s="130">
        <f t="shared" si="137"/>
        <v>0</v>
      </c>
      <c r="N279" s="131">
        <f t="shared" si="138"/>
        <v>0</v>
      </c>
      <c r="O279" s="15"/>
      <c r="P279" s="32">
        <f t="shared" si="150"/>
        <v>0</v>
      </c>
      <c r="Q279" s="33"/>
      <c r="R279" s="75">
        <f t="shared" si="151"/>
        <v>0</v>
      </c>
      <c r="V279" s="68">
        <f t="shared" si="139"/>
        <v>0</v>
      </c>
      <c r="AA279" s="4">
        <f t="shared" si="140"/>
        <v>3</v>
      </c>
      <c r="AB279" s="4">
        <f t="shared" si="141"/>
        <v>8</v>
      </c>
      <c r="AC279" s="12">
        <f t="shared" si="142"/>
        <v>23</v>
      </c>
      <c r="AJ279" s="5">
        <f t="shared" si="162"/>
        <v>0</v>
      </c>
      <c r="AK279" s="5">
        <f t="shared" si="152"/>
        <v>0</v>
      </c>
      <c r="AL279" s="77">
        <f t="shared" si="164"/>
        <v>54089</v>
      </c>
      <c r="AM279" s="27" t="str">
        <f t="shared" si="153"/>
        <v/>
      </c>
      <c r="AN279" s="76">
        <f t="shared" si="154"/>
        <v>265</v>
      </c>
      <c r="AO279" s="13">
        <f t="shared" si="155"/>
        <v>0</v>
      </c>
      <c r="AP279" s="62">
        <f t="shared" si="156"/>
        <v>0</v>
      </c>
      <c r="AQ279" s="9" t="str">
        <f t="shared" si="143"/>
        <v/>
      </c>
      <c r="AR279" s="60" t="str">
        <f t="shared" si="144"/>
        <v/>
      </c>
      <c r="AS279" s="8">
        <f t="shared" si="157"/>
        <v>0</v>
      </c>
      <c r="AT279" s="11">
        <f t="shared" si="158"/>
        <v>0</v>
      </c>
      <c r="AU279" s="15">
        <v>0</v>
      </c>
      <c r="AV279" s="32">
        <f t="shared" si="159"/>
        <v>0</v>
      </c>
      <c r="AW279" s="33"/>
      <c r="AX279" s="75">
        <f t="shared" si="160"/>
        <v>0</v>
      </c>
    </row>
    <row r="280" spans="1:50" x14ac:dyDescent="0.25">
      <c r="A280" s="5">
        <f t="shared" si="161"/>
        <v>0</v>
      </c>
      <c r="B280" s="5">
        <f t="shared" si="145"/>
        <v>0</v>
      </c>
      <c r="C280" s="77">
        <f t="shared" si="163"/>
        <v>54118</v>
      </c>
      <c r="D280" s="122" t="str">
        <f t="shared" si="132"/>
        <v/>
      </c>
      <c r="E280" s="123">
        <f t="shared" si="146"/>
        <v>266</v>
      </c>
      <c r="F280" s="124">
        <f t="shared" si="147"/>
        <v>0</v>
      </c>
      <c r="G280" s="125">
        <f t="shared" si="148"/>
        <v>0</v>
      </c>
      <c r="H280" s="126" t="str">
        <f t="shared" si="133"/>
        <v/>
      </c>
      <c r="I280" s="127" t="str">
        <f t="shared" si="134"/>
        <v/>
      </c>
      <c r="J280" s="128">
        <f t="shared" si="135"/>
        <v>0</v>
      </c>
      <c r="K280" s="129">
        <f t="shared" si="136"/>
        <v>0</v>
      </c>
      <c r="L280" s="1">
        <f t="shared" si="149"/>
        <v>0</v>
      </c>
      <c r="M280" s="130">
        <f t="shared" si="137"/>
        <v>0</v>
      </c>
      <c r="N280" s="131">
        <f t="shared" si="138"/>
        <v>0</v>
      </c>
      <c r="O280" s="15"/>
      <c r="P280" s="32">
        <f t="shared" si="150"/>
        <v>0</v>
      </c>
      <c r="Q280" s="33"/>
      <c r="R280" s="75">
        <f t="shared" si="151"/>
        <v>0</v>
      </c>
      <c r="V280" s="68">
        <f t="shared" si="139"/>
        <v>0</v>
      </c>
      <c r="AA280" s="4">
        <f t="shared" si="140"/>
        <v>3</v>
      </c>
      <c r="AB280" s="4">
        <f t="shared" si="141"/>
        <v>8</v>
      </c>
      <c r="AC280" s="12">
        <f t="shared" si="142"/>
        <v>23</v>
      </c>
      <c r="AJ280" s="5">
        <f t="shared" si="162"/>
        <v>0</v>
      </c>
      <c r="AK280" s="5">
        <f t="shared" si="152"/>
        <v>0</v>
      </c>
      <c r="AL280" s="77">
        <f t="shared" si="164"/>
        <v>54118</v>
      </c>
      <c r="AM280" s="27" t="str">
        <f t="shared" si="153"/>
        <v/>
      </c>
      <c r="AN280" s="76">
        <f t="shared" si="154"/>
        <v>266</v>
      </c>
      <c r="AO280" s="13">
        <f t="shared" si="155"/>
        <v>0</v>
      </c>
      <c r="AP280" s="62">
        <f t="shared" si="156"/>
        <v>0</v>
      </c>
      <c r="AQ280" s="9" t="str">
        <f t="shared" si="143"/>
        <v/>
      </c>
      <c r="AR280" s="60" t="str">
        <f t="shared" si="144"/>
        <v/>
      </c>
      <c r="AS280" s="8">
        <f t="shared" si="157"/>
        <v>0</v>
      </c>
      <c r="AT280" s="11">
        <f t="shared" si="158"/>
        <v>0</v>
      </c>
      <c r="AU280" s="15">
        <v>0</v>
      </c>
      <c r="AV280" s="32">
        <f t="shared" si="159"/>
        <v>0</v>
      </c>
      <c r="AW280" s="33"/>
      <c r="AX280" s="75">
        <f t="shared" si="160"/>
        <v>0</v>
      </c>
    </row>
    <row r="281" spans="1:50" x14ac:dyDescent="0.25">
      <c r="A281" s="5">
        <f t="shared" si="161"/>
        <v>0</v>
      </c>
      <c r="B281" s="5">
        <f t="shared" si="145"/>
        <v>0</v>
      </c>
      <c r="C281" s="77">
        <f t="shared" si="163"/>
        <v>54149</v>
      </c>
      <c r="D281" s="122" t="str">
        <f t="shared" si="132"/>
        <v/>
      </c>
      <c r="E281" s="123">
        <f t="shared" si="146"/>
        <v>267</v>
      </c>
      <c r="F281" s="124">
        <f t="shared" si="147"/>
        <v>0</v>
      </c>
      <c r="G281" s="125">
        <f t="shared" si="148"/>
        <v>0</v>
      </c>
      <c r="H281" s="126" t="str">
        <f t="shared" si="133"/>
        <v/>
      </c>
      <c r="I281" s="127" t="str">
        <f t="shared" si="134"/>
        <v/>
      </c>
      <c r="J281" s="128">
        <f t="shared" si="135"/>
        <v>0</v>
      </c>
      <c r="K281" s="129">
        <f t="shared" si="136"/>
        <v>0</v>
      </c>
      <c r="L281" s="1">
        <f t="shared" si="149"/>
        <v>0</v>
      </c>
      <c r="M281" s="130">
        <f t="shared" si="137"/>
        <v>0</v>
      </c>
      <c r="N281" s="131">
        <f t="shared" si="138"/>
        <v>0</v>
      </c>
      <c r="O281" s="15"/>
      <c r="P281" s="32">
        <f t="shared" si="150"/>
        <v>0</v>
      </c>
      <c r="Q281" s="33"/>
      <c r="R281" s="75">
        <f t="shared" si="151"/>
        <v>0</v>
      </c>
      <c r="V281" s="68">
        <f t="shared" si="139"/>
        <v>0</v>
      </c>
      <c r="AA281" s="4">
        <f t="shared" si="140"/>
        <v>3</v>
      </c>
      <c r="AB281" s="4">
        <f t="shared" si="141"/>
        <v>8</v>
      </c>
      <c r="AC281" s="12">
        <f t="shared" si="142"/>
        <v>23</v>
      </c>
      <c r="AJ281" s="5">
        <f t="shared" si="162"/>
        <v>0</v>
      </c>
      <c r="AK281" s="5">
        <f t="shared" si="152"/>
        <v>0</v>
      </c>
      <c r="AL281" s="77">
        <f t="shared" si="164"/>
        <v>54149</v>
      </c>
      <c r="AM281" s="27" t="str">
        <f t="shared" si="153"/>
        <v/>
      </c>
      <c r="AN281" s="76">
        <f t="shared" si="154"/>
        <v>267</v>
      </c>
      <c r="AO281" s="13">
        <f t="shared" si="155"/>
        <v>0</v>
      </c>
      <c r="AP281" s="62">
        <f t="shared" si="156"/>
        <v>0</v>
      </c>
      <c r="AQ281" s="9" t="str">
        <f t="shared" si="143"/>
        <v/>
      </c>
      <c r="AR281" s="60" t="str">
        <f t="shared" si="144"/>
        <v/>
      </c>
      <c r="AS281" s="8">
        <f t="shared" si="157"/>
        <v>0</v>
      </c>
      <c r="AT281" s="11">
        <f t="shared" si="158"/>
        <v>0</v>
      </c>
      <c r="AU281" s="15">
        <v>0</v>
      </c>
      <c r="AV281" s="32">
        <f t="shared" si="159"/>
        <v>0</v>
      </c>
      <c r="AW281" s="33"/>
      <c r="AX281" s="75">
        <f t="shared" si="160"/>
        <v>0</v>
      </c>
    </row>
    <row r="282" spans="1:50" x14ac:dyDescent="0.25">
      <c r="A282" s="5">
        <f t="shared" si="161"/>
        <v>0</v>
      </c>
      <c r="B282" s="5">
        <f t="shared" si="145"/>
        <v>0</v>
      </c>
      <c r="C282" s="77">
        <f t="shared" si="163"/>
        <v>54179</v>
      </c>
      <c r="D282" s="122" t="str">
        <f t="shared" si="132"/>
        <v/>
      </c>
      <c r="E282" s="123">
        <f t="shared" si="146"/>
        <v>268</v>
      </c>
      <c r="F282" s="124">
        <f t="shared" si="147"/>
        <v>0</v>
      </c>
      <c r="G282" s="125">
        <f t="shared" si="148"/>
        <v>0</v>
      </c>
      <c r="H282" s="126" t="str">
        <f t="shared" si="133"/>
        <v/>
      </c>
      <c r="I282" s="127" t="str">
        <f t="shared" si="134"/>
        <v/>
      </c>
      <c r="J282" s="128">
        <f t="shared" si="135"/>
        <v>0</v>
      </c>
      <c r="K282" s="129">
        <f t="shared" si="136"/>
        <v>0</v>
      </c>
      <c r="L282" s="1">
        <f t="shared" si="149"/>
        <v>0</v>
      </c>
      <c r="M282" s="130">
        <f t="shared" si="137"/>
        <v>0</v>
      </c>
      <c r="N282" s="131">
        <f t="shared" si="138"/>
        <v>0</v>
      </c>
      <c r="O282" s="15"/>
      <c r="P282" s="32">
        <f t="shared" si="150"/>
        <v>0</v>
      </c>
      <c r="Q282" s="33"/>
      <c r="R282" s="75">
        <f t="shared" si="151"/>
        <v>0</v>
      </c>
      <c r="V282" s="68">
        <f t="shared" si="139"/>
        <v>0</v>
      </c>
      <c r="AA282" s="4">
        <f t="shared" si="140"/>
        <v>3</v>
      </c>
      <c r="AB282" s="4">
        <f t="shared" si="141"/>
        <v>8</v>
      </c>
      <c r="AC282" s="12">
        <f t="shared" si="142"/>
        <v>23</v>
      </c>
      <c r="AJ282" s="5">
        <f t="shared" si="162"/>
        <v>0</v>
      </c>
      <c r="AK282" s="5">
        <f t="shared" si="152"/>
        <v>0</v>
      </c>
      <c r="AL282" s="77">
        <f t="shared" si="164"/>
        <v>54179</v>
      </c>
      <c r="AM282" s="27" t="str">
        <f t="shared" si="153"/>
        <v/>
      </c>
      <c r="AN282" s="76">
        <f t="shared" si="154"/>
        <v>268</v>
      </c>
      <c r="AO282" s="13">
        <f t="shared" si="155"/>
        <v>0</v>
      </c>
      <c r="AP282" s="62">
        <f t="shared" si="156"/>
        <v>0</v>
      </c>
      <c r="AQ282" s="9" t="str">
        <f t="shared" si="143"/>
        <v/>
      </c>
      <c r="AR282" s="60" t="str">
        <f t="shared" si="144"/>
        <v/>
      </c>
      <c r="AS282" s="8">
        <f t="shared" si="157"/>
        <v>0</v>
      </c>
      <c r="AT282" s="11">
        <f t="shared" si="158"/>
        <v>0</v>
      </c>
      <c r="AU282" s="15">
        <v>0</v>
      </c>
      <c r="AV282" s="32">
        <f t="shared" si="159"/>
        <v>0</v>
      </c>
      <c r="AW282" s="33"/>
      <c r="AX282" s="75">
        <f t="shared" si="160"/>
        <v>0</v>
      </c>
    </row>
    <row r="283" spans="1:50" x14ac:dyDescent="0.25">
      <c r="A283" s="5">
        <f t="shared" si="161"/>
        <v>0</v>
      </c>
      <c r="B283" s="5">
        <f t="shared" si="145"/>
        <v>0</v>
      </c>
      <c r="C283" s="77">
        <f t="shared" si="163"/>
        <v>54210</v>
      </c>
      <c r="D283" s="122" t="str">
        <f t="shared" si="132"/>
        <v/>
      </c>
      <c r="E283" s="123">
        <f t="shared" si="146"/>
        <v>269</v>
      </c>
      <c r="F283" s="124">
        <f t="shared" si="147"/>
        <v>0</v>
      </c>
      <c r="G283" s="125">
        <f t="shared" si="148"/>
        <v>0</v>
      </c>
      <c r="H283" s="126" t="str">
        <f t="shared" si="133"/>
        <v/>
      </c>
      <c r="I283" s="127" t="str">
        <f t="shared" si="134"/>
        <v/>
      </c>
      <c r="J283" s="128">
        <f t="shared" si="135"/>
        <v>0</v>
      </c>
      <c r="K283" s="129">
        <f t="shared" si="136"/>
        <v>0</v>
      </c>
      <c r="L283" s="1">
        <f t="shared" si="149"/>
        <v>0</v>
      </c>
      <c r="M283" s="130">
        <f t="shared" si="137"/>
        <v>0</v>
      </c>
      <c r="N283" s="131">
        <f t="shared" si="138"/>
        <v>0</v>
      </c>
      <c r="O283" s="15"/>
      <c r="P283" s="32">
        <f t="shared" si="150"/>
        <v>0</v>
      </c>
      <c r="Q283" s="33"/>
      <c r="R283" s="75">
        <f t="shared" si="151"/>
        <v>0</v>
      </c>
      <c r="V283" s="68">
        <f t="shared" si="139"/>
        <v>0</v>
      </c>
      <c r="AA283" s="4">
        <f t="shared" si="140"/>
        <v>3</v>
      </c>
      <c r="AB283" s="4">
        <f t="shared" si="141"/>
        <v>8</v>
      </c>
      <c r="AC283" s="12">
        <f t="shared" si="142"/>
        <v>23</v>
      </c>
      <c r="AJ283" s="5">
        <f t="shared" si="162"/>
        <v>0</v>
      </c>
      <c r="AK283" s="5">
        <f t="shared" si="152"/>
        <v>0</v>
      </c>
      <c r="AL283" s="77">
        <f t="shared" si="164"/>
        <v>54210</v>
      </c>
      <c r="AM283" s="27" t="str">
        <f t="shared" si="153"/>
        <v/>
      </c>
      <c r="AN283" s="76">
        <f t="shared" si="154"/>
        <v>269</v>
      </c>
      <c r="AO283" s="13">
        <f t="shared" si="155"/>
        <v>0</v>
      </c>
      <c r="AP283" s="62">
        <f t="shared" si="156"/>
        <v>0</v>
      </c>
      <c r="AQ283" s="9" t="str">
        <f t="shared" si="143"/>
        <v/>
      </c>
      <c r="AR283" s="60" t="str">
        <f t="shared" si="144"/>
        <v/>
      </c>
      <c r="AS283" s="8">
        <f t="shared" si="157"/>
        <v>0</v>
      </c>
      <c r="AT283" s="11">
        <f t="shared" si="158"/>
        <v>0</v>
      </c>
      <c r="AU283" s="15">
        <v>0</v>
      </c>
      <c r="AV283" s="32">
        <f t="shared" si="159"/>
        <v>0</v>
      </c>
      <c r="AW283" s="33"/>
      <c r="AX283" s="75">
        <f t="shared" si="160"/>
        <v>0</v>
      </c>
    </row>
    <row r="284" spans="1:50" x14ac:dyDescent="0.25">
      <c r="A284" s="5">
        <f t="shared" si="161"/>
        <v>0</v>
      </c>
      <c r="B284" s="5">
        <f t="shared" si="145"/>
        <v>0</v>
      </c>
      <c r="C284" s="77">
        <f t="shared" si="163"/>
        <v>54240</v>
      </c>
      <c r="D284" s="122" t="str">
        <f t="shared" si="132"/>
        <v/>
      </c>
      <c r="E284" s="123">
        <f t="shared" si="146"/>
        <v>270</v>
      </c>
      <c r="F284" s="124">
        <f t="shared" si="147"/>
        <v>0</v>
      </c>
      <c r="G284" s="125">
        <f t="shared" si="148"/>
        <v>0</v>
      </c>
      <c r="H284" s="126" t="str">
        <f t="shared" si="133"/>
        <v/>
      </c>
      <c r="I284" s="127" t="str">
        <f t="shared" si="134"/>
        <v/>
      </c>
      <c r="J284" s="128">
        <f t="shared" si="135"/>
        <v>0</v>
      </c>
      <c r="K284" s="129">
        <f t="shared" si="136"/>
        <v>0</v>
      </c>
      <c r="L284" s="1">
        <f t="shared" si="149"/>
        <v>0</v>
      </c>
      <c r="M284" s="130">
        <f t="shared" si="137"/>
        <v>0</v>
      </c>
      <c r="N284" s="131">
        <f t="shared" si="138"/>
        <v>0</v>
      </c>
      <c r="O284" s="15"/>
      <c r="P284" s="32">
        <f t="shared" si="150"/>
        <v>0</v>
      </c>
      <c r="Q284" s="33"/>
      <c r="R284" s="75">
        <f t="shared" si="151"/>
        <v>0</v>
      </c>
      <c r="V284" s="68">
        <f t="shared" si="139"/>
        <v>0</v>
      </c>
      <c r="AA284" s="4">
        <f t="shared" si="140"/>
        <v>3</v>
      </c>
      <c r="AB284" s="4">
        <f t="shared" si="141"/>
        <v>8</v>
      </c>
      <c r="AC284" s="12">
        <f t="shared" si="142"/>
        <v>23</v>
      </c>
      <c r="AJ284" s="5">
        <f t="shared" si="162"/>
        <v>0</v>
      </c>
      <c r="AK284" s="5">
        <f t="shared" si="152"/>
        <v>0</v>
      </c>
      <c r="AL284" s="77">
        <f t="shared" si="164"/>
        <v>54240</v>
      </c>
      <c r="AM284" s="27" t="str">
        <f t="shared" si="153"/>
        <v/>
      </c>
      <c r="AN284" s="76">
        <f t="shared" si="154"/>
        <v>270</v>
      </c>
      <c r="AO284" s="13">
        <f t="shared" si="155"/>
        <v>0</v>
      </c>
      <c r="AP284" s="62">
        <f t="shared" si="156"/>
        <v>0</v>
      </c>
      <c r="AQ284" s="9" t="str">
        <f t="shared" si="143"/>
        <v/>
      </c>
      <c r="AR284" s="60" t="str">
        <f t="shared" si="144"/>
        <v/>
      </c>
      <c r="AS284" s="8">
        <f t="shared" si="157"/>
        <v>0</v>
      </c>
      <c r="AT284" s="11">
        <f t="shared" si="158"/>
        <v>0</v>
      </c>
      <c r="AU284" s="15">
        <v>0</v>
      </c>
      <c r="AV284" s="32">
        <f t="shared" si="159"/>
        <v>0</v>
      </c>
      <c r="AW284" s="33"/>
      <c r="AX284" s="75">
        <f t="shared" si="160"/>
        <v>0</v>
      </c>
    </row>
    <row r="285" spans="1:50" x14ac:dyDescent="0.25">
      <c r="A285" s="5">
        <f t="shared" si="161"/>
        <v>0</v>
      </c>
      <c r="B285" s="5">
        <f t="shared" si="145"/>
        <v>0</v>
      </c>
      <c r="C285" s="77">
        <f t="shared" si="163"/>
        <v>54271</v>
      </c>
      <c r="D285" s="122" t="str">
        <f t="shared" si="132"/>
        <v/>
      </c>
      <c r="E285" s="123">
        <f t="shared" si="146"/>
        <v>271</v>
      </c>
      <c r="F285" s="124">
        <f t="shared" si="147"/>
        <v>0</v>
      </c>
      <c r="G285" s="125">
        <f t="shared" si="148"/>
        <v>0</v>
      </c>
      <c r="H285" s="126" t="str">
        <f t="shared" si="133"/>
        <v/>
      </c>
      <c r="I285" s="127" t="str">
        <f t="shared" si="134"/>
        <v/>
      </c>
      <c r="J285" s="128">
        <f t="shared" si="135"/>
        <v>0</v>
      </c>
      <c r="K285" s="129">
        <f t="shared" si="136"/>
        <v>0</v>
      </c>
      <c r="L285" s="1">
        <f t="shared" si="149"/>
        <v>0</v>
      </c>
      <c r="M285" s="130">
        <f t="shared" si="137"/>
        <v>0</v>
      </c>
      <c r="N285" s="131">
        <f t="shared" si="138"/>
        <v>0</v>
      </c>
      <c r="O285" s="15"/>
      <c r="P285" s="32">
        <f t="shared" si="150"/>
        <v>0</v>
      </c>
      <c r="Q285" s="33"/>
      <c r="R285" s="75">
        <f t="shared" si="151"/>
        <v>0</v>
      </c>
      <c r="V285" s="68">
        <f t="shared" si="139"/>
        <v>0</v>
      </c>
      <c r="AA285" s="4">
        <f t="shared" si="140"/>
        <v>3</v>
      </c>
      <c r="AB285" s="4">
        <f t="shared" si="141"/>
        <v>8</v>
      </c>
      <c r="AC285" s="12">
        <f t="shared" si="142"/>
        <v>23</v>
      </c>
      <c r="AJ285" s="5">
        <f t="shared" si="162"/>
        <v>0</v>
      </c>
      <c r="AK285" s="5">
        <f t="shared" si="152"/>
        <v>0</v>
      </c>
      <c r="AL285" s="77">
        <f t="shared" si="164"/>
        <v>54271</v>
      </c>
      <c r="AM285" s="27" t="str">
        <f t="shared" si="153"/>
        <v/>
      </c>
      <c r="AN285" s="76">
        <f t="shared" si="154"/>
        <v>271</v>
      </c>
      <c r="AO285" s="13">
        <f t="shared" si="155"/>
        <v>0</v>
      </c>
      <c r="AP285" s="62">
        <f t="shared" si="156"/>
        <v>0</v>
      </c>
      <c r="AQ285" s="9" t="str">
        <f t="shared" si="143"/>
        <v/>
      </c>
      <c r="AR285" s="60" t="str">
        <f t="shared" si="144"/>
        <v/>
      </c>
      <c r="AS285" s="8">
        <f t="shared" si="157"/>
        <v>0</v>
      </c>
      <c r="AT285" s="11">
        <f t="shared" si="158"/>
        <v>0</v>
      </c>
      <c r="AU285" s="15">
        <v>0</v>
      </c>
      <c r="AV285" s="32">
        <f t="shared" si="159"/>
        <v>0</v>
      </c>
      <c r="AW285" s="33"/>
      <c r="AX285" s="75">
        <f t="shared" si="160"/>
        <v>0</v>
      </c>
    </row>
    <row r="286" spans="1:50" x14ac:dyDescent="0.25">
      <c r="A286" s="5">
        <f t="shared" si="161"/>
        <v>0</v>
      </c>
      <c r="B286" s="5">
        <f t="shared" si="145"/>
        <v>0</v>
      </c>
      <c r="C286" s="77">
        <f t="shared" si="163"/>
        <v>54302</v>
      </c>
      <c r="D286" s="122" t="str">
        <f t="shared" si="132"/>
        <v/>
      </c>
      <c r="E286" s="123">
        <f t="shared" si="146"/>
        <v>272</v>
      </c>
      <c r="F286" s="124">
        <f t="shared" si="147"/>
        <v>0</v>
      </c>
      <c r="G286" s="125">
        <f t="shared" si="148"/>
        <v>0</v>
      </c>
      <c r="H286" s="126" t="str">
        <f t="shared" si="133"/>
        <v/>
      </c>
      <c r="I286" s="127" t="str">
        <f t="shared" si="134"/>
        <v/>
      </c>
      <c r="J286" s="128">
        <f t="shared" si="135"/>
        <v>0</v>
      </c>
      <c r="K286" s="129">
        <f t="shared" si="136"/>
        <v>0</v>
      </c>
      <c r="L286" s="1">
        <f t="shared" si="149"/>
        <v>0</v>
      </c>
      <c r="M286" s="130">
        <f t="shared" si="137"/>
        <v>0</v>
      </c>
      <c r="N286" s="131">
        <f t="shared" si="138"/>
        <v>0</v>
      </c>
      <c r="O286" s="15"/>
      <c r="P286" s="32">
        <f t="shared" si="150"/>
        <v>0</v>
      </c>
      <c r="Q286" s="33"/>
      <c r="R286" s="75">
        <f t="shared" si="151"/>
        <v>0</v>
      </c>
      <c r="V286" s="68">
        <f t="shared" si="139"/>
        <v>0</v>
      </c>
      <c r="AA286" s="4">
        <f t="shared" si="140"/>
        <v>3</v>
      </c>
      <c r="AB286" s="4">
        <f t="shared" si="141"/>
        <v>8</v>
      </c>
      <c r="AC286" s="12">
        <f t="shared" si="142"/>
        <v>23</v>
      </c>
      <c r="AJ286" s="5">
        <f t="shared" si="162"/>
        <v>0</v>
      </c>
      <c r="AK286" s="5">
        <f t="shared" si="152"/>
        <v>0</v>
      </c>
      <c r="AL286" s="77">
        <f t="shared" si="164"/>
        <v>54302</v>
      </c>
      <c r="AM286" s="27" t="str">
        <f t="shared" si="153"/>
        <v/>
      </c>
      <c r="AN286" s="76">
        <f t="shared" si="154"/>
        <v>272</v>
      </c>
      <c r="AO286" s="13">
        <f t="shared" si="155"/>
        <v>0</v>
      </c>
      <c r="AP286" s="62">
        <f t="shared" si="156"/>
        <v>0</v>
      </c>
      <c r="AQ286" s="9" t="str">
        <f t="shared" si="143"/>
        <v/>
      </c>
      <c r="AR286" s="60" t="str">
        <f t="shared" si="144"/>
        <v/>
      </c>
      <c r="AS286" s="8">
        <f t="shared" si="157"/>
        <v>0</v>
      </c>
      <c r="AT286" s="11">
        <f t="shared" si="158"/>
        <v>0</v>
      </c>
      <c r="AU286" s="15">
        <v>0</v>
      </c>
      <c r="AV286" s="32">
        <f t="shared" si="159"/>
        <v>0</v>
      </c>
      <c r="AW286" s="33"/>
      <c r="AX286" s="75">
        <f t="shared" si="160"/>
        <v>0</v>
      </c>
    </row>
    <row r="287" spans="1:50" x14ac:dyDescent="0.25">
      <c r="A287" s="5">
        <f t="shared" si="161"/>
        <v>0</v>
      </c>
      <c r="B287" s="5">
        <f t="shared" si="145"/>
        <v>0</v>
      </c>
      <c r="C287" s="77">
        <f t="shared" si="163"/>
        <v>54332</v>
      </c>
      <c r="D287" s="122" t="str">
        <f t="shared" si="132"/>
        <v/>
      </c>
      <c r="E287" s="123">
        <f t="shared" si="146"/>
        <v>273</v>
      </c>
      <c r="F287" s="124">
        <f t="shared" si="147"/>
        <v>0</v>
      </c>
      <c r="G287" s="125">
        <f t="shared" si="148"/>
        <v>0</v>
      </c>
      <c r="H287" s="126" t="str">
        <f t="shared" si="133"/>
        <v/>
      </c>
      <c r="I287" s="127" t="str">
        <f t="shared" si="134"/>
        <v/>
      </c>
      <c r="J287" s="128">
        <f t="shared" si="135"/>
        <v>0</v>
      </c>
      <c r="K287" s="129">
        <f t="shared" si="136"/>
        <v>0</v>
      </c>
      <c r="L287" s="1">
        <f t="shared" si="149"/>
        <v>0</v>
      </c>
      <c r="M287" s="130">
        <f t="shared" si="137"/>
        <v>0</v>
      </c>
      <c r="N287" s="131">
        <f t="shared" si="138"/>
        <v>0</v>
      </c>
      <c r="O287" s="15"/>
      <c r="P287" s="32">
        <f t="shared" si="150"/>
        <v>0</v>
      </c>
      <c r="Q287" s="33"/>
      <c r="R287" s="75">
        <f t="shared" si="151"/>
        <v>0</v>
      </c>
      <c r="V287" s="68">
        <f t="shared" si="139"/>
        <v>0</v>
      </c>
      <c r="AA287" s="4">
        <f t="shared" si="140"/>
        <v>3</v>
      </c>
      <c r="AB287" s="4">
        <f t="shared" si="141"/>
        <v>8</v>
      </c>
      <c r="AC287" s="12">
        <f t="shared" si="142"/>
        <v>23</v>
      </c>
      <c r="AJ287" s="5">
        <f t="shared" si="162"/>
        <v>0</v>
      </c>
      <c r="AK287" s="5">
        <f t="shared" si="152"/>
        <v>0</v>
      </c>
      <c r="AL287" s="77">
        <f t="shared" si="164"/>
        <v>54332</v>
      </c>
      <c r="AM287" s="27" t="str">
        <f t="shared" si="153"/>
        <v/>
      </c>
      <c r="AN287" s="76">
        <f t="shared" si="154"/>
        <v>273</v>
      </c>
      <c r="AO287" s="13">
        <f t="shared" si="155"/>
        <v>0</v>
      </c>
      <c r="AP287" s="62">
        <f t="shared" si="156"/>
        <v>0</v>
      </c>
      <c r="AQ287" s="9" t="str">
        <f t="shared" si="143"/>
        <v/>
      </c>
      <c r="AR287" s="60" t="str">
        <f t="shared" si="144"/>
        <v/>
      </c>
      <c r="AS287" s="8">
        <f t="shared" si="157"/>
        <v>0</v>
      </c>
      <c r="AT287" s="11">
        <f t="shared" si="158"/>
        <v>0</v>
      </c>
      <c r="AU287" s="15">
        <v>0</v>
      </c>
      <c r="AV287" s="32">
        <f t="shared" si="159"/>
        <v>0</v>
      </c>
      <c r="AW287" s="33"/>
      <c r="AX287" s="75">
        <f t="shared" si="160"/>
        <v>0</v>
      </c>
    </row>
    <row r="288" spans="1:50" x14ac:dyDescent="0.25">
      <c r="A288" s="5">
        <f t="shared" si="161"/>
        <v>0</v>
      </c>
      <c r="B288" s="5">
        <f t="shared" si="145"/>
        <v>0</v>
      </c>
      <c r="C288" s="77">
        <f t="shared" si="163"/>
        <v>54363</v>
      </c>
      <c r="D288" s="122" t="str">
        <f t="shared" si="132"/>
        <v/>
      </c>
      <c r="E288" s="123">
        <f t="shared" si="146"/>
        <v>274</v>
      </c>
      <c r="F288" s="124">
        <f t="shared" si="147"/>
        <v>0</v>
      </c>
      <c r="G288" s="125">
        <f t="shared" si="148"/>
        <v>0</v>
      </c>
      <c r="H288" s="126" t="str">
        <f t="shared" si="133"/>
        <v/>
      </c>
      <c r="I288" s="127" t="str">
        <f t="shared" si="134"/>
        <v/>
      </c>
      <c r="J288" s="128">
        <f t="shared" si="135"/>
        <v>0</v>
      </c>
      <c r="K288" s="129">
        <f t="shared" si="136"/>
        <v>0</v>
      </c>
      <c r="L288" s="1">
        <f t="shared" si="149"/>
        <v>0</v>
      </c>
      <c r="M288" s="130">
        <f t="shared" si="137"/>
        <v>0</v>
      </c>
      <c r="N288" s="131">
        <f t="shared" si="138"/>
        <v>0</v>
      </c>
      <c r="O288" s="15"/>
      <c r="P288" s="32">
        <f t="shared" si="150"/>
        <v>0</v>
      </c>
      <c r="Q288" s="33"/>
      <c r="R288" s="75">
        <f t="shared" si="151"/>
        <v>0</v>
      </c>
      <c r="V288" s="68">
        <f t="shared" si="139"/>
        <v>0</v>
      </c>
      <c r="AA288" s="4">
        <f t="shared" si="140"/>
        <v>3</v>
      </c>
      <c r="AB288" s="4">
        <f t="shared" si="141"/>
        <v>8</v>
      </c>
      <c r="AC288" s="12">
        <f t="shared" si="142"/>
        <v>23</v>
      </c>
      <c r="AJ288" s="5">
        <f t="shared" si="162"/>
        <v>0</v>
      </c>
      <c r="AK288" s="5">
        <f t="shared" si="152"/>
        <v>0</v>
      </c>
      <c r="AL288" s="77">
        <f t="shared" si="164"/>
        <v>54363</v>
      </c>
      <c r="AM288" s="27" t="str">
        <f t="shared" si="153"/>
        <v/>
      </c>
      <c r="AN288" s="76">
        <f t="shared" si="154"/>
        <v>274</v>
      </c>
      <c r="AO288" s="13">
        <f t="shared" si="155"/>
        <v>0</v>
      </c>
      <c r="AP288" s="62">
        <f t="shared" si="156"/>
        <v>0</v>
      </c>
      <c r="AQ288" s="9" t="str">
        <f t="shared" si="143"/>
        <v/>
      </c>
      <c r="AR288" s="60" t="str">
        <f t="shared" si="144"/>
        <v/>
      </c>
      <c r="AS288" s="8">
        <f t="shared" si="157"/>
        <v>0</v>
      </c>
      <c r="AT288" s="11">
        <f t="shared" si="158"/>
        <v>0</v>
      </c>
      <c r="AU288" s="15">
        <v>0</v>
      </c>
      <c r="AV288" s="32">
        <f t="shared" si="159"/>
        <v>0</v>
      </c>
      <c r="AW288" s="33"/>
      <c r="AX288" s="75">
        <f t="shared" si="160"/>
        <v>0</v>
      </c>
    </row>
    <row r="289" spans="1:50" x14ac:dyDescent="0.25">
      <c r="A289" s="5">
        <f t="shared" si="161"/>
        <v>0</v>
      </c>
      <c r="B289" s="5">
        <f t="shared" si="145"/>
        <v>0</v>
      </c>
      <c r="C289" s="77">
        <f t="shared" si="163"/>
        <v>54393</v>
      </c>
      <c r="D289" s="122" t="str">
        <f t="shared" si="132"/>
        <v/>
      </c>
      <c r="E289" s="123">
        <f t="shared" si="146"/>
        <v>275</v>
      </c>
      <c r="F289" s="124">
        <f t="shared" si="147"/>
        <v>0</v>
      </c>
      <c r="G289" s="125">
        <f t="shared" si="148"/>
        <v>0</v>
      </c>
      <c r="H289" s="126" t="str">
        <f t="shared" si="133"/>
        <v/>
      </c>
      <c r="I289" s="127" t="str">
        <f t="shared" si="134"/>
        <v/>
      </c>
      <c r="J289" s="128">
        <f t="shared" si="135"/>
        <v>0</v>
      </c>
      <c r="K289" s="129">
        <f t="shared" si="136"/>
        <v>0</v>
      </c>
      <c r="L289" s="1">
        <f t="shared" si="149"/>
        <v>0</v>
      </c>
      <c r="M289" s="130">
        <f t="shared" si="137"/>
        <v>0</v>
      </c>
      <c r="N289" s="131">
        <f t="shared" si="138"/>
        <v>0</v>
      </c>
      <c r="O289" s="15"/>
      <c r="P289" s="32">
        <f t="shared" si="150"/>
        <v>0</v>
      </c>
      <c r="Q289" s="33"/>
      <c r="R289" s="75">
        <f t="shared" si="151"/>
        <v>0</v>
      </c>
      <c r="V289" s="68">
        <f t="shared" si="139"/>
        <v>0</v>
      </c>
      <c r="AA289" s="4">
        <f t="shared" si="140"/>
        <v>3</v>
      </c>
      <c r="AB289" s="4">
        <f t="shared" si="141"/>
        <v>8</v>
      </c>
      <c r="AC289" s="12">
        <f t="shared" si="142"/>
        <v>23</v>
      </c>
      <c r="AJ289" s="5">
        <f t="shared" si="162"/>
        <v>0</v>
      </c>
      <c r="AK289" s="5">
        <f t="shared" si="152"/>
        <v>0</v>
      </c>
      <c r="AL289" s="77">
        <f t="shared" si="164"/>
        <v>54393</v>
      </c>
      <c r="AM289" s="27" t="str">
        <f t="shared" si="153"/>
        <v/>
      </c>
      <c r="AN289" s="76">
        <f t="shared" si="154"/>
        <v>275</v>
      </c>
      <c r="AO289" s="13">
        <f t="shared" si="155"/>
        <v>0</v>
      </c>
      <c r="AP289" s="62">
        <f t="shared" si="156"/>
        <v>0</v>
      </c>
      <c r="AQ289" s="9" t="str">
        <f t="shared" si="143"/>
        <v/>
      </c>
      <c r="AR289" s="60" t="str">
        <f t="shared" si="144"/>
        <v/>
      </c>
      <c r="AS289" s="8">
        <f t="shared" si="157"/>
        <v>0</v>
      </c>
      <c r="AT289" s="11">
        <f t="shared" si="158"/>
        <v>0</v>
      </c>
      <c r="AU289" s="15">
        <v>0</v>
      </c>
      <c r="AV289" s="32">
        <f t="shared" si="159"/>
        <v>0</v>
      </c>
      <c r="AW289" s="33"/>
      <c r="AX289" s="75">
        <f t="shared" si="160"/>
        <v>0</v>
      </c>
    </row>
    <row r="290" spans="1:50" x14ac:dyDescent="0.25">
      <c r="A290" s="5">
        <f t="shared" si="161"/>
        <v>0</v>
      </c>
      <c r="B290" s="5">
        <f t="shared" si="145"/>
        <v>0</v>
      </c>
      <c r="C290" s="77">
        <f t="shared" si="163"/>
        <v>54424</v>
      </c>
      <c r="D290" s="122" t="str">
        <f t="shared" si="132"/>
        <v/>
      </c>
      <c r="E290" s="123">
        <f t="shared" si="146"/>
        <v>276</v>
      </c>
      <c r="F290" s="124">
        <f t="shared" si="147"/>
        <v>0</v>
      </c>
      <c r="G290" s="125">
        <f t="shared" si="148"/>
        <v>0</v>
      </c>
      <c r="H290" s="126" t="str">
        <f t="shared" si="133"/>
        <v/>
      </c>
      <c r="I290" s="127" t="str">
        <f t="shared" si="134"/>
        <v/>
      </c>
      <c r="J290" s="128">
        <f t="shared" si="135"/>
        <v>0</v>
      </c>
      <c r="K290" s="129">
        <f t="shared" si="136"/>
        <v>0</v>
      </c>
      <c r="L290" s="1">
        <f t="shared" si="149"/>
        <v>0</v>
      </c>
      <c r="M290" s="130">
        <f t="shared" si="137"/>
        <v>0</v>
      </c>
      <c r="N290" s="131">
        <f t="shared" si="138"/>
        <v>0</v>
      </c>
      <c r="O290" s="15"/>
      <c r="P290" s="32">
        <f t="shared" si="150"/>
        <v>0</v>
      </c>
      <c r="Q290" s="33"/>
      <c r="R290" s="75">
        <f t="shared" si="151"/>
        <v>0</v>
      </c>
      <c r="V290" s="68">
        <f t="shared" si="139"/>
        <v>0</v>
      </c>
      <c r="AA290" s="4">
        <f t="shared" si="140"/>
        <v>3</v>
      </c>
      <c r="AB290" s="4">
        <f t="shared" si="141"/>
        <v>8</v>
      </c>
      <c r="AC290" s="12">
        <f t="shared" si="142"/>
        <v>23</v>
      </c>
      <c r="AJ290" s="5">
        <f t="shared" si="162"/>
        <v>0</v>
      </c>
      <c r="AK290" s="5">
        <f t="shared" si="152"/>
        <v>0</v>
      </c>
      <c r="AL290" s="77">
        <f t="shared" si="164"/>
        <v>54424</v>
      </c>
      <c r="AM290" s="27" t="str">
        <f t="shared" si="153"/>
        <v/>
      </c>
      <c r="AN290" s="76">
        <f t="shared" si="154"/>
        <v>276</v>
      </c>
      <c r="AO290" s="13">
        <f t="shared" si="155"/>
        <v>0</v>
      </c>
      <c r="AP290" s="62">
        <f t="shared" si="156"/>
        <v>0</v>
      </c>
      <c r="AQ290" s="9" t="str">
        <f t="shared" si="143"/>
        <v/>
      </c>
      <c r="AR290" s="60" t="str">
        <f t="shared" si="144"/>
        <v/>
      </c>
      <c r="AS290" s="8">
        <f t="shared" si="157"/>
        <v>0</v>
      </c>
      <c r="AT290" s="11">
        <f t="shared" si="158"/>
        <v>0</v>
      </c>
      <c r="AU290" s="15">
        <v>0</v>
      </c>
      <c r="AV290" s="32">
        <f t="shared" si="159"/>
        <v>0</v>
      </c>
      <c r="AW290" s="33"/>
      <c r="AX290" s="75">
        <f t="shared" si="160"/>
        <v>0</v>
      </c>
    </row>
    <row r="291" spans="1:50" x14ac:dyDescent="0.25">
      <c r="A291" s="5">
        <f t="shared" si="161"/>
        <v>0</v>
      </c>
      <c r="B291" s="5">
        <f t="shared" si="145"/>
        <v>0</v>
      </c>
      <c r="C291" s="77">
        <f t="shared" si="163"/>
        <v>54455</v>
      </c>
      <c r="D291" s="122" t="str">
        <f t="shared" si="132"/>
        <v/>
      </c>
      <c r="E291" s="123">
        <f t="shared" si="146"/>
        <v>277</v>
      </c>
      <c r="F291" s="124">
        <f t="shared" si="147"/>
        <v>0</v>
      </c>
      <c r="G291" s="125">
        <f t="shared" si="148"/>
        <v>0</v>
      </c>
      <c r="H291" s="126" t="str">
        <f t="shared" si="133"/>
        <v/>
      </c>
      <c r="I291" s="127" t="str">
        <f t="shared" si="134"/>
        <v/>
      </c>
      <c r="J291" s="128">
        <f t="shared" si="135"/>
        <v>0</v>
      </c>
      <c r="K291" s="129">
        <f t="shared" si="136"/>
        <v>0</v>
      </c>
      <c r="L291" s="1">
        <f t="shared" si="149"/>
        <v>0</v>
      </c>
      <c r="M291" s="130">
        <f t="shared" si="137"/>
        <v>0</v>
      </c>
      <c r="N291" s="131">
        <f t="shared" si="138"/>
        <v>0</v>
      </c>
      <c r="O291" s="15"/>
      <c r="P291" s="32">
        <f t="shared" si="150"/>
        <v>0</v>
      </c>
      <c r="Q291" s="33"/>
      <c r="R291" s="75">
        <f t="shared" si="151"/>
        <v>0</v>
      </c>
      <c r="V291" s="68">
        <f t="shared" si="139"/>
        <v>0</v>
      </c>
      <c r="AA291" s="4">
        <f t="shared" si="140"/>
        <v>3</v>
      </c>
      <c r="AB291" s="4">
        <f t="shared" si="141"/>
        <v>8</v>
      </c>
      <c r="AC291" s="12">
        <f t="shared" si="142"/>
        <v>24</v>
      </c>
      <c r="AJ291" s="5">
        <f t="shared" si="162"/>
        <v>0</v>
      </c>
      <c r="AK291" s="5">
        <f t="shared" si="152"/>
        <v>0</v>
      </c>
      <c r="AL291" s="77">
        <f t="shared" si="164"/>
        <v>54455</v>
      </c>
      <c r="AM291" s="27" t="str">
        <f t="shared" si="153"/>
        <v/>
      </c>
      <c r="AN291" s="76">
        <f t="shared" si="154"/>
        <v>277</v>
      </c>
      <c r="AO291" s="13">
        <f t="shared" si="155"/>
        <v>0</v>
      </c>
      <c r="AP291" s="62">
        <f t="shared" si="156"/>
        <v>0</v>
      </c>
      <c r="AQ291" s="9" t="str">
        <f t="shared" si="143"/>
        <v/>
      </c>
      <c r="AR291" s="60" t="str">
        <f t="shared" si="144"/>
        <v/>
      </c>
      <c r="AS291" s="8">
        <f t="shared" si="157"/>
        <v>0</v>
      </c>
      <c r="AT291" s="11">
        <f t="shared" si="158"/>
        <v>0</v>
      </c>
      <c r="AU291" s="15">
        <v>0</v>
      </c>
      <c r="AV291" s="32">
        <f t="shared" si="159"/>
        <v>0</v>
      </c>
      <c r="AW291" s="33"/>
      <c r="AX291" s="75">
        <f t="shared" si="160"/>
        <v>0</v>
      </c>
    </row>
    <row r="292" spans="1:50" x14ac:dyDescent="0.25">
      <c r="A292" s="5">
        <f t="shared" si="161"/>
        <v>0</v>
      </c>
      <c r="B292" s="5">
        <f t="shared" si="145"/>
        <v>0</v>
      </c>
      <c r="C292" s="77">
        <f t="shared" si="163"/>
        <v>54483</v>
      </c>
      <c r="D292" s="122" t="str">
        <f t="shared" si="132"/>
        <v/>
      </c>
      <c r="E292" s="123">
        <f t="shared" si="146"/>
        <v>278</v>
      </c>
      <c r="F292" s="124">
        <f t="shared" si="147"/>
        <v>0</v>
      </c>
      <c r="G292" s="125">
        <f t="shared" si="148"/>
        <v>0</v>
      </c>
      <c r="H292" s="126" t="str">
        <f t="shared" si="133"/>
        <v/>
      </c>
      <c r="I292" s="127" t="str">
        <f t="shared" si="134"/>
        <v/>
      </c>
      <c r="J292" s="128">
        <f t="shared" si="135"/>
        <v>0</v>
      </c>
      <c r="K292" s="129">
        <f t="shared" si="136"/>
        <v>0</v>
      </c>
      <c r="L292" s="1">
        <f t="shared" si="149"/>
        <v>0</v>
      </c>
      <c r="M292" s="130">
        <f t="shared" si="137"/>
        <v>0</v>
      </c>
      <c r="N292" s="131">
        <f t="shared" si="138"/>
        <v>0</v>
      </c>
      <c r="O292" s="15"/>
      <c r="P292" s="32">
        <f t="shared" si="150"/>
        <v>0</v>
      </c>
      <c r="Q292" s="33"/>
      <c r="R292" s="75">
        <f t="shared" si="151"/>
        <v>0</v>
      </c>
      <c r="V292" s="68">
        <f t="shared" si="139"/>
        <v>0</v>
      </c>
      <c r="AA292" s="4">
        <f t="shared" si="140"/>
        <v>3</v>
      </c>
      <c r="AB292" s="4">
        <f t="shared" si="141"/>
        <v>8</v>
      </c>
      <c r="AC292" s="12">
        <f t="shared" si="142"/>
        <v>24</v>
      </c>
      <c r="AJ292" s="5">
        <f t="shared" si="162"/>
        <v>0</v>
      </c>
      <c r="AK292" s="5">
        <f t="shared" si="152"/>
        <v>0</v>
      </c>
      <c r="AL292" s="77">
        <f t="shared" si="164"/>
        <v>54483</v>
      </c>
      <c r="AM292" s="27" t="str">
        <f t="shared" si="153"/>
        <v/>
      </c>
      <c r="AN292" s="76">
        <f t="shared" si="154"/>
        <v>278</v>
      </c>
      <c r="AO292" s="13">
        <f t="shared" si="155"/>
        <v>0</v>
      </c>
      <c r="AP292" s="62">
        <f t="shared" si="156"/>
        <v>0</v>
      </c>
      <c r="AQ292" s="9" t="str">
        <f t="shared" si="143"/>
        <v/>
      </c>
      <c r="AR292" s="60" t="str">
        <f t="shared" si="144"/>
        <v/>
      </c>
      <c r="AS292" s="8">
        <f t="shared" si="157"/>
        <v>0</v>
      </c>
      <c r="AT292" s="11">
        <f t="shared" si="158"/>
        <v>0</v>
      </c>
      <c r="AU292" s="15">
        <v>0</v>
      </c>
      <c r="AV292" s="32">
        <f t="shared" si="159"/>
        <v>0</v>
      </c>
      <c r="AW292" s="33"/>
      <c r="AX292" s="75">
        <f t="shared" si="160"/>
        <v>0</v>
      </c>
    </row>
    <row r="293" spans="1:50" x14ac:dyDescent="0.25">
      <c r="A293" s="5">
        <f t="shared" si="161"/>
        <v>0</v>
      </c>
      <c r="B293" s="5">
        <f t="shared" si="145"/>
        <v>0</v>
      </c>
      <c r="C293" s="77">
        <f t="shared" si="163"/>
        <v>54514</v>
      </c>
      <c r="D293" s="122" t="str">
        <f t="shared" si="132"/>
        <v/>
      </c>
      <c r="E293" s="123">
        <f t="shared" si="146"/>
        <v>279</v>
      </c>
      <c r="F293" s="124">
        <f t="shared" si="147"/>
        <v>0</v>
      </c>
      <c r="G293" s="125">
        <f t="shared" si="148"/>
        <v>0</v>
      </c>
      <c r="H293" s="126" t="str">
        <f t="shared" si="133"/>
        <v/>
      </c>
      <c r="I293" s="127" t="str">
        <f t="shared" si="134"/>
        <v/>
      </c>
      <c r="J293" s="128">
        <f t="shared" si="135"/>
        <v>0</v>
      </c>
      <c r="K293" s="129">
        <f t="shared" si="136"/>
        <v>0</v>
      </c>
      <c r="L293" s="1">
        <f t="shared" si="149"/>
        <v>0</v>
      </c>
      <c r="M293" s="130">
        <f t="shared" si="137"/>
        <v>0</v>
      </c>
      <c r="N293" s="131">
        <f t="shared" si="138"/>
        <v>0</v>
      </c>
      <c r="O293" s="15"/>
      <c r="P293" s="32">
        <f t="shared" si="150"/>
        <v>0</v>
      </c>
      <c r="Q293" s="33"/>
      <c r="R293" s="75">
        <f t="shared" si="151"/>
        <v>0</v>
      </c>
      <c r="V293" s="68">
        <f t="shared" si="139"/>
        <v>0</v>
      </c>
      <c r="AA293" s="4">
        <f t="shared" si="140"/>
        <v>3</v>
      </c>
      <c r="AB293" s="4">
        <f t="shared" si="141"/>
        <v>8</v>
      </c>
      <c r="AC293" s="12">
        <f t="shared" si="142"/>
        <v>24</v>
      </c>
      <c r="AJ293" s="5">
        <f t="shared" si="162"/>
        <v>0</v>
      </c>
      <c r="AK293" s="5">
        <f t="shared" si="152"/>
        <v>0</v>
      </c>
      <c r="AL293" s="77">
        <f t="shared" si="164"/>
        <v>54514</v>
      </c>
      <c r="AM293" s="27" t="str">
        <f t="shared" si="153"/>
        <v/>
      </c>
      <c r="AN293" s="76">
        <f t="shared" si="154"/>
        <v>279</v>
      </c>
      <c r="AO293" s="13">
        <f t="shared" si="155"/>
        <v>0</v>
      </c>
      <c r="AP293" s="62">
        <f t="shared" si="156"/>
        <v>0</v>
      </c>
      <c r="AQ293" s="9" t="str">
        <f t="shared" si="143"/>
        <v/>
      </c>
      <c r="AR293" s="60" t="str">
        <f t="shared" si="144"/>
        <v/>
      </c>
      <c r="AS293" s="8">
        <f t="shared" si="157"/>
        <v>0</v>
      </c>
      <c r="AT293" s="11">
        <f t="shared" si="158"/>
        <v>0</v>
      </c>
      <c r="AU293" s="15">
        <v>0</v>
      </c>
      <c r="AV293" s="32">
        <f t="shared" si="159"/>
        <v>0</v>
      </c>
      <c r="AW293" s="33"/>
      <c r="AX293" s="75">
        <f t="shared" si="160"/>
        <v>0</v>
      </c>
    </row>
    <row r="294" spans="1:50" x14ac:dyDescent="0.25">
      <c r="A294" s="5">
        <f t="shared" si="161"/>
        <v>0</v>
      </c>
      <c r="B294" s="5">
        <f t="shared" si="145"/>
        <v>0</v>
      </c>
      <c r="C294" s="77">
        <f t="shared" si="163"/>
        <v>54544</v>
      </c>
      <c r="D294" s="122" t="str">
        <f t="shared" si="132"/>
        <v/>
      </c>
      <c r="E294" s="123">
        <f t="shared" si="146"/>
        <v>280</v>
      </c>
      <c r="F294" s="124">
        <f t="shared" si="147"/>
        <v>0</v>
      </c>
      <c r="G294" s="125">
        <f t="shared" si="148"/>
        <v>0</v>
      </c>
      <c r="H294" s="126" t="str">
        <f t="shared" si="133"/>
        <v/>
      </c>
      <c r="I294" s="127" t="str">
        <f t="shared" si="134"/>
        <v/>
      </c>
      <c r="J294" s="128">
        <f t="shared" si="135"/>
        <v>0</v>
      </c>
      <c r="K294" s="129">
        <f t="shared" si="136"/>
        <v>0</v>
      </c>
      <c r="L294" s="1">
        <f t="shared" si="149"/>
        <v>0</v>
      </c>
      <c r="M294" s="130">
        <f t="shared" si="137"/>
        <v>0</v>
      </c>
      <c r="N294" s="131">
        <f t="shared" si="138"/>
        <v>0</v>
      </c>
      <c r="O294" s="15"/>
      <c r="P294" s="32">
        <f t="shared" si="150"/>
        <v>0</v>
      </c>
      <c r="Q294" s="33"/>
      <c r="R294" s="75">
        <f t="shared" si="151"/>
        <v>0</v>
      </c>
      <c r="V294" s="68">
        <f t="shared" si="139"/>
        <v>0</v>
      </c>
      <c r="AA294" s="4">
        <f t="shared" si="140"/>
        <v>3</v>
      </c>
      <c r="AB294" s="4">
        <f t="shared" si="141"/>
        <v>8</v>
      </c>
      <c r="AC294" s="12">
        <f t="shared" si="142"/>
        <v>24</v>
      </c>
      <c r="AJ294" s="5">
        <f t="shared" si="162"/>
        <v>0</v>
      </c>
      <c r="AK294" s="5">
        <f t="shared" si="152"/>
        <v>0</v>
      </c>
      <c r="AL294" s="77">
        <f t="shared" si="164"/>
        <v>54544</v>
      </c>
      <c r="AM294" s="27" t="str">
        <f t="shared" si="153"/>
        <v/>
      </c>
      <c r="AN294" s="76">
        <f t="shared" si="154"/>
        <v>280</v>
      </c>
      <c r="AO294" s="13">
        <f t="shared" si="155"/>
        <v>0</v>
      </c>
      <c r="AP294" s="62">
        <f t="shared" si="156"/>
        <v>0</v>
      </c>
      <c r="AQ294" s="9" t="str">
        <f t="shared" si="143"/>
        <v/>
      </c>
      <c r="AR294" s="60" t="str">
        <f t="shared" si="144"/>
        <v/>
      </c>
      <c r="AS294" s="8">
        <f t="shared" si="157"/>
        <v>0</v>
      </c>
      <c r="AT294" s="11">
        <f t="shared" si="158"/>
        <v>0</v>
      </c>
      <c r="AU294" s="15">
        <v>0</v>
      </c>
      <c r="AV294" s="32">
        <f t="shared" si="159"/>
        <v>0</v>
      </c>
      <c r="AW294" s="33"/>
      <c r="AX294" s="75">
        <f t="shared" si="160"/>
        <v>0</v>
      </c>
    </row>
    <row r="295" spans="1:50" x14ac:dyDescent="0.25">
      <c r="A295" s="5">
        <f t="shared" si="161"/>
        <v>0</v>
      </c>
      <c r="B295" s="5">
        <f t="shared" si="145"/>
        <v>0</v>
      </c>
      <c r="C295" s="77">
        <f t="shared" si="163"/>
        <v>54575</v>
      </c>
      <c r="D295" s="122" t="str">
        <f t="shared" si="132"/>
        <v/>
      </c>
      <c r="E295" s="123">
        <f t="shared" si="146"/>
        <v>281</v>
      </c>
      <c r="F295" s="124">
        <f t="shared" si="147"/>
        <v>0</v>
      </c>
      <c r="G295" s="125">
        <f t="shared" si="148"/>
        <v>0</v>
      </c>
      <c r="H295" s="126" t="str">
        <f t="shared" si="133"/>
        <v/>
      </c>
      <c r="I295" s="127" t="str">
        <f t="shared" si="134"/>
        <v/>
      </c>
      <c r="J295" s="128">
        <f t="shared" si="135"/>
        <v>0</v>
      </c>
      <c r="K295" s="129">
        <f t="shared" si="136"/>
        <v>0</v>
      </c>
      <c r="L295" s="1">
        <f t="shared" si="149"/>
        <v>0</v>
      </c>
      <c r="M295" s="130">
        <f t="shared" si="137"/>
        <v>0</v>
      </c>
      <c r="N295" s="131">
        <f t="shared" si="138"/>
        <v>0</v>
      </c>
      <c r="O295" s="15"/>
      <c r="P295" s="32">
        <f t="shared" si="150"/>
        <v>0</v>
      </c>
      <c r="Q295" s="33"/>
      <c r="R295" s="75">
        <f t="shared" si="151"/>
        <v>0</v>
      </c>
      <c r="V295" s="68">
        <f t="shared" si="139"/>
        <v>0</v>
      </c>
      <c r="AA295" s="4">
        <f t="shared" si="140"/>
        <v>3</v>
      </c>
      <c r="AB295" s="4">
        <f t="shared" si="141"/>
        <v>8</v>
      </c>
      <c r="AC295" s="12">
        <f t="shared" si="142"/>
        <v>24</v>
      </c>
      <c r="AJ295" s="5">
        <f t="shared" si="162"/>
        <v>0</v>
      </c>
      <c r="AK295" s="5">
        <f t="shared" si="152"/>
        <v>0</v>
      </c>
      <c r="AL295" s="77">
        <f t="shared" si="164"/>
        <v>54575</v>
      </c>
      <c r="AM295" s="27" t="str">
        <f t="shared" si="153"/>
        <v/>
      </c>
      <c r="AN295" s="76">
        <f t="shared" si="154"/>
        <v>281</v>
      </c>
      <c r="AO295" s="13">
        <f t="shared" si="155"/>
        <v>0</v>
      </c>
      <c r="AP295" s="62">
        <f t="shared" si="156"/>
        <v>0</v>
      </c>
      <c r="AQ295" s="9" t="str">
        <f t="shared" si="143"/>
        <v/>
      </c>
      <c r="AR295" s="60" t="str">
        <f t="shared" si="144"/>
        <v/>
      </c>
      <c r="AS295" s="8">
        <f t="shared" si="157"/>
        <v>0</v>
      </c>
      <c r="AT295" s="11">
        <f t="shared" si="158"/>
        <v>0</v>
      </c>
      <c r="AU295" s="15">
        <v>0</v>
      </c>
      <c r="AV295" s="32">
        <f t="shared" si="159"/>
        <v>0</v>
      </c>
      <c r="AW295" s="33"/>
      <c r="AX295" s="75">
        <f t="shared" si="160"/>
        <v>0</v>
      </c>
    </row>
    <row r="296" spans="1:50" x14ac:dyDescent="0.25">
      <c r="A296" s="5">
        <f t="shared" si="161"/>
        <v>0</v>
      </c>
      <c r="B296" s="5">
        <f t="shared" si="145"/>
        <v>0</v>
      </c>
      <c r="C296" s="77">
        <f t="shared" si="163"/>
        <v>54605</v>
      </c>
      <c r="D296" s="122" t="str">
        <f t="shared" si="132"/>
        <v/>
      </c>
      <c r="E296" s="123">
        <f t="shared" si="146"/>
        <v>282</v>
      </c>
      <c r="F296" s="124">
        <f t="shared" si="147"/>
        <v>0</v>
      </c>
      <c r="G296" s="125">
        <f t="shared" si="148"/>
        <v>0</v>
      </c>
      <c r="H296" s="126" t="str">
        <f t="shared" si="133"/>
        <v/>
      </c>
      <c r="I296" s="127" t="str">
        <f t="shared" si="134"/>
        <v/>
      </c>
      <c r="J296" s="128">
        <f t="shared" si="135"/>
        <v>0</v>
      </c>
      <c r="K296" s="129">
        <f t="shared" si="136"/>
        <v>0</v>
      </c>
      <c r="L296" s="1">
        <f t="shared" si="149"/>
        <v>0</v>
      </c>
      <c r="M296" s="130">
        <f t="shared" si="137"/>
        <v>0</v>
      </c>
      <c r="N296" s="131">
        <f t="shared" si="138"/>
        <v>0</v>
      </c>
      <c r="O296" s="15"/>
      <c r="P296" s="32">
        <f t="shared" si="150"/>
        <v>0</v>
      </c>
      <c r="Q296" s="33"/>
      <c r="R296" s="75">
        <f t="shared" si="151"/>
        <v>0</v>
      </c>
      <c r="V296" s="68">
        <f t="shared" si="139"/>
        <v>0</v>
      </c>
      <c r="AA296" s="4">
        <f t="shared" si="140"/>
        <v>3</v>
      </c>
      <c r="AB296" s="4">
        <f t="shared" si="141"/>
        <v>8</v>
      </c>
      <c r="AC296" s="12">
        <f t="shared" si="142"/>
        <v>24</v>
      </c>
      <c r="AJ296" s="5">
        <f t="shared" si="162"/>
        <v>0</v>
      </c>
      <c r="AK296" s="5">
        <f t="shared" si="152"/>
        <v>0</v>
      </c>
      <c r="AL296" s="77">
        <f t="shared" si="164"/>
        <v>54605</v>
      </c>
      <c r="AM296" s="27" t="str">
        <f t="shared" si="153"/>
        <v/>
      </c>
      <c r="AN296" s="76">
        <f t="shared" si="154"/>
        <v>282</v>
      </c>
      <c r="AO296" s="13">
        <f t="shared" si="155"/>
        <v>0</v>
      </c>
      <c r="AP296" s="62">
        <f t="shared" si="156"/>
        <v>0</v>
      </c>
      <c r="AQ296" s="9" t="str">
        <f t="shared" si="143"/>
        <v/>
      </c>
      <c r="AR296" s="60" t="str">
        <f t="shared" si="144"/>
        <v/>
      </c>
      <c r="AS296" s="8">
        <f t="shared" si="157"/>
        <v>0</v>
      </c>
      <c r="AT296" s="11">
        <f t="shared" si="158"/>
        <v>0</v>
      </c>
      <c r="AU296" s="15">
        <v>0</v>
      </c>
      <c r="AV296" s="32">
        <f t="shared" si="159"/>
        <v>0</v>
      </c>
      <c r="AW296" s="33"/>
      <c r="AX296" s="75">
        <f t="shared" si="160"/>
        <v>0</v>
      </c>
    </row>
    <row r="297" spans="1:50" x14ac:dyDescent="0.25">
      <c r="A297" s="5">
        <f t="shared" si="161"/>
        <v>0</v>
      </c>
      <c r="B297" s="5">
        <f t="shared" si="145"/>
        <v>0</v>
      </c>
      <c r="C297" s="77">
        <f t="shared" si="163"/>
        <v>54636</v>
      </c>
      <c r="D297" s="122" t="str">
        <f t="shared" si="132"/>
        <v/>
      </c>
      <c r="E297" s="123">
        <f t="shared" si="146"/>
        <v>283</v>
      </c>
      <c r="F297" s="124">
        <f t="shared" si="147"/>
        <v>0</v>
      </c>
      <c r="G297" s="125">
        <f t="shared" si="148"/>
        <v>0</v>
      </c>
      <c r="H297" s="126" t="str">
        <f t="shared" si="133"/>
        <v/>
      </c>
      <c r="I297" s="127" t="str">
        <f t="shared" si="134"/>
        <v/>
      </c>
      <c r="J297" s="128">
        <f t="shared" si="135"/>
        <v>0</v>
      </c>
      <c r="K297" s="129">
        <f t="shared" si="136"/>
        <v>0</v>
      </c>
      <c r="L297" s="1">
        <f t="shared" si="149"/>
        <v>0</v>
      </c>
      <c r="M297" s="130">
        <f t="shared" si="137"/>
        <v>0</v>
      </c>
      <c r="N297" s="131">
        <f t="shared" si="138"/>
        <v>0</v>
      </c>
      <c r="O297" s="15"/>
      <c r="P297" s="32">
        <f t="shared" si="150"/>
        <v>0</v>
      </c>
      <c r="Q297" s="33"/>
      <c r="R297" s="75">
        <f t="shared" si="151"/>
        <v>0</v>
      </c>
      <c r="V297" s="68">
        <f t="shared" si="139"/>
        <v>0</v>
      </c>
      <c r="AA297" s="4">
        <f t="shared" si="140"/>
        <v>3</v>
      </c>
      <c r="AB297" s="4">
        <f t="shared" si="141"/>
        <v>8</v>
      </c>
      <c r="AC297" s="12">
        <f t="shared" si="142"/>
        <v>24</v>
      </c>
      <c r="AJ297" s="5">
        <f t="shared" si="162"/>
        <v>0</v>
      </c>
      <c r="AK297" s="5">
        <f t="shared" si="152"/>
        <v>0</v>
      </c>
      <c r="AL297" s="77">
        <f t="shared" si="164"/>
        <v>54636</v>
      </c>
      <c r="AM297" s="27" t="str">
        <f t="shared" si="153"/>
        <v/>
      </c>
      <c r="AN297" s="76">
        <f t="shared" si="154"/>
        <v>283</v>
      </c>
      <c r="AO297" s="13">
        <f t="shared" si="155"/>
        <v>0</v>
      </c>
      <c r="AP297" s="62">
        <f t="shared" si="156"/>
        <v>0</v>
      </c>
      <c r="AQ297" s="9" t="str">
        <f t="shared" si="143"/>
        <v/>
      </c>
      <c r="AR297" s="60" t="str">
        <f t="shared" si="144"/>
        <v/>
      </c>
      <c r="AS297" s="8">
        <f t="shared" si="157"/>
        <v>0</v>
      </c>
      <c r="AT297" s="11">
        <f t="shared" si="158"/>
        <v>0</v>
      </c>
      <c r="AU297" s="15">
        <v>0</v>
      </c>
      <c r="AV297" s="32">
        <f t="shared" si="159"/>
        <v>0</v>
      </c>
      <c r="AW297" s="33"/>
      <c r="AX297" s="75">
        <f t="shared" si="160"/>
        <v>0</v>
      </c>
    </row>
    <row r="298" spans="1:50" x14ac:dyDescent="0.25">
      <c r="A298" s="5">
        <f t="shared" si="161"/>
        <v>0</v>
      </c>
      <c r="B298" s="5">
        <f t="shared" si="145"/>
        <v>0</v>
      </c>
      <c r="C298" s="77">
        <f t="shared" si="163"/>
        <v>54667</v>
      </c>
      <c r="D298" s="122" t="str">
        <f t="shared" si="132"/>
        <v/>
      </c>
      <c r="E298" s="123">
        <f t="shared" si="146"/>
        <v>284</v>
      </c>
      <c r="F298" s="124">
        <f t="shared" si="147"/>
        <v>0</v>
      </c>
      <c r="G298" s="125">
        <f t="shared" si="148"/>
        <v>0</v>
      </c>
      <c r="H298" s="126" t="str">
        <f t="shared" si="133"/>
        <v/>
      </c>
      <c r="I298" s="127" t="str">
        <f t="shared" si="134"/>
        <v/>
      </c>
      <c r="J298" s="128">
        <f t="shared" si="135"/>
        <v>0</v>
      </c>
      <c r="K298" s="129">
        <f t="shared" si="136"/>
        <v>0</v>
      </c>
      <c r="L298" s="1">
        <f t="shared" si="149"/>
        <v>0</v>
      </c>
      <c r="M298" s="130">
        <f t="shared" si="137"/>
        <v>0</v>
      </c>
      <c r="N298" s="131">
        <f t="shared" si="138"/>
        <v>0</v>
      </c>
      <c r="O298" s="15"/>
      <c r="P298" s="32">
        <f t="shared" si="150"/>
        <v>0</v>
      </c>
      <c r="Q298" s="33"/>
      <c r="R298" s="75">
        <f t="shared" si="151"/>
        <v>0</v>
      </c>
      <c r="V298" s="68">
        <f t="shared" si="139"/>
        <v>0</v>
      </c>
      <c r="AA298" s="4">
        <f t="shared" si="140"/>
        <v>3</v>
      </c>
      <c r="AB298" s="4">
        <f t="shared" si="141"/>
        <v>8</v>
      </c>
      <c r="AC298" s="12">
        <f t="shared" si="142"/>
        <v>24</v>
      </c>
      <c r="AJ298" s="5">
        <f t="shared" si="162"/>
        <v>0</v>
      </c>
      <c r="AK298" s="5">
        <f t="shared" si="152"/>
        <v>0</v>
      </c>
      <c r="AL298" s="77">
        <f t="shared" si="164"/>
        <v>54667</v>
      </c>
      <c r="AM298" s="27" t="str">
        <f t="shared" si="153"/>
        <v/>
      </c>
      <c r="AN298" s="76">
        <f t="shared" si="154"/>
        <v>284</v>
      </c>
      <c r="AO298" s="13">
        <f t="shared" si="155"/>
        <v>0</v>
      </c>
      <c r="AP298" s="62">
        <f t="shared" si="156"/>
        <v>0</v>
      </c>
      <c r="AQ298" s="9" t="str">
        <f t="shared" si="143"/>
        <v/>
      </c>
      <c r="AR298" s="60" t="str">
        <f t="shared" si="144"/>
        <v/>
      </c>
      <c r="AS298" s="8">
        <f t="shared" si="157"/>
        <v>0</v>
      </c>
      <c r="AT298" s="11">
        <f t="shared" si="158"/>
        <v>0</v>
      </c>
      <c r="AU298" s="15">
        <v>0</v>
      </c>
      <c r="AV298" s="32">
        <f t="shared" si="159"/>
        <v>0</v>
      </c>
      <c r="AW298" s="33"/>
      <c r="AX298" s="75">
        <f t="shared" si="160"/>
        <v>0</v>
      </c>
    </row>
    <row r="299" spans="1:50" x14ac:dyDescent="0.25">
      <c r="A299" s="5">
        <f t="shared" si="161"/>
        <v>0</v>
      </c>
      <c r="B299" s="5">
        <f t="shared" si="145"/>
        <v>0</v>
      </c>
      <c r="C299" s="77">
        <f t="shared" si="163"/>
        <v>54697</v>
      </c>
      <c r="D299" s="122" t="str">
        <f t="shared" si="132"/>
        <v/>
      </c>
      <c r="E299" s="123">
        <f t="shared" si="146"/>
        <v>285</v>
      </c>
      <c r="F299" s="124">
        <f t="shared" si="147"/>
        <v>0</v>
      </c>
      <c r="G299" s="125">
        <f t="shared" si="148"/>
        <v>0</v>
      </c>
      <c r="H299" s="126" t="str">
        <f t="shared" si="133"/>
        <v/>
      </c>
      <c r="I299" s="127" t="str">
        <f t="shared" si="134"/>
        <v/>
      </c>
      <c r="J299" s="128">
        <f t="shared" si="135"/>
        <v>0</v>
      </c>
      <c r="K299" s="129">
        <f t="shared" si="136"/>
        <v>0</v>
      </c>
      <c r="L299" s="1">
        <f t="shared" si="149"/>
        <v>0</v>
      </c>
      <c r="M299" s="130">
        <f t="shared" si="137"/>
        <v>0</v>
      </c>
      <c r="N299" s="131">
        <f t="shared" si="138"/>
        <v>0</v>
      </c>
      <c r="O299" s="15"/>
      <c r="P299" s="32">
        <f t="shared" si="150"/>
        <v>0</v>
      </c>
      <c r="Q299" s="33"/>
      <c r="R299" s="75">
        <f t="shared" si="151"/>
        <v>0</v>
      </c>
      <c r="V299" s="68">
        <f t="shared" si="139"/>
        <v>0</v>
      </c>
      <c r="AA299" s="4">
        <f t="shared" si="140"/>
        <v>3</v>
      </c>
      <c r="AB299" s="4">
        <f t="shared" si="141"/>
        <v>8</v>
      </c>
      <c r="AC299" s="12">
        <f t="shared" si="142"/>
        <v>24</v>
      </c>
      <c r="AJ299" s="5">
        <f t="shared" si="162"/>
        <v>0</v>
      </c>
      <c r="AK299" s="5">
        <f t="shared" si="152"/>
        <v>0</v>
      </c>
      <c r="AL299" s="77">
        <f t="shared" si="164"/>
        <v>54697</v>
      </c>
      <c r="AM299" s="27" t="str">
        <f t="shared" si="153"/>
        <v/>
      </c>
      <c r="AN299" s="76">
        <f t="shared" si="154"/>
        <v>285</v>
      </c>
      <c r="AO299" s="13">
        <f t="shared" si="155"/>
        <v>0</v>
      </c>
      <c r="AP299" s="62">
        <f t="shared" si="156"/>
        <v>0</v>
      </c>
      <c r="AQ299" s="9" t="str">
        <f t="shared" si="143"/>
        <v/>
      </c>
      <c r="AR299" s="60" t="str">
        <f t="shared" si="144"/>
        <v/>
      </c>
      <c r="AS299" s="8">
        <f t="shared" si="157"/>
        <v>0</v>
      </c>
      <c r="AT299" s="11">
        <f t="shared" si="158"/>
        <v>0</v>
      </c>
      <c r="AU299" s="15">
        <v>0</v>
      </c>
      <c r="AV299" s="32">
        <f t="shared" si="159"/>
        <v>0</v>
      </c>
      <c r="AW299" s="33"/>
      <c r="AX299" s="75">
        <f t="shared" si="160"/>
        <v>0</v>
      </c>
    </row>
    <row r="300" spans="1:50" x14ac:dyDescent="0.25">
      <c r="A300" s="5">
        <f t="shared" si="161"/>
        <v>0</v>
      </c>
      <c r="B300" s="5">
        <f t="shared" si="145"/>
        <v>0</v>
      </c>
      <c r="C300" s="77">
        <f t="shared" si="163"/>
        <v>54728</v>
      </c>
      <c r="D300" s="122" t="str">
        <f t="shared" si="132"/>
        <v/>
      </c>
      <c r="E300" s="123">
        <f t="shared" si="146"/>
        <v>286</v>
      </c>
      <c r="F300" s="124">
        <f t="shared" si="147"/>
        <v>0</v>
      </c>
      <c r="G300" s="125">
        <f t="shared" si="148"/>
        <v>0</v>
      </c>
      <c r="H300" s="126" t="str">
        <f t="shared" si="133"/>
        <v/>
      </c>
      <c r="I300" s="127" t="str">
        <f t="shared" si="134"/>
        <v/>
      </c>
      <c r="J300" s="128">
        <f t="shared" si="135"/>
        <v>0</v>
      </c>
      <c r="K300" s="129">
        <f t="shared" si="136"/>
        <v>0</v>
      </c>
      <c r="L300" s="1">
        <f t="shared" si="149"/>
        <v>0</v>
      </c>
      <c r="M300" s="130">
        <f t="shared" si="137"/>
        <v>0</v>
      </c>
      <c r="N300" s="131">
        <f t="shared" si="138"/>
        <v>0</v>
      </c>
      <c r="O300" s="15"/>
      <c r="P300" s="32">
        <f t="shared" si="150"/>
        <v>0</v>
      </c>
      <c r="Q300" s="33"/>
      <c r="R300" s="75">
        <f t="shared" si="151"/>
        <v>0</v>
      </c>
      <c r="V300" s="68">
        <f t="shared" si="139"/>
        <v>0</v>
      </c>
      <c r="AA300" s="4">
        <f t="shared" si="140"/>
        <v>3</v>
      </c>
      <c r="AB300" s="4">
        <f t="shared" si="141"/>
        <v>8</v>
      </c>
      <c r="AC300" s="12">
        <f t="shared" si="142"/>
        <v>24</v>
      </c>
      <c r="AJ300" s="5">
        <f t="shared" si="162"/>
        <v>0</v>
      </c>
      <c r="AK300" s="5">
        <f t="shared" si="152"/>
        <v>0</v>
      </c>
      <c r="AL300" s="77">
        <f t="shared" si="164"/>
        <v>54728</v>
      </c>
      <c r="AM300" s="27" t="str">
        <f t="shared" si="153"/>
        <v/>
      </c>
      <c r="AN300" s="76">
        <f t="shared" si="154"/>
        <v>286</v>
      </c>
      <c r="AO300" s="13">
        <f t="shared" si="155"/>
        <v>0</v>
      </c>
      <c r="AP300" s="62">
        <f t="shared" si="156"/>
        <v>0</v>
      </c>
      <c r="AQ300" s="9" t="str">
        <f t="shared" si="143"/>
        <v/>
      </c>
      <c r="AR300" s="60" t="str">
        <f t="shared" si="144"/>
        <v/>
      </c>
      <c r="AS300" s="8">
        <f t="shared" si="157"/>
        <v>0</v>
      </c>
      <c r="AT300" s="11">
        <f t="shared" si="158"/>
        <v>0</v>
      </c>
      <c r="AU300" s="15">
        <v>0</v>
      </c>
      <c r="AV300" s="32">
        <f t="shared" si="159"/>
        <v>0</v>
      </c>
      <c r="AW300" s="33"/>
      <c r="AX300" s="75">
        <f t="shared" si="160"/>
        <v>0</v>
      </c>
    </row>
    <row r="301" spans="1:50" x14ac:dyDescent="0.25">
      <c r="A301" s="5">
        <f t="shared" si="161"/>
        <v>0</v>
      </c>
      <c r="B301" s="5">
        <f t="shared" si="145"/>
        <v>0</v>
      </c>
      <c r="C301" s="77">
        <f t="shared" si="163"/>
        <v>54758</v>
      </c>
      <c r="D301" s="122" t="str">
        <f t="shared" si="132"/>
        <v/>
      </c>
      <c r="E301" s="123">
        <f t="shared" si="146"/>
        <v>287</v>
      </c>
      <c r="F301" s="124">
        <f t="shared" si="147"/>
        <v>0</v>
      </c>
      <c r="G301" s="125">
        <f t="shared" si="148"/>
        <v>0</v>
      </c>
      <c r="H301" s="126" t="str">
        <f t="shared" si="133"/>
        <v/>
      </c>
      <c r="I301" s="127" t="str">
        <f t="shared" si="134"/>
        <v/>
      </c>
      <c r="J301" s="128">
        <f t="shared" si="135"/>
        <v>0</v>
      </c>
      <c r="K301" s="129">
        <f t="shared" si="136"/>
        <v>0</v>
      </c>
      <c r="L301" s="1">
        <f t="shared" si="149"/>
        <v>0</v>
      </c>
      <c r="M301" s="130">
        <f t="shared" si="137"/>
        <v>0</v>
      </c>
      <c r="N301" s="131">
        <f t="shared" si="138"/>
        <v>0</v>
      </c>
      <c r="O301" s="15"/>
      <c r="P301" s="32">
        <f t="shared" si="150"/>
        <v>0</v>
      </c>
      <c r="Q301" s="33"/>
      <c r="R301" s="75">
        <f t="shared" si="151"/>
        <v>0</v>
      </c>
      <c r="V301" s="68">
        <f t="shared" si="139"/>
        <v>0</v>
      </c>
      <c r="AA301" s="4">
        <f t="shared" si="140"/>
        <v>3</v>
      </c>
      <c r="AB301" s="4">
        <f t="shared" si="141"/>
        <v>8</v>
      </c>
      <c r="AC301" s="12">
        <f t="shared" si="142"/>
        <v>24</v>
      </c>
      <c r="AJ301" s="5">
        <f t="shared" si="162"/>
        <v>0</v>
      </c>
      <c r="AK301" s="5">
        <f t="shared" si="152"/>
        <v>0</v>
      </c>
      <c r="AL301" s="77">
        <f t="shared" si="164"/>
        <v>54758</v>
      </c>
      <c r="AM301" s="27" t="str">
        <f t="shared" si="153"/>
        <v/>
      </c>
      <c r="AN301" s="76">
        <f t="shared" si="154"/>
        <v>287</v>
      </c>
      <c r="AO301" s="13">
        <f t="shared" si="155"/>
        <v>0</v>
      </c>
      <c r="AP301" s="62">
        <f t="shared" si="156"/>
        <v>0</v>
      </c>
      <c r="AQ301" s="9" t="str">
        <f t="shared" si="143"/>
        <v/>
      </c>
      <c r="AR301" s="60" t="str">
        <f t="shared" si="144"/>
        <v/>
      </c>
      <c r="AS301" s="8">
        <f t="shared" si="157"/>
        <v>0</v>
      </c>
      <c r="AT301" s="11">
        <f t="shared" si="158"/>
        <v>0</v>
      </c>
      <c r="AU301" s="15">
        <v>0</v>
      </c>
      <c r="AV301" s="32">
        <f t="shared" si="159"/>
        <v>0</v>
      </c>
      <c r="AW301" s="33"/>
      <c r="AX301" s="75">
        <f t="shared" si="160"/>
        <v>0</v>
      </c>
    </row>
    <row r="302" spans="1:50" x14ac:dyDescent="0.25">
      <c r="A302" s="5">
        <f t="shared" si="161"/>
        <v>0</v>
      </c>
      <c r="B302" s="5">
        <f t="shared" si="145"/>
        <v>0</v>
      </c>
      <c r="C302" s="77">
        <f t="shared" si="163"/>
        <v>54789</v>
      </c>
      <c r="D302" s="122" t="str">
        <f t="shared" si="132"/>
        <v/>
      </c>
      <c r="E302" s="123">
        <f t="shared" si="146"/>
        <v>288</v>
      </c>
      <c r="F302" s="124">
        <f t="shared" si="147"/>
        <v>0</v>
      </c>
      <c r="G302" s="125">
        <f t="shared" si="148"/>
        <v>0</v>
      </c>
      <c r="H302" s="126" t="str">
        <f t="shared" si="133"/>
        <v/>
      </c>
      <c r="I302" s="127" t="str">
        <f t="shared" si="134"/>
        <v/>
      </c>
      <c r="J302" s="128">
        <f t="shared" si="135"/>
        <v>0</v>
      </c>
      <c r="K302" s="129">
        <f t="shared" si="136"/>
        <v>0</v>
      </c>
      <c r="L302" s="1">
        <f t="shared" si="149"/>
        <v>0</v>
      </c>
      <c r="M302" s="130">
        <f t="shared" si="137"/>
        <v>0</v>
      </c>
      <c r="N302" s="131">
        <f t="shared" si="138"/>
        <v>0</v>
      </c>
      <c r="O302" s="15"/>
      <c r="P302" s="32">
        <f t="shared" si="150"/>
        <v>0</v>
      </c>
      <c r="Q302" s="33"/>
      <c r="R302" s="75">
        <f t="shared" si="151"/>
        <v>0</v>
      </c>
      <c r="V302" s="68">
        <f t="shared" si="139"/>
        <v>0</v>
      </c>
      <c r="AA302" s="4">
        <f t="shared" si="140"/>
        <v>3</v>
      </c>
      <c r="AB302" s="4">
        <f t="shared" si="141"/>
        <v>8</v>
      </c>
      <c r="AC302" s="12">
        <f t="shared" si="142"/>
        <v>24</v>
      </c>
      <c r="AJ302" s="5">
        <f t="shared" si="162"/>
        <v>0</v>
      </c>
      <c r="AK302" s="5">
        <f t="shared" si="152"/>
        <v>0</v>
      </c>
      <c r="AL302" s="77">
        <f t="shared" si="164"/>
        <v>54789</v>
      </c>
      <c r="AM302" s="27" t="str">
        <f t="shared" si="153"/>
        <v/>
      </c>
      <c r="AN302" s="76">
        <f t="shared" si="154"/>
        <v>288</v>
      </c>
      <c r="AO302" s="13">
        <f t="shared" si="155"/>
        <v>0</v>
      </c>
      <c r="AP302" s="62">
        <f t="shared" si="156"/>
        <v>0</v>
      </c>
      <c r="AQ302" s="9" t="str">
        <f t="shared" si="143"/>
        <v/>
      </c>
      <c r="AR302" s="60" t="str">
        <f t="shared" si="144"/>
        <v/>
      </c>
      <c r="AS302" s="8">
        <f t="shared" si="157"/>
        <v>0</v>
      </c>
      <c r="AT302" s="11">
        <f t="shared" si="158"/>
        <v>0</v>
      </c>
      <c r="AU302" s="15">
        <v>0</v>
      </c>
      <c r="AV302" s="32">
        <f t="shared" si="159"/>
        <v>0</v>
      </c>
      <c r="AW302" s="33"/>
      <c r="AX302" s="75">
        <f t="shared" si="160"/>
        <v>0</v>
      </c>
    </row>
    <row r="303" spans="1:50" x14ac:dyDescent="0.25">
      <c r="A303" s="5">
        <f t="shared" si="161"/>
        <v>0</v>
      </c>
      <c r="B303" s="5">
        <f t="shared" si="145"/>
        <v>0</v>
      </c>
      <c r="C303" s="77">
        <f t="shared" si="163"/>
        <v>54820</v>
      </c>
      <c r="D303" s="122" t="str">
        <f t="shared" si="132"/>
        <v/>
      </c>
      <c r="E303" s="123">
        <f t="shared" si="146"/>
        <v>289</v>
      </c>
      <c r="F303" s="124">
        <f t="shared" si="147"/>
        <v>0</v>
      </c>
      <c r="G303" s="125">
        <f t="shared" si="148"/>
        <v>0</v>
      </c>
      <c r="H303" s="126" t="str">
        <f t="shared" si="133"/>
        <v/>
      </c>
      <c r="I303" s="127" t="str">
        <f t="shared" si="134"/>
        <v/>
      </c>
      <c r="J303" s="128">
        <f t="shared" si="135"/>
        <v>0</v>
      </c>
      <c r="K303" s="129">
        <f t="shared" si="136"/>
        <v>0</v>
      </c>
      <c r="L303" s="1">
        <f t="shared" si="149"/>
        <v>0</v>
      </c>
      <c r="M303" s="130">
        <f t="shared" si="137"/>
        <v>0</v>
      </c>
      <c r="N303" s="131">
        <f t="shared" si="138"/>
        <v>0</v>
      </c>
      <c r="O303" s="15"/>
      <c r="P303" s="32">
        <f t="shared" si="150"/>
        <v>0</v>
      </c>
      <c r="Q303" s="33"/>
      <c r="R303" s="75">
        <f t="shared" si="151"/>
        <v>0</v>
      </c>
      <c r="V303" s="68">
        <f t="shared" si="139"/>
        <v>0</v>
      </c>
      <c r="AA303" s="4">
        <f t="shared" si="140"/>
        <v>3</v>
      </c>
      <c r="AB303" s="4">
        <f t="shared" si="141"/>
        <v>9</v>
      </c>
      <c r="AC303" s="12">
        <f t="shared" si="142"/>
        <v>25</v>
      </c>
      <c r="AJ303" s="5">
        <f t="shared" si="162"/>
        <v>0</v>
      </c>
      <c r="AK303" s="5">
        <f t="shared" si="152"/>
        <v>0</v>
      </c>
      <c r="AL303" s="77">
        <f t="shared" si="164"/>
        <v>54820</v>
      </c>
      <c r="AM303" s="27" t="str">
        <f t="shared" si="153"/>
        <v/>
      </c>
      <c r="AN303" s="76">
        <f t="shared" si="154"/>
        <v>289</v>
      </c>
      <c r="AO303" s="13">
        <f t="shared" si="155"/>
        <v>0</v>
      </c>
      <c r="AP303" s="62">
        <f t="shared" si="156"/>
        <v>0</v>
      </c>
      <c r="AQ303" s="9" t="str">
        <f t="shared" si="143"/>
        <v/>
      </c>
      <c r="AR303" s="60" t="str">
        <f t="shared" si="144"/>
        <v/>
      </c>
      <c r="AS303" s="8">
        <f t="shared" si="157"/>
        <v>0</v>
      </c>
      <c r="AT303" s="11">
        <f t="shared" si="158"/>
        <v>0</v>
      </c>
      <c r="AU303" s="15">
        <v>0</v>
      </c>
      <c r="AV303" s="32">
        <f t="shared" si="159"/>
        <v>0</v>
      </c>
      <c r="AW303" s="33"/>
      <c r="AX303" s="75">
        <f t="shared" si="160"/>
        <v>0</v>
      </c>
    </row>
    <row r="304" spans="1:50" x14ac:dyDescent="0.25">
      <c r="A304" s="5">
        <f t="shared" si="161"/>
        <v>0</v>
      </c>
      <c r="B304" s="5">
        <f t="shared" si="145"/>
        <v>0</v>
      </c>
      <c r="C304" s="77">
        <f t="shared" si="163"/>
        <v>54848</v>
      </c>
      <c r="D304" s="122" t="str">
        <f t="shared" si="132"/>
        <v/>
      </c>
      <c r="E304" s="123">
        <f t="shared" si="146"/>
        <v>290</v>
      </c>
      <c r="F304" s="124">
        <f t="shared" si="147"/>
        <v>0</v>
      </c>
      <c r="G304" s="125">
        <f t="shared" si="148"/>
        <v>0</v>
      </c>
      <c r="H304" s="126" t="str">
        <f t="shared" si="133"/>
        <v/>
      </c>
      <c r="I304" s="127" t="str">
        <f t="shared" si="134"/>
        <v/>
      </c>
      <c r="J304" s="128">
        <f t="shared" si="135"/>
        <v>0</v>
      </c>
      <c r="K304" s="129">
        <f t="shared" si="136"/>
        <v>0</v>
      </c>
      <c r="L304" s="1">
        <f t="shared" si="149"/>
        <v>0</v>
      </c>
      <c r="M304" s="130">
        <f t="shared" si="137"/>
        <v>0</v>
      </c>
      <c r="N304" s="131">
        <f t="shared" si="138"/>
        <v>0</v>
      </c>
      <c r="O304" s="15"/>
      <c r="P304" s="32">
        <f t="shared" si="150"/>
        <v>0</v>
      </c>
      <c r="Q304" s="33"/>
      <c r="R304" s="75">
        <f t="shared" si="151"/>
        <v>0</v>
      </c>
      <c r="V304" s="68">
        <f t="shared" si="139"/>
        <v>0</v>
      </c>
      <c r="AA304" s="4">
        <f t="shared" si="140"/>
        <v>3</v>
      </c>
      <c r="AB304" s="4">
        <f t="shared" si="141"/>
        <v>9</v>
      </c>
      <c r="AC304" s="12">
        <f t="shared" si="142"/>
        <v>25</v>
      </c>
      <c r="AJ304" s="5">
        <f t="shared" si="162"/>
        <v>0</v>
      </c>
      <c r="AK304" s="5">
        <f t="shared" si="152"/>
        <v>0</v>
      </c>
      <c r="AL304" s="77">
        <f t="shared" si="164"/>
        <v>54848</v>
      </c>
      <c r="AM304" s="27" t="str">
        <f t="shared" si="153"/>
        <v/>
      </c>
      <c r="AN304" s="76">
        <f t="shared" si="154"/>
        <v>290</v>
      </c>
      <c r="AO304" s="13">
        <f t="shared" si="155"/>
        <v>0</v>
      </c>
      <c r="AP304" s="62">
        <f t="shared" si="156"/>
        <v>0</v>
      </c>
      <c r="AQ304" s="9" t="str">
        <f t="shared" si="143"/>
        <v/>
      </c>
      <c r="AR304" s="60" t="str">
        <f t="shared" si="144"/>
        <v/>
      </c>
      <c r="AS304" s="8">
        <f t="shared" si="157"/>
        <v>0</v>
      </c>
      <c r="AT304" s="11">
        <f t="shared" si="158"/>
        <v>0</v>
      </c>
      <c r="AU304" s="15">
        <v>0</v>
      </c>
      <c r="AV304" s="32">
        <f t="shared" si="159"/>
        <v>0</v>
      </c>
      <c r="AW304" s="33"/>
      <c r="AX304" s="75">
        <f t="shared" si="160"/>
        <v>0</v>
      </c>
    </row>
    <row r="305" spans="1:50" x14ac:dyDescent="0.25">
      <c r="A305" s="5">
        <f t="shared" si="161"/>
        <v>0</v>
      </c>
      <c r="B305" s="5">
        <f t="shared" si="145"/>
        <v>0</v>
      </c>
      <c r="C305" s="77">
        <f t="shared" si="163"/>
        <v>54879</v>
      </c>
      <c r="D305" s="122" t="str">
        <f t="shared" si="132"/>
        <v/>
      </c>
      <c r="E305" s="123">
        <f t="shared" si="146"/>
        <v>291</v>
      </c>
      <c r="F305" s="124">
        <f t="shared" si="147"/>
        <v>0</v>
      </c>
      <c r="G305" s="125">
        <f t="shared" si="148"/>
        <v>0</v>
      </c>
      <c r="H305" s="126" t="str">
        <f t="shared" si="133"/>
        <v/>
      </c>
      <c r="I305" s="127" t="str">
        <f t="shared" si="134"/>
        <v/>
      </c>
      <c r="J305" s="128">
        <f t="shared" si="135"/>
        <v>0</v>
      </c>
      <c r="K305" s="129">
        <f t="shared" si="136"/>
        <v>0</v>
      </c>
      <c r="L305" s="1">
        <f t="shared" si="149"/>
        <v>0</v>
      </c>
      <c r="M305" s="130">
        <f t="shared" si="137"/>
        <v>0</v>
      </c>
      <c r="N305" s="131">
        <f t="shared" si="138"/>
        <v>0</v>
      </c>
      <c r="O305" s="15"/>
      <c r="P305" s="32">
        <f t="shared" si="150"/>
        <v>0</v>
      </c>
      <c r="Q305" s="33"/>
      <c r="R305" s="75">
        <f t="shared" si="151"/>
        <v>0</v>
      </c>
      <c r="V305" s="68">
        <f t="shared" si="139"/>
        <v>0</v>
      </c>
      <c r="AA305" s="4">
        <f t="shared" si="140"/>
        <v>3</v>
      </c>
      <c r="AB305" s="4">
        <f t="shared" si="141"/>
        <v>9</v>
      </c>
      <c r="AC305" s="12">
        <f t="shared" si="142"/>
        <v>25</v>
      </c>
      <c r="AJ305" s="5">
        <f t="shared" si="162"/>
        <v>0</v>
      </c>
      <c r="AK305" s="5">
        <f t="shared" si="152"/>
        <v>0</v>
      </c>
      <c r="AL305" s="77">
        <f t="shared" si="164"/>
        <v>54879</v>
      </c>
      <c r="AM305" s="27" t="str">
        <f t="shared" si="153"/>
        <v/>
      </c>
      <c r="AN305" s="76">
        <f t="shared" si="154"/>
        <v>291</v>
      </c>
      <c r="AO305" s="13">
        <f t="shared" si="155"/>
        <v>0</v>
      </c>
      <c r="AP305" s="62">
        <f t="shared" si="156"/>
        <v>0</v>
      </c>
      <c r="AQ305" s="9" t="str">
        <f t="shared" si="143"/>
        <v/>
      </c>
      <c r="AR305" s="60" t="str">
        <f t="shared" si="144"/>
        <v/>
      </c>
      <c r="AS305" s="8">
        <f t="shared" si="157"/>
        <v>0</v>
      </c>
      <c r="AT305" s="11">
        <f t="shared" si="158"/>
        <v>0</v>
      </c>
      <c r="AU305" s="15">
        <v>0</v>
      </c>
      <c r="AV305" s="32">
        <f t="shared" si="159"/>
        <v>0</v>
      </c>
      <c r="AW305" s="33"/>
      <c r="AX305" s="75">
        <f t="shared" si="160"/>
        <v>0</v>
      </c>
    </row>
    <row r="306" spans="1:50" x14ac:dyDescent="0.25">
      <c r="A306" s="5">
        <f t="shared" si="161"/>
        <v>0</v>
      </c>
      <c r="B306" s="5">
        <f t="shared" si="145"/>
        <v>0</v>
      </c>
      <c r="C306" s="77">
        <f t="shared" si="163"/>
        <v>54909</v>
      </c>
      <c r="D306" s="122" t="str">
        <f t="shared" si="132"/>
        <v/>
      </c>
      <c r="E306" s="123">
        <f t="shared" si="146"/>
        <v>292</v>
      </c>
      <c r="F306" s="124">
        <f t="shared" si="147"/>
        <v>0</v>
      </c>
      <c r="G306" s="125">
        <f t="shared" si="148"/>
        <v>0</v>
      </c>
      <c r="H306" s="126" t="str">
        <f t="shared" si="133"/>
        <v/>
      </c>
      <c r="I306" s="127" t="str">
        <f t="shared" si="134"/>
        <v/>
      </c>
      <c r="J306" s="128">
        <f t="shared" si="135"/>
        <v>0</v>
      </c>
      <c r="K306" s="129">
        <f t="shared" si="136"/>
        <v>0</v>
      </c>
      <c r="L306" s="1">
        <f t="shared" si="149"/>
        <v>0</v>
      </c>
      <c r="M306" s="130">
        <f t="shared" si="137"/>
        <v>0</v>
      </c>
      <c r="N306" s="131">
        <f t="shared" si="138"/>
        <v>0</v>
      </c>
      <c r="O306" s="15"/>
      <c r="P306" s="32">
        <f t="shared" si="150"/>
        <v>0</v>
      </c>
      <c r="Q306" s="33"/>
      <c r="R306" s="75">
        <f t="shared" si="151"/>
        <v>0</v>
      </c>
      <c r="V306" s="68">
        <f t="shared" si="139"/>
        <v>0</v>
      </c>
      <c r="AA306" s="4">
        <f t="shared" si="140"/>
        <v>3</v>
      </c>
      <c r="AB306" s="4">
        <f t="shared" si="141"/>
        <v>9</v>
      </c>
      <c r="AC306" s="12">
        <f t="shared" si="142"/>
        <v>25</v>
      </c>
      <c r="AJ306" s="5">
        <f t="shared" si="162"/>
        <v>0</v>
      </c>
      <c r="AK306" s="5">
        <f t="shared" si="152"/>
        <v>0</v>
      </c>
      <c r="AL306" s="77">
        <f t="shared" si="164"/>
        <v>54909</v>
      </c>
      <c r="AM306" s="27" t="str">
        <f t="shared" si="153"/>
        <v/>
      </c>
      <c r="AN306" s="76">
        <f t="shared" si="154"/>
        <v>292</v>
      </c>
      <c r="AO306" s="13">
        <f t="shared" si="155"/>
        <v>0</v>
      </c>
      <c r="AP306" s="62">
        <f t="shared" si="156"/>
        <v>0</v>
      </c>
      <c r="AQ306" s="9" t="str">
        <f t="shared" si="143"/>
        <v/>
      </c>
      <c r="AR306" s="60" t="str">
        <f t="shared" si="144"/>
        <v/>
      </c>
      <c r="AS306" s="8">
        <f t="shared" si="157"/>
        <v>0</v>
      </c>
      <c r="AT306" s="11">
        <f t="shared" si="158"/>
        <v>0</v>
      </c>
      <c r="AU306" s="15">
        <v>0</v>
      </c>
      <c r="AV306" s="32">
        <f t="shared" si="159"/>
        <v>0</v>
      </c>
      <c r="AW306" s="33"/>
      <c r="AX306" s="75">
        <f t="shared" si="160"/>
        <v>0</v>
      </c>
    </row>
    <row r="307" spans="1:50" x14ac:dyDescent="0.25">
      <c r="A307" s="5">
        <f t="shared" si="161"/>
        <v>0</v>
      </c>
      <c r="B307" s="5">
        <f t="shared" si="145"/>
        <v>0</v>
      </c>
      <c r="C307" s="77">
        <f t="shared" si="163"/>
        <v>54940</v>
      </c>
      <c r="D307" s="122" t="str">
        <f t="shared" si="132"/>
        <v/>
      </c>
      <c r="E307" s="123">
        <f t="shared" si="146"/>
        <v>293</v>
      </c>
      <c r="F307" s="124">
        <f t="shared" si="147"/>
        <v>0</v>
      </c>
      <c r="G307" s="125">
        <f t="shared" si="148"/>
        <v>0</v>
      </c>
      <c r="H307" s="126" t="str">
        <f t="shared" si="133"/>
        <v/>
      </c>
      <c r="I307" s="127" t="str">
        <f t="shared" si="134"/>
        <v/>
      </c>
      <c r="J307" s="128">
        <f t="shared" si="135"/>
        <v>0</v>
      </c>
      <c r="K307" s="129">
        <f t="shared" si="136"/>
        <v>0</v>
      </c>
      <c r="L307" s="1">
        <f t="shared" si="149"/>
        <v>0</v>
      </c>
      <c r="M307" s="130">
        <f t="shared" si="137"/>
        <v>0</v>
      </c>
      <c r="N307" s="131">
        <f t="shared" si="138"/>
        <v>0</v>
      </c>
      <c r="O307" s="15"/>
      <c r="P307" s="32">
        <f t="shared" si="150"/>
        <v>0</v>
      </c>
      <c r="Q307" s="33"/>
      <c r="R307" s="75">
        <f t="shared" si="151"/>
        <v>0</v>
      </c>
      <c r="V307" s="68">
        <f t="shared" si="139"/>
        <v>0</v>
      </c>
      <c r="AA307" s="4">
        <f t="shared" si="140"/>
        <v>3</v>
      </c>
      <c r="AB307" s="4">
        <f t="shared" si="141"/>
        <v>9</v>
      </c>
      <c r="AC307" s="12">
        <f t="shared" si="142"/>
        <v>25</v>
      </c>
      <c r="AJ307" s="5">
        <f t="shared" si="162"/>
        <v>0</v>
      </c>
      <c r="AK307" s="5">
        <f t="shared" si="152"/>
        <v>0</v>
      </c>
      <c r="AL307" s="77">
        <f t="shared" si="164"/>
        <v>54940</v>
      </c>
      <c r="AM307" s="27" t="str">
        <f t="shared" si="153"/>
        <v/>
      </c>
      <c r="AN307" s="76">
        <f t="shared" si="154"/>
        <v>293</v>
      </c>
      <c r="AO307" s="13">
        <f t="shared" si="155"/>
        <v>0</v>
      </c>
      <c r="AP307" s="62">
        <f t="shared" si="156"/>
        <v>0</v>
      </c>
      <c r="AQ307" s="9" t="str">
        <f t="shared" si="143"/>
        <v/>
      </c>
      <c r="AR307" s="60" t="str">
        <f t="shared" si="144"/>
        <v/>
      </c>
      <c r="AS307" s="8">
        <f t="shared" si="157"/>
        <v>0</v>
      </c>
      <c r="AT307" s="11">
        <f t="shared" si="158"/>
        <v>0</v>
      </c>
      <c r="AU307" s="15">
        <v>0</v>
      </c>
      <c r="AV307" s="32">
        <f t="shared" si="159"/>
        <v>0</v>
      </c>
      <c r="AW307" s="33"/>
      <c r="AX307" s="75">
        <f t="shared" si="160"/>
        <v>0</v>
      </c>
    </row>
    <row r="308" spans="1:50" x14ac:dyDescent="0.25">
      <c r="A308" s="5">
        <f t="shared" si="161"/>
        <v>0</v>
      </c>
      <c r="B308" s="5">
        <f t="shared" si="145"/>
        <v>0</v>
      </c>
      <c r="C308" s="77">
        <f t="shared" si="163"/>
        <v>54970</v>
      </c>
      <c r="D308" s="122" t="str">
        <f t="shared" si="132"/>
        <v/>
      </c>
      <c r="E308" s="123">
        <f t="shared" si="146"/>
        <v>294</v>
      </c>
      <c r="F308" s="124">
        <f t="shared" si="147"/>
        <v>0</v>
      </c>
      <c r="G308" s="125">
        <f t="shared" si="148"/>
        <v>0</v>
      </c>
      <c r="H308" s="126" t="str">
        <f t="shared" si="133"/>
        <v/>
      </c>
      <c r="I308" s="127" t="str">
        <f t="shared" si="134"/>
        <v/>
      </c>
      <c r="J308" s="128">
        <f t="shared" si="135"/>
        <v>0</v>
      </c>
      <c r="K308" s="129">
        <f t="shared" si="136"/>
        <v>0</v>
      </c>
      <c r="L308" s="1">
        <f t="shared" si="149"/>
        <v>0</v>
      </c>
      <c r="M308" s="130">
        <f t="shared" si="137"/>
        <v>0</v>
      </c>
      <c r="N308" s="131">
        <f t="shared" si="138"/>
        <v>0</v>
      </c>
      <c r="O308" s="15"/>
      <c r="P308" s="32">
        <f t="shared" si="150"/>
        <v>0</v>
      </c>
      <c r="Q308" s="33"/>
      <c r="R308" s="75">
        <f t="shared" si="151"/>
        <v>0</v>
      </c>
      <c r="V308" s="68">
        <f t="shared" si="139"/>
        <v>0</v>
      </c>
      <c r="AA308" s="4">
        <f t="shared" si="140"/>
        <v>3</v>
      </c>
      <c r="AB308" s="4">
        <f t="shared" si="141"/>
        <v>9</v>
      </c>
      <c r="AC308" s="12">
        <f t="shared" si="142"/>
        <v>25</v>
      </c>
      <c r="AJ308" s="5">
        <f t="shared" si="162"/>
        <v>0</v>
      </c>
      <c r="AK308" s="5">
        <f t="shared" si="152"/>
        <v>0</v>
      </c>
      <c r="AL308" s="77">
        <f t="shared" si="164"/>
        <v>54970</v>
      </c>
      <c r="AM308" s="27" t="str">
        <f t="shared" si="153"/>
        <v/>
      </c>
      <c r="AN308" s="76">
        <f t="shared" si="154"/>
        <v>294</v>
      </c>
      <c r="AO308" s="13">
        <f t="shared" si="155"/>
        <v>0</v>
      </c>
      <c r="AP308" s="62">
        <f t="shared" si="156"/>
        <v>0</v>
      </c>
      <c r="AQ308" s="9" t="str">
        <f t="shared" si="143"/>
        <v/>
      </c>
      <c r="AR308" s="60" t="str">
        <f t="shared" si="144"/>
        <v/>
      </c>
      <c r="AS308" s="8">
        <f t="shared" si="157"/>
        <v>0</v>
      </c>
      <c r="AT308" s="11">
        <f t="shared" si="158"/>
        <v>0</v>
      </c>
      <c r="AU308" s="15">
        <v>0</v>
      </c>
      <c r="AV308" s="32">
        <f t="shared" si="159"/>
        <v>0</v>
      </c>
      <c r="AW308" s="33"/>
      <c r="AX308" s="75">
        <f t="shared" si="160"/>
        <v>0</v>
      </c>
    </row>
    <row r="309" spans="1:50" x14ac:dyDescent="0.25">
      <c r="A309" s="5">
        <f t="shared" si="161"/>
        <v>0</v>
      </c>
      <c r="B309" s="5">
        <f t="shared" si="145"/>
        <v>0</v>
      </c>
      <c r="C309" s="77">
        <f t="shared" si="163"/>
        <v>55001</v>
      </c>
      <c r="D309" s="122" t="str">
        <f t="shared" si="132"/>
        <v/>
      </c>
      <c r="E309" s="123">
        <f t="shared" si="146"/>
        <v>295</v>
      </c>
      <c r="F309" s="124">
        <f t="shared" si="147"/>
        <v>0</v>
      </c>
      <c r="G309" s="125">
        <f t="shared" si="148"/>
        <v>0</v>
      </c>
      <c r="H309" s="126" t="str">
        <f t="shared" si="133"/>
        <v/>
      </c>
      <c r="I309" s="127" t="str">
        <f t="shared" si="134"/>
        <v/>
      </c>
      <c r="J309" s="128">
        <f t="shared" si="135"/>
        <v>0</v>
      </c>
      <c r="K309" s="129">
        <f t="shared" si="136"/>
        <v>0</v>
      </c>
      <c r="L309" s="1">
        <f t="shared" si="149"/>
        <v>0</v>
      </c>
      <c r="M309" s="130">
        <f t="shared" si="137"/>
        <v>0</v>
      </c>
      <c r="N309" s="131">
        <f t="shared" si="138"/>
        <v>0</v>
      </c>
      <c r="O309" s="15"/>
      <c r="P309" s="32">
        <f t="shared" si="150"/>
        <v>0</v>
      </c>
      <c r="Q309" s="33"/>
      <c r="R309" s="75">
        <f t="shared" si="151"/>
        <v>0</v>
      </c>
      <c r="V309" s="68">
        <f t="shared" si="139"/>
        <v>0</v>
      </c>
      <c r="AA309" s="4">
        <f t="shared" si="140"/>
        <v>3</v>
      </c>
      <c r="AB309" s="4">
        <f t="shared" si="141"/>
        <v>9</v>
      </c>
      <c r="AC309" s="12">
        <f t="shared" si="142"/>
        <v>25</v>
      </c>
      <c r="AJ309" s="5">
        <f t="shared" si="162"/>
        <v>0</v>
      </c>
      <c r="AK309" s="5">
        <f t="shared" si="152"/>
        <v>0</v>
      </c>
      <c r="AL309" s="77">
        <f t="shared" si="164"/>
        <v>55001</v>
      </c>
      <c r="AM309" s="27" t="str">
        <f t="shared" si="153"/>
        <v/>
      </c>
      <c r="AN309" s="76">
        <f t="shared" si="154"/>
        <v>295</v>
      </c>
      <c r="AO309" s="13">
        <f t="shared" si="155"/>
        <v>0</v>
      </c>
      <c r="AP309" s="62">
        <f t="shared" si="156"/>
        <v>0</v>
      </c>
      <c r="AQ309" s="9" t="str">
        <f t="shared" si="143"/>
        <v/>
      </c>
      <c r="AR309" s="60" t="str">
        <f t="shared" si="144"/>
        <v/>
      </c>
      <c r="AS309" s="8">
        <f t="shared" si="157"/>
        <v>0</v>
      </c>
      <c r="AT309" s="11">
        <f t="shared" si="158"/>
        <v>0</v>
      </c>
      <c r="AU309" s="15">
        <v>0</v>
      </c>
      <c r="AV309" s="32">
        <f t="shared" si="159"/>
        <v>0</v>
      </c>
      <c r="AW309" s="33"/>
      <c r="AX309" s="75">
        <f t="shared" si="160"/>
        <v>0</v>
      </c>
    </row>
    <row r="310" spans="1:50" x14ac:dyDescent="0.25">
      <c r="A310" s="5">
        <f t="shared" si="161"/>
        <v>0</v>
      </c>
      <c r="B310" s="5">
        <f t="shared" si="145"/>
        <v>0</v>
      </c>
      <c r="C310" s="77">
        <f t="shared" si="163"/>
        <v>55032</v>
      </c>
      <c r="D310" s="122" t="str">
        <f t="shared" si="132"/>
        <v/>
      </c>
      <c r="E310" s="123">
        <f t="shared" si="146"/>
        <v>296</v>
      </c>
      <c r="F310" s="124">
        <f t="shared" si="147"/>
        <v>0</v>
      </c>
      <c r="G310" s="125">
        <f t="shared" si="148"/>
        <v>0</v>
      </c>
      <c r="H310" s="126" t="str">
        <f t="shared" si="133"/>
        <v/>
      </c>
      <c r="I310" s="127" t="str">
        <f t="shared" si="134"/>
        <v/>
      </c>
      <c r="J310" s="128">
        <f t="shared" si="135"/>
        <v>0</v>
      </c>
      <c r="K310" s="129">
        <f t="shared" si="136"/>
        <v>0</v>
      </c>
      <c r="L310" s="1">
        <f t="shared" si="149"/>
        <v>0</v>
      </c>
      <c r="M310" s="130">
        <f t="shared" si="137"/>
        <v>0</v>
      </c>
      <c r="N310" s="131">
        <f t="shared" si="138"/>
        <v>0</v>
      </c>
      <c r="O310" s="15"/>
      <c r="P310" s="32">
        <f t="shared" si="150"/>
        <v>0</v>
      </c>
      <c r="Q310" s="33"/>
      <c r="R310" s="75">
        <f t="shared" si="151"/>
        <v>0</v>
      </c>
      <c r="V310" s="68">
        <f t="shared" si="139"/>
        <v>0</v>
      </c>
      <c r="AA310" s="4">
        <f t="shared" si="140"/>
        <v>3</v>
      </c>
      <c r="AB310" s="4">
        <f t="shared" si="141"/>
        <v>9</v>
      </c>
      <c r="AC310" s="12">
        <f t="shared" si="142"/>
        <v>25</v>
      </c>
      <c r="AJ310" s="5">
        <f t="shared" si="162"/>
        <v>0</v>
      </c>
      <c r="AK310" s="5">
        <f t="shared" si="152"/>
        <v>0</v>
      </c>
      <c r="AL310" s="77">
        <f t="shared" si="164"/>
        <v>55032</v>
      </c>
      <c r="AM310" s="27" t="str">
        <f t="shared" si="153"/>
        <v/>
      </c>
      <c r="AN310" s="76">
        <f t="shared" si="154"/>
        <v>296</v>
      </c>
      <c r="AO310" s="13">
        <f t="shared" si="155"/>
        <v>0</v>
      </c>
      <c r="AP310" s="62">
        <f t="shared" si="156"/>
        <v>0</v>
      </c>
      <c r="AQ310" s="9" t="str">
        <f t="shared" si="143"/>
        <v/>
      </c>
      <c r="AR310" s="60" t="str">
        <f t="shared" si="144"/>
        <v/>
      </c>
      <c r="AS310" s="8">
        <f t="shared" si="157"/>
        <v>0</v>
      </c>
      <c r="AT310" s="11">
        <f t="shared" si="158"/>
        <v>0</v>
      </c>
      <c r="AU310" s="15">
        <v>0</v>
      </c>
      <c r="AV310" s="32">
        <f t="shared" si="159"/>
        <v>0</v>
      </c>
      <c r="AW310" s="33"/>
      <c r="AX310" s="75">
        <f t="shared" si="160"/>
        <v>0</v>
      </c>
    </row>
    <row r="311" spans="1:50" x14ac:dyDescent="0.25">
      <c r="A311" s="5">
        <f t="shared" si="161"/>
        <v>0</v>
      </c>
      <c r="B311" s="5">
        <f t="shared" si="145"/>
        <v>0</v>
      </c>
      <c r="C311" s="77">
        <f t="shared" si="163"/>
        <v>55062</v>
      </c>
      <c r="D311" s="122" t="str">
        <f t="shared" si="132"/>
        <v/>
      </c>
      <c r="E311" s="123">
        <f t="shared" si="146"/>
        <v>297</v>
      </c>
      <c r="F311" s="124">
        <f t="shared" si="147"/>
        <v>0</v>
      </c>
      <c r="G311" s="125">
        <f t="shared" si="148"/>
        <v>0</v>
      </c>
      <c r="H311" s="126" t="str">
        <f t="shared" si="133"/>
        <v/>
      </c>
      <c r="I311" s="127" t="str">
        <f t="shared" si="134"/>
        <v/>
      </c>
      <c r="J311" s="128">
        <f t="shared" si="135"/>
        <v>0</v>
      </c>
      <c r="K311" s="129">
        <f t="shared" si="136"/>
        <v>0</v>
      </c>
      <c r="L311" s="1">
        <f t="shared" si="149"/>
        <v>0</v>
      </c>
      <c r="M311" s="130">
        <f t="shared" si="137"/>
        <v>0</v>
      </c>
      <c r="N311" s="131">
        <f t="shared" si="138"/>
        <v>0</v>
      </c>
      <c r="O311" s="15"/>
      <c r="P311" s="32">
        <f t="shared" si="150"/>
        <v>0</v>
      </c>
      <c r="Q311" s="33"/>
      <c r="R311" s="75">
        <f t="shared" si="151"/>
        <v>0</v>
      </c>
      <c r="V311" s="68">
        <f t="shared" si="139"/>
        <v>0</v>
      </c>
      <c r="AA311" s="4">
        <f t="shared" si="140"/>
        <v>3</v>
      </c>
      <c r="AB311" s="4">
        <f t="shared" si="141"/>
        <v>9</v>
      </c>
      <c r="AC311" s="12">
        <f t="shared" si="142"/>
        <v>25</v>
      </c>
      <c r="AJ311" s="5">
        <f t="shared" si="162"/>
        <v>0</v>
      </c>
      <c r="AK311" s="5">
        <f t="shared" si="152"/>
        <v>0</v>
      </c>
      <c r="AL311" s="77">
        <f t="shared" si="164"/>
        <v>55062</v>
      </c>
      <c r="AM311" s="27" t="str">
        <f t="shared" si="153"/>
        <v/>
      </c>
      <c r="AN311" s="76">
        <f t="shared" si="154"/>
        <v>297</v>
      </c>
      <c r="AO311" s="13">
        <f t="shared" si="155"/>
        <v>0</v>
      </c>
      <c r="AP311" s="62">
        <f t="shared" si="156"/>
        <v>0</v>
      </c>
      <c r="AQ311" s="9" t="str">
        <f t="shared" si="143"/>
        <v/>
      </c>
      <c r="AR311" s="60" t="str">
        <f t="shared" si="144"/>
        <v/>
      </c>
      <c r="AS311" s="8">
        <f t="shared" si="157"/>
        <v>0</v>
      </c>
      <c r="AT311" s="11">
        <f t="shared" si="158"/>
        <v>0</v>
      </c>
      <c r="AU311" s="15">
        <v>0</v>
      </c>
      <c r="AV311" s="32">
        <f t="shared" si="159"/>
        <v>0</v>
      </c>
      <c r="AW311" s="33"/>
      <c r="AX311" s="75">
        <f t="shared" si="160"/>
        <v>0</v>
      </c>
    </row>
    <row r="312" spans="1:50" x14ac:dyDescent="0.25">
      <c r="A312" s="5">
        <f t="shared" si="161"/>
        <v>0</v>
      </c>
      <c r="B312" s="5">
        <f t="shared" si="145"/>
        <v>0</v>
      </c>
      <c r="C312" s="77">
        <f t="shared" si="163"/>
        <v>55093</v>
      </c>
      <c r="D312" s="122" t="str">
        <f t="shared" si="132"/>
        <v/>
      </c>
      <c r="E312" s="123">
        <f t="shared" si="146"/>
        <v>298</v>
      </c>
      <c r="F312" s="124">
        <f t="shared" si="147"/>
        <v>0</v>
      </c>
      <c r="G312" s="125">
        <f t="shared" si="148"/>
        <v>0</v>
      </c>
      <c r="H312" s="126" t="str">
        <f t="shared" si="133"/>
        <v/>
      </c>
      <c r="I312" s="127" t="str">
        <f t="shared" si="134"/>
        <v/>
      </c>
      <c r="J312" s="128">
        <f t="shared" si="135"/>
        <v>0</v>
      </c>
      <c r="K312" s="129">
        <f t="shared" si="136"/>
        <v>0</v>
      </c>
      <c r="L312" s="1">
        <f t="shared" si="149"/>
        <v>0</v>
      </c>
      <c r="M312" s="130">
        <f t="shared" si="137"/>
        <v>0</v>
      </c>
      <c r="N312" s="131">
        <f t="shared" si="138"/>
        <v>0</v>
      </c>
      <c r="O312" s="15"/>
      <c r="P312" s="32">
        <f t="shared" si="150"/>
        <v>0</v>
      </c>
      <c r="Q312" s="33"/>
      <c r="R312" s="75">
        <f t="shared" si="151"/>
        <v>0</v>
      </c>
      <c r="V312" s="68">
        <f t="shared" si="139"/>
        <v>0</v>
      </c>
      <c r="AA312" s="4">
        <f t="shared" si="140"/>
        <v>3</v>
      </c>
      <c r="AB312" s="4">
        <f t="shared" si="141"/>
        <v>9</v>
      </c>
      <c r="AC312" s="12">
        <f t="shared" si="142"/>
        <v>25</v>
      </c>
      <c r="AJ312" s="5">
        <f t="shared" si="162"/>
        <v>0</v>
      </c>
      <c r="AK312" s="5">
        <f t="shared" si="152"/>
        <v>0</v>
      </c>
      <c r="AL312" s="77">
        <f t="shared" si="164"/>
        <v>55093</v>
      </c>
      <c r="AM312" s="27" t="str">
        <f t="shared" si="153"/>
        <v/>
      </c>
      <c r="AN312" s="76">
        <f t="shared" si="154"/>
        <v>298</v>
      </c>
      <c r="AO312" s="13">
        <f t="shared" si="155"/>
        <v>0</v>
      </c>
      <c r="AP312" s="62">
        <f t="shared" si="156"/>
        <v>0</v>
      </c>
      <c r="AQ312" s="9" t="str">
        <f t="shared" si="143"/>
        <v/>
      </c>
      <c r="AR312" s="60" t="str">
        <f t="shared" si="144"/>
        <v/>
      </c>
      <c r="AS312" s="8">
        <f t="shared" si="157"/>
        <v>0</v>
      </c>
      <c r="AT312" s="11">
        <f t="shared" si="158"/>
        <v>0</v>
      </c>
      <c r="AU312" s="15">
        <v>0</v>
      </c>
      <c r="AV312" s="32">
        <f t="shared" si="159"/>
        <v>0</v>
      </c>
      <c r="AW312" s="33"/>
      <c r="AX312" s="75">
        <f t="shared" si="160"/>
        <v>0</v>
      </c>
    </row>
    <row r="313" spans="1:50" x14ac:dyDescent="0.25">
      <c r="A313" s="5">
        <f t="shared" si="161"/>
        <v>0</v>
      </c>
      <c r="B313" s="5">
        <f t="shared" si="145"/>
        <v>0</v>
      </c>
      <c r="C313" s="77">
        <f t="shared" si="163"/>
        <v>55123</v>
      </c>
      <c r="D313" s="122" t="str">
        <f t="shared" si="132"/>
        <v/>
      </c>
      <c r="E313" s="123">
        <f t="shared" si="146"/>
        <v>299</v>
      </c>
      <c r="F313" s="124">
        <f t="shared" si="147"/>
        <v>0</v>
      </c>
      <c r="G313" s="125">
        <f t="shared" si="148"/>
        <v>0</v>
      </c>
      <c r="H313" s="126" t="str">
        <f t="shared" si="133"/>
        <v/>
      </c>
      <c r="I313" s="127" t="str">
        <f t="shared" si="134"/>
        <v/>
      </c>
      <c r="J313" s="128">
        <f t="shared" si="135"/>
        <v>0</v>
      </c>
      <c r="K313" s="129">
        <f t="shared" si="136"/>
        <v>0</v>
      </c>
      <c r="L313" s="1">
        <f t="shared" si="149"/>
        <v>0</v>
      </c>
      <c r="M313" s="130">
        <f t="shared" si="137"/>
        <v>0</v>
      </c>
      <c r="N313" s="131">
        <f t="shared" si="138"/>
        <v>0</v>
      </c>
      <c r="O313" s="15"/>
      <c r="P313" s="32">
        <f t="shared" si="150"/>
        <v>0</v>
      </c>
      <c r="Q313" s="33"/>
      <c r="R313" s="75">
        <f t="shared" si="151"/>
        <v>0</v>
      </c>
      <c r="V313" s="68">
        <f t="shared" si="139"/>
        <v>0</v>
      </c>
      <c r="AA313" s="4">
        <f t="shared" si="140"/>
        <v>3</v>
      </c>
      <c r="AB313" s="4">
        <f t="shared" si="141"/>
        <v>9</v>
      </c>
      <c r="AC313" s="12">
        <f t="shared" si="142"/>
        <v>25</v>
      </c>
      <c r="AJ313" s="5">
        <f t="shared" si="162"/>
        <v>0</v>
      </c>
      <c r="AK313" s="5">
        <f t="shared" si="152"/>
        <v>0</v>
      </c>
      <c r="AL313" s="77">
        <f t="shared" si="164"/>
        <v>55123</v>
      </c>
      <c r="AM313" s="27" t="str">
        <f t="shared" si="153"/>
        <v/>
      </c>
      <c r="AN313" s="76">
        <f t="shared" si="154"/>
        <v>299</v>
      </c>
      <c r="AO313" s="13">
        <f t="shared" si="155"/>
        <v>0</v>
      </c>
      <c r="AP313" s="62">
        <f t="shared" si="156"/>
        <v>0</v>
      </c>
      <c r="AQ313" s="9" t="str">
        <f t="shared" si="143"/>
        <v/>
      </c>
      <c r="AR313" s="60" t="str">
        <f t="shared" si="144"/>
        <v/>
      </c>
      <c r="AS313" s="8">
        <f t="shared" si="157"/>
        <v>0</v>
      </c>
      <c r="AT313" s="11">
        <f t="shared" si="158"/>
        <v>0</v>
      </c>
      <c r="AU313" s="15">
        <v>0</v>
      </c>
      <c r="AV313" s="32">
        <f t="shared" si="159"/>
        <v>0</v>
      </c>
      <c r="AW313" s="33"/>
      <c r="AX313" s="75">
        <f t="shared" si="160"/>
        <v>0</v>
      </c>
    </row>
    <row r="314" spans="1:50" x14ac:dyDescent="0.25">
      <c r="A314" s="5">
        <f t="shared" si="161"/>
        <v>0</v>
      </c>
      <c r="B314" s="5">
        <f t="shared" si="145"/>
        <v>0</v>
      </c>
      <c r="C314" s="77">
        <f t="shared" si="163"/>
        <v>55154</v>
      </c>
      <c r="D314" s="122" t="str">
        <f t="shared" si="132"/>
        <v/>
      </c>
      <c r="E314" s="123">
        <f t="shared" si="146"/>
        <v>300</v>
      </c>
      <c r="F314" s="124">
        <f t="shared" si="147"/>
        <v>0</v>
      </c>
      <c r="G314" s="125">
        <f t="shared" si="148"/>
        <v>0</v>
      </c>
      <c r="H314" s="126" t="str">
        <f t="shared" si="133"/>
        <v/>
      </c>
      <c r="I314" s="127" t="str">
        <f t="shared" si="134"/>
        <v/>
      </c>
      <c r="J314" s="128">
        <f t="shared" si="135"/>
        <v>0</v>
      </c>
      <c r="K314" s="129">
        <f t="shared" si="136"/>
        <v>0</v>
      </c>
      <c r="L314" s="1">
        <f t="shared" si="149"/>
        <v>0</v>
      </c>
      <c r="M314" s="130">
        <f t="shared" si="137"/>
        <v>0</v>
      </c>
      <c r="N314" s="131">
        <f t="shared" si="138"/>
        <v>0</v>
      </c>
      <c r="O314" s="15"/>
      <c r="P314" s="32">
        <f t="shared" si="150"/>
        <v>0</v>
      </c>
      <c r="Q314" s="33"/>
      <c r="R314" s="75">
        <f t="shared" si="151"/>
        <v>0</v>
      </c>
      <c r="V314" s="68">
        <f t="shared" si="139"/>
        <v>0</v>
      </c>
      <c r="AA314" s="4">
        <f t="shared" si="140"/>
        <v>3</v>
      </c>
      <c r="AB314" s="4">
        <f t="shared" si="141"/>
        <v>9</v>
      </c>
      <c r="AC314" s="12">
        <f t="shared" si="142"/>
        <v>25</v>
      </c>
      <c r="AJ314" s="5">
        <f t="shared" si="162"/>
        <v>0</v>
      </c>
      <c r="AK314" s="5">
        <f t="shared" si="152"/>
        <v>0</v>
      </c>
      <c r="AL314" s="77">
        <f t="shared" si="164"/>
        <v>55154</v>
      </c>
      <c r="AM314" s="27" t="str">
        <f t="shared" si="153"/>
        <v/>
      </c>
      <c r="AN314" s="76">
        <f t="shared" si="154"/>
        <v>300</v>
      </c>
      <c r="AO314" s="13">
        <f t="shared" si="155"/>
        <v>0</v>
      </c>
      <c r="AP314" s="62">
        <f t="shared" si="156"/>
        <v>0</v>
      </c>
      <c r="AQ314" s="9" t="str">
        <f t="shared" si="143"/>
        <v/>
      </c>
      <c r="AR314" s="60" t="str">
        <f t="shared" si="144"/>
        <v/>
      </c>
      <c r="AS314" s="8">
        <f t="shared" si="157"/>
        <v>0</v>
      </c>
      <c r="AT314" s="11">
        <f t="shared" si="158"/>
        <v>0</v>
      </c>
      <c r="AU314" s="15">
        <v>0</v>
      </c>
      <c r="AV314" s="32">
        <f t="shared" si="159"/>
        <v>0</v>
      </c>
      <c r="AW314" s="33"/>
      <c r="AX314" s="75">
        <f t="shared" si="160"/>
        <v>0</v>
      </c>
    </row>
    <row r="315" spans="1:50" x14ac:dyDescent="0.25">
      <c r="A315" s="5">
        <f t="shared" si="161"/>
        <v>0</v>
      </c>
      <c r="B315" s="5">
        <f t="shared" si="145"/>
        <v>0</v>
      </c>
      <c r="C315" s="77">
        <f t="shared" si="163"/>
        <v>55185</v>
      </c>
      <c r="D315" s="122" t="str">
        <f t="shared" si="132"/>
        <v/>
      </c>
      <c r="E315" s="123">
        <f t="shared" si="146"/>
        <v>301</v>
      </c>
      <c r="F315" s="124">
        <f t="shared" si="147"/>
        <v>0</v>
      </c>
      <c r="G315" s="125">
        <f t="shared" si="148"/>
        <v>0</v>
      </c>
      <c r="H315" s="126" t="str">
        <f t="shared" si="133"/>
        <v/>
      </c>
      <c r="I315" s="127" t="str">
        <f t="shared" si="134"/>
        <v/>
      </c>
      <c r="J315" s="128">
        <f t="shared" si="135"/>
        <v>0</v>
      </c>
      <c r="K315" s="129">
        <f t="shared" si="136"/>
        <v>0</v>
      </c>
      <c r="L315" s="1">
        <f t="shared" si="149"/>
        <v>0</v>
      </c>
      <c r="M315" s="130">
        <f t="shared" si="137"/>
        <v>0</v>
      </c>
      <c r="N315" s="131">
        <f t="shared" si="138"/>
        <v>0</v>
      </c>
      <c r="O315" s="15"/>
      <c r="P315" s="32">
        <f t="shared" si="150"/>
        <v>0</v>
      </c>
      <c r="Q315" s="33"/>
      <c r="R315" s="75">
        <f t="shared" si="151"/>
        <v>0</v>
      </c>
      <c r="V315" s="68">
        <f t="shared" si="139"/>
        <v>0</v>
      </c>
      <c r="AA315" s="4">
        <f t="shared" si="140"/>
        <v>3</v>
      </c>
      <c r="AB315" s="4">
        <f t="shared" si="141"/>
        <v>9</v>
      </c>
      <c r="AC315" s="12">
        <f t="shared" si="142"/>
        <v>26</v>
      </c>
      <c r="AJ315" s="5">
        <f t="shared" si="162"/>
        <v>0</v>
      </c>
      <c r="AK315" s="5">
        <f t="shared" si="152"/>
        <v>0</v>
      </c>
      <c r="AL315" s="77">
        <f t="shared" si="164"/>
        <v>55185</v>
      </c>
      <c r="AM315" s="27" t="str">
        <f t="shared" si="153"/>
        <v/>
      </c>
      <c r="AN315" s="76">
        <f t="shared" si="154"/>
        <v>301</v>
      </c>
      <c r="AO315" s="13">
        <f t="shared" si="155"/>
        <v>0</v>
      </c>
      <c r="AP315" s="62">
        <f t="shared" si="156"/>
        <v>0</v>
      </c>
      <c r="AQ315" s="9" t="str">
        <f t="shared" si="143"/>
        <v/>
      </c>
      <c r="AR315" s="60" t="str">
        <f t="shared" si="144"/>
        <v/>
      </c>
      <c r="AS315" s="8">
        <f t="shared" si="157"/>
        <v>0</v>
      </c>
      <c r="AT315" s="11">
        <f t="shared" si="158"/>
        <v>0</v>
      </c>
      <c r="AU315" s="15">
        <v>0</v>
      </c>
      <c r="AV315" s="32">
        <f t="shared" si="159"/>
        <v>0</v>
      </c>
      <c r="AW315" s="33"/>
      <c r="AX315" s="75">
        <f t="shared" si="160"/>
        <v>0</v>
      </c>
    </row>
    <row r="316" spans="1:50" x14ac:dyDescent="0.25">
      <c r="A316" s="5">
        <f t="shared" si="161"/>
        <v>0</v>
      </c>
      <c r="B316" s="5">
        <f t="shared" si="145"/>
        <v>0</v>
      </c>
      <c r="C316" s="77">
        <f t="shared" si="163"/>
        <v>55213</v>
      </c>
      <c r="D316" s="122" t="str">
        <f t="shared" si="132"/>
        <v/>
      </c>
      <c r="E316" s="123">
        <f t="shared" si="146"/>
        <v>302</v>
      </c>
      <c r="F316" s="124">
        <f t="shared" si="147"/>
        <v>0</v>
      </c>
      <c r="G316" s="125">
        <f t="shared" si="148"/>
        <v>0</v>
      </c>
      <c r="H316" s="126" t="str">
        <f t="shared" si="133"/>
        <v/>
      </c>
      <c r="I316" s="127" t="str">
        <f t="shared" si="134"/>
        <v/>
      </c>
      <c r="J316" s="128">
        <f t="shared" si="135"/>
        <v>0</v>
      </c>
      <c r="K316" s="129">
        <f t="shared" si="136"/>
        <v>0</v>
      </c>
      <c r="L316" s="1">
        <f t="shared" si="149"/>
        <v>0</v>
      </c>
      <c r="M316" s="130">
        <f t="shared" si="137"/>
        <v>0</v>
      </c>
      <c r="N316" s="131">
        <f t="shared" si="138"/>
        <v>0</v>
      </c>
      <c r="O316" s="15"/>
      <c r="P316" s="32">
        <f t="shared" si="150"/>
        <v>0</v>
      </c>
      <c r="Q316" s="33"/>
      <c r="R316" s="75">
        <f t="shared" si="151"/>
        <v>0</v>
      </c>
      <c r="V316" s="68">
        <f t="shared" si="139"/>
        <v>0</v>
      </c>
      <c r="AA316" s="4">
        <f t="shared" si="140"/>
        <v>3</v>
      </c>
      <c r="AB316" s="4">
        <f t="shared" si="141"/>
        <v>9</v>
      </c>
      <c r="AC316" s="12">
        <f t="shared" si="142"/>
        <v>26</v>
      </c>
      <c r="AJ316" s="5">
        <f t="shared" si="162"/>
        <v>0</v>
      </c>
      <c r="AK316" s="5">
        <f t="shared" si="152"/>
        <v>0</v>
      </c>
      <c r="AL316" s="77">
        <f t="shared" si="164"/>
        <v>55213</v>
      </c>
      <c r="AM316" s="27" t="str">
        <f t="shared" si="153"/>
        <v/>
      </c>
      <c r="AN316" s="76">
        <f t="shared" si="154"/>
        <v>302</v>
      </c>
      <c r="AO316" s="13">
        <f t="shared" si="155"/>
        <v>0</v>
      </c>
      <c r="AP316" s="62">
        <f t="shared" si="156"/>
        <v>0</v>
      </c>
      <c r="AQ316" s="9" t="str">
        <f t="shared" si="143"/>
        <v/>
      </c>
      <c r="AR316" s="60" t="str">
        <f t="shared" si="144"/>
        <v/>
      </c>
      <c r="AS316" s="8">
        <f t="shared" si="157"/>
        <v>0</v>
      </c>
      <c r="AT316" s="11">
        <f t="shared" si="158"/>
        <v>0</v>
      </c>
      <c r="AU316" s="15">
        <v>0</v>
      </c>
      <c r="AV316" s="32">
        <f t="shared" si="159"/>
        <v>0</v>
      </c>
      <c r="AW316" s="33"/>
      <c r="AX316" s="75">
        <f t="shared" si="160"/>
        <v>0</v>
      </c>
    </row>
    <row r="317" spans="1:50" x14ac:dyDescent="0.25">
      <c r="A317" s="5">
        <f t="shared" si="161"/>
        <v>0</v>
      </c>
      <c r="B317" s="5">
        <f t="shared" si="145"/>
        <v>0</v>
      </c>
      <c r="C317" s="77">
        <f t="shared" si="163"/>
        <v>55244</v>
      </c>
      <c r="D317" s="122" t="str">
        <f t="shared" si="132"/>
        <v/>
      </c>
      <c r="E317" s="123">
        <f t="shared" si="146"/>
        <v>303</v>
      </c>
      <c r="F317" s="124">
        <f t="shared" si="147"/>
        <v>0</v>
      </c>
      <c r="G317" s="125">
        <f t="shared" si="148"/>
        <v>0</v>
      </c>
      <c r="H317" s="126" t="str">
        <f t="shared" si="133"/>
        <v/>
      </c>
      <c r="I317" s="127" t="str">
        <f t="shared" si="134"/>
        <v/>
      </c>
      <c r="J317" s="128">
        <f t="shared" si="135"/>
        <v>0</v>
      </c>
      <c r="K317" s="129">
        <f t="shared" si="136"/>
        <v>0</v>
      </c>
      <c r="L317" s="1">
        <f t="shared" si="149"/>
        <v>0</v>
      </c>
      <c r="M317" s="130">
        <f t="shared" si="137"/>
        <v>0</v>
      </c>
      <c r="N317" s="131">
        <f t="shared" si="138"/>
        <v>0</v>
      </c>
      <c r="O317" s="15"/>
      <c r="P317" s="32">
        <f t="shared" si="150"/>
        <v>0</v>
      </c>
      <c r="Q317" s="33"/>
      <c r="R317" s="75">
        <f t="shared" si="151"/>
        <v>0</v>
      </c>
      <c r="V317" s="68">
        <f t="shared" si="139"/>
        <v>0</v>
      </c>
      <c r="AA317" s="4">
        <f t="shared" si="140"/>
        <v>3</v>
      </c>
      <c r="AB317" s="4">
        <f t="shared" si="141"/>
        <v>9</v>
      </c>
      <c r="AC317" s="12">
        <f t="shared" si="142"/>
        <v>26</v>
      </c>
      <c r="AJ317" s="5">
        <f t="shared" si="162"/>
        <v>0</v>
      </c>
      <c r="AK317" s="5">
        <f t="shared" si="152"/>
        <v>0</v>
      </c>
      <c r="AL317" s="77">
        <f t="shared" si="164"/>
        <v>55244</v>
      </c>
      <c r="AM317" s="27" t="str">
        <f t="shared" si="153"/>
        <v/>
      </c>
      <c r="AN317" s="76">
        <f t="shared" si="154"/>
        <v>303</v>
      </c>
      <c r="AO317" s="13">
        <f t="shared" si="155"/>
        <v>0</v>
      </c>
      <c r="AP317" s="62">
        <f t="shared" si="156"/>
        <v>0</v>
      </c>
      <c r="AQ317" s="9" t="str">
        <f t="shared" si="143"/>
        <v/>
      </c>
      <c r="AR317" s="60" t="str">
        <f t="shared" si="144"/>
        <v/>
      </c>
      <c r="AS317" s="8">
        <f t="shared" si="157"/>
        <v>0</v>
      </c>
      <c r="AT317" s="11">
        <f t="shared" si="158"/>
        <v>0</v>
      </c>
      <c r="AU317" s="15">
        <v>0</v>
      </c>
      <c r="AV317" s="32">
        <f t="shared" si="159"/>
        <v>0</v>
      </c>
      <c r="AW317" s="33"/>
      <c r="AX317" s="75">
        <f t="shared" si="160"/>
        <v>0</v>
      </c>
    </row>
    <row r="318" spans="1:50" x14ac:dyDescent="0.25">
      <c r="A318" s="5">
        <f t="shared" si="161"/>
        <v>0</v>
      </c>
      <c r="B318" s="5">
        <f t="shared" si="145"/>
        <v>0</v>
      </c>
      <c r="C318" s="77">
        <f t="shared" si="163"/>
        <v>55274</v>
      </c>
      <c r="D318" s="122" t="str">
        <f t="shared" si="132"/>
        <v/>
      </c>
      <c r="E318" s="123">
        <f t="shared" si="146"/>
        <v>304</v>
      </c>
      <c r="F318" s="124">
        <f t="shared" si="147"/>
        <v>0</v>
      </c>
      <c r="G318" s="125">
        <f t="shared" si="148"/>
        <v>0</v>
      </c>
      <c r="H318" s="126" t="str">
        <f t="shared" si="133"/>
        <v/>
      </c>
      <c r="I318" s="127" t="str">
        <f t="shared" si="134"/>
        <v/>
      </c>
      <c r="J318" s="128">
        <f t="shared" si="135"/>
        <v>0</v>
      </c>
      <c r="K318" s="129">
        <f t="shared" si="136"/>
        <v>0</v>
      </c>
      <c r="L318" s="1">
        <f t="shared" si="149"/>
        <v>0</v>
      </c>
      <c r="M318" s="130">
        <f t="shared" si="137"/>
        <v>0</v>
      </c>
      <c r="N318" s="131">
        <f t="shared" si="138"/>
        <v>0</v>
      </c>
      <c r="O318" s="15"/>
      <c r="P318" s="32">
        <f t="shared" si="150"/>
        <v>0</v>
      </c>
      <c r="Q318" s="33"/>
      <c r="R318" s="75">
        <f t="shared" si="151"/>
        <v>0</v>
      </c>
      <c r="V318" s="68">
        <f t="shared" si="139"/>
        <v>0</v>
      </c>
      <c r="AA318" s="4">
        <f t="shared" si="140"/>
        <v>3</v>
      </c>
      <c r="AB318" s="4">
        <f t="shared" si="141"/>
        <v>9</v>
      </c>
      <c r="AC318" s="12">
        <f t="shared" si="142"/>
        <v>26</v>
      </c>
      <c r="AJ318" s="5">
        <f t="shared" si="162"/>
        <v>0</v>
      </c>
      <c r="AK318" s="5">
        <f t="shared" si="152"/>
        <v>0</v>
      </c>
      <c r="AL318" s="77">
        <f t="shared" si="164"/>
        <v>55274</v>
      </c>
      <c r="AM318" s="27" t="str">
        <f t="shared" si="153"/>
        <v/>
      </c>
      <c r="AN318" s="76">
        <f t="shared" si="154"/>
        <v>304</v>
      </c>
      <c r="AO318" s="13">
        <f t="shared" si="155"/>
        <v>0</v>
      </c>
      <c r="AP318" s="62">
        <f t="shared" si="156"/>
        <v>0</v>
      </c>
      <c r="AQ318" s="9" t="str">
        <f t="shared" si="143"/>
        <v/>
      </c>
      <c r="AR318" s="60" t="str">
        <f t="shared" si="144"/>
        <v/>
      </c>
      <c r="AS318" s="8">
        <f t="shared" si="157"/>
        <v>0</v>
      </c>
      <c r="AT318" s="11">
        <f t="shared" si="158"/>
        <v>0</v>
      </c>
      <c r="AU318" s="15">
        <v>0</v>
      </c>
      <c r="AV318" s="32">
        <f t="shared" si="159"/>
        <v>0</v>
      </c>
      <c r="AW318" s="33"/>
      <c r="AX318" s="75">
        <f t="shared" si="160"/>
        <v>0</v>
      </c>
    </row>
    <row r="319" spans="1:50" x14ac:dyDescent="0.25">
      <c r="A319" s="5">
        <f t="shared" si="161"/>
        <v>0</v>
      </c>
      <c r="B319" s="5">
        <f t="shared" si="145"/>
        <v>0</v>
      </c>
      <c r="C319" s="77">
        <f t="shared" si="163"/>
        <v>55305</v>
      </c>
      <c r="D319" s="122" t="str">
        <f t="shared" si="132"/>
        <v/>
      </c>
      <c r="E319" s="123">
        <f t="shared" si="146"/>
        <v>305</v>
      </c>
      <c r="F319" s="124">
        <f t="shared" si="147"/>
        <v>0</v>
      </c>
      <c r="G319" s="125">
        <f t="shared" si="148"/>
        <v>0</v>
      </c>
      <c r="H319" s="126" t="str">
        <f t="shared" si="133"/>
        <v/>
      </c>
      <c r="I319" s="127" t="str">
        <f t="shared" si="134"/>
        <v/>
      </c>
      <c r="J319" s="128">
        <f t="shared" si="135"/>
        <v>0</v>
      </c>
      <c r="K319" s="129">
        <f t="shared" si="136"/>
        <v>0</v>
      </c>
      <c r="L319" s="1">
        <f t="shared" si="149"/>
        <v>0</v>
      </c>
      <c r="M319" s="130">
        <f t="shared" si="137"/>
        <v>0</v>
      </c>
      <c r="N319" s="131">
        <f t="shared" si="138"/>
        <v>0</v>
      </c>
      <c r="O319" s="15"/>
      <c r="P319" s="32">
        <f t="shared" si="150"/>
        <v>0</v>
      </c>
      <c r="Q319" s="33"/>
      <c r="R319" s="75">
        <f t="shared" si="151"/>
        <v>0</v>
      </c>
      <c r="V319" s="68">
        <f t="shared" si="139"/>
        <v>0</v>
      </c>
      <c r="AA319" s="4">
        <f t="shared" si="140"/>
        <v>3</v>
      </c>
      <c r="AB319" s="4">
        <f t="shared" si="141"/>
        <v>9</v>
      </c>
      <c r="AC319" s="12">
        <f t="shared" si="142"/>
        <v>26</v>
      </c>
      <c r="AJ319" s="5">
        <f t="shared" si="162"/>
        <v>0</v>
      </c>
      <c r="AK319" s="5">
        <f t="shared" si="152"/>
        <v>0</v>
      </c>
      <c r="AL319" s="77">
        <f t="shared" si="164"/>
        <v>55305</v>
      </c>
      <c r="AM319" s="27" t="str">
        <f t="shared" si="153"/>
        <v/>
      </c>
      <c r="AN319" s="76">
        <f t="shared" si="154"/>
        <v>305</v>
      </c>
      <c r="AO319" s="13">
        <f t="shared" si="155"/>
        <v>0</v>
      </c>
      <c r="AP319" s="62">
        <f t="shared" si="156"/>
        <v>0</v>
      </c>
      <c r="AQ319" s="9" t="str">
        <f t="shared" si="143"/>
        <v/>
      </c>
      <c r="AR319" s="60" t="str">
        <f t="shared" si="144"/>
        <v/>
      </c>
      <c r="AS319" s="8">
        <f t="shared" si="157"/>
        <v>0</v>
      </c>
      <c r="AT319" s="11">
        <f t="shared" si="158"/>
        <v>0</v>
      </c>
      <c r="AU319" s="15">
        <v>0</v>
      </c>
      <c r="AV319" s="32">
        <f t="shared" si="159"/>
        <v>0</v>
      </c>
      <c r="AW319" s="33"/>
      <c r="AX319" s="75">
        <f t="shared" si="160"/>
        <v>0</v>
      </c>
    </row>
    <row r="320" spans="1:50" x14ac:dyDescent="0.25">
      <c r="A320" s="5">
        <f t="shared" si="161"/>
        <v>0</v>
      </c>
      <c r="B320" s="5">
        <f t="shared" si="145"/>
        <v>0</v>
      </c>
      <c r="C320" s="77">
        <f t="shared" si="163"/>
        <v>55335</v>
      </c>
      <c r="D320" s="122" t="str">
        <f t="shared" si="132"/>
        <v/>
      </c>
      <c r="E320" s="123">
        <f t="shared" si="146"/>
        <v>306</v>
      </c>
      <c r="F320" s="124">
        <f t="shared" si="147"/>
        <v>0</v>
      </c>
      <c r="G320" s="125">
        <f t="shared" si="148"/>
        <v>0</v>
      </c>
      <c r="H320" s="126" t="str">
        <f t="shared" si="133"/>
        <v/>
      </c>
      <c r="I320" s="127" t="str">
        <f t="shared" si="134"/>
        <v/>
      </c>
      <c r="J320" s="128">
        <f t="shared" si="135"/>
        <v>0</v>
      </c>
      <c r="K320" s="129">
        <f t="shared" si="136"/>
        <v>0</v>
      </c>
      <c r="L320" s="1">
        <f t="shared" si="149"/>
        <v>0</v>
      </c>
      <c r="M320" s="130">
        <f t="shared" si="137"/>
        <v>0</v>
      </c>
      <c r="N320" s="131">
        <f t="shared" si="138"/>
        <v>0</v>
      </c>
      <c r="O320" s="15"/>
      <c r="P320" s="32">
        <f t="shared" si="150"/>
        <v>0</v>
      </c>
      <c r="Q320" s="33"/>
      <c r="R320" s="75">
        <f t="shared" si="151"/>
        <v>0</v>
      </c>
      <c r="V320" s="68">
        <f t="shared" si="139"/>
        <v>0</v>
      </c>
      <c r="AA320" s="4">
        <f t="shared" si="140"/>
        <v>3</v>
      </c>
      <c r="AB320" s="4">
        <f t="shared" si="141"/>
        <v>9</v>
      </c>
      <c r="AC320" s="12">
        <f t="shared" si="142"/>
        <v>26</v>
      </c>
      <c r="AJ320" s="5">
        <f t="shared" si="162"/>
        <v>0</v>
      </c>
      <c r="AK320" s="5">
        <f t="shared" si="152"/>
        <v>0</v>
      </c>
      <c r="AL320" s="77">
        <f t="shared" si="164"/>
        <v>55335</v>
      </c>
      <c r="AM320" s="27" t="str">
        <f t="shared" si="153"/>
        <v/>
      </c>
      <c r="AN320" s="76">
        <f t="shared" si="154"/>
        <v>306</v>
      </c>
      <c r="AO320" s="13">
        <f t="shared" si="155"/>
        <v>0</v>
      </c>
      <c r="AP320" s="62">
        <f t="shared" si="156"/>
        <v>0</v>
      </c>
      <c r="AQ320" s="9" t="str">
        <f t="shared" si="143"/>
        <v/>
      </c>
      <c r="AR320" s="60" t="str">
        <f t="shared" si="144"/>
        <v/>
      </c>
      <c r="AS320" s="8">
        <f t="shared" si="157"/>
        <v>0</v>
      </c>
      <c r="AT320" s="11">
        <f t="shared" si="158"/>
        <v>0</v>
      </c>
      <c r="AU320" s="15">
        <v>0</v>
      </c>
      <c r="AV320" s="32">
        <f t="shared" si="159"/>
        <v>0</v>
      </c>
      <c r="AW320" s="33"/>
      <c r="AX320" s="75">
        <f t="shared" si="160"/>
        <v>0</v>
      </c>
    </row>
    <row r="321" spans="1:50" x14ac:dyDescent="0.25">
      <c r="A321" s="5">
        <f t="shared" si="161"/>
        <v>0</v>
      </c>
      <c r="B321" s="5">
        <f t="shared" si="145"/>
        <v>0</v>
      </c>
      <c r="C321" s="77">
        <f t="shared" si="163"/>
        <v>55366</v>
      </c>
      <c r="D321" s="122" t="str">
        <f t="shared" si="132"/>
        <v/>
      </c>
      <c r="E321" s="123">
        <f t="shared" si="146"/>
        <v>307</v>
      </c>
      <c r="F321" s="124">
        <f t="shared" si="147"/>
        <v>0</v>
      </c>
      <c r="G321" s="125">
        <f t="shared" si="148"/>
        <v>0</v>
      </c>
      <c r="H321" s="126" t="str">
        <f t="shared" si="133"/>
        <v/>
      </c>
      <c r="I321" s="127" t="str">
        <f t="shared" si="134"/>
        <v/>
      </c>
      <c r="J321" s="128">
        <f t="shared" si="135"/>
        <v>0</v>
      </c>
      <c r="K321" s="129">
        <f t="shared" si="136"/>
        <v>0</v>
      </c>
      <c r="L321" s="1">
        <f t="shared" si="149"/>
        <v>0</v>
      </c>
      <c r="M321" s="130">
        <f t="shared" si="137"/>
        <v>0</v>
      </c>
      <c r="N321" s="131">
        <f t="shared" si="138"/>
        <v>0</v>
      </c>
      <c r="O321" s="15"/>
      <c r="P321" s="32">
        <f t="shared" si="150"/>
        <v>0</v>
      </c>
      <c r="Q321" s="33"/>
      <c r="R321" s="75">
        <f t="shared" si="151"/>
        <v>0</v>
      </c>
      <c r="V321" s="68">
        <f t="shared" si="139"/>
        <v>0</v>
      </c>
      <c r="AA321" s="4">
        <f t="shared" si="140"/>
        <v>3</v>
      </c>
      <c r="AB321" s="4">
        <f t="shared" si="141"/>
        <v>9</v>
      </c>
      <c r="AC321" s="12">
        <f t="shared" si="142"/>
        <v>26</v>
      </c>
      <c r="AJ321" s="5">
        <f t="shared" si="162"/>
        <v>0</v>
      </c>
      <c r="AK321" s="5">
        <f t="shared" si="152"/>
        <v>0</v>
      </c>
      <c r="AL321" s="77">
        <f t="shared" si="164"/>
        <v>55366</v>
      </c>
      <c r="AM321" s="27" t="str">
        <f t="shared" si="153"/>
        <v/>
      </c>
      <c r="AN321" s="76">
        <f t="shared" si="154"/>
        <v>307</v>
      </c>
      <c r="AO321" s="13">
        <f t="shared" si="155"/>
        <v>0</v>
      </c>
      <c r="AP321" s="62">
        <f t="shared" si="156"/>
        <v>0</v>
      </c>
      <c r="AQ321" s="9" t="str">
        <f t="shared" si="143"/>
        <v/>
      </c>
      <c r="AR321" s="60" t="str">
        <f t="shared" si="144"/>
        <v/>
      </c>
      <c r="AS321" s="8">
        <f t="shared" si="157"/>
        <v>0</v>
      </c>
      <c r="AT321" s="11">
        <f t="shared" si="158"/>
        <v>0</v>
      </c>
      <c r="AU321" s="15">
        <v>0</v>
      </c>
      <c r="AV321" s="32">
        <f t="shared" si="159"/>
        <v>0</v>
      </c>
      <c r="AW321" s="33"/>
      <c r="AX321" s="75">
        <f t="shared" si="160"/>
        <v>0</v>
      </c>
    </row>
    <row r="322" spans="1:50" x14ac:dyDescent="0.25">
      <c r="A322" s="5">
        <f t="shared" si="161"/>
        <v>0</v>
      </c>
      <c r="B322" s="5">
        <f t="shared" si="145"/>
        <v>0</v>
      </c>
      <c r="C322" s="77">
        <f t="shared" si="163"/>
        <v>55397</v>
      </c>
      <c r="D322" s="122" t="str">
        <f t="shared" si="132"/>
        <v/>
      </c>
      <c r="E322" s="123">
        <f t="shared" si="146"/>
        <v>308</v>
      </c>
      <c r="F322" s="124">
        <f t="shared" si="147"/>
        <v>0</v>
      </c>
      <c r="G322" s="125">
        <f t="shared" si="148"/>
        <v>0</v>
      </c>
      <c r="H322" s="126" t="str">
        <f t="shared" si="133"/>
        <v/>
      </c>
      <c r="I322" s="127" t="str">
        <f t="shared" si="134"/>
        <v/>
      </c>
      <c r="J322" s="128">
        <f t="shared" si="135"/>
        <v>0</v>
      </c>
      <c r="K322" s="129">
        <f t="shared" si="136"/>
        <v>0</v>
      </c>
      <c r="L322" s="1">
        <f t="shared" si="149"/>
        <v>0</v>
      </c>
      <c r="M322" s="130">
        <f t="shared" si="137"/>
        <v>0</v>
      </c>
      <c r="N322" s="131">
        <f t="shared" si="138"/>
        <v>0</v>
      </c>
      <c r="O322" s="15"/>
      <c r="P322" s="32">
        <f t="shared" si="150"/>
        <v>0</v>
      </c>
      <c r="Q322" s="33"/>
      <c r="R322" s="75">
        <f t="shared" si="151"/>
        <v>0</v>
      </c>
      <c r="V322" s="68">
        <f t="shared" si="139"/>
        <v>0</v>
      </c>
      <c r="AA322" s="4">
        <f t="shared" si="140"/>
        <v>3</v>
      </c>
      <c r="AB322" s="4">
        <f t="shared" si="141"/>
        <v>9</v>
      </c>
      <c r="AC322" s="12">
        <f t="shared" si="142"/>
        <v>26</v>
      </c>
      <c r="AJ322" s="5">
        <f t="shared" si="162"/>
        <v>0</v>
      </c>
      <c r="AK322" s="5">
        <f t="shared" si="152"/>
        <v>0</v>
      </c>
      <c r="AL322" s="77">
        <f t="shared" si="164"/>
        <v>55397</v>
      </c>
      <c r="AM322" s="27" t="str">
        <f t="shared" si="153"/>
        <v/>
      </c>
      <c r="AN322" s="76">
        <f t="shared" si="154"/>
        <v>308</v>
      </c>
      <c r="AO322" s="13">
        <f t="shared" si="155"/>
        <v>0</v>
      </c>
      <c r="AP322" s="62">
        <f t="shared" si="156"/>
        <v>0</v>
      </c>
      <c r="AQ322" s="9" t="str">
        <f t="shared" si="143"/>
        <v/>
      </c>
      <c r="AR322" s="60" t="str">
        <f t="shared" si="144"/>
        <v/>
      </c>
      <c r="AS322" s="8">
        <f t="shared" si="157"/>
        <v>0</v>
      </c>
      <c r="AT322" s="11">
        <f t="shared" si="158"/>
        <v>0</v>
      </c>
      <c r="AU322" s="15">
        <v>0</v>
      </c>
      <c r="AV322" s="32">
        <f t="shared" si="159"/>
        <v>0</v>
      </c>
      <c r="AW322" s="33"/>
      <c r="AX322" s="75">
        <f t="shared" si="160"/>
        <v>0</v>
      </c>
    </row>
    <row r="323" spans="1:50" x14ac:dyDescent="0.25">
      <c r="A323" s="5">
        <f t="shared" si="161"/>
        <v>0</v>
      </c>
      <c r="B323" s="5">
        <f t="shared" si="145"/>
        <v>0</v>
      </c>
      <c r="C323" s="77">
        <f t="shared" si="163"/>
        <v>55427</v>
      </c>
      <c r="D323" s="122" t="str">
        <f t="shared" si="132"/>
        <v/>
      </c>
      <c r="E323" s="123">
        <f t="shared" si="146"/>
        <v>309</v>
      </c>
      <c r="F323" s="124">
        <f t="shared" si="147"/>
        <v>0</v>
      </c>
      <c r="G323" s="125">
        <f t="shared" si="148"/>
        <v>0</v>
      </c>
      <c r="H323" s="126" t="str">
        <f t="shared" si="133"/>
        <v/>
      </c>
      <c r="I323" s="127" t="str">
        <f t="shared" si="134"/>
        <v/>
      </c>
      <c r="J323" s="128">
        <f t="shared" si="135"/>
        <v>0</v>
      </c>
      <c r="K323" s="129">
        <f t="shared" si="136"/>
        <v>0</v>
      </c>
      <c r="L323" s="1">
        <f t="shared" si="149"/>
        <v>0</v>
      </c>
      <c r="M323" s="130">
        <f t="shared" si="137"/>
        <v>0</v>
      </c>
      <c r="N323" s="131">
        <f t="shared" si="138"/>
        <v>0</v>
      </c>
      <c r="O323" s="15"/>
      <c r="P323" s="32">
        <f t="shared" si="150"/>
        <v>0</v>
      </c>
      <c r="Q323" s="33"/>
      <c r="R323" s="75">
        <f t="shared" si="151"/>
        <v>0</v>
      </c>
      <c r="V323" s="68">
        <f t="shared" si="139"/>
        <v>0</v>
      </c>
      <c r="AA323" s="4">
        <f t="shared" si="140"/>
        <v>3</v>
      </c>
      <c r="AB323" s="4">
        <f t="shared" si="141"/>
        <v>9</v>
      </c>
      <c r="AC323" s="12">
        <f t="shared" si="142"/>
        <v>26</v>
      </c>
      <c r="AJ323" s="5">
        <f t="shared" si="162"/>
        <v>0</v>
      </c>
      <c r="AK323" s="5">
        <f t="shared" si="152"/>
        <v>0</v>
      </c>
      <c r="AL323" s="77">
        <f t="shared" si="164"/>
        <v>55427</v>
      </c>
      <c r="AM323" s="27" t="str">
        <f t="shared" si="153"/>
        <v/>
      </c>
      <c r="AN323" s="76">
        <f t="shared" si="154"/>
        <v>309</v>
      </c>
      <c r="AO323" s="13">
        <f t="shared" si="155"/>
        <v>0</v>
      </c>
      <c r="AP323" s="62">
        <f t="shared" si="156"/>
        <v>0</v>
      </c>
      <c r="AQ323" s="9" t="str">
        <f t="shared" si="143"/>
        <v/>
      </c>
      <c r="AR323" s="60" t="str">
        <f t="shared" si="144"/>
        <v/>
      </c>
      <c r="AS323" s="8">
        <f t="shared" si="157"/>
        <v>0</v>
      </c>
      <c r="AT323" s="11">
        <f t="shared" si="158"/>
        <v>0</v>
      </c>
      <c r="AU323" s="15">
        <v>0</v>
      </c>
      <c r="AV323" s="32">
        <f t="shared" si="159"/>
        <v>0</v>
      </c>
      <c r="AW323" s="33"/>
      <c r="AX323" s="75">
        <f t="shared" si="160"/>
        <v>0</v>
      </c>
    </row>
    <row r="324" spans="1:50" x14ac:dyDescent="0.25">
      <c r="A324" s="5">
        <f t="shared" si="161"/>
        <v>0</v>
      </c>
      <c r="B324" s="5">
        <f t="shared" si="145"/>
        <v>0</v>
      </c>
      <c r="C324" s="77">
        <f t="shared" si="163"/>
        <v>55458</v>
      </c>
      <c r="D324" s="122" t="str">
        <f t="shared" si="132"/>
        <v/>
      </c>
      <c r="E324" s="123">
        <f t="shared" si="146"/>
        <v>310</v>
      </c>
      <c r="F324" s="124">
        <f t="shared" si="147"/>
        <v>0</v>
      </c>
      <c r="G324" s="125">
        <f t="shared" si="148"/>
        <v>0</v>
      </c>
      <c r="H324" s="126" t="str">
        <f t="shared" si="133"/>
        <v/>
      </c>
      <c r="I324" s="127" t="str">
        <f t="shared" si="134"/>
        <v/>
      </c>
      <c r="J324" s="128">
        <f t="shared" si="135"/>
        <v>0</v>
      </c>
      <c r="K324" s="129">
        <f t="shared" si="136"/>
        <v>0</v>
      </c>
      <c r="L324" s="1">
        <f t="shared" si="149"/>
        <v>0</v>
      </c>
      <c r="M324" s="130">
        <f t="shared" si="137"/>
        <v>0</v>
      </c>
      <c r="N324" s="131">
        <f t="shared" si="138"/>
        <v>0</v>
      </c>
      <c r="O324" s="15"/>
      <c r="P324" s="32">
        <f t="shared" si="150"/>
        <v>0</v>
      </c>
      <c r="Q324" s="33"/>
      <c r="R324" s="75">
        <f t="shared" si="151"/>
        <v>0</v>
      </c>
      <c r="V324" s="68">
        <f t="shared" si="139"/>
        <v>0</v>
      </c>
      <c r="AA324" s="4">
        <f t="shared" si="140"/>
        <v>3</v>
      </c>
      <c r="AB324" s="4">
        <f t="shared" si="141"/>
        <v>9</v>
      </c>
      <c r="AC324" s="12">
        <f t="shared" si="142"/>
        <v>26</v>
      </c>
      <c r="AJ324" s="5">
        <f t="shared" si="162"/>
        <v>0</v>
      </c>
      <c r="AK324" s="5">
        <f t="shared" si="152"/>
        <v>0</v>
      </c>
      <c r="AL324" s="77">
        <f t="shared" si="164"/>
        <v>55458</v>
      </c>
      <c r="AM324" s="27" t="str">
        <f t="shared" si="153"/>
        <v/>
      </c>
      <c r="AN324" s="76">
        <f t="shared" si="154"/>
        <v>310</v>
      </c>
      <c r="AO324" s="13">
        <f t="shared" si="155"/>
        <v>0</v>
      </c>
      <c r="AP324" s="62">
        <f t="shared" si="156"/>
        <v>0</v>
      </c>
      <c r="AQ324" s="9" t="str">
        <f t="shared" si="143"/>
        <v/>
      </c>
      <c r="AR324" s="60" t="str">
        <f t="shared" si="144"/>
        <v/>
      </c>
      <c r="AS324" s="8">
        <f t="shared" si="157"/>
        <v>0</v>
      </c>
      <c r="AT324" s="11">
        <f t="shared" si="158"/>
        <v>0</v>
      </c>
      <c r="AU324" s="15">
        <v>0</v>
      </c>
      <c r="AV324" s="32">
        <f t="shared" si="159"/>
        <v>0</v>
      </c>
      <c r="AW324" s="33"/>
      <c r="AX324" s="75">
        <f t="shared" si="160"/>
        <v>0</v>
      </c>
    </row>
    <row r="325" spans="1:50" x14ac:dyDescent="0.25">
      <c r="A325" s="5">
        <f t="shared" si="161"/>
        <v>0</v>
      </c>
      <c r="B325" s="5">
        <f t="shared" si="145"/>
        <v>0</v>
      </c>
      <c r="C325" s="77">
        <f t="shared" si="163"/>
        <v>55488</v>
      </c>
      <c r="D325" s="122" t="str">
        <f t="shared" si="132"/>
        <v/>
      </c>
      <c r="E325" s="123">
        <f t="shared" si="146"/>
        <v>311</v>
      </c>
      <c r="F325" s="124">
        <f t="shared" si="147"/>
        <v>0</v>
      </c>
      <c r="G325" s="125">
        <f t="shared" si="148"/>
        <v>0</v>
      </c>
      <c r="H325" s="126" t="str">
        <f t="shared" si="133"/>
        <v/>
      </c>
      <c r="I325" s="127" t="str">
        <f t="shared" si="134"/>
        <v/>
      </c>
      <c r="J325" s="128">
        <f t="shared" si="135"/>
        <v>0</v>
      </c>
      <c r="K325" s="129">
        <f t="shared" si="136"/>
        <v>0</v>
      </c>
      <c r="L325" s="1">
        <f t="shared" si="149"/>
        <v>0</v>
      </c>
      <c r="M325" s="130">
        <f t="shared" si="137"/>
        <v>0</v>
      </c>
      <c r="N325" s="131">
        <f t="shared" si="138"/>
        <v>0</v>
      </c>
      <c r="O325" s="15"/>
      <c r="P325" s="32">
        <f t="shared" si="150"/>
        <v>0</v>
      </c>
      <c r="Q325" s="33"/>
      <c r="R325" s="75">
        <f t="shared" si="151"/>
        <v>0</v>
      </c>
      <c r="V325" s="68">
        <f t="shared" si="139"/>
        <v>0</v>
      </c>
      <c r="AA325" s="4">
        <f t="shared" si="140"/>
        <v>3</v>
      </c>
      <c r="AB325" s="4">
        <f t="shared" si="141"/>
        <v>9</v>
      </c>
      <c r="AC325" s="12">
        <f t="shared" si="142"/>
        <v>26</v>
      </c>
      <c r="AJ325" s="5">
        <f t="shared" si="162"/>
        <v>0</v>
      </c>
      <c r="AK325" s="5">
        <f t="shared" si="152"/>
        <v>0</v>
      </c>
      <c r="AL325" s="77">
        <f t="shared" si="164"/>
        <v>55488</v>
      </c>
      <c r="AM325" s="27" t="str">
        <f t="shared" si="153"/>
        <v/>
      </c>
      <c r="AN325" s="76">
        <f t="shared" si="154"/>
        <v>311</v>
      </c>
      <c r="AO325" s="13">
        <f t="shared" si="155"/>
        <v>0</v>
      </c>
      <c r="AP325" s="62">
        <f t="shared" si="156"/>
        <v>0</v>
      </c>
      <c r="AQ325" s="9" t="str">
        <f t="shared" si="143"/>
        <v/>
      </c>
      <c r="AR325" s="60" t="str">
        <f t="shared" si="144"/>
        <v/>
      </c>
      <c r="AS325" s="8">
        <f t="shared" si="157"/>
        <v>0</v>
      </c>
      <c r="AT325" s="11">
        <f t="shared" si="158"/>
        <v>0</v>
      </c>
      <c r="AU325" s="15">
        <v>0</v>
      </c>
      <c r="AV325" s="32">
        <f t="shared" si="159"/>
        <v>0</v>
      </c>
      <c r="AW325" s="33"/>
      <c r="AX325" s="75">
        <f t="shared" si="160"/>
        <v>0</v>
      </c>
    </row>
    <row r="326" spans="1:50" x14ac:dyDescent="0.25">
      <c r="A326" s="5">
        <f t="shared" si="161"/>
        <v>0</v>
      </c>
      <c r="B326" s="5">
        <f t="shared" si="145"/>
        <v>0</v>
      </c>
      <c r="C326" s="77">
        <f t="shared" si="163"/>
        <v>55519</v>
      </c>
      <c r="D326" s="122" t="str">
        <f t="shared" si="132"/>
        <v/>
      </c>
      <c r="E326" s="123">
        <f t="shared" si="146"/>
        <v>312</v>
      </c>
      <c r="F326" s="124">
        <f t="shared" si="147"/>
        <v>0</v>
      </c>
      <c r="G326" s="125">
        <f t="shared" si="148"/>
        <v>0</v>
      </c>
      <c r="H326" s="126" t="str">
        <f t="shared" si="133"/>
        <v/>
      </c>
      <c r="I326" s="127" t="str">
        <f t="shared" si="134"/>
        <v/>
      </c>
      <c r="J326" s="128">
        <f t="shared" si="135"/>
        <v>0</v>
      </c>
      <c r="K326" s="129">
        <f t="shared" si="136"/>
        <v>0</v>
      </c>
      <c r="L326" s="1">
        <f t="shared" si="149"/>
        <v>0</v>
      </c>
      <c r="M326" s="130">
        <f t="shared" si="137"/>
        <v>0</v>
      </c>
      <c r="N326" s="131">
        <f t="shared" si="138"/>
        <v>0</v>
      </c>
      <c r="O326" s="15"/>
      <c r="P326" s="32">
        <f t="shared" si="150"/>
        <v>0</v>
      </c>
      <c r="Q326" s="33"/>
      <c r="R326" s="75">
        <f t="shared" si="151"/>
        <v>0</v>
      </c>
      <c r="V326" s="68">
        <f t="shared" si="139"/>
        <v>0</v>
      </c>
      <c r="AA326" s="4">
        <f t="shared" si="140"/>
        <v>3</v>
      </c>
      <c r="AB326" s="4">
        <f t="shared" si="141"/>
        <v>9</v>
      </c>
      <c r="AC326" s="12">
        <f t="shared" si="142"/>
        <v>26</v>
      </c>
      <c r="AJ326" s="5">
        <f t="shared" si="162"/>
        <v>0</v>
      </c>
      <c r="AK326" s="5">
        <f t="shared" si="152"/>
        <v>0</v>
      </c>
      <c r="AL326" s="77">
        <f t="shared" si="164"/>
        <v>55519</v>
      </c>
      <c r="AM326" s="27" t="str">
        <f t="shared" si="153"/>
        <v/>
      </c>
      <c r="AN326" s="76">
        <f t="shared" si="154"/>
        <v>312</v>
      </c>
      <c r="AO326" s="13">
        <f t="shared" si="155"/>
        <v>0</v>
      </c>
      <c r="AP326" s="62">
        <f t="shared" si="156"/>
        <v>0</v>
      </c>
      <c r="AQ326" s="9" t="str">
        <f t="shared" si="143"/>
        <v/>
      </c>
      <c r="AR326" s="60" t="str">
        <f t="shared" si="144"/>
        <v/>
      </c>
      <c r="AS326" s="8">
        <f t="shared" si="157"/>
        <v>0</v>
      </c>
      <c r="AT326" s="11">
        <f t="shared" si="158"/>
        <v>0</v>
      </c>
      <c r="AU326" s="15">
        <v>0</v>
      </c>
      <c r="AV326" s="32">
        <f t="shared" si="159"/>
        <v>0</v>
      </c>
      <c r="AW326" s="33"/>
      <c r="AX326" s="75">
        <f t="shared" si="160"/>
        <v>0</v>
      </c>
    </row>
    <row r="327" spans="1:50" x14ac:dyDescent="0.25">
      <c r="A327" s="5">
        <f t="shared" si="161"/>
        <v>0</v>
      </c>
      <c r="B327" s="5">
        <f t="shared" si="145"/>
        <v>0</v>
      </c>
      <c r="C327" s="77">
        <f t="shared" si="163"/>
        <v>55550</v>
      </c>
      <c r="D327" s="122" t="str">
        <f t="shared" si="132"/>
        <v/>
      </c>
      <c r="E327" s="123">
        <f t="shared" si="146"/>
        <v>313</v>
      </c>
      <c r="F327" s="124">
        <f t="shared" si="147"/>
        <v>0</v>
      </c>
      <c r="G327" s="125">
        <f t="shared" si="148"/>
        <v>0</v>
      </c>
      <c r="H327" s="126" t="str">
        <f t="shared" si="133"/>
        <v/>
      </c>
      <c r="I327" s="127" t="str">
        <f t="shared" si="134"/>
        <v/>
      </c>
      <c r="J327" s="128">
        <f t="shared" si="135"/>
        <v>0</v>
      </c>
      <c r="K327" s="129">
        <f t="shared" si="136"/>
        <v>0</v>
      </c>
      <c r="L327" s="1">
        <f t="shared" si="149"/>
        <v>0</v>
      </c>
      <c r="M327" s="130">
        <f t="shared" si="137"/>
        <v>0</v>
      </c>
      <c r="N327" s="131">
        <f t="shared" si="138"/>
        <v>0</v>
      </c>
      <c r="O327" s="15"/>
      <c r="P327" s="32">
        <f t="shared" si="150"/>
        <v>0</v>
      </c>
      <c r="Q327" s="33"/>
      <c r="R327" s="75">
        <f t="shared" si="151"/>
        <v>0</v>
      </c>
      <c r="V327" s="68">
        <f t="shared" si="139"/>
        <v>0</v>
      </c>
      <c r="AA327" s="4">
        <f t="shared" si="140"/>
        <v>3</v>
      </c>
      <c r="AB327" s="4">
        <f t="shared" si="141"/>
        <v>9</v>
      </c>
      <c r="AC327" s="12">
        <f t="shared" si="142"/>
        <v>27</v>
      </c>
      <c r="AJ327" s="5">
        <f t="shared" si="162"/>
        <v>0</v>
      </c>
      <c r="AK327" s="5">
        <f t="shared" si="152"/>
        <v>0</v>
      </c>
      <c r="AL327" s="77">
        <f t="shared" si="164"/>
        <v>55550</v>
      </c>
      <c r="AM327" s="27" t="str">
        <f t="shared" si="153"/>
        <v/>
      </c>
      <c r="AN327" s="76">
        <f t="shared" si="154"/>
        <v>313</v>
      </c>
      <c r="AO327" s="13">
        <f t="shared" si="155"/>
        <v>0</v>
      </c>
      <c r="AP327" s="62">
        <f t="shared" si="156"/>
        <v>0</v>
      </c>
      <c r="AQ327" s="9" t="str">
        <f t="shared" si="143"/>
        <v/>
      </c>
      <c r="AR327" s="60" t="str">
        <f t="shared" si="144"/>
        <v/>
      </c>
      <c r="AS327" s="8">
        <f t="shared" si="157"/>
        <v>0</v>
      </c>
      <c r="AT327" s="11">
        <f t="shared" si="158"/>
        <v>0</v>
      </c>
      <c r="AU327" s="15">
        <v>0</v>
      </c>
      <c r="AV327" s="32">
        <f t="shared" si="159"/>
        <v>0</v>
      </c>
      <c r="AW327" s="33"/>
      <c r="AX327" s="75">
        <f t="shared" si="160"/>
        <v>0</v>
      </c>
    </row>
    <row r="328" spans="1:50" x14ac:dyDescent="0.25">
      <c r="A328" s="5">
        <f t="shared" si="161"/>
        <v>0</v>
      </c>
      <c r="B328" s="5">
        <f t="shared" si="145"/>
        <v>0</v>
      </c>
      <c r="C328" s="77">
        <f t="shared" si="163"/>
        <v>55579</v>
      </c>
      <c r="D328" s="122" t="str">
        <f t="shared" si="132"/>
        <v/>
      </c>
      <c r="E328" s="123">
        <f t="shared" si="146"/>
        <v>314</v>
      </c>
      <c r="F328" s="124">
        <f t="shared" si="147"/>
        <v>0</v>
      </c>
      <c r="G328" s="125">
        <f t="shared" si="148"/>
        <v>0</v>
      </c>
      <c r="H328" s="126" t="str">
        <f t="shared" si="133"/>
        <v/>
      </c>
      <c r="I328" s="127" t="str">
        <f t="shared" si="134"/>
        <v/>
      </c>
      <c r="J328" s="128">
        <f t="shared" si="135"/>
        <v>0</v>
      </c>
      <c r="K328" s="129">
        <f t="shared" si="136"/>
        <v>0</v>
      </c>
      <c r="L328" s="1">
        <f t="shared" si="149"/>
        <v>0</v>
      </c>
      <c r="M328" s="130">
        <f t="shared" si="137"/>
        <v>0</v>
      </c>
      <c r="N328" s="131">
        <f t="shared" si="138"/>
        <v>0</v>
      </c>
      <c r="O328" s="15"/>
      <c r="P328" s="32">
        <f t="shared" si="150"/>
        <v>0</v>
      </c>
      <c r="Q328" s="33"/>
      <c r="R328" s="75">
        <f t="shared" si="151"/>
        <v>0</v>
      </c>
      <c r="V328" s="68">
        <f t="shared" si="139"/>
        <v>0</v>
      </c>
      <c r="AA328" s="4">
        <f t="shared" si="140"/>
        <v>3</v>
      </c>
      <c r="AB328" s="4">
        <f t="shared" si="141"/>
        <v>9</v>
      </c>
      <c r="AC328" s="12">
        <f t="shared" si="142"/>
        <v>27</v>
      </c>
      <c r="AJ328" s="5">
        <f t="shared" si="162"/>
        <v>0</v>
      </c>
      <c r="AK328" s="5">
        <f t="shared" si="152"/>
        <v>0</v>
      </c>
      <c r="AL328" s="77">
        <f t="shared" si="164"/>
        <v>55579</v>
      </c>
      <c r="AM328" s="27" t="str">
        <f t="shared" si="153"/>
        <v/>
      </c>
      <c r="AN328" s="76">
        <f t="shared" si="154"/>
        <v>314</v>
      </c>
      <c r="AO328" s="13">
        <f t="shared" si="155"/>
        <v>0</v>
      </c>
      <c r="AP328" s="62">
        <f t="shared" si="156"/>
        <v>0</v>
      </c>
      <c r="AQ328" s="9" t="str">
        <f t="shared" si="143"/>
        <v/>
      </c>
      <c r="AR328" s="60" t="str">
        <f t="shared" si="144"/>
        <v/>
      </c>
      <c r="AS328" s="8">
        <f t="shared" si="157"/>
        <v>0</v>
      </c>
      <c r="AT328" s="11">
        <f t="shared" si="158"/>
        <v>0</v>
      </c>
      <c r="AU328" s="15">
        <v>0</v>
      </c>
      <c r="AV328" s="32">
        <f t="shared" si="159"/>
        <v>0</v>
      </c>
      <c r="AW328" s="33"/>
      <c r="AX328" s="75">
        <f t="shared" si="160"/>
        <v>0</v>
      </c>
    </row>
    <row r="329" spans="1:50" x14ac:dyDescent="0.25">
      <c r="A329" s="5">
        <f t="shared" si="161"/>
        <v>0</v>
      </c>
      <c r="B329" s="5">
        <f t="shared" si="145"/>
        <v>0</v>
      </c>
      <c r="C329" s="77">
        <f t="shared" si="163"/>
        <v>55610</v>
      </c>
      <c r="D329" s="122" t="str">
        <f t="shared" si="132"/>
        <v/>
      </c>
      <c r="E329" s="123">
        <f t="shared" si="146"/>
        <v>315</v>
      </c>
      <c r="F329" s="124">
        <f t="shared" si="147"/>
        <v>0</v>
      </c>
      <c r="G329" s="125">
        <f t="shared" si="148"/>
        <v>0</v>
      </c>
      <c r="H329" s="126" t="str">
        <f t="shared" si="133"/>
        <v/>
      </c>
      <c r="I329" s="127" t="str">
        <f t="shared" si="134"/>
        <v/>
      </c>
      <c r="J329" s="128">
        <f t="shared" si="135"/>
        <v>0</v>
      </c>
      <c r="K329" s="129">
        <f t="shared" si="136"/>
        <v>0</v>
      </c>
      <c r="L329" s="1">
        <f t="shared" si="149"/>
        <v>0</v>
      </c>
      <c r="M329" s="130">
        <f t="shared" si="137"/>
        <v>0</v>
      </c>
      <c r="N329" s="131">
        <f t="shared" si="138"/>
        <v>0</v>
      </c>
      <c r="O329" s="15"/>
      <c r="P329" s="32">
        <f t="shared" si="150"/>
        <v>0</v>
      </c>
      <c r="Q329" s="33"/>
      <c r="R329" s="75">
        <f t="shared" si="151"/>
        <v>0</v>
      </c>
      <c r="V329" s="68">
        <f t="shared" si="139"/>
        <v>0</v>
      </c>
      <c r="AA329" s="4">
        <f t="shared" si="140"/>
        <v>3</v>
      </c>
      <c r="AB329" s="4">
        <f t="shared" si="141"/>
        <v>9</v>
      </c>
      <c r="AC329" s="12">
        <f t="shared" si="142"/>
        <v>27</v>
      </c>
      <c r="AJ329" s="5">
        <f t="shared" si="162"/>
        <v>0</v>
      </c>
      <c r="AK329" s="5">
        <f t="shared" si="152"/>
        <v>0</v>
      </c>
      <c r="AL329" s="77">
        <f t="shared" si="164"/>
        <v>55610</v>
      </c>
      <c r="AM329" s="27" t="str">
        <f t="shared" si="153"/>
        <v/>
      </c>
      <c r="AN329" s="76">
        <f t="shared" si="154"/>
        <v>315</v>
      </c>
      <c r="AO329" s="13">
        <f t="shared" si="155"/>
        <v>0</v>
      </c>
      <c r="AP329" s="62">
        <f t="shared" si="156"/>
        <v>0</v>
      </c>
      <c r="AQ329" s="9" t="str">
        <f t="shared" si="143"/>
        <v/>
      </c>
      <c r="AR329" s="60" t="str">
        <f t="shared" si="144"/>
        <v/>
      </c>
      <c r="AS329" s="8">
        <f t="shared" si="157"/>
        <v>0</v>
      </c>
      <c r="AT329" s="11">
        <f t="shared" si="158"/>
        <v>0</v>
      </c>
      <c r="AU329" s="15">
        <v>0</v>
      </c>
      <c r="AV329" s="32">
        <f t="shared" si="159"/>
        <v>0</v>
      </c>
      <c r="AW329" s="33"/>
      <c r="AX329" s="75">
        <f t="shared" si="160"/>
        <v>0</v>
      </c>
    </row>
    <row r="330" spans="1:50" x14ac:dyDescent="0.25">
      <c r="A330" s="5">
        <f t="shared" si="161"/>
        <v>0</v>
      </c>
      <c r="B330" s="5">
        <f t="shared" si="145"/>
        <v>0</v>
      </c>
      <c r="C330" s="77">
        <f t="shared" si="163"/>
        <v>55640</v>
      </c>
      <c r="D330" s="122" t="str">
        <f t="shared" si="132"/>
        <v/>
      </c>
      <c r="E330" s="123">
        <f t="shared" si="146"/>
        <v>316</v>
      </c>
      <c r="F330" s="124">
        <f t="shared" si="147"/>
        <v>0</v>
      </c>
      <c r="G330" s="125">
        <f t="shared" si="148"/>
        <v>0</v>
      </c>
      <c r="H330" s="126" t="str">
        <f t="shared" si="133"/>
        <v/>
      </c>
      <c r="I330" s="127" t="str">
        <f t="shared" si="134"/>
        <v/>
      </c>
      <c r="J330" s="128">
        <f t="shared" si="135"/>
        <v>0</v>
      </c>
      <c r="K330" s="129">
        <f t="shared" si="136"/>
        <v>0</v>
      </c>
      <c r="L330" s="1">
        <f t="shared" si="149"/>
        <v>0</v>
      </c>
      <c r="M330" s="130">
        <f t="shared" si="137"/>
        <v>0</v>
      </c>
      <c r="N330" s="131">
        <f t="shared" si="138"/>
        <v>0</v>
      </c>
      <c r="O330" s="15"/>
      <c r="P330" s="32">
        <f t="shared" si="150"/>
        <v>0</v>
      </c>
      <c r="Q330" s="33"/>
      <c r="R330" s="75">
        <f t="shared" si="151"/>
        <v>0</v>
      </c>
      <c r="V330" s="68">
        <f t="shared" si="139"/>
        <v>0</v>
      </c>
      <c r="AA330" s="4">
        <f t="shared" si="140"/>
        <v>3</v>
      </c>
      <c r="AB330" s="4">
        <f t="shared" si="141"/>
        <v>9</v>
      </c>
      <c r="AC330" s="12">
        <f t="shared" si="142"/>
        <v>27</v>
      </c>
      <c r="AJ330" s="5">
        <f t="shared" si="162"/>
        <v>0</v>
      </c>
      <c r="AK330" s="5">
        <f t="shared" si="152"/>
        <v>0</v>
      </c>
      <c r="AL330" s="77">
        <f t="shared" si="164"/>
        <v>55640</v>
      </c>
      <c r="AM330" s="27" t="str">
        <f t="shared" si="153"/>
        <v/>
      </c>
      <c r="AN330" s="76">
        <f t="shared" si="154"/>
        <v>316</v>
      </c>
      <c r="AO330" s="13">
        <f t="shared" si="155"/>
        <v>0</v>
      </c>
      <c r="AP330" s="62">
        <f t="shared" si="156"/>
        <v>0</v>
      </c>
      <c r="AQ330" s="9" t="str">
        <f t="shared" si="143"/>
        <v/>
      </c>
      <c r="AR330" s="60" t="str">
        <f t="shared" si="144"/>
        <v/>
      </c>
      <c r="AS330" s="8">
        <f t="shared" si="157"/>
        <v>0</v>
      </c>
      <c r="AT330" s="11">
        <f t="shared" si="158"/>
        <v>0</v>
      </c>
      <c r="AU330" s="15">
        <v>0</v>
      </c>
      <c r="AV330" s="32">
        <f t="shared" si="159"/>
        <v>0</v>
      </c>
      <c r="AW330" s="33"/>
      <c r="AX330" s="75">
        <f t="shared" si="160"/>
        <v>0</v>
      </c>
    </row>
    <row r="331" spans="1:50" x14ac:dyDescent="0.25">
      <c r="A331" s="5">
        <f t="shared" si="161"/>
        <v>0</v>
      </c>
      <c r="B331" s="5">
        <f t="shared" si="145"/>
        <v>0</v>
      </c>
      <c r="C331" s="77">
        <f t="shared" si="163"/>
        <v>55671</v>
      </c>
      <c r="D331" s="122" t="str">
        <f t="shared" si="132"/>
        <v/>
      </c>
      <c r="E331" s="123">
        <f t="shared" si="146"/>
        <v>317</v>
      </c>
      <c r="F331" s="124">
        <f t="shared" si="147"/>
        <v>0</v>
      </c>
      <c r="G331" s="125">
        <f t="shared" si="148"/>
        <v>0</v>
      </c>
      <c r="H331" s="126" t="str">
        <f t="shared" si="133"/>
        <v/>
      </c>
      <c r="I331" s="127" t="str">
        <f t="shared" si="134"/>
        <v/>
      </c>
      <c r="J331" s="128">
        <f t="shared" si="135"/>
        <v>0</v>
      </c>
      <c r="K331" s="129">
        <f t="shared" si="136"/>
        <v>0</v>
      </c>
      <c r="L331" s="1">
        <f t="shared" si="149"/>
        <v>0</v>
      </c>
      <c r="M331" s="130">
        <f t="shared" si="137"/>
        <v>0</v>
      </c>
      <c r="N331" s="131">
        <f t="shared" si="138"/>
        <v>0</v>
      </c>
      <c r="O331" s="15"/>
      <c r="P331" s="32">
        <f t="shared" si="150"/>
        <v>0</v>
      </c>
      <c r="Q331" s="33"/>
      <c r="R331" s="75">
        <f t="shared" si="151"/>
        <v>0</v>
      </c>
      <c r="V331" s="68">
        <f t="shared" si="139"/>
        <v>0</v>
      </c>
      <c r="AA331" s="4">
        <f t="shared" si="140"/>
        <v>3</v>
      </c>
      <c r="AB331" s="4">
        <f t="shared" si="141"/>
        <v>9</v>
      </c>
      <c r="AC331" s="12">
        <f t="shared" si="142"/>
        <v>27</v>
      </c>
      <c r="AJ331" s="5">
        <f t="shared" si="162"/>
        <v>0</v>
      </c>
      <c r="AK331" s="5">
        <f t="shared" si="152"/>
        <v>0</v>
      </c>
      <c r="AL331" s="77">
        <f t="shared" si="164"/>
        <v>55671</v>
      </c>
      <c r="AM331" s="27" t="str">
        <f t="shared" si="153"/>
        <v/>
      </c>
      <c r="AN331" s="76">
        <f t="shared" si="154"/>
        <v>317</v>
      </c>
      <c r="AO331" s="13">
        <f t="shared" si="155"/>
        <v>0</v>
      </c>
      <c r="AP331" s="62">
        <f t="shared" si="156"/>
        <v>0</v>
      </c>
      <c r="AQ331" s="9" t="str">
        <f t="shared" si="143"/>
        <v/>
      </c>
      <c r="AR331" s="60" t="str">
        <f t="shared" si="144"/>
        <v/>
      </c>
      <c r="AS331" s="8">
        <f t="shared" si="157"/>
        <v>0</v>
      </c>
      <c r="AT331" s="11">
        <f t="shared" si="158"/>
        <v>0</v>
      </c>
      <c r="AU331" s="15">
        <v>0</v>
      </c>
      <c r="AV331" s="32">
        <f t="shared" si="159"/>
        <v>0</v>
      </c>
      <c r="AW331" s="33"/>
      <c r="AX331" s="75">
        <f t="shared" si="160"/>
        <v>0</v>
      </c>
    </row>
    <row r="332" spans="1:50" x14ac:dyDescent="0.25">
      <c r="A332" s="5">
        <f t="shared" si="161"/>
        <v>0</v>
      </c>
      <c r="B332" s="5">
        <f t="shared" si="145"/>
        <v>0</v>
      </c>
      <c r="C332" s="77">
        <f t="shared" si="163"/>
        <v>55701</v>
      </c>
      <c r="D332" s="122" t="str">
        <f t="shared" si="132"/>
        <v/>
      </c>
      <c r="E332" s="123">
        <f t="shared" si="146"/>
        <v>318</v>
      </c>
      <c r="F332" s="124">
        <f t="shared" si="147"/>
        <v>0</v>
      </c>
      <c r="G332" s="125">
        <f t="shared" si="148"/>
        <v>0</v>
      </c>
      <c r="H332" s="126" t="str">
        <f t="shared" si="133"/>
        <v/>
      </c>
      <c r="I332" s="127" t="str">
        <f t="shared" si="134"/>
        <v/>
      </c>
      <c r="J332" s="128">
        <f t="shared" si="135"/>
        <v>0</v>
      </c>
      <c r="K332" s="129">
        <f t="shared" si="136"/>
        <v>0</v>
      </c>
      <c r="L332" s="1">
        <f t="shared" si="149"/>
        <v>0</v>
      </c>
      <c r="M332" s="130">
        <f t="shared" si="137"/>
        <v>0</v>
      </c>
      <c r="N332" s="131">
        <f t="shared" si="138"/>
        <v>0</v>
      </c>
      <c r="O332" s="15"/>
      <c r="P332" s="32">
        <f t="shared" si="150"/>
        <v>0</v>
      </c>
      <c r="Q332" s="33"/>
      <c r="R332" s="75">
        <f t="shared" si="151"/>
        <v>0</v>
      </c>
      <c r="V332" s="68">
        <f t="shared" si="139"/>
        <v>0</v>
      </c>
      <c r="AA332" s="4">
        <f t="shared" si="140"/>
        <v>3</v>
      </c>
      <c r="AB332" s="4">
        <f t="shared" si="141"/>
        <v>9</v>
      </c>
      <c r="AC332" s="12">
        <f t="shared" si="142"/>
        <v>27</v>
      </c>
      <c r="AJ332" s="5">
        <f t="shared" si="162"/>
        <v>0</v>
      </c>
      <c r="AK332" s="5">
        <f t="shared" si="152"/>
        <v>0</v>
      </c>
      <c r="AL332" s="77">
        <f t="shared" si="164"/>
        <v>55701</v>
      </c>
      <c r="AM332" s="27" t="str">
        <f t="shared" si="153"/>
        <v/>
      </c>
      <c r="AN332" s="76">
        <f t="shared" si="154"/>
        <v>318</v>
      </c>
      <c r="AO332" s="13">
        <f t="shared" si="155"/>
        <v>0</v>
      </c>
      <c r="AP332" s="62">
        <f t="shared" si="156"/>
        <v>0</v>
      </c>
      <c r="AQ332" s="9" t="str">
        <f t="shared" si="143"/>
        <v/>
      </c>
      <c r="AR332" s="60" t="str">
        <f t="shared" si="144"/>
        <v/>
      </c>
      <c r="AS332" s="8">
        <f t="shared" si="157"/>
        <v>0</v>
      </c>
      <c r="AT332" s="11">
        <f t="shared" si="158"/>
        <v>0</v>
      </c>
      <c r="AU332" s="15">
        <v>0</v>
      </c>
      <c r="AV332" s="32">
        <f t="shared" si="159"/>
        <v>0</v>
      </c>
      <c r="AW332" s="33"/>
      <c r="AX332" s="75">
        <f t="shared" si="160"/>
        <v>0</v>
      </c>
    </row>
    <row r="333" spans="1:50" x14ac:dyDescent="0.25">
      <c r="A333" s="5">
        <f t="shared" si="161"/>
        <v>0</v>
      </c>
      <c r="B333" s="5">
        <f t="shared" si="145"/>
        <v>0</v>
      </c>
      <c r="C333" s="77">
        <f t="shared" si="163"/>
        <v>55732</v>
      </c>
      <c r="D333" s="122" t="str">
        <f t="shared" si="132"/>
        <v/>
      </c>
      <c r="E333" s="123">
        <f t="shared" si="146"/>
        <v>319</v>
      </c>
      <c r="F333" s="124">
        <f t="shared" si="147"/>
        <v>0</v>
      </c>
      <c r="G333" s="125">
        <f t="shared" si="148"/>
        <v>0</v>
      </c>
      <c r="H333" s="126" t="str">
        <f t="shared" si="133"/>
        <v/>
      </c>
      <c r="I333" s="127" t="str">
        <f t="shared" si="134"/>
        <v/>
      </c>
      <c r="J333" s="128">
        <f t="shared" si="135"/>
        <v>0</v>
      </c>
      <c r="K333" s="129">
        <f t="shared" si="136"/>
        <v>0</v>
      </c>
      <c r="L333" s="1">
        <f t="shared" si="149"/>
        <v>0</v>
      </c>
      <c r="M333" s="130">
        <f t="shared" si="137"/>
        <v>0</v>
      </c>
      <c r="N333" s="131">
        <f t="shared" si="138"/>
        <v>0</v>
      </c>
      <c r="O333" s="15"/>
      <c r="P333" s="32">
        <f t="shared" si="150"/>
        <v>0</v>
      </c>
      <c r="Q333" s="33"/>
      <c r="R333" s="75">
        <f t="shared" si="151"/>
        <v>0</v>
      </c>
      <c r="V333" s="68">
        <f t="shared" si="139"/>
        <v>0</v>
      </c>
      <c r="AA333" s="4">
        <f t="shared" si="140"/>
        <v>3</v>
      </c>
      <c r="AB333" s="4">
        <f t="shared" si="141"/>
        <v>9</v>
      </c>
      <c r="AC333" s="12">
        <f t="shared" si="142"/>
        <v>27</v>
      </c>
      <c r="AJ333" s="5">
        <f t="shared" si="162"/>
        <v>0</v>
      </c>
      <c r="AK333" s="5">
        <f t="shared" si="152"/>
        <v>0</v>
      </c>
      <c r="AL333" s="77">
        <f t="shared" si="164"/>
        <v>55732</v>
      </c>
      <c r="AM333" s="27" t="str">
        <f t="shared" si="153"/>
        <v/>
      </c>
      <c r="AN333" s="76">
        <f t="shared" si="154"/>
        <v>319</v>
      </c>
      <c r="AO333" s="13">
        <f t="shared" si="155"/>
        <v>0</v>
      </c>
      <c r="AP333" s="62">
        <f t="shared" si="156"/>
        <v>0</v>
      </c>
      <c r="AQ333" s="9" t="str">
        <f t="shared" si="143"/>
        <v/>
      </c>
      <c r="AR333" s="60" t="str">
        <f t="shared" si="144"/>
        <v/>
      </c>
      <c r="AS333" s="8">
        <f t="shared" si="157"/>
        <v>0</v>
      </c>
      <c r="AT333" s="11">
        <f t="shared" si="158"/>
        <v>0</v>
      </c>
      <c r="AU333" s="15">
        <v>0</v>
      </c>
      <c r="AV333" s="32">
        <f t="shared" si="159"/>
        <v>0</v>
      </c>
      <c r="AW333" s="33"/>
      <c r="AX333" s="75">
        <f t="shared" si="160"/>
        <v>0</v>
      </c>
    </row>
    <row r="334" spans="1:50" x14ac:dyDescent="0.25">
      <c r="A334" s="5">
        <f t="shared" si="161"/>
        <v>0</v>
      </c>
      <c r="B334" s="5">
        <f t="shared" si="145"/>
        <v>0</v>
      </c>
      <c r="C334" s="77">
        <f t="shared" si="163"/>
        <v>55763</v>
      </c>
      <c r="D334" s="122" t="str">
        <f t="shared" si="132"/>
        <v/>
      </c>
      <c r="E334" s="123">
        <f t="shared" si="146"/>
        <v>320</v>
      </c>
      <c r="F334" s="124">
        <f t="shared" si="147"/>
        <v>0</v>
      </c>
      <c r="G334" s="125">
        <f t="shared" si="148"/>
        <v>0</v>
      </c>
      <c r="H334" s="126" t="str">
        <f t="shared" si="133"/>
        <v/>
      </c>
      <c r="I334" s="127" t="str">
        <f t="shared" si="134"/>
        <v/>
      </c>
      <c r="J334" s="128">
        <f t="shared" si="135"/>
        <v>0</v>
      </c>
      <c r="K334" s="129">
        <f t="shared" si="136"/>
        <v>0</v>
      </c>
      <c r="L334" s="1">
        <f t="shared" si="149"/>
        <v>0</v>
      </c>
      <c r="M334" s="130">
        <f t="shared" si="137"/>
        <v>0</v>
      </c>
      <c r="N334" s="131">
        <f t="shared" si="138"/>
        <v>0</v>
      </c>
      <c r="O334" s="15"/>
      <c r="P334" s="32">
        <f t="shared" si="150"/>
        <v>0</v>
      </c>
      <c r="Q334" s="33"/>
      <c r="R334" s="75">
        <f t="shared" si="151"/>
        <v>0</v>
      </c>
      <c r="V334" s="68">
        <f t="shared" si="139"/>
        <v>0</v>
      </c>
      <c r="AA334" s="4">
        <f t="shared" si="140"/>
        <v>3</v>
      </c>
      <c r="AB334" s="4">
        <f t="shared" si="141"/>
        <v>9</v>
      </c>
      <c r="AC334" s="12">
        <f t="shared" si="142"/>
        <v>27</v>
      </c>
      <c r="AJ334" s="5">
        <f t="shared" si="162"/>
        <v>0</v>
      </c>
      <c r="AK334" s="5">
        <f t="shared" si="152"/>
        <v>0</v>
      </c>
      <c r="AL334" s="77">
        <f t="shared" si="164"/>
        <v>55763</v>
      </c>
      <c r="AM334" s="27" t="str">
        <f t="shared" si="153"/>
        <v/>
      </c>
      <c r="AN334" s="76">
        <f t="shared" si="154"/>
        <v>320</v>
      </c>
      <c r="AO334" s="13">
        <f t="shared" si="155"/>
        <v>0</v>
      </c>
      <c r="AP334" s="62">
        <f t="shared" si="156"/>
        <v>0</v>
      </c>
      <c r="AQ334" s="9" t="str">
        <f t="shared" si="143"/>
        <v/>
      </c>
      <c r="AR334" s="60" t="str">
        <f t="shared" si="144"/>
        <v/>
      </c>
      <c r="AS334" s="8">
        <f t="shared" si="157"/>
        <v>0</v>
      </c>
      <c r="AT334" s="11">
        <f t="shared" si="158"/>
        <v>0</v>
      </c>
      <c r="AU334" s="15">
        <v>0</v>
      </c>
      <c r="AV334" s="32">
        <f t="shared" si="159"/>
        <v>0</v>
      </c>
      <c r="AW334" s="33"/>
      <c r="AX334" s="75">
        <f t="shared" si="160"/>
        <v>0</v>
      </c>
    </row>
    <row r="335" spans="1:50" x14ac:dyDescent="0.25">
      <c r="A335" s="5">
        <f t="shared" si="161"/>
        <v>0</v>
      </c>
      <c r="B335" s="5">
        <f t="shared" si="145"/>
        <v>0</v>
      </c>
      <c r="C335" s="77">
        <f t="shared" si="163"/>
        <v>55793</v>
      </c>
      <c r="D335" s="122" t="str">
        <f t="shared" ref="D335:D398" si="165">IF(N334&gt;0,G335/N334,"")</f>
        <v/>
      </c>
      <c r="E335" s="123">
        <f t="shared" si="146"/>
        <v>321</v>
      </c>
      <c r="F335" s="124">
        <f t="shared" si="147"/>
        <v>0</v>
      </c>
      <c r="G335" s="125">
        <f t="shared" si="148"/>
        <v>0</v>
      </c>
      <c r="H335" s="126" t="str">
        <f t="shared" ref="H335:H398" si="166">IF(L335&lt;1,"",IF(G335/L335&gt;90%,"🛩",IF(G335/L335&gt;70%,"🏎",IF(G335/L335&gt;50%,"🚙",IF(G335/L335&gt;30%,"🛵",IF(G335/L335&gt;15%,"🐢","⚓️"))))))</f>
        <v/>
      </c>
      <c r="I335" s="127" t="str">
        <f t="shared" ref="I335:I398" si="167">IFERROR(IF((G335+O335-R335)/L335&lt;0,"🗑️",IF((G335+O335-R335)/L335&lt;10%,"🥾",IF((G335+O335-R335)/L335&lt;20%,"🛴",IF((G335+O335-R335)/L335&lt;50%,"🚴‍♂️",IF((G335+O335-R335)/L335&lt;75%,"🚖","🚁"))))),"")</f>
        <v/>
      </c>
      <c r="J335" s="128">
        <f t="shared" ref="J335:J398" si="168">G335+O335-R335</f>
        <v>0</v>
      </c>
      <c r="K335" s="129">
        <f t="shared" ref="K335:K398" si="169">IFERROR(J335/(L335+O335),0)</f>
        <v>0</v>
      </c>
      <c r="L335" s="1">
        <f t="shared" si="149"/>
        <v>0</v>
      </c>
      <c r="M335" s="130">
        <f t="shared" ref="M335:M398" si="170">IFERROR(N334/P335-G335+L335,0)</f>
        <v>0</v>
      </c>
      <c r="N335" s="131">
        <f t="shared" ref="N335:N398" si="171">IF(N334-O335-G335&lt;0,0,IF(N334-G335&gt;0,N334-G335,0)-IF(N334-G335&gt;0,O335-R335,0))</f>
        <v>0</v>
      </c>
      <c r="O335" s="15"/>
      <c r="P335" s="32">
        <f t="shared" si="150"/>
        <v>0</v>
      </c>
      <c r="Q335" s="33"/>
      <c r="R335" s="75">
        <f t="shared" si="151"/>
        <v>0</v>
      </c>
      <c r="V335" s="68">
        <f t="shared" ref="V335:V398" si="172">-L335-O335</f>
        <v>0</v>
      </c>
      <c r="AA335" s="4">
        <f t="shared" ref="AA335:AA398" si="173">ROUNDUP(E335/120,0)</f>
        <v>3</v>
      </c>
      <c r="AB335" s="4">
        <f t="shared" ref="AB335:AB398" si="174">ROUNDUP(E335/36,0)</f>
        <v>9</v>
      </c>
      <c r="AC335" s="12">
        <f t="shared" ref="AC335:AC398" si="175">ROUNDUP(E335/12,0)</f>
        <v>27</v>
      </c>
      <c r="AJ335" s="5">
        <f t="shared" si="162"/>
        <v>0</v>
      </c>
      <c r="AK335" s="5">
        <f t="shared" si="152"/>
        <v>0</v>
      </c>
      <c r="AL335" s="77">
        <f t="shared" si="164"/>
        <v>55793</v>
      </c>
      <c r="AM335" s="27" t="str">
        <f t="shared" si="153"/>
        <v/>
      </c>
      <c r="AN335" s="76">
        <f t="shared" si="154"/>
        <v>321</v>
      </c>
      <c r="AO335" s="13">
        <f t="shared" si="155"/>
        <v>0</v>
      </c>
      <c r="AP335" s="62">
        <f t="shared" si="156"/>
        <v>0</v>
      </c>
      <c r="AQ335" s="9" t="str">
        <f t="shared" ref="AQ335:AQ398" si="176">IF(AS335&lt;1,"",IF(AP335/AS335&gt;90%,"🛩",IF(AP335/AS335&gt;70%,"🏎",IF(AP335/AS335&gt;50%,"🚙",IF(AP335/AS335&gt;30%,"🛵",IF(AP335/AS335&gt;15%,"🐢","⚓️"))))))</f>
        <v/>
      </c>
      <c r="AR335" s="60" t="str">
        <f t="shared" ref="AR335:AR398" si="177">IFERROR(IF((AP335+AU335-AX335)/AS335&lt;0,"🗑️",IF((AP335+AU335-AX335)/AS335&lt;10%,"🥾",IF((AP335+AU335-AX335)/AS335&lt;20%,"🛴",IF((AP335+AU335-AX335)/AS335&lt;50%,"🚴‍♂️",IF((AP335+AU335-AX335)/AS335&lt;75%,"🚖","🚁"))))),"")</f>
        <v/>
      </c>
      <c r="AS335" s="8">
        <f t="shared" si="157"/>
        <v>0</v>
      </c>
      <c r="AT335" s="11">
        <f t="shared" si="158"/>
        <v>0</v>
      </c>
      <c r="AU335" s="15">
        <v>0</v>
      </c>
      <c r="AV335" s="32">
        <f t="shared" si="159"/>
        <v>0</v>
      </c>
      <c r="AW335" s="33"/>
      <c r="AX335" s="75">
        <f t="shared" si="160"/>
        <v>0</v>
      </c>
    </row>
    <row r="336" spans="1:50" x14ac:dyDescent="0.25">
      <c r="A336" s="5">
        <f t="shared" si="161"/>
        <v>0</v>
      </c>
      <c r="B336" s="5">
        <f t="shared" ref="B336:B399" si="178">IF(N335&lt;1,0,B335)</f>
        <v>0</v>
      </c>
      <c r="C336" s="77">
        <f t="shared" si="163"/>
        <v>55824</v>
      </c>
      <c r="D336" s="122" t="str">
        <f t="shared" si="165"/>
        <v/>
      </c>
      <c r="E336" s="123">
        <f t="shared" ref="E336:E399" si="179">E335+1</f>
        <v>322</v>
      </c>
      <c r="F336" s="124">
        <f t="shared" ref="F336:F399" si="180">IF(N335&gt;0,N335*$E$7,0)</f>
        <v>0</v>
      </c>
      <c r="G336" s="125">
        <f t="shared" ref="G336:G399" si="181">IF(N335&gt;G335,L336-F336-A336-B336,N335)</f>
        <v>0</v>
      </c>
      <c r="H336" s="126" t="str">
        <f t="shared" si="166"/>
        <v/>
      </c>
      <c r="I336" s="127" t="str">
        <f t="shared" si="167"/>
        <v/>
      </c>
      <c r="J336" s="128">
        <f t="shared" si="168"/>
        <v>0</v>
      </c>
      <c r="K336" s="129">
        <f t="shared" si="169"/>
        <v>0</v>
      </c>
      <c r="L336" s="1">
        <f t="shared" ref="L336:L399" si="182">IF(INT(N335)=0,0,IF(N335&lt;G335,N335+F336+A336+B336,-PMT($E$7,IF(Q335="V",P335,NPER($E$7,-L335+A336+B336,N335)),N335+R335)+A336+B336))+IF(INT(P335)=1,R336,0)</f>
        <v>0</v>
      </c>
      <c r="M336" s="130">
        <f t="shared" si="170"/>
        <v>0</v>
      </c>
      <c r="N336" s="131">
        <f t="shared" si="171"/>
        <v>0</v>
      </c>
      <c r="O336" s="15"/>
      <c r="P336" s="32">
        <f t="shared" ref="P336:P399" si="183">IFERROR(NPER($E$7,-L336+A335+B335,N335+R335)-1,0)</f>
        <v>0</v>
      </c>
      <c r="Q336" s="33"/>
      <c r="R336" s="75">
        <f t="shared" ref="R336:R399" si="184">N335*$D$9</f>
        <v>0</v>
      </c>
      <c r="V336" s="68">
        <f t="shared" si="172"/>
        <v>0</v>
      </c>
      <c r="AA336" s="4">
        <f t="shared" si="173"/>
        <v>3</v>
      </c>
      <c r="AB336" s="4">
        <f t="shared" si="174"/>
        <v>9</v>
      </c>
      <c r="AC336" s="12">
        <f t="shared" si="175"/>
        <v>27</v>
      </c>
      <c r="AJ336" s="5">
        <f t="shared" si="162"/>
        <v>0</v>
      </c>
      <c r="AK336" s="5">
        <f t="shared" ref="AK336:AK399" si="185">IF(AT335&lt;1,0,AK335)</f>
        <v>0</v>
      </c>
      <c r="AL336" s="77">
        <f t="shared" si="164"/>
        <v>55824</v>
      </c>
      <c r="AM336" s="27" t="str">
        <f t="shared" ref="AM336:AM399" si="186">IF(AT335&gt;0,AP336/AT335,"")</f>
        <v/>
      </c>
      <c r="AN336" s="76">
        <f t="shared" ref="AN336:AN399" si="187">AN335+1</f>
        <v>322</v>
      </c>
      <c r="AO336" s="13">
        <f t="shared" ref="AO336:AO399" si="188">IF(AT335&gt;0,AT335*$E$7,0)</f>
        <v>0</v>
      </c>
      <c r="AP336" s="62">
        <f t="shared" ref="AP336:AP399" si="189">IF(AT335&gt;AP335,AS336-AO336-AJ336-AK336,AT335)</f>
        <v>0</v>
      </c>
      <c r="AQ336" s="9" t="str">
        <f t="shared" si="176"/>
        <v/>
      </c>
      <c r="AR336" s="60" t="str">
        <f t="shared" si="177"/>
        <v/>
      </c>
      <c r="AS336" s="8">
        <f t="shared" ref="AS336:AS399" si="190">IF(INT(AT335)=0,0,IF(AT335&lt;AP335,AT335+AO336+AJ336+AK336,-PMT($E$7,IF(AW335="V",AV335,NPER($E$7,-AS335+AJ336+AK336,AT335)),AT335+AX335)+AJ336+AK336))+IF(INT(AV335)=1,AX336,0)</f>
        <v>0</v>
      </c>
      <c r="AT336" s="11">
        <f t="shared" ref="AT336:AT399" si="191">IF(AT335-AU336-AP336&lt;0,0,IF(AT335-AP336&gt;0,AT335-AP336,0)-IF(AT335-AP336&gt;0,AU336-AX336,0))</f>
        <v>0</v>
      </c>
      <c r="AU336" s="15">
        <v>0</v>
      </c>
      <c r="AV336" s="32">
        <f t="shared" ref="AV336:AV399" si="192">IFERROR(NPER($E$7,-AS336+AJ335+AK335,AT335+AX335)-1,0)</f>
        <v>0</v>
      </c>
      <c r="AW336" s="33"/>
      <c r="AX336" s="75">
        <f t="shared" ref="AX336:AX399" si="193">AT335*$D$9</f>
        <v>0</v>
      </c>
    </row>
    <row r="337" spans="1:50" x14ac:dyDescent="0.25">
      <c r="A337" s="5">
        <f t="shared" ref="A337:A400" si="194">IF(N336&lt;1,0,A336)</f>
        <v>0</v>
      </c>
      <c r="B337" s="5">
        <f t="shared" si="178"/>
        <v>0</v>
      </c>
      <c r="C337" s="77">
        <f t="shared" si="163"/>
        <v>55854</v>
      </c>
      <c r="D337" s="122" t="str">
        <f t="shared" si="165"/>
        <v/>
      </c>
      <c r="E337" s="123">
        <f t="shared" si="179"/>
        <v>323</v>
      </c>
      <c r="F337" s="124">
        <f t="shared" si="180"/>
        <v>0</v>
      </c>
      <c r="G337" s="125">
        <f t="shared" si="181"/>
        <v>0</v>
      </c>
      <c r="H337" s="126" t="str">
        <f t="shared" si="166"/>
        <v/>
      </c>
      <c r="I337" s="127" t="str">
        <f t="shared" si="167"/>
        <v/>
      </c>
      <c r="J337" s="128">
        <f t="shared" si="168"/>
        <v>0</v>
      </c>
      <c r="K337" s="129">
        <f t="shared" si="169"/>
        <v>0</v>
      </c>
      <c r="L337" s="1">
        <f t="shared" si="182"/>
        <v>0</v>
      </c>
      <c r="M337" s="130">
        <f t="shared" si="170"/>
        <v>0</v>
      </c>
      <c r="N337" s="131">
        <f t="shared" si="171"/>
        <v>0</v>
      </c>
      <c r="O337" s="15"/>
      <c r="P337" s="32">
        <f t="shared" si="183"/>
        <v>0</v>
      </c>
      <c r="Q337" s="33"/>
      <c r="R337" s="75">
        <f t="shared" si="184"/>
        <v>0</v>
      </c>
      <c r="V337" s="68">
        <f t="shared" si="172"/>
        <v>0</v>
      </c>
      <c r="AA337" s="4">
        <f t="shared" si="173"/>
        <v>3</v>
      </c>
      <c r="AB337" s="4">
        <f t="shared" si="174"/>
        <v>9</v>
      </c>
      <c r="AC337" s="12">
        <f t="shared" si="175"/>
        <v>27</v>
      </c>
      <c r="AJ337" s="5">
        <f t="shared" ref="AJ337:AJ400" si="195">IF(AT336&lt;1,0,AJ336)</f>
        <v>0</v>
      </c>
      <c r="AK337" s="5">
        <f t="shared" si="185"/>
        <v>0</v>
      </c>
      <c r="AL337" s="77">
        <f t="shared" si="164"/>
        <v>55854</v>
      </c>
      <c r="AM337" s="27" t="str">
        <f t="shared" si="186"/>
        <v/>
      </c>
      <c r="AN337" s="76">
        <f t="shared" si="187"/>
        <v>323</v>
      </c>
      <c r="AO337" s="13">
        <f t="shared" si="188"/>
        <v>0</v>
      </c>
      <c r="AP337" s="62">
        <f t="shared" si="189"/>
        <v>0</v>
      </c>
      <c r="AQ337" s="9" t="str">
        <f t="shared" si="176"/>
        <v/>
      </c>
      <c r="AR337" s="60" t="str">
        <f t="shared" si="177"/>
        <v/>
      </c>
      <c r="AS337" s="8">
        <f t="shared" si="190"/>
        <v>0</v>
      </c>
      <c r="AT337" s="11">
        <f t="shared" si="191"/>
        <v>0</v>
      </c>
      <c r="AU337" s="15">
        <v>0</v>
      </c>
      <c r="AV337" s="32">
        <f t="shared" si="192"/>
        <v>0</v>
      </c>
      <c r="AW337" s="33"/>
      <c r="AX337" s="75">
        <f t="shared" si="193"/>
        <v>0</v>
      </c>
    </row>
    <row r="338" spans="1:50" x14ac:dyDescent="0.25">
      <c r="A338" s="5">
        <f t="shared" si="194"/>
        <v>0</v>
      </c>
      <c r="B338" s="5">
        <f t="shared" si="178"/>
        <v>0</v>
      </c>
      <c r="C338" s="77">
        <f t="shared" ref="C338:C401" si="196">DATE(YEAR(C337),MONTH(C337)+1,1)</f>
        <v>55885</v>
      </c>
      <c r="D338" s="122" t="str">
        <f t="shared" si="165"/>
        <v/>
      </c>
      <c r="E338" s="123">
        <f t="shared" si="179"/>
        <v>324</v>
      </c>
      <c r="F338" s="124">
        <f t="shared" si="180"/>
        <v>0</v>
      </c>
      <c r="G338" s="125">
        <f t="shared" si="181"/>
        <v>0</v>
      </c>
      <c r="H338" s="126" t="str">
        <f t="shared" si="166"/>
        <v/>
      </c>
      <c r="I338" s="127" t="str">
        <f t="shared" si="167"/>
        <v/>
      </c>
      <c r="J338" s="128">
        <f t="shared" si="168"/>
        <v>0</v>
      </c>
      <c r="K338" s="129">
        <f t="shared" si="169"/>
        <v>0</v>
      </c>
      <c r="L338" s="1">
        <f t="shared" si="182"/>
        <v>0</v>
      </c>
      <c r="M338" s="130">
        <f t="shared" si="170"/>
        <v>0</v>
      </c>
      <c r="N338" s="131">
        <f t="shared" si="171"/>
        <v>0</v>
      </c>
      <c r="O338" s="15"/>
      <c r="P338" s="32">
        <f t="shared" si="183"/>
        <v>0</v>
      </c>
      <c r="Q338" s="33"/>
      <c r="R338" s="75">
        <f t="shared" si="184"/>
        <v>0</v>
      </c>
      <c r="V338" s="68">
        <f t="shared" si="172"/>
        <v>0</v>
      </c>
      <c r="AA338" s="4">
        <f t="shared" si="173"/>
        <v>3</v>
      </c>
      <c r="AB338" s="4">
        <f t="shared" si="174"/>
        <v>9</v>
      </c>
      <c r="AC338" s="12">
        <f t="shared" si="175"/>
        <v>27</v>
      </c>
      <c r="AJ338" s="5">
        <f t="shared" si="195"/>
        <v>0</v>
      </c>
      <c r="AK338" s="5">
        <f t="shared" si="185"/>
        <v>0</v>
      </c>
      <c r="AL338" s="77">
        <f t="shared" ref="AL338:AL401" si="197">DATE(YEAR(AL337),MONTH(AL337)+1,1)</f>
        <v>55885</v>
      </c>
      <c r="AM338" s="27" t="str">
        <f t="shared" si="186"/>
        <v/>
      </c>
      <c r="AN338" s="76">
        <f t="shared" si="187"/>
        <v>324</v>
      </c>
      <c r="AO338" s="13">
        <f t="shared" si="188"/>
        <v>0</v>
      </c>
      <c r="AP338" s="62">
        <f t="shared" si="189"/>
        <v>0</v>
      </c>
      <c r="AQ338" s="9" t="str">
        <f t="shared" si="176"/>
        <v/>
      </c>
      <c r="AR338" s="60" t="str">
        <f t="shared" si="177"/>
        <v/>
      </c>
      <c r="AS338" s="8">
        <f t="shared" si="190"/>
        <v>0</v>
      </c>
      <c r="AT338" s="11">
        <f t="shared" si="191"/>
        <v>0</v>
      </c>
      <c r="AU338" s="15">
        <v>0</v>
      </c>
      <c r="AV338" s="32">
        <f t="shared" si="192"/>
        <v>0</v>
      </c>
      <c r="AW338" s="33"/>
      <c r="AX338" s="75">
        <f t="shared" si="193"/>
        <v>0</v>
      </c>
    </row>
    <row r="339" spans="1:50" x14ac:dyDescent="0.25">
      <c r="A339" s="5">
        <f t="shared" si="194"/>
        <v>0</v>
      </c>
      <c r="B339" s="5">
        <f t="shared" si="178"/>
        <v>0</v>
      </c>
      <c r="C339" s="77">
        <f t="shared" si="196"/>
        <v>55916</v>
      </c>
      <c r="D339" s="122" t="str">
        <f t="shared" si="165"/>
        <v/>
      </c>
      <c r="E339" s="123">
        <f t="shared" si="179"/>
        <v>325</v>
      </c>
      <c r="F339" s="124">
        <f t="shared" si="180"/>
        <v>0</v>
      </c>
      <c r="G339" s="125">
        <f t="shared" si="181"/>
        <v>0</v>
      </c>
      <c r="H339" s="126" t="str">
        <f t="shared" si="166"/>
        <v/>
      </c>
      <c r="I339" s="127" t="str">
        <f t="shared" si="167"/>
        <v/>
      </c>
      <c r="J339" s="128">
        <f t="shared" si="168"/>
        <v>0</v>
      </c>
      <c r="K339" s="129">
        <f t="shared" si="169"/>
        <v>0</v>
      </c>
      <c r="L339" s="1">
        <f t="shared" si="182"/>
        <v>0</v>
      </c>
      <c r="M339" s="130">
        <f t="shared" si="170"/>
        <v>0</v>
      </c>
      <c r="N339" s="131">
        <f t="shared" si="171"/>
        <v>0</v>
      </c>
      <c r="O339" s="15"/>
      <c r="P339" s="32">
        <f t="shared" si="183"/>
        <v>0</v>
      </c>
      <c r="Q339" s="33"/>
      <c r="R339" s="75">
        <f t="shared" si="184"/>
        <v>0</v>
      </c>
      <c r="V339" s="68">
        <f t="shared" si="172"/>
        <v>0</v>
      </c>
      <c r="AA339" s="4">
        <f t="shared" si="173"/>
        <v>3</v>
      </c>
      <c r="AB339" s="4">
        <f t="shared" si="174"/>
        <v>10</v>
      </c>
      <c r="AC339" s="12">
        <f t="shared" si="175"/>
        <v>28</v>
      </c>
      <c r="AJ339" s="5">
        <f t="shared" si="195"/>
        <v>0</v>
      </c>
      <c r="AK339" s="5">
        <f t="shared" si="185"/>
        <v>0</v>
      </c>
      <c r="AL339" s="77">
        <f t="shared" si="197"/>
        <v>55916</v>
      </c>
      <c r="AM339" s="27" t="str">
        <f t="shared" si="186"/>
        <v/>
      </c>
      <c r="AN339" s="76">
        <f t="shared" si="187"/>
        <v>325</v>
      </c>
      <c r="AO339" s="13">
        <f t="shared" si="188"/>
        <v>0</v>
      </c>
      <c r="AP339" s="62">
        <f t="shared" si="189"/>
        <v>0</v>
      </c>
      <c r="AQ339" s="9" t="str">
        <f t="shared" si="176"/>
        <v/>
      </c>
      <c r="AR339" s="60" t="str">
        <f t="shared" si="177"/>
        <v/>
      </c>
      <c r="AS339" s="8">
        <f t="shared" si="190"/>
        <v>0</v>
      </c>
      <c r="AT339" s="11">
        <f t="shared" si="191"/>
        <v>0</v>
      </c>
      <c r="AU339" s="15">
        <v>0</v>
      </c>
      <c r="AV339" s="32">
        <f t="shared" si="192"/>
        <v>0</v>
      </c>
      <c r="AW339" s="33"/>
      <c r="AX339" s="75">
        <f t="shared" si="193"/>
        <v>0</v>
      </c>
    </row>
    <row r="340" spans="1:50" x14ac:dyDescent="0.25">
      <c r="A340" s="5">
        <f t="shared" si="194"/>
        <v>0</v>
      </c>
      <c r="B340" s="5">
        <f t="shared" si="178"/>
        <v>0</v>
      </c>
      <c r="C340" s="77">
        <f t="shared" si="196"/>
        <v>55944</v>
      </c>
      <c r="D340" s="122" t="str">
        <f t="shared" si="165"/>
        <v/>
      </c>
      <c r="E340" s="123">
        <f t="shared" si="179"/>
        <v>326</v>
      </c>
      <c r="F340" s="124">
        <f t="shared" si="180"/>
        <v>0</v>
      </c>
      <c r="G340" s="125">
        <f t="shared" si="181"/>
        <v>0</v>
      </c>
      <c r="H340" s="126" t="str">
        <f t="shared" si="166"/>
        <v/>
      </c>
      <c r="I340" s="127" t="str">
        <f t="shared" si="167"/>
        <v/>
      </c>
      <c r="J340" s="128">
        <f t="shared" si="168"/>
        <v>0</v>
      </c>
      <c r="K340" s="129">
        <f t="shared" si="169"/>
        <v>0</v>
      </c>
      <c r="L340" s="1">
        <f t="shared" si="182"/>
        <v>0</v>
      </c>
      <c r="M340" s="130">
        <f t="shared" si="170"/>
        <v>0</v>
      </c>
      <c r="N340" s="131">
        <f t="shared" si="171"/>
        <v>0</v>
      </c>
      <c r="O340" s="15"/>
      <c r="P340" s="32">
        <f t="shared" si="183"/>
        <v>0</v>
      </c>
      <c r="Q340" s="33"/>
      <c r="R340" s="75">
        <f t="shared" si="184"/>
        <v>0</v>
      </c>
      <c r="V340" s="68">
        <f t="shared" si="172"/>
        <v>0</v>
      </c>
      <c r="AA340" s="4">
        <f t="shared" si="173"/>
        <v>3</v>
      </c>
      <c r="AB340" s="4">
        <f t="shared" si="174"/>
        <v>10</v>
      </c>
      <c r="AC340" s="12">
        <f t="shared" si="175"/>
        <v>28</v>
      </c>
      <c r="AJ340" s="5">
        <f t="shared" si="195"/>
        <v>0</v>
      </c>
      <c r="AK340" s="5">
        <f t="shared" si="185"/>
        <v>0</v>
      </c>
      <c r="AL340" s="77">
        <f t="shared" si="197"/>
        <v>55944</v>
      </c>
      <c r="AM340" s="27" t="str">
        <f t="shared" si="186"/>
        <v/>
      </c>
      <c r="AN340" s="76">
        <f t="shared" si="187"/>
        <v>326</v>
      </c>
      <c r="AO340" s="13">
        <f t="shared" si="188"/>
        <v>0</v>
      </c>
      <c r="AP340" s="62">
        <f t="shared" si="189"/>
        <v>0</v>
      </c>
      <c r="AQ340" s="9" t="str">
        <f t="shared" si="176"/>
        <v/>
      </c>
      <c r="AR340" s="60" t="str">
        <f t="shared" si="177"/>
        <v/>
      </c>
      <c r="AS340" s="8">
        <f t="shared" si="190"/>
        <v>0</v>
      </c>
      <c r="AT340" s="11">
        <f t="shared" si="191"/>
        <v>0</v>
      </c>
      <c r="AU340" s="15">
        <v>0</v>
      </c>
      <c r="AV340" s="32">
        <f t="shared" si="192"/>
        <v>0</v>
      </c>
      <c r="AW340" s="33"/>
      <c r="AX340" s="75">
        <f t="shared" si="193"/>
        <v>0</v>
      </c>
    </row>
    <row r="341" spans="1:50" x14ac:dyDescent="0.25">
      <c r="A341" s="5">
        <f t="shared" si="194"/>
        <v>0</v>
      </c>
      <c r="B341" s="5">
        <f t="shared" si="178"/>
        <v>0</v>
      </c>
      <c r="C341" s="77">
        <f t="shared" si="196"/>
        <v>55975</v>
      </c>
      <c r="D341" s="122" t="str">
        <f t="shared" si="165"/>
        <v/>
      </c>
      <c r="E341" s="123">
        <f t="shared" si="179"/>
        <v>327</v>
      </c>
      <c r="F341" s="124">
        <f t="shared" si="180"/>
        <v>0</v>
      </c>
      <c r="G341" s="125">
        <f t="shared" si="181"/>
        <v>0</v>
      </c>
      <c r="H341" s="126" t="str">
        <f t="shared" si="166"/>
        <v/>
      </c>
      <c r="I341" s="127" t="str">
        <f t="shared" si="167"/>
        <v/>
      </c>
      <c r="J341" s="128">
        <f t="shared" si="168"/>
        <v>0</v>
      </c>
      <c r="K341" s="129">
        <f t="shared" si="169"/>
        <v>0</v>
      </c>
      <c r="L341" s="1">
        <f t="shared" si="182"/>
        <v>0</v>
      </c>
      <c r="M341" s="130">
        <f t="shared" si="170"/>
        <v>0</v>
      </c>
      <c r="N341" s="131">
        <f t="shared" si="171"/>
        <v>0</v>
      </c>
      <c r="O341" s="15"/>
      <c r="P341" s="32">
        <f t="shared" si="183"/>
        <v>0</v>
      </c>
      <c r="Q341" s="33"/>
      <c r="R341" s="75">
        <f t="shared" si="184"/>
        <v>0</v>
      </c>
      <c r="V341" s="68">
        <f t="shared" si="172"/>
        <v>0</v>
      </c>
      <c r="AA341" s="4">
        <f t="shared" si="173"/>
        <v>3</v>
      </c>
      <c r="AB341" s="4">
        <f t="shared" si="174"/>
        <v>10</v>
      </c>
      <c r="AC341" s="12">
        <f t="shared" si="175"/>
        <v>28</v>
      </c>
      <c r="AJ341" s="5">
        <f t="shared" si="195"/>
        <v>0</v>
      </c>
      <c r="AK341" s="5">
        <f t="shared" si="185"/>
        <v>0</v>
      </c>
      <c r="AL341" s="77">
        <f t="shared" si="197"/>
        <v>55975</v>
      </c>
      <c r="AM341" s="27" t="str">
        <f t="shared" si="186"/>
        <v/>
      </c>
      <c r="AN341" s="76">
        <f t="shared" si="187"/>
        <v>327</v>
      </c>
      <c r="AO341" s="13">
        <f t="shared" si="188"/>
        <v>0</v>
      </c>
      <c r="AP341" s="62">
        <f t="shared" si="189"/>
        <v>0</v>
      </c>
      <c r="AQ341" s="9" t="str">
        <f t="shared" si="176"/>
        <v/>
      </c>
      <c r="AR341" s="60" t="str">
        <f t="shared" si="177"/>
        <v/>
      </c>
      <c r="AS341" s="8">
        <f t="shared" si="190"/>
        <v>0</v>
      </c>
      <c r="AT341" s="11">
        <f t="shared" si="191"/>
        <v>0</v>
      </c>
      <c r="AU341" s="15">
        <v>0</v>
      </c>
      <c r="AV341" s="32">
        <f t="shared" si="192"/>
        <v>0</v>
      </c>
      <c r="AW341" s="33"/>
      <c r="AX341" s="75">
        <f t="shared" si="193"/>
        <v>0</v>
      </c>
    </row>
    <row r="342" spans="1:50" x14ac:dyDescent="0.25">
      <c r="A342" s="5">
        <f t="shared" si="194"/>
        <v>0</v>
      </c>
      <c r="B342" s="5">
        <f t="shared" si="178"/>
        <v>0</v>
      </c>
      <c r="C342" s="77">
        <f t="shared" si="196"/>
        <v>56005</v>
      </c>
      <c r="D342" s="122" t="str">
        <f t="shared" si="165"/>
        <v/>
      </c>
      <c r="E342" s="123">
        <f t="shared" si="179"/>
        <v>328</v>
      </c>
      <c r="F342" s="124">
        <f t="shared" si="180"/>
        <v>0</v>
      </c>
      <c r="G342" s="125">
        <f t="shared" si="181"/>
        <v>0</v>
      </c>
      <c r="H342" s="126" t="str">
        <f t="shared" si="166"/>
        <v/>
      </c>
      <c r="I342" s="127" t="str">
        <f t="shared" si="167"/>
        <v/>
      </c>
      <c r="J342" s="128">
        <f t="shared" si="168"/>
        <v>0</v>
      </c>
      <c r="K342" s="129">
        <f t="shared" si="169"/>
        <v>0</v>
      </c>
      <c r="L342" s="1">
        <f t="shared" si="182"/>
        <v>0</v>
      </c>
      <c r="M342" s="130">
        <f t="shared" si="170"/>
        <v>0</v>
      </c>
      <c r="N342" s="131">
        <f t="shared" si="171"/>
        <v>0</v>
      </c>
      <c r="O342" s="15"/>
      <c r="P342" s="32">
        <f t="shared" si="183"/>
        <v>0</v>
      </c>
      <c r="Q342" s="33"/>
      <c r="R342" s="75">
        <f t="shared" si="184"/>
        <v>0</v>
      </c>
      <c r="V342" s="68">
        <f t="shared" si="172"/>
        <v>0</v>
      </c>
      <c r="AA342" s="4">
        <f t="shared" si="173"/>
        <v>3</v>
      </c>
      <c r="AB342" s="4">
        <f t="shared" si="174"/>
        <v>10</v>
      </c>
      <c r="AC342" s="12">
        <f t="shared" si="175"/>
        <v>28</v>
      </c>
      <c r="AJ342" s="5">
        <f t="shared" si="195"/>
        <v>0</v>
      </c>
      <c r="AK342" s="5">
        <f t="shared" si="185"/>
        <v>0</v>
      </c>
      <c r="AL342" s="77">
        <f t="shared" si="197"/>
        <v>56005</v>
      </c>
      <c r="AM342" s="27" t="str">
        <f t="shared" si="186"/>
        <v/>
      </c>
      <c r="AN342" s="76">
        <f t="shared" si="187"/>
        <v>328</v>
      </c>
      <c r="AO342" s="13">
        <f t="shared" si="188"/>
        <v>0</v>
      </c>
      <c r="AP342" s="62">
        <f t="shared" si="189"/>
        <v>0</v>
      </c>
      <c r="AQ342" s="9" t="str">
        <f t="shared" si="176"/>
        <v/>
      </c>
      <c r="AR342" s="60" t="str">
        <f t="shared" si="177"/>
        <v/>
      </c>
      <c r="AS342" s="8">
        <f t="shared" si="190"/>
        <v>0</v>
      </c>
      <c r="AT342" s="11">
        <f t="shared" si="191"/>
        <v>0</v>
      </c>
      <c r="AU342" s="15">
        <v>0</v>
      </c>
      <c r="AV342" s="32">
        <f t="shared" si="192"/>
        <v>0</v>
      </c>
      <c r="AW342" s="33"/>
      <c r="AX342" s="75">
        <f t="shared" si="193"/>
        <v>0</v>
      </c>
    </row>
    <row r="343" spans="1:50" x14ac:dyDescent="0.25">
      <c r="A343" s="5">
        <f t="shared" si="194"/>
        <v>0</v>
      </c>
      <c r="B343" s="5">
        <f t="shared" si="178"/>
        <v>0</v>
      </c>
      <c r="C343" s="77">
        <f t="shared" si="196"/>
        <v>56036</v>
      </c>
      <c r="D343" s="122" t="str">
        <f t="shared" si="165"/>
        <v/>
      </c>
      <c r="E343" s="123">
        <f t="shared" si="179"/>
        <v>329</v>
      </c>
      <c r="F343" s="124">
        <f t="shared" si="180"/>
        <v>0</v>
      </c>
      <c r="G343" s="125">
        <f t="shared" si="181"/>
        <v>0</v>
      </c>
      <c r="H343" s="126" t="str">
        <f t="shared" si="166"/>
        <v/>
      </c>
      <c r="I343" s="127" t="str">
        <f t="shared" si="167"/>
        <v/>
      </c>
      <c r="J343" s="128">
        <f t="shared" si="168"/>
        <v>0</v>
      </c>
      <c r="K343" s="129">
        <f t="shared" si="169"/>
        <v>0</v>
      </c>
      <c r="L343" s="1">
        <f t="shared" si="182"/>
        <v>0</v>
      </c>
      <c r="M343" s="130">
        <f t="shared" si="170"/>
        <v>0</v>
      </c>
      <c r="N343" s="131">
        <f t="shared" si="171"/>
        <v>0</v>
      </c>
      <c r="O343" s="15"/>
      <c r="P343" s="32">
        <f t="shared" si="183"/>
        <v>0</v>
      </c>
      <c r="Q343" s="33"/>
      <c r="R343" s="75">
        <f t="shared" si="184"/>
        <v>0</v>
      </c>
      <c r="V343" s="68">
        <f t="shared" si="172"/>
        <v>0</v>
      </c>
      <c r="AA343" s="4">
        <f t="shared" si="173"/>
        <v>3</v>
      </c>
      <c r="AB343" s="4">
        <f t="shared" si="174"/>
        <v>10</v>
      </c>
      <c r="AC343" s="12">
        <f t="shared" si="175"/>
        <v>28</v>
      </c>
      <c r="AJ343" s="5">
        <f t="shared" si="195"/>
        <v>0</v>
      </c>
      <c r="AK343" s="5">
        <f t="shared" si="185"/>
        <v>0</v>
      </c>
      <c r="AL343" s="77">
        <f t="shared" si="197"/>
        <v>56036</v>
      </c>
      <c r="AM343" s="27" t="str">
        <f t="shared" si="186"/>
        <v/>
      </c>
      <c r="AN343" s="76">
        <f t="shared" si="187"/>
        <v>329</v>
      </c>
      <c r="AO343" s="13">
        <f t="shared" si="188"/>
        <v>0</v>
      </c>
      <c r="AP343" s="62">
        <f t="shared" si="189"/>
        <v>0</v>
      </c>
      <c r="AQ343" s="9" t="str">
        <f t="shared" si="176"/>
        <v/>
      </c>
      <c r="AR343" s="60" t="str">
        <f t="shared" si="177"/>
        <v/>
      </c>
      <c r="AS343" s="8">
        <f t="shared" si="190"/>
        <v>0</v>
      </c>
      <c r="AT343" s="11">
        <f t="shared" si="191"/>
        <v>0</v>
      </c>
      <c r="AU343" s="15">
        <v>0</v>
      </c>
      <c r="AV343" s="32">
        <f t="shared" si="192"/>
        <v>0</v>
      </c>
      <c r="AW343" s="33"/>
      <c r="AX343" s="75">
        <f t="shared" si="193"/>
        <v>0</v>
      </c>
    </row>
    <row r="344" spans="1:50" x14ac:dyDescent="0.25">
      <c r="A344" s="5">
        <f t="shared" si="194"/>
        <v>0</v>
      </c>
      <c r="B344" s="5">
        <f t="shared" si="178"/>
        <v>0</v>
      </c>
      <c r="C344" s="77">
        <f t="shared" si="196"/>
        <v>56066</v>
      </c>
      <c r="D344" s="122" t="str">
        <f t="shared" si="165"/>
        <v/>
      </c>
      <c r="E344" s="123">
        <f t="shared" si="179"/>
        <v>330</v>
      </c>
      <c r="F344" s="124">
        <f t="shared" si="180"/>
        <v>0</v>
      </c>
      <c r="G344" s="125">
        <f t="shared" si="181"/>
        <v>0</v>
      </c>
      <c r="H344" s="126" t="str">
        <f t="shared" si="166"/>
        <v/>
      </c>
      <c r="I344" s="127" t="str">
        <f t="shared" si="167"/>
        <v/>
      </c>
      <c r="J344" s="128">
        <f t="shared" si="168"/>
        <v>0</v>
      </c>
      <c r="K344" s="129">
        <f t="shared" si="169"/>
        <v>0</v>
      </c>
      <c r="L344" s="1">
        <f t="shared" si="182"/>
        <v>0</v>
      </c>
      <c r="M344" s="130">
        <f t="shared" si="170"/>
        <v>0</v>
      </c>
      <c r="N344" s="131">
        <f t="shared" si="171"/>
        <v>0</v>
      </c>
      <c r="O344" s="15"/>
      <c r="P344" s="32">
        <f t="shared" si="183"/>
        <v>0</v>
      </c>
      <c r="Q344" s="33"/>
      <c r="R344" s="75">
        <f t="shared" si="184"/>
        <v>0</v>
      </c>
      <c r="V344" s="68">
        <f t="shared" si="172"/>
        <v>0</v>
      </c>
      <c r="AA344" s="4">
        <f t="shared" si="173"/>
        <v>3</v>
      </c>
      <c r="AB344" s="4">
        <f t="shared" si="174"/>
        <v>10</v>
      </c>
      <c r="AC344" s="12">
        <f t="shared" si="175"/>
        <v>28</v>
      </c>
      <c r="AJ344" s="5">
        <f t="shared" si="195"/>
        <v>0</v>
      </c>
      <c r="AK344" s="5">
        <f t="shared" si="185"/>
        <v>0</v>
      </c>
      <c r="AL344" s="77">
        <f t="shared" si="197"/>
        <v>56066</v>
      </c>
      <c r="AM344" s="27" t="str">
        <f t="shared" si="186"/>
        <v/>
      </c>
      <c r="AN344" s="76">
        <f t="shared" si="187"/>
        <v>330</v>
      </c>
      <c r="AO344" s="13">
        <f t="shared" si="188"/>
        <v>0</v>
      </c>
      <c r="AP344" s="62">
        <f t="shared" si="189"/>
        <v>0</v>
      </c>
      <c r="AQ344" s="9" t="str">
        <f t="shared" si="176"/>
        <v/>
      </c>
      <c r="AR344" s="60" t="str">
        <f t="shared" si="177"/>
        <v/>
      </c>
      <c r="AS344" s="8">
        <f t="shared" si="190"/>
        <v>0</v>
      </c>
      <c r="AT344" s="11">
        <f t="shared" si="191"/>
        <v>0</v>
      </c>
      <c r="AU344" s="15">
        <v>0</v>
      </c>
      <c r="AV344" s="32">
        <f t="shared" si="192"/>
        <v>0</v>
      </c>
      <c r="AW344" s="33"/>
      <c r="AX344" s="75">
        <f t="shared" si="193"/>
        <v>0</v>
      </c>
    </row>
    <row r="345" spans="1:50" x14ac:dyDescent="0.25">
      <c r="A345" s="5">
        <f t="shared" si="194"/>
        <v>0</v>
      </c>
      <c r="B345" s="5">
        <f t="shared" si="178"/>
        <v>0</v>
      </c>
      <c r="C345" s="77">
        <f t="shared" si="196"/>
        <v>56097</v>
      </c>
      <c r="D345" s="122" t="str">
        <f t="shared" si="165"/>
        <v/>
      </c>
      <c r="E345" s="123">
        <f t="shared" si="179"/>
        <v>331</v>
      </c>
      <c r="F345" s="124">
        <f t="shared" si="180"/>
        <v>0</v>
      </c>
      <c r="G345" s="125">
        <f t="shared" si="181"/>
        <v>0</v>
      </c>
      <c r="H345" s="126" t="str">
        <f t="shared" si="166"/>
        <v/>
      </c>
      <c r="I345" s="127" t="str">
        <f t="shared" si="167"/>
        <v/>
      </c>
      <c r="J345" s="128">
        <f t="shared" si="168"/>
        <v>0</v>
      </c>
      <c r="K345" s="129">
        <f t="shared" si="169"/>
        <v>0</v>
      </c>
      <c r="L345" s="1">
        <f t="shared" si="182"/>
        <v>0</v>
      </c>
      <c r="M345" s="130">
        <f t="shared" si="170"/>
        <v>0</v>
      </c>
      <c r="N345" s="131">
        <f t="shared" si="171"/>
        <v>0</v>
      </c>
      <c r="O345" s="15"/>
      <c r="P345" s="32">
        <f t="shared" si="183"/>
        <v>0</v>
      </c>
      <c r="Q345" s="33"/>
      <c r="R345" s="75">
        <f t="shared" si="184"/>
        <v>0</v>
      </c>
      <c r="V345" s="68">
        <f t="shared" si="172"/>
        <v>0</v>
      </c>
      <c r="AA345" s="4">
        <f t="shared" si="173"/>
        <v>3</v>
      </c>
      <c r="AB345" s="4">
        <f t="shared" si="174"/>
        <v>10</v>
      </c>
      <c r="AC345" s="12">
        <f t="shared" si="175"/>
        <v>28</v>
      </c>
      <c r="AJ345" s="5">
        <f t="shared" si="195"/>
        <v>0</v>
      </c>
      <c r="AK345" s="5">
        <f t="shared" si="185"/>
        <v>0</v>
      </c>
      <c r="AL345" s="77">
        <f t="shared" si="197"/>
        <v>56097</v>
      </c>
      <c r="AM345" s="27" t="str">
        <f t="shared" si="186"/>
        <v/>
      </c>
      <c r="AN345" s="76">
        <f t="shared" si="187"/>
        <v>331</v>
      </c>
      <c r="AO345" s="13">
        <f t="shared" si="188"/>
        <v>0</v>
      </c>
      <c r="AP345" s="62">
        <f t="shared" si="189"/>
        <v>0</v>
      </c>
      <c r="AQ345" s="9" t="str">
        <f t="shared" si="176"/>
        <v/>
      </c>
      <c r="AR345" s="60" t="str">
        <f t="shared" si="177"/>
        <v/>
      </c>
      <c r="AS345" s="8">
        <f t="shared" si="190"/>
        <v>0</v>
      </c>
      <c r="AT345" s="11">
        <f t="shared" si="191"/>
        <v>0</v>
      </c>
      <c r="AU345" s="15">
        <v>0</v>
      </c>
      <c r="AV345" s="32">
        <f t="shared" si="192"/>
        <v>0</v>
      </c>
      <c r="AW345" s="33"/>
      <c r="AX345" s="75">
        <f t="shared" si="193"/>
        <v>0</v>
      </c>
    </row>
    <row r="346" spans="1:50" x14ac:dyDescent="0.25">
      <c r="A346" s="5">
        <f t="shared" si="194"/>
        <v>0</v>
      </c>
      <c r="B346" s="5">
        <f t="shared" si="178"/>
        <v>0</v>
      </c>
      <c r="C346" s="77">
        <f t="shared" si="196"/>
        <v>56128</v>
      </c>
      <c r="D346" s="122" t="str">
        <f t="shared" si="165"/>
        <v/>
      </c>
      <c r="E346" s="123">
        <f t="shared" si="179"/>
        <v>332</v>
      </c>
      <c r="F346" s="124">
        <f t="shared" si="180"/>
        <v>0</v>
      </c>
      <c r="G346" s="125">
        <f t="shared" si="181"/>
        <v>0</v>
      </c>
      <c r="H346" s="126" t="str">
        <f t="shared" si="166"/>
        <v/>
      </c>
      <c r="I346" s="127" t="str">
        <f t="shared" si="167"/>
        <v/>
      </c>
      <c r="J346" s="128">
        <f t="shared" si="168"/>
        <v>0</v>
      </c>
      <c r="K346" s="129">
        <f t="shared" si="169"/>
        <v>0</v>
      </c>
      <c r="L346" s="1">
        <f t="shared" si="182"/>
        <v>0</v>
      </c>
      <c r="M346" s="130">
        <f t="shared" si="170"/>
        <v>0</v>
      </c>
      <c r="N346" s="131">
        <f t="shared" si="171"/>
        <v>0</v>
      </c>
      <c r="O346" s="15"/>
      <c r="P346" s="32">
        <f t="shared" si="183"/>
        <v>0</v>
      </c>
      <c r="Q346" s="33"/>
      <c r="R346" s="75">
        <f t="shared" si="184"/>
        <v>0</v>
      </c>
      <c r="V346" s="68">
        <f t="shared" si="172"/>
        <v>0</v>
      </c>
      <c r="AA346" s="4">
        <f t="shared" si="173"/>
        <v>3</v>
      </c>
      <c r="AB346" s="4">
        <f t="shared" si="174"/>
        <v>10</v>
      </c>
      <c r="AC346" s="12">
        <f t="shared" si="175"/>
        <v>28</v>
      </c>
      <c r="AJ346" s="5">
        <f t="shared" si="195"/>
        <v>0</v>
      </c>
      <c r="AK346" s="5">
        <f t="shared" si="185"/>
        <v>0</v>
      </c>
      <c r="AL346" s="77">
        <f t="shared" si="197"/>
        <v>56128</v>
      </c>
      <c r="AM346" s="27" t="str">
        <f t="shared" si="186"/>
        <v/>
      </c>
      <c r="AN346" s="76">
        <f t="shared" si="187"/>
        <v>332</v>
      </c>
      <c r="AO346" s="13">
        <f t="shared" si="188"/>
        <v>0</v>
      </c>
      <c r="AP346" s="62">
        <f t="shared" si="189"/>
        <v>0</v>
      </c>
      <c r="AQ346" s="9" t="str">
        <f t="shared" si="176"/>
        <v/>
      </c>
      <c r="AR346" s="60" t="str">
        <f t="shared" si="177"/>
        <v/>
      </c>
      <c r="AS346" s="8">
        <f t="shared" si="190"/>
        <v>0</v>
      </c>
      <c r="AT346" s="11">
        <f t="shared" si="191"/>
        <v>0</v>
      </c>
      <c r="AU346" s="15">
        <v>0</v>
      </c>
      <c r="AV346" s="32">
        <f t="shared" si="192"/>
        <v>0</v>
      </c>
      <c r="AW346" s="33"/>
      <c r="AX346" s="75">
        <f t="shared" si="193"/>
        <v>0</v>
      </c>
    </row>
    <row r="347" spans="1:50" x14ac:dyDescent="0.25">
      <c r="A347" s="5">
        <f t="shared" si="194"/>
        <v>0</v>
      </c>
      <c r="B347" s="5">
        <f t="shared" si="178"/>
        <v>0</v>
      </c>
      <c r="C347" s="77">
        <f t="shared" si="196"/>
        <v>56158</v>
      </c>
      <c r="D347" s="122" t="str">
        <f t="shared" si="165"/>
        <v/>
      </c>
      <c r="E347" s="123">
        <f t="shared" si="179"/>
        <v>333</v>
      </c>
      <c r="F347" s="124">
        <f t="shared" si="180"/>
        <v>0</v>
      </c>
      <c r="G347" s="125">
        <f t="shared" si="181"/>
        <v>0</v>
      </c>
      <c r="H347" s="126" t="str">
        <f t="shared" si="166"/>
        <v/>
      </c>
      <c r="I347" s="127" t="str">
        <f t="shared" si="167"/>
        <v/>
      </c>
      <c r="J347" s="128">
        <f t="shared" si="168"/>
        <v>0</v>
      </c>
      <c r="K347" s="129">
        <f t="shared" si="169"/>
        <v>0</v>
      </c>
      <c r="L347" s="1">
        <f t="shared" si="182"/>
        <v>0</v>
      </c>
      <c r="M347" s="130">
        <f t="shared" si="170"/>
        <v>0</v>
      </c>
      <c r="N347" s="131">
        <f t="shared" si="171"/>
        <v>0</v>
      </c>
      <c r="O347" s="15"/>
      <c r="P347" s="32">
        <f t="shared" si="183"/>
        <v>0</v>
      </c>
      <c r="Q347" s="33"/>
      <c r="R347" s="75">
        <f t="shared" si="184"/>
        <v>0</v>
      </c>
      <c r="V347" s="68">
        <f t="shared" si="172"/>
        <v>0</v>
      </c>
      <c r="AA347" s="4">
        <f t="shared" si="173"/>
        <v>3</v>
      </c>
      <c r="AB347" s="4">
        <f t="shared" si="174"/>
        <v>10</v>
      </c>
      <c r="AC347" s="12">
        <f t="shared" si="175"/>
        <v>28</v>
      </c>
      <c r="AJ347" s="5">
        <f t="shared" si="195"/>
        <v>0</v>
      </c>
      <c r="AK347" s="5">
        <f t="shared" si="185"/>
        <v>0</v>
      </c>
      <c r="AL347" s="77">
        <f t="shared" si="197"/>
        <v>56158</v>
      </c>
      <c r="AM347" s="27" t="str">
        <f t="shared" si="186"/>
        <v/>
      </c>
      <c r="AN347" s="76">
        <f t="shared" si="187"/>
        <v>333</v>
      </c>
      <c r="AO347" s="13">
        <f t="shared" si="188"/>
        <v>0</v>
      </c>
      <c r="AP347" s="62">
        <f t="shared" si="189"/>
        <v>0</v>
      </c>
      <c r="AQ347" s="9" t="str">
        <f t="shared" si="176"/>
        <v/>
      </c>
      <c r="AR347" s="60" t="str">
        <f t="shared" si="177"/>
        <v/>
      </c>
      <c r="AS347" s="8">
        <f t="shared" si="190"/>
        <v>0</v>
      </c>
      <c r="AT347" s="11">
        <f t="shared" si="191"/>
        <v>0</v>
      </c>
      <c r="AU347" s="15">
        <v>0</v>
      </c>
      <c r="AV347" s="32">
        <f t="shared" si="192"/>
        <v>0</v>
      </c>
      <c r="AW347" s="33"/>
      <c r="AX347" s="75">
        <f t="shared" si="193"/>
        <v>0</v>
      </c>
    </row>
    <row r="348" spans="1:50" x14ac:dyDescent="0.25">
      <c r="A348" s="5">
        <f t="shared" si="194"/>
        <v>0</v>
      </c>
      <c r="B348" s="5">
        <f t="shared" si="178"/>
        <v>0</v>
      </c>
      <c r="C348" s="77">
        <f t="shared" si="196"/>
        <v>56189</v>
      </c>
      <c r="D348" s="122" t="str">
        <f t="shared" si="165"/>
        <v/>
      </c>
      <c r="E348" s="123">
        <f t="shared" si="179"/>
        <v>334</v>
      </c>
      <c r="F348" s="124">
        <f t="shared" si="180"/>
        <v>0</v>
      </c>
      <c r="G348" s="125">
        <f t="shared" si="181"/>
        <v>0</v>
      </c>
      <c r="H348" s="126" t="str">
        <f t="shared" si="166"/>
        <v/>
      </c>
      <c r="I348" s="127" t="str">
        <f t="shared" si="167"/>
        <v/>
      </c>
      <c r="J348" s="128">
        <f t="shared" si="168"/>
        <v>0</v>
      </c>
      <c r="K348" s="129">
        <f t="shared" si="169"/>
        <v>0</v>
      </c>
      <c r="L348" s="1">
        <f t="shared" si="182"/>
        <v>0</v>
      </c>
      <c r="M348" s="130">
        <f t="shared" si="170"/>
        <v>0</v>
      </c>
      <c r="N348" s="131">
        <f t="shared" si="171"/>
        <v>0</v>
      </c>
      <c r="O348" s="15"/>
      <c r="P348" s="32">
        <f t="shared" si="183"/>
        <v>0</v>
      </c>
      <c r="Q348" s="33"/>
      <c r="R348" s="75">
        <f t="shared" si="184"/>
        <v>0</v>
      </c>
      <c r="V348" s="68">
        <f t="shared" si="172"/>
        <v>0</v>
      </c>
      <c r="AA348" s="4">
        <f t="shared" si="173"/>
        <v>3</v>
      </c>
      <c r="AB348" s="4">
        <f t="shared" si="174"/>
        <v>10</v>
      </c>
      <c r="AC348" s="12">
        <f t="shared" si="175"/>
        <v>28</v>
      </c>
      <c r="AJ348" s="5">
        <f t="shared" si="195"/>
        <v>0</v>
      </c>
      <c r="AK348" s="5">
        <f t="shared" si="185"/>
        <v>0</v>
      </c>
      <c r="AL348" s="77">
        <f t="shared" si="197"/>
        <v>56189</v>
      </c>
      <c r="AM348" s="27" t="str">
        <f t="shared" si="186"/>
        <v/>
      </c>
      <c r="AN348" s="76">
        <f t="shared" si="187"/>
        <v>334</v>
      </c>
      <c r="AO348" s="13">
        <f t="shared" si="188"/>
        <v>0</v>
      </c>
      <c r="AP348" s="62">
        <f t="shared" si="189"/>
        <v>0</v>
      </c>
      <c r="AQ348" s="9" t="str">
        <f t="shared" si="176"/>
        <v/>
      </c>
      <c r="AR348" s="60" t="str">
        <f t="shared" si="177"/>
        <v/>
      </c>
      <c r="AS348" s="8">
        <f t="shared" si="190"/>
        <v>0</v>
      </c>
      <c r="AT348" s="11">
        <f t="shared" si="191"/>
        <v>0</v>
      </c>
      <c r="AU348" s="15">
        <v>0</v>
      </c>
      <c r="AV348" s="32">
        <f t="shared" si="192"/>
        <v>0</v>
      </c>
      <c r="AW348" s="33"/>
      <c r="AX348" s="75">
        <f t="shared" si="193"/>
        <v>0</v>
      </c>
    </row>
    <row r="349" spans="1:50" x14ac:dyDescent="0.25">
      <c r="A349" s="5">
        <f t="shared" si="194"/>
        <v>0</v>
      </c>
      <c r="B349" s="5">
        <f t="shared" si="178"/>
        <v>0</v>
      </c>
      <c r="C349" s="77">
        <f t="shared" si="196"/>
        <v>56219</v>
      </c>
      <c r="D349" s="122" t="str">
        <f t="shared" si="165"/>
        <v/>
      </c>
      <c r="E349" s="123">
        <f t="shared" si="179"/>
        <v>335</v>
      </c>
      <c r="F349" s="124">
        <f t="shared" si="180"/>
        <v>0</v>
      </c>
      <c r="G349" s="125">
        <f t="shared" si="181"/>
        <v>0</v>
      </c>
      <c r="H349" s="126" t="str">
        <f t="shared" si="166"/>
        <v/>
      </c>
      <c r="I349" s="127" t="str">
        <f t="shared" si="167"/>
        <v/>
      </c>
      <c r="J349" s="128">
        <f t="shared" si="168"/>
        <v>0</v>
      </c>
      <c r="K349" s="129">
        <f t="shared" si="169"/>
        <v>0</v>
      </c>
      <c r="L349" s="1">
        <f t="shared" si="182"/>
        <v>0</v>
      </c>
      <c r="M349" s="130">
        <f t="shared" si="170"/>
        <v>0</v>
      </c>
      <c r="N349" s="131">
        <f t="shared" si="171"/>
        <v>0</v>
      </c>
      <c r="O349" s="15"/>
      <c r="P349" s="32">
        <f t="shared" si="183"/>
        <v>0</v>
      </c>
      <c r="Q349" s="33"/>
      <c r="R349" s="75">
        <f t="shared" si="184"/>
        <v>0</v>
      </c>
      <c r="V349" s="68">
        <f t="shared" si="172"/>
        <v>0</v>
      </c>
      <c r="AA349" s="4">
        <f t="shared" si="173"/>
        <v>3</v>
      </c>
      <c r="AB349" s="4">
        <f t="shared" si="174"/>
        <v>10</v>
      </c>
      <c r="AC349" s="12">
        <f t="shared" si="175"/>
        <v>28</v>
      </c>
      <c r="AJ349" s="5">
        <f t="shared" si="195"/>
        <v>0</v>
      </c>
      <c r="AK349" s="5">
        <f t="shared" si="185"/>
        <v>0</v>
      </c>
      <c r="AL349" s="77">
        <f t="shared" si="197"/>
        <v>56219</v>
      </c>
      <c r="AM349" s="27" t="str">
        <f t="shared" si="186"/>
        <v/>
      </c>
      <c r="AN349" s="76">
        <f t="shared" si="187"/>
        <v>335</v>
      </c>
      <c r="AO349" s="13">
        <f t="shared" si="188"/>
        <v>0</v>
      </c>
      <c r="AP349" s="62">
        <f t="shared" si="189"/>
        <v>0</v>
      </c>
      <c r="AQ349" s="9" t="str">
        <f t="shared" si="176"/>
        <v/>
      </c>
      <c r="AR349" s="60" t="str">
        <f t="shared" si="177"/>
        <v/>
      </c>
      <c r="AS349" s="8">
        <f t="shared" si="190"/>
        <v>0</v>
      </c>
      <c r="AT349" s="11">
        <f t="shared" si="191"/>
        <v>0</v>
      </c>
      <c r="AU349" s="15">
        <v>0</v>
      </c>
      <c r="AV349" s="32">
        <f t="shared" si="192"/>
        <v>0</v>
      </c>
      <c r="AW349" s="33"/>
      <c r="AX349" s="75">
        <f t="shared" si="193"/>
        <v>0</v>
      </c>
    </row>
    <row r="350" spans="1:50" x14ac:dyDescent="0.25">
      <c r="A350" s="5">
        <f t="shared" si="194"/>
        <v>0</v>
      </c>
      <c r="B350" s="5">
        <f t="shared" si="178"/>
        <v>0</v>
      </c>
      <c r="C350" s="77">
        <f t="shared" si="196"/>
        <v>56250</v>
      </c>
      <c r="D350" s="122" t="str">
        <f t="shared" si="165"/>
        <v/>
      </c>
      <c r="E350" s="123">
        <f t="shared" si="179"/>
        <v>336</v>
      </c>
      <c r="F350" s="124">
        <f t="shared" si="180"/>
        <v>0</v>
      </c>
      <c r="G350" s="125">
        <f t="shared" si="181"/>
        <v>0</v>
      </c>
      <c r="H350" s="126" t="str">
        <f t="shared" si="166"/>
        <v/>
      </c>
      <c r="I350" s="127" t="str">
        <f t="shared" si="167"/>
        <v/>
      </c>
      <c r="J350" s="128">
        <f t="shared" si="168"/>
        <v>0</v>
      </c>
      <c r="K350" s="129">
        <f t="shared" si="169"/>
        <v>0</v>
      </c>
      <c r="L350" s="1">
        <f t="shared" si="182"/>
        <v>0</v>
      </c>
      <c r="M350" s="130">
        <f t="shared" si="170"/>
        <v>0</v>
      </c>
      <c r="N350" s="131">
        <f t="shared" si="171"/>
        <v>0</v>
      </c>
      <c r="O350" s="15"/>
      <c r="P350" s="32">
        <f t="shared" si="183"/>
        <v>0</v>
      </c>
      <c r="Q350" s="33"/>
      <c r="R350" s="75">
        <f t="shared" si="184"/>
        <v>0</v>
      </c>
      <c r="V350" s="68">
        <f t="shared" si="172"/>
        <v>0</v>
      </c>
      <c r="AA350" s="4">
        <f t="shared" si="173"/>
        <v>3</v>
      </c>
      <c r="AB350" s="4">
        <f t="shared" si="174"/>
        <v>10</v>
      </c>
      <c r="AC350" s="12">
        <f t="shared" si="175"/>
        <v>28</v>
      </c>
      <c r="AJ350" s="5">
        <f t="shared" si="195"/>
        <v>0</v>
      </c>
      <c r="AK350" s="5">
        <f t="shared" si="185"/>
        <v>0</v>
      </c>
      <c r="AL350" s="77">
        <f t="shared" si="197"/>
        <v>56250</v>
      </c>
      <c r="AM350" s="27" t="str">
        <f t="shared" si="186"/>
        <v/>
      </c>
      <c r="AN350" s="76">
        <f t="shared" si="187"/>
        <v>336</v>
      </c>
      <c r="AO350" s="13">
        <f t="shared" si="188"/>
        <v>0</v>
      </c>
      <c r="AP350" s="62">
        <f t="shared" si="189"/>
        <v>0</v>
      </c>
      <c r="AQ350" s="9" t="str">
        <f t="shared" si="176"/>
        <v/>
      </c>
      <c r="AR350" s="60" t="str">
        <f t="shared" si="177"/>
        <v/>
      </c>
      <c r="AS350" s="8">
        <f t="shared" si="190"/>
        <v>0</v>
      </c>
      <c r="AT350" s="11">
        <f t="shared" si="191"/>
        <v>0</v>
      </c>
      <c r="AU350" s="15">
        <v>0</v>
      </c>
      <c r="AV350" s="32">
        <f t="shared" si="192"/>
        <v>0</v>
      </c>
      <c r="AW350" s="33"/>
      <c r="AX350" s="75">
        <f t="shared" si="193"/>
        <v>0</v>
      </c>
    </row>
    <row r="351" spans="1:50" x14ac:dyDescent="0.25">
      <c r="A351" s="5">
        <f t="shared" si="194"/>
        <v>0</v>
      </c>
      <c r="B351" s="5">
        <f t="shared" si="178"/>
        <v>0</v>
      </c>
      <c r="C351" s="77">
        <f t="shared" si="196"/>
        <v>56281</v>
      </c>
      <c r="D351" s="122" t="str">
        <f t="shared" si="165"/>
        <v/>
      </c>
      <c r="E351" s="123">
        <f t="shared" si="179"/>
        <v>337</v>
      </c>
      <c r="F351" s="124">
        <f t="shared" si="180"/>
        <v>0</v>
      </c>
      <c r="G351" s="125">
        <f t="shared" si="181"/>
        <v>0</v>
      </c>
      <c r="H351" s="126" t="str">
        <f t="shared" si="166"/>
        <v/>
      </c>
      <c r="I351" s="127" t="str">
        <f t="shared" si="167"/>
        <v/>
      </c>
      <c r="J351" s="128">
        <f t="shared" si="168"/>
        <v>0</v>
      </c>
      <c r="K351" s="129">
        <f t="shared" si="169"/>
        <v>0</v>
      </c>
      <c r="L351" s="1">
        <f t="shared" si="182"/>
        <v>0</v>
      </c>
      <c r="M351" s="130">
        <f t="shared" si="170"/>
        <v>0</v>
      </c>
      <c r="N351" s="131">
        <f t="shared" si="171"/>
        <v>0</v>
      </c>
      <c r="O351" s="15"/>
      <c r="P351" s="32">
        <f t="shared" si="183"/>
        <v>0</v>
      </c>
      <c r="Q351" s="33"/>
      <c r="R351" s="75">
        <f t="shared" si="184"/>
        <v>0</v>
      </c>
      <c r="V351" s="68">
        <f t="shared" si="172"/>
        <v>0</v>
      </c>
      <c r="AA351" s="4">
        <f t="shared" si="173"/>
        <v>3</v>
      </c>
      <c r="AB351" s="4">
        <f t="shared" si="174"/>
        <v>10</v>
      </c>
      <c r="AC351" s="12">
        <f t="shared" si="175"/>
        <v>29</v>
      </c>
      <c r="AJ351" s="5">
        <f t="shared" si="195"/>
        <v>0</v>
      </c>
      <c r="AK351" s="5">
        <f t="shared" si="185"/>
        <v>0</v>
      </c>
      <c r="AL351" s="77">
        <f t="shared" si="197"/>
        <v>56281</v>
      </c>
      <c r="AM351" s="27" t="str">
        <f t="shared" si="186"/>
        <v/>
      </c>
      <c r="AN351" s="76">
        <f t="shared" si="187"/>
        <v>337</v>
      </c>
      <c r="AO351" s="13">
        <f t="shared" si="188"/>
        <v>0</v>
      </c>
      <c r="AP351" s="62">
        <f t="shared" si="189"/>
        <v>0</v>
      </c>
      <c r="AQ351" s="9" t="str">
        <f t="shared" si="176"/>
        <v/>
      </c>
      <c r="AR351" s="60" t="str">
        <f t="shared" si="177"/>
        <v/>
      </c>
      <c r="AS351" s="8">
        <f t="shared" si="190"/>
        <v>0</v>
      </c>
      <c r="AT351" s="11">
        <f t="shared" si="191"/>
        <v>0</v>
      </c>
      <c r="AU351" s="15">
        <v>0</v>
      </c>
      <c r="AV351" s="32">
        <f t="shared" si="192"/>
        <v>0</v>
      </c>
      <c r="AW351" s="33"/>
      <c r="AX351" s="75">
        <f t="shared" si="193"/>
        <v>0</v>
      </c>
    </row>
    <row r="352" spans="1:50" x14ac:dyDescent="0.25">
      <c r="A352" s="5">
        <f t="shared" si="194"/>
        <v>0</v>
      </c>
      <c r="B352" s="5">
        <f t="shared" si="178"/>
        <v>0</v>
      </c>
      <c r="C352" s="77">
        <f t="shared" si="196"/>
        <v>56309</v>
      </c>
      <c r="D352" s="122" t="str">
        <f t="shared" si="165"/>
        <v/>
      </c>
      <c r="E352" s="123">
        <f t="shared" si="179"/>
        <v>338</v>
      </c>
      <c r="F352" s="124">
        <f t="shared" si="180"/>
        <v>0</v>
      </c>
      <c r="G352" s="125">
        <f t="shared" si="181"/>
        <v>0</v>
      </c>
      <c r="H352" s="126" t="str">
        <f t="shared" si="166"/>
        <v/>
      </c>
      <c r="I352" s="127" t="str">
        <f t="shared" si="167"/>
        <v/>
      </c>
      <c r="J352" s="128">
        <f t="shared" si="168"/>
        <v>0</v>
      </c>
      <c r="K352" s="129">
        <f t="shared" si="169"/>
        <v>0</v>
      </c>
      <c r="L352" s="1">
        <f t="shared" si="182"/>
        <v>0</v>
      </c>
      <c r="M352" s="130">
        <f t="shared" si="170"/>
        <v>0</v>
      </c>
      <c r="N352" s="131">
        <f t="shared" si="171"/>
        <v>0</v>
      </c>
      <c r="O352" s="15"/>
      <c r="P352" s="32">
        <f t="shared" si="183"/>
        <v>0</v>
      </c>
      <c r="Q352" s="33"/>
      <c r="R352" s="75">
        <f t="shared" si="184"/>
        <v>0</v>
      </c>
      <c r="V352" s="68">
        <f t="shared" si="172"/>
        <v>0</v>
      </c>
      <c r="AA352" s="4">
        <f t="shared" si="173"/>
        <v>3</v>
      </c>
      <c r="AB352" s="4">
        <f t="shared" si="174"/>
        <v>10</v>
      </c>
      <c r="AC352" s="12">
        <f t="shared" si="175"/>
        <v>29</v>
      </c>
      <c r="AJ352" s="5">
        <f t="shared" si="195"/>
        <v>0</v>
      </c>
      <c r="AK352" s="5">
        <f t="shared" si="185"/>
        <v>0</v>
      </c>
      <c r="AL352" s="77">
        <f t="shared" si="197"/>
        <v>56309</v>
      </c>
      <c r="AM352" s="27" t="str">
        <f t="shared" si="186"/>
        <v/>
      </c>
      <c r="AN352" s="76">
        <f t="shared" si="187"/>
        <v>338</v>
      </c>
      <c r="AO352" s="13">
        <f t="shared" si="188"/>
        <v>0</v>
      </c>
      <c r="AP352" s="62">
        <f t="shared" si="189"/>
        <v>0</v>
      </c>
      <c r="AQ352" s="9" t="str">
        <f t="shared" si="176"/>
        <v/>
      </c>
      <c r="AR352" s="60" t="str">
        <f t="shared" si="177"/>
        <v/>
      </c>
      <c r="AS352" s="8">
        <f t="shared" si="190"/>
        <v>0</v>
      </c>
      <c r="AT352" s="11">
        <f t="shared" si="191"/>
        <v>0</v>
      </c>
      <c r="AU352" s="15">
        <v>0</v>
      </c>
      <c r="AV352" s="32">
        <f t="shared" si="192"/>
        <v>0</v>
      </c>
      <c r="AW352" s="33"/>
      <c r="AX352" s="75">
        <f t="shared" si="193"/>
        <v>0</v>
      </c>
    </row>
    <row r="353" spans="1:50" x14ac:dyDescent="0.25">
      <c r="A353" s="5">
        <f t="shared" si="194"/>
        <v>0</v>
      </c>
      <c r="B353" s="5">
        <f t="shared" si="178"/>
        <v>0</v>
      </c>
      <c r="C353" s="77">
        <f t="shared" si="196"/>
        <v>56340</v>
      </c>
      <c r="D353" s="122" t="str">
        <f t="shared" si="165"/>
        <v/>
      </c>
      <c r="E353" s="123">
        <f t="shared" si="179"/>
        <v>339</v>
      </c>
      <c r="F353" s="124">
        <f t="shared" si="180"/>
        <v>0</v>
      </c>
      <c r="G353" s="125">
        <f t="shared" si="181"/>
        <v>0</v>
      </c>
      <c r="H353" s="126" t="str">
        <f t="shared" si="166"/>
        <v/>
      </c>
      <c r="I353" s="127" t="str">
        <f t="shared" si="167"/>
        <v/>
      </c>
      <c r="J353" s="128">
        <f t="shared" si="168"/>
        <v>0</v>
      </c>
      <c r="K353" s="129">
        <f t="shared" si="169"/>
        <v>0</v>
      </c>
      <c r="L353" s="1">
        <f t="shared" si="182"/>
        <v>0</v>
      </c>
      <c r="M353" s="130">
        <f t="shared" si="170"/>
        <v>0</v>
      </c>
      <c r="N353" s="131">
        <f t="shared" si="171"/>
        <v>0</v>
      </c>
      <c r="O353" s="15"/>
      <c r="P353" s="32">
        <f t="shared" si="183"/>
        <v>0</v>
      </c>
      <c r="Q353" s="33"/>
      <c r="R353" s="75">
        <f t="shared" si="184"/>
        <v>0</v>
      </c>
      <c r="V353" s="68">
        <f t="shared" si="172"/>
        <v>0</v>
      </c>
      <c r="AA353" s="4">
        <f t="shared" si="173"/>
        <v>3</v>
      </c>
      <c r="AB353" s="4">
        <f t="shared" si="174"/>
        <v>10</v>
      </c>
      <c r="AC353" s="12">
        <f t="shared" si="175"/>
        <v>29</v>
      </c>
      <c r="AJ353" s="5">
        <f t="shared" si="195"/>
        <v>0</v>
      </c>
      <c r="AK353" s="5">
        <f t="shared" si="185"/>
        <v>0</v>
      </c>
      <c r="AL353" s="77">
        <f t="shared" si="197"/>
        <v>56340</v>
      </c>
      <c r="AM353" s="27" t="str">
        <f t="shared" si="186"/>
        <v/>
      </c>
      <c r="AN353" s="76">
        <f t="shared" si="187"/>
        <v>339</v>
      </c>
      <c r="AO353" s="13">
        <f t="shared" si="188"/>
        <v>0</v>
      </c>
      <c r="AP353" s="62">
        <f t="shared" si="189"/>
        <v>0</v>
      </c>
      <c r="AQ353" s="9" t="str">
        <f t="shared" si="176"/>
        <v/>
      </c>
      <c r="AR353" s="60" t="str">
        <f t="shared" si="177"/>
        <v/>
      </c>
      <c r="AS353" s="8">
        <f t="shared" si="190"/>
        <v>0</v>
      </c>
      <c r="AT353" s="11">
        <f t="shared" si="191"/>
        <v>0</v>
      </c>
      <c r="AU353" s="15">
        <v>0</v>
      </c>
      <c r="AV353" s="32">
        <f t="shared" si="192"/>
        <v>0</v>
      </c>
      <c r="AW353" s="33"/>
      <c r="AX353" s="75">
        <f t="shared" si="193"/>
        <v>0</v>
      </c>
    </row>
    <row r="354" spans="1:50" x14ac:dyDescent="0.25">
      <c r="A354" s="5">
        <f t="shared" si="194"/>
        <v>0</v>
      </c>
      <c r="B354" s="5">
        <f t="shared" si="178"/>
        <v>0</v>
      </c>
      <c r="C354" s="77">
        <f t="shared" si="196"/>
        <v>56370</v>
      </c>
      <c r="D354" s="122" t="str">
        <f t="shared" si="165"/>
        <v/>
      </c>
      <c r="E354" s="123">
        <f t="shared" si="179"/>
        <v>340</v>
      </c>
      <c r="F354" s="124">
        <f t="shared" si="180"/>
        <v>0</v>
      </c>
      <c r="G354" s="125">
        <f t="shared" si="181"/>
        <v>0</v>
      </c>
      <c r="H354" s="126" t="str">
        <f t="shared" si="166"/>
        <v/>
      </c>
      <c r="I354" s="127" t="str">
        <f t="shared" si="167"/>
        <v/>
      </c>
      <c r="J354" s="128">
        <f t="shared" si="168"/>
        <v>0</v>
      </c>
      <c r="K354" s="129">
        <f t="shared" si="169"/>
        <v>0</v>
      </c>
      <c r="L354" s="1">
        <f t="shared" si="182"/>
        <v>0</v>
      </c>
      <c r="M354" s="130">
        <f t="shared" si="170"/>
        <v>0</v>
      </c>
      <c r="N354" s="131">
        <f t="shared" si="171"/>
        <v>0</v>
      </c>
      <c r="O354" s="15"/>
      <c r="P354" s="32">
        <f t="shared" si="183"/>
        <v>0</v>
      </c>
      <c r="Q354" s="33"/>
      <c r="R354" s="75">
        <f t="shared" si="184"/>
        <v>0</v>
      </c>
      <c r="V354" s="68">
        <f t="shared" si="172"/>
        <v>0</v>
      </c>
      <c r="AA354" s="4">
        <f t="shared" si="173"/>
        <v>3</v>
      </c>
      <c r="AB354" s="4">
        <f t="shared" si="174"/>
        <v>10</v>
      </c>
      <c r="AC354" s="12">
        <f t="shared" si="175"/>
        <v>29</v>
      </c>
      <c r="AJ354" s="5">
        <f t="shared" si="195"/>
        <v>0</v>
      </c>
      <c r="AK354" s="5">
        <f t="shared" si="185"/>
        <v>0</v>
      </c>
      <c r="AL354" s="77">
        <f t="shared" si="197"/>
        <v>56370</v>
      </c>
      <c r="AM354" s="27" t="str">
        <f t="shared" si="186"/>
        <v/>
      </c>
      <c r="AN354" s="76">
        <f t="shared" si="187"/>
        <v>340</v>
      </c>
      <c r="AO354" s="13">
        <f t="shared" si="188"/>
        <v>0</v>
      </c>
      <c r="AP354" s="62">
        <f t="shared" si="189"/>
        <v>0</v>
      </c>
      <c r="AQ354" s="9" t="str">
        <f t="shared" si="176"/>
        <v/>
      </c>
      <c r="AR354" s="60" t="str">
        <f t="shared" si="177"/>
        <v/>
      </c>
      <c r="AS354" s="8">
        <f t="shared" si="190"/>
        <v>0</v>
      </c>
      <c r="AT354" s="11">
        <f t="shared" si="191"/>
        <v>0</v>
      </c>
      <c r="AU354" s="15">
        <v>0</v>
      </c>
      <c r="AV354" s="32">
        <f t="shared" si="192"/>
        <v>0</v>
      </c>
      <c r="AW354" s="33"/>
      <c r="AX354" s="75">
        <f t="shared" si="193"/>
        <v>0</v>
      </c>
    </row>
    <row r="355" spans="1:50" x14ac:dyDescent="0.25">
      <c r="A355" s="5">
        <f t="shared" si="194"/>
        <v>0</v>
      </c>
      <c r="B355" s="5">
        <f t="shared" si="178"/>
        <v>0</v>
      </c>
      <c r="C355" s="77">
        <f t="shared" si="196"/>
        <v>56401</v>
      </c>
      <c r="D355" s="122" t="str">
        <f t="shared" si="165"/>
        <v/>
      </c>
      <c r="E355" s="123">
        <f t="shared" si="179"/>
        <v>341</v>
      </c>
      <c r="F355" s="124">
        <f t="shared" si="180"/>
        <v>0</v>
      </c>
      <c r="G355" s="125">
        <f t="shared" si="181"/>
        <v>0</v>
      </c>
      <c r="H355" s="126" t="str">
        <f t="shared" si="166"/>
        <v/>
      </c>
      <c r="I355" s="127" t="str">
        <f t="shared" si="167"/>
        <v/>
      </c>
      <c r="J355" s="128">
        <f t="shared" si="168"/>
        <v>0</v>
      </c>
      <c r="K355" s="129">
        <f t="shared" si="169"/>
        <v>0</v>
      </c>
      <c r="L355" s="1">
        <f t="shared" si="182"/>
        <v>0</v>
      </c>
      <c r="M355" s="130">
        <f t="shared" si="170"/>
        <v>0</v>
      </c>
      <c r="N355" s="131">
        <f t="shared" si="171"/>
        <v>0</v>
      </c>
      <c r="O355" s="15"/>
      <c r="P355" s="32">
        <f t="shared" si="183"/>
        <v>0</v>
      </c>
      <c r="Q355" s="33"/>
      <c r="R355" s="75">
        <f t="shared" si="184"/>
        <v>0</v>
      </c>
      <c r="V355" s="68">
        <f t="shared" si="172"/>
        <v>0</v>
      </c>
      <c r="AA355" s="4">
        <f t="shared" si="173"/>
        <v>3</v>
      </c>
      <c r="AB355" s="4">
        <f t="shared" si="174"/>
        <v>10</v>
      </c>
      <c r="AC355" s="12">
        <f t="shared" si="175"/>
        <v>29</v>
      </c>
      <c r="AJ355" s="5">
        <f t="shared" si="195"/>
        <v>0</v>
      </c>
      <c r="AK355" s="5">
        <f t="shared" si="185"/>
        <v>0</v>
      </c>
      <c r="AL355" s="77">
        <f t="shared" si="197"/>
        <v>56401</v>
      </c>
      <c r="AM355" s="27" t="str">
        <f t="shared" si="186"/>
        <v/>
      </c>
      <c r="AN355" s="76">
        <f t="shared" si="187"/>
        <v>341</v>
      </c>
      <c r="AO355" s="13">
        <f t="shared" si="188"/>
        <v>0</v>
      </c>
      <c r="AP355" s="62">
        <f t="shared" si="189"/>
        <v>0</v>
      </c>
      <c r="AQ355" s="9" t="str">
        <f t="shared" si="176"/>
        <v/>
      </c>
      <c r="AR355" s="60" t="str">
        <f t="shared" si="177"/>
        <v/>
      </c>
      <c r="AS355" s="8">
        <f t="shared" si="190"/>
        <v>0</v>
      </c>
      <c r="AT355" s="11">
        <f t="shared" si="191"/>
        <v>0</v>
      </c>
      <c r="AU355" s="15">
        <v>0</v>
      </c>
      <c r="AV355" s="32">
        <f t="shared" si="192"/>
        <v>0</v>
      </c>
      <c r="AW355" s="33"/>
      <c r="AX355" s="75">
        <f t="shared" si="193"/>
        <v>0</v>
      </c>
    </row>
    <row r="356" spans="1:50" x14ac:dyDescent="0.25">
      <c r="A356" s="5">
        <f t="shared" si="194"/>
        <v>0</v>
      </c>
      <c r="B356" s="5">
        <f t="shared" si="178"/>
        <v>0</v>
      </c>
      <c r="C356" s="77">
        <f t="shared" si="196"/>
        <v>56431</v>
      </c>
      <c r="D356" s="122" t="str">
        <f t="shared" si="165"/>
        <v/>
      </c>
      <c r="E356" s="123">
        <f t="shared" si="179"/>
        <v>342</v>
      </c>
      <c r="F356" s="124">
        <f t="shared" si="180"/>
        <v>0</v>
      </c>
      <c r="G356" s="125">
        <f t="shared" si="181"/>
        <v>0</v>
      </c>
      <c r="H356" s="126" t="str">
        <f t="shared" si="166"/>
        <v/>
      </c>
      <c r="I356" s="127" t="str">
        <f t="shared" si="167"/>
        <v/>
      </c>
      <c r="J356" s="128">
        <f t="shared" si="168"/>
        <v>0</v>
      </c>
      <c r="K356" s="129">
        <f t="shared" si="169"/>
        <v>0</v>
      </c>
      <c r="L356" s="1">
        <f t="shared" si="182"/>
        <v>0</v>
      </c>
      <c r="M356" s="130">
        <f t="shared" si="170"/>
        <v>0</v>
      </c>
      <c r="N356" s="131">
        <f t="shared" si="171"/>
        <v>0</v>
      </c>
      <c r="O356" s="15"/>
      <c r="P356" s="32">
        <f t="shared" si="183"/>
        <v>0</v>
      </c>
      <c r="Q356" s="33"/>
      <c r="R356" s="75">
        <f t="shared" si="184"/>
        <v>0</v>
      </c>
      <c r="V356" s="68">
        <f t="shared" si="172"/>
        <v>0</v>
      </c>
      <c r="AA356" s="4">
        <f t="shared" si="173"/>
        <v>3</v>
      </c>
      <c r="AB356" s="4">
        <f t="shared" si="174"/>
        <v>10</v>
      </c>
      <c r="AC356" s="12">
        <f t="shared" si="175"/>
        <v>29</v>
      </c>
      <c r="AJ356" s="5">
        <f t="shared" si="195"/>
        <v>0</v>
      </c>
      <c r="AK356" s="5">
        <f t="shared" si="185"/>
        <v>0</v>
      </c>
      <c r="AL356" s="77">
        <f t="shared" si="197"/>
        <v>56431</v>
      </c>
      <c r="AM356" s="27" t="str">
        <f t="shared" si="186"/>
        <v/>
      </c>
      <c r="AN356" s="76">
        <f t="shared" si="187"/>
        <v>342</v>
      </c>
      <c r="AO356" s="13">
        <f t="shared" si="188"/>
        <v>0</v>
      </c>
      <c r="AP356" s="62">
        <f t="shared" si="189"/>
        <v>0</v>
      </c>
      <c r="AQ356" s="9" t="str">
        <f t="shared" si="176"/>
        <v/>
      </c>
      <c r="AR356" s="60" t="str">
        <f t="shared" si="177"/>
        <v/>
      </c>
      <c r="AS356" s="8">
        <f t="shared" si="190"/>
        <v>0</v>
      </c>
      <c r="AT356" s="11">
        <f t="shared" si="191"/>
        <v>0</v>
      </c>
      <c r="AU356" s="15">
        <v>0</v>
      </c>
      <c r="AV356" s="32">
        <f t="shared" si="192"/>
        <v>0</v>
      </c>
      <c r="AW356" s="33"/>
      <c r="AX356" s="75">
        <f t="shared" si="193"/>
        <v>0</v>
      </c>
    </row>
    <row r="357" spans="1:50" x14ac:dyDescent="0.25">
      <c r="A357" s="5">
        <f t="shared" si="194"/>
        <v>0</v>
      </c>
      <c r="B357" s="5">
        <f t="shared" si="178"/>
        <v>0</v>
      </c>
      <c r="C357" s="77">
        <f t="shared" si="196"/>
        <v>56462</v>
      </c>
      <c r="D357" s="122" t="str">
        <f t="shared" si="165"/>
        <v/>
      </c>
      <c r="E357" s="123">
        <f t="shared" si="179"/>
        <v>343</v>
      </c>
      <c r="F357" s="124">
        <f t="shared" si="180"/>
        <v>0</v>
      </c>
      <c r="G357" s="125">
        <f t="shared" si="181"/>
        <v>0</v>
      </c>
      <c r="H357" s="126" t="str">
        <f t="shared" si="166"/>
        <v/>
      </c>
      <c r="I357" s="127" t="str">
        <f t="shared" si="167"/>
        <v/>
      </c>
      <c r="J357" s="128">
        <f t="shared" si="168"/>
        <v>0</v>
      </c>
      <c r="K357" s="129">
        <f t="shared" si="169"/>
        <v>0</v>
      </c>
      <c r="L357" s="1">
        <f t="shared" si="182"/>
        <v>0</v>
      </c>
      <c r="M357" s="130">
        <f t="shared" si="170"/>
        <v>0</v>
      </c>
      <c r="N357" s="131">
        <f t="shared" si="171"/>
        <v>0</v>
      </c>
      <c r="O357" s="15"/>
      <c r="P357" s="32">
        <f t="shared" si="183"/>
        <v>0</v>
      </c>
      <c r="Q357" s="33"/>
      <c r="R357" s="75">
        <f t="shared" si="184"/>
        <v>0</v>
      </c>
      <c r="V357" s="68">
        <f t="shared" si="172"/>
        <v>0</v>
      </c>
      <c r="AA357" s="4">
        <f t="shared" si="173"/>
        <v>3</v>
      </c>
      <c r="AB357" s="4">
        <f t="shared" si="174"/>
        <v>10</v>
      </c>
      <c r="AC357" s="12">
        <f t="shared" si="175"/>
        <v>29</v>
      </c>
      <c r="AJ357" s="5">
        <f t="shared" si="195"/>
        <v>0</v>
      </c>
      <c r="AK357" s="5">
        <f t="shared" si="185"/>
        <v>0</v>
      </c>
      <c r="AL357" s="77">
        <f t="shared" si="197"/>
        <v>56462</v>
      </c>
      <c r="AM357" s="27" t="str">
        <f t="shared" si="186"/>
        <v/>
      </c>
      <c r="AN357" s="76">
        <f t="shared" si="187"/>
        <v>343</v>
      </c>
      <c r="AO357" s="13">
        <f t="shared" si="188"/>
        <v>0</v>
      </c>
      <c r="AP357" s="62">
        <f t="shared" si="189"/>
        <v>0</v>
      </c>
      <c r="AQ357" s="9" t="str">
        <f t="shared" si="176"/>
        <v/>
      </c>
      <c r="AR357" s="60" t="str">
        <f t="shared" si="177"/>
        <v/>
      </c>
      <c r="AS357" s="8">
        <f t="shared" si="190"/>
        <v>0</v>
      </c>
      <c r="AT357" s="11">
        <f t="shared" si="191"/>
        <v>0</v>
      </c>
      <c r="AU357" s="15">
        <v>0</v>
      </c>
      <c r="AV357" s="32">
        <f t="shared" si="192"/>
        <v>0</v>
      </c>
      <c r="AW357" s="33"/>
      <c r="AX357" s="75">
        <f t="shared" si="193"/>
        <v>0</v>
      </c>
    </row>
    <row r="358" spans="1:50" x14ac:dyDescent="0.25">
      <c r="A358" s="5">
        <f t="shared" si="194"/>
        <v>0</v>
      </c>
      <c r="B358" s="5">
        <f t="shared" si="178"/>
        <v>0</v>
      </c>
      <c r="C358" s="77">
        <f t="shared" si="196"/>
        <v>56493</v>
      </c>
      <c r="D358" s="122" t="str">
        <f t="shared" si="165"/>
        <v/>
      </c>
      <c r="E358" s="123">
        <f t="shared" si="179"/>
        <v>344</v>
      </c>
      <c r="F358" s="124">
        <f t="shared" si="180"/>
        <v>0</v>
      </c>
      <c r="G358" s="125">
        <f t="shared" si="181"/>
        <v>0</v>
      </c>
      <c r="H358" s="126" t="str">
        <f t="shared" si="166"/>
        <v/>
      </c>
      <c r="I358" s="127" t="str">
        <f t="shared" si="167"/>
        <v/>
      </c>
      <c r="J358" s="128">
        <f t="shared" si="168"/>
        <v>0</v>
      </c>
      <c r="K358" s="129">
        <f t="shared" si="169"/>
        <v>0</v>
      </c>
      <c r="L358" s="1">
        <f t="shared" si="182"/>
        <v>0</v>
      </c>
      <c r="M358" s="130">
        <f t="shared" si="170"/>
        <v>0</v>
      </c>
      <c r="N358" s="131">
        <f t="shared" si="171"/>
        <v>0</v>
      </c>
      <c r="O358" s="15"/>
      <c r="P358" s="32">
        <f t="shared" si="183"/>
        <v>0</v>
      </c>
      <c r="Q358" s="33"/>
      <c r="R358" s="75">
        <f t="shared" si="184"/>
        <v>0</v>
      </c>
      <c r="V358" s="68">
        <f t="shared" si="172"/>
        <v>0</v>
      </c>
      <c r="AA358" s="4">
        <f t="shared" si="173"/>
        <v>3</v>
      </c>
      <c r="AB358" s="4">
        <f t="shared" si="174"/>
        <v>10</v>
      </c>
      <c r="AC358" s="12">
        <f t="shared" si="175"/>
        <v>29</v>
      </c>
      <c r="AJ358" s="5">
        <f t="shared" si="195"/>
        <v>0</v>
      </c>
      <c r="AK358" s="5">
        <f t="shared" si="185"/>
        <v>0</v>
      </c>
      <c r="AL358" s="77">
        <f t="shared" si="197"/>
        <v>56493</v>
      </c>
      <c r="AM358" s="27" t="str">
        <f t="shared" si="186"/>
        <v/>
      </c>
      <c r="AN358" s="76">
        <f t="shared" si="187"/>
        <v>344</v>
      </c>
      <c r="AO358" s="13">
        <f t="shared" si="188"/>
        <v>0</v>
      </c>
      <c r="AP358" s="62">
        <f t="shared" si="189"/>
        <v>0</v>
      </c>
      <c r="AQ358" s="9" t="str">
        <f t="shared" si="176"/>
        <v/>
      </c>
      <c r="AR358" s="60" t="str">
        <f t="shared" si="177"/>
        <v/>
      </c>
      <c r="AS358" s="8">
        <f t="shared" si="190"/>
        <v>0</v>
      </c>
      <c r="AT358" s="11">
        <f t="shared" si="191"/>
        <v>0</v>
      </c>
      <c r="AU358" s="15">
        <v>0</v>
      </c>
      <c r="AV358" s="32">
        <f t="shared" si="192"/>
        <v>0</v>
      </c>
      <c r="AW358" s="33"/>
      <c r="AX358" s="75">
        <f t="shared" si="193"/>
        <v>0</v>
      </c>
    </row>
    <row r="359" spans="1:50" x14ac:dyDescent="0.25">
      <c r="A359" s="5">
        <f t="shared" si="194"/>
        <v>0</v>
      </c>
      <c r="B359" s="5">
        <f t="shared" si="178"/>
        <v>0</v>
      </c>
      <c r="C359" s="77">
        <f t="shared" si="196"/>
        <v>56523</v>
      </c>
      <c r="D359" s="122" t="str">
        <f t="shared" si="165"/>
        <v/>
      </c>
      <c r="E359" s="123">
        <f t="shared" si="179"/>
        <v>345</v>
      </c>
      <c r="F359" s="124">
        <f t="shared" si="180"/>
        <v>0</v>
      </c>
      <c r="G359" s="125">
        <f t="shared" si="181"/>
        <v>0</v>
      </c>
      <c r="H359" s="126" t="str">
        <f t="shared" si="166"/>
        <v/>
      </c>
      <c r="I359" s="127" t="str">
        <f t="shared" si="167"/>
        <v/>
      </c>
      <c r="J359" s="128">
        <f t="shared" si="168"/>
        <v>0</v>
      </c>
      <c r="K359" s="129">
        <f t="shared" si="169"/>
        <v>0</v>
      </c>
      <c r="L359" s="1">
        <f t="shared" si="182"/>
        <v>0</v>
      </c>
      <c r="M359" s="130">
        <f t="shared" si="170"/>
        <v>0</v>
      </c>
      <c r="N359" s="131">
        <f t="shared" si="171"/>
        <v>0</v>
      </c>
      <c r="O359" s="15"/>
      <c r="P359" s="32">
        <f t="shared" si="183"/>
        <v>0</v>
      </c>
      <c r="Q359" s="33"/>
      <c r="R359" s="75">
        <f t="shared" si="184"/>
        <v>0</v>
      </c>
      <c r="V359" s="68">
        <f t="shared" si="172"/>
        <v>0</v>
      </c>
      <c r="AA359" s="4">
        <f t="shared" si="173"/>
        <v>3</v>
      </c>
      <c r="AB359" s="4">
        <f t="shared" si="174"/>
        <v>10</v>
      </c>
      <c r="AC359" s="12">
        <f t="shared" si="175"/>
        <v>29</v>
      </c>
      <c r="AJ359" s="5">
        <f t="shared" si="195"/>
        <v>0</v>
      </c>
      <c r="AK359" s="5">
        <f t="shared" si="185"/>
        <v>0</v>
      </c>
      <c r="AL359" s="77">
        <f t="shared" si="197"/>
        <v>56523</v>
      </c>
      <c r="AM359" s="27" t="str">
        <f t="shared" si="186"/>
        <v/>
      </c>
      <c r="AN359" s="76">
        <f t="shared" si="187"/>
        <v>345</v>
      </c>
      <c r="AO359" s="13">
        <f t="shared" si="188"/>
        <v>0</v>
      </c>
      <c r="AP359" s="62">
        <f t="shared" si="189"/>
        <v>0</v>
      </c>
      <c r="AQ359" s="9" t="str">
        <f t="shared" si="176"/>
        <v/>
      </c>
      <c r="AR359" s="60" t="str">
        <f t="shared" si="177"/>
        <v/>
      </c>
      <c r="AS359" s="8">
        <f t="shared" si="190"/>
        <v>0</v>
      </c>
      <c r="AT359" s="11">
        <f t="shared" si="191"/>
        <v>0</v>
      </c>
      <c r="AU359" s="15">
        <v>0</v>
      </c>
      <c r="AV359" s="32">
        <f t="shared" si="192"/>
        <v>0</v>
      </c>
      <c r="AW359" s="33"/>
      <c r="AX359" s="75">
        <f t="shared" si="193"/>
        <v>0</v>
      </c>
    </row>
    <row r="360" spans="1:50" x14ac:dyDescent="0.25">
      <c r="A360" s="5">
        <f t="shared" si="194"/>
        <v>0</v>
      </c>
      <c r="B360" s="5">
        <f t="shared" si="178"/>
        <v>0</v>
      </c>
      <c r="C360" s="77">
        <f t="shared" si="196"/>
        <v>56554</v>
      </c>
      <c r="D360" s="122" t="str">
        <f t="shared" si="165"/>
        <v/>
      </c>
      <c r="E360" s="123">
        <f t="shared" si="179"/>
        <v>346</v>
      </c>
      <c r="F360" s="124">
        <f t="shared" si="180"/>
        <v>0</v>
      </c>
      <c r="G360" s="125">
        <f t="shared" si="181"/>
        <v>0</v>
      </c>
      <c r="H360" s="126" t="str">
        <f t="shared" si="166"/>
        <v/>
      </c>
      <c r="I360" s="127" t="str">
        <f t="shared" si="167"/>
        <v/>
      </c>
      <c r="J360" s="128">
        <f t="shared" si="168"/>
        <v>0</v>
      </c>
      <c r="K360" s="129">
        <f t="shared" si="169"/>
        <v>0</v>
      </c>
      <c r="L360" s="1">
        <f t="shared" si="182"/>
        <v>0</v>
      </c>
      <c r="M360" s="130">
        <f t="shared" si="170"/>
        <v>0</v>
      </c>
      <c r="N360" s="131">
        <f t="shared" si="171"/>
        <v>0</v>
      </c>
      <c r="O360" s="15"/>
      <c r="P360" s="32">
        <f t="shared" si="183"/>
        <v>0</v>
      </c>
      <c r="Q360" s="33"/>
      <c r="R360" s="75">
        <f t="shared" si="184"/>
        <v>0</v>
      </c>
      <c r="V360" s="68">
        <f t="shared" si="172"/>
        <v>0</v>
      </c>
      <c r="AA360" s="4">
        <f t="shared" si="173"/>
        <v>3</v>
      </c>
      <c r="AB360" s="4">
        <f t="shared" si="174"/>
        <v>10</v>
      </c>
      <c r="AC360" s="12">
        <f t="shared" si="175"/>
        <v>29</v>
      </c>
      <c r="AJ360" s="5">
        <f t="shared" si="195"/>
        <v>0</v>
      </c>
      <c r="AK360" s="5">
        <f t="shared" si="185"/>
        <v>0</v>
      </c>
      <c r="AL360" s="77">
        <f t="shared" si="197"/>
        <v>56554</v>
      </c>
      <c r="AM360" s="27" t="str">
        <f t="shared" si="186"/>
        <v/>
      </c>
      <c r="AN360" s="76">
        <f t="shared" si="187"/>
        <v>346</v>
      </c>
      <c r="AO360" s="13">
        <f t="shared" si="188"/>
        <v>0</v>
      </c>
      <c r="AP360" s="62">
        <f t="shared" si="189"/>
        <v>0</v>
      </c>
      <c r="AQ360" s="9" t="str">
        <f t="shared" si="176"/>
        <v/>
      </c>
      <c r="AR360" s="60" t="str">
        <f t="shared" si="177"/>
        <v/>
      </c>
      <c r="AS360" s="8">
        <f t="shared" si="190"/>
        <v>0</v>
      </c>
      <c r="AT360" s="11">
        <f t="shared" si="191"/>
        <v>0</v>
      </c>
      <c r="AU360" s="15">
        <v>0</v>
      </c>
      <c r="AV360" s="32">
        <f t="shared" si="192"/>
        <v>0</v>
      </c>
      <c r="AW360" s="33"/>
      <c r="AX360" s="75">
        <f t="shared" si="193"/>
        <v>0</v>
      </c>
    </row>
    <row r="361" spans="1:50" x14ac:dyDescent="0.25">
      <c r="A361" s="5">
        <f t="shared" si="194"/>
        <v>0</v>
      </c>
      <c r="B361" s="5">
        <f t="shared" si="178"/>
        <v>0</v>
      </c>
      <c r="C361" s="77">
        <f t="shared" si="196"/>
        <v>56584</v>
      </c>
      <c r="D361" s="122" t="str">
        <f t="shared" si="165"/>
        <v/>
      </c>
      <c r="E361" s="123">
        <f t="shared" si="179"/>
        <v>347</v>
      </c>
      <c r="F361" s="124">
        <f t="shared" si="180"/>
        <v>0</v>
      </c>
      <c r="G361" s="125">
        <f t="shared" si="181"/>
        <v>0</v>
      </c>
      <c r="H361" s="126" t="str">
        <f t="shared" si="166"/>
        <v/>
      </c>
      <c r="I361" s="127" t="str">
        <f t="shared" si="167"/>
        <v/>
      </c>
      <c r="J361" s="128">
        <f t="shared" si="168"/>
        <v>0</v>
      </c>
      <c r="K361" s="129">
        <f t="shared" si="169"/>
        <v>0</v>
      </c>
      <c r="L361" s="1">
        <f t="shared" si="182"/>
        <v>0</v>
      </c>
      <c r="M361" s="130">
        <f t="shared" si="170"/>
        <v>0</v>
      </c>
      <c r="N361" s="131">
        <f t="shared" si="171"/>
        <v>0</v>
      </c>
      <c r="O361" s="15"/>
      <c r="P361" s="32">
        <f t="shared" si="183"/>
        <v>0</v>
      </c>
      <c r="Q361" s="33"/>
      <c r="R361" s="75">
        <f t="shared" si="184"/>
        <v>0</v>
      </c>
      <c r="V361" s="68">
        <f t="shared" si="172"/>
        <v>0</v>
      </c>
      <c r="AA361" s="4">
        <f t="shared" si="173"/>
        <v>3</v>
      </c>
      <c r="AB361" s="4">
        <f t="shared" si="174"/>
        <v>10</v>
      </c>
      <c r="AC361" s="12">
        <f t="shared" si="175"/>
        <v>29</v>
      </c>
      <c r="AJ361" s="5">
        <f t="shared" si="195"/>
        <v>0</v>
      </c>
      <c r="AK361" s="5">
        <f t="shared" si="185"/>
        <v>0</v>
      </c>
      <c r="AL361" s="77">
        <f t="shared" si="197"/>
        <v>56584</v>
      </c>
      <c r="AM361" s="27" t="str">
        <f t="shared" si="186"/>
        <v/>
      </c>
      <c r="AN361" s="76">
        <f t="shared" si="187"/>
        <v>347</v>
      </c>
      <c r="AO361" s="13">
        <f t="shared" si="188"/>
        <v>0</v>
      </c>
      <c r="AP361" s="62">
        <f t="shared" si="189"/>
        <v>0</v>
      </c>
      <c r="AQ361" s="9" t="str">
        <f t="shared" si="176"/>
        <v/>
      </c>
      <c r="AR361" s="60" t="str">
        <f t="shared" si="177"/>
        <v/>
      </c>
      <c r="AS361" s="8">
        <f t="shared" si="190"/>
        <v>0</v>
      </c>
      <c r="AT361" s="11">
        <f t="shared" si="191"/>
        <v>0</v>
      </c>
      <c r="AU361" s="15">
        <v>0</v>
      </c>
      <c r="AV361" s="32">
        <f t="shared" si="192"/>
        <v>0</v>
      </c>
      <c r="AW361" s="33"/>
      <c r="AX361" s="75">
        <f t="shared" si="193"/>
        <v>0</v>
      </c>
    </row>
    <row r="362" spans="1:50" x14ac:dyDescent="0.25">
      <c r="A362" s="5">
        <f t="shared" si="194"/>
        <v>0</v>
      </c>
      <c r="B362" s="5">
        <f t="shared" si="178"/>
        <v>0</v>
      </c>
      <c r="C362" s="77">
        <f t="shared" si="196"/>
        <v>56615</v>
      </c>
      <c r="D362" s="122" t="str">
        <f t="shared" si="165"/>
        <v/>
      </c>
      <c r="E362" s="123">
        <f t="shared" si="179"/>
        <v>348</v>
      </c>
      <c r="F362" s="124">
        <f t="shared" si="180"/>
        <v>0</v>
      </c>
      <c r="G362" s="125">
        <f t="shared" si="181"/>
        <v>0</v>
      </c>
      <c r="H362" s="126" t="str">
        <f t="shared" si="166"/>
        <v/>
      </c>
      <c r="I362" s="127" t="str">
        <f t="shared" si="167"/>
        <v/>
      </c>
      <c r="J362" s="128">
        <f t="shared" si="168"/>
        <v>0</v>
      </c>
      <c r="K362" s="129">
        <f t="shared" si="169"/>
        <v>0</v>
      </c>
      <c r="L362" s="1">
        <f t="shared" si="182"/>
        <v>0</v>
      </c>
      <c r="M362" s="130">
        <f t="shared" si="170"/>
        <v>0</v>
      </c>
      <c r="N362" s="131">
        <f t="shared" si="171"/>
        <v>0</v>
      </c>
      <c r="O362" s="15"/>
      <c r="P362" s="32">
        <f t="shared" si="183"/>
        <v>0</v>
      </c>
      <c r="Q362" s="33"/>
      <c r="R362" s="75">
        <f t="shared" si="184"/>
        <v>0</v>
      </c>
      <c r="V362" s="68">
        <f t="shared" si="172"/>
        <v>0</v>
      </c>
      <c r="AA362" s="4">
        <f t="shared" si="173"/>
        <v>3</v>
      </c>
      <c r="AB362" s="4">
        <f t="shared" si="174"/>
        <v>10</v>
      </c>
      <c r="AC362" s="12">
        <f t="shared" si="175"/>
        <v>29</v>
      </c>
      <c r="AJ362" s="5">
        <f t="shared" si="195"/>
        <v>0</v>
      </c>
      <c r="AK362" s="5">
        <f t="shared" si="185"/>
        <v>0</v>
      </c>
      <c r="AL362" s="77">
        <f t="shared" si="197"/>
        <v>56615</v>
      </c>
      <c r="AM362" s="27" t="str">
        <f t="shared" si="186"/>
        <v/>
      </c>
      <c r="AN362" s="76">
        <f t="shared" si="187"/>
        <v>348</v>
      </c>
      <c r="AO362" s="13">
        <f t="shared" si="188"/>
        <v>0</v>
      </c>
      <c r="AP362" s="62">
        <f t="shared" si="189"/>
        <v>0</v>
      </c>
      <c r="AQ362" s="9" t="str">
        <f t="shared" si="176"/>
        <v/>
      </c>
      <c r="AR362" s="60" t="str">
        <f t="shared" si="177"/>
        <v/>
      </c>
      <c r="AS362" s="8">
        <f t="shared" si="190"/>
        <v>0</v>
      </c>
      <c r="AT362" s="11">
        <f t="shared" si="191"/>
        <v>0</v>
      </c>
      <c r="AU362" s="15">
        <v>0</v>
      </c>
      <c r="AV362" s="32">
        <f t="shared" si="192"/>
        <v>0</v>
      </c>
      <c r="AW362" s="33"/>
      <c r="AX362" s="75">
        <f t="shared" si="193"/>
        <v>0</v>
      </c>
    </row>
    <row r="363" spans="1:50" x14ac:dyDescent="0.25">
      <c r="A363" s="5">
        <f t="shared" si="194"/>
        <v>0</v>
      </c>
      <c r="B363" s="5">
        <f t="shared" si="178"/>
        <v>0</v>
      </c>
      <c r="C363" s="77">
        <f t="shared" si="196"/>
        <v>56646</v>
      </c>
      <c r="D363" s="122" t="str">
        <f t="shared" si="165"/>
        <v/>
      </c>
      <c r="E363" s="123">
        <f t="shared" si="179"/>
        <v>349</v>
      </c>
      <c r="F363" s="124">
        <f t="shared" si="180"/>
        <v>0</v>
      </c>
      <c r="G363" s="125">
        <f t="shared" si="181"/>
        <v>0</v>
      </c>
      <c r="H363" s="126" t="str">
        <f t="shared" si="166"/>
        <v/>
      </c>
      <c r="I363" s="127" t="str">
        <f t="shared" si="167"/>
        <v/>
      </c>
      <c r="J363" s="128">
        <f t="shared" si="168"/>
        <v>0</v>
      </c>
      <c r="K363" s="129">
        <f t="shared" si="169"/>
        <v>0</v>
      </c>
      <c r="L363" s="1">
        <f t="shared" si="182"/>
        <v>0</v>
      </c>
      <c r="M363" s="130">
        <f t="shared" si="170"/>
        <v>0</v>
      </c>
      <c r="N363" s="131">
        <f t="shared" si="171"/>
        <v>0</v>
      </c>
      <c r="O363" s="15"/>
      <c r="P363" s="32">
        <f t="shared" si="183"/>
        <v>0</v>
      </c>
      <c r="Q363" s="33"/>
      <c r="R363" s="75">
        <f t="shared" si="184"/>
        <v>0</v>
      </c>
      <c r="V363" s="68">
        <f t="shared" si="172"/>
        <v>0</v>
      </c>
      <c r="AA363" s="4">
        <f t="shared" si="173"/>
        <v>3</v>
      </c>
      <c r="AB363" s="4">
        <f t="shared" si="174"/>
        <v>10</v>
      </c>
      <c r="AC363" s="12">
        <f t="shared" si="175"/>
        <v>30</v>
      </c>
      <c r="AJ363" s="5">
        <f t="shared" si="195"/>
        <v>0</v>
      </c>
      <c r="AK363" s="5">
        <f t="shared" si="185"/>
        <v>0</v>
      </c>
      <c r="AL363" s="77">
        <f t="shared" si="197"/>
        <v>56646</v>
      </c>
      <c r="AM363" s="27" t="str">
        <f t="shared" si="186"/>
        <v/>
      </c>
      <c r="AN363" s="76">
        <f t="shared" si="187"/>
        <v>349</v>
      </c>
      <c r="AO363" s="13">
        <f t="shared" si="188"/>
        <v>0</v>
      </c>
      <c r="AP363" s="62">
        <f t="shared" si="189"/>
        <v>0</v>
      </c>
      <c r="AQ363" s="9" t="str">
        <f t="shared" si="176"/>
        <v/>
      </c>
      <c r="AR363" s="60" t="str">
        <f t="shared" si="177"/>
        <v/>
      </c>
      <c r="AS363" s="8">
        <f t="shared" si="190"/>
        <v>0</v>
      </c>
      <c r="AT363" s="11">
        <f t="shared" si="191"/>
        <v>0</v>
      </c>
      <c r="AU363" s="15">
        <v>0</v>
      </c>
      <c r="AV363" s="32">
        <f t="shared" si="192"/>
        <v>0</v>
      </c>
      <c r="AW363" s="33"/>
      <c r="AX363" s="75">
        <f t="shared" si="193"/>
        <v>0</v>
      </c>
    </row>
    <row r="364" spans="1:50" x14ac:dyDescent="0.25">
      <c r="A364" s="5">
        <f t="shared" si="194"/>
        <v>0</v>
      </c>
      <c r="B364" s="5">
        <f t="shared" si="178"/>
        <v>0</v>
      </c>
      <c r="C364" s="77">
        <f t="shared" si="196"/>
        <v>56674</v>
      </c>
      <c r="D364" s="122" t="str">
        <f t="shared" si="165"/>
        <v/>
      </c>
      <c r="E364" s="123">
        <f t="shared" si="179"/>
        <v>350</v>
      </c>
      <c r="F364" s="124">
        <f t="shared" si="180"/>
        <v>0</v>
      </c>
      <c r="G364" s="125">
        <f t="shared" si="181"/>
        <v>0</v>
      </c>
      <c r="H364" s="126" t="str">
        <f t="shared" si="166"/>
        <v/>
      </c>
      <c r="I364" s="127" t="str">
        <f t="shared" si="167"/>
        <v/>
      </c>
      <c r="J364" s="128">
        <f t="shared" si="168"/>
        <v>0</v>
      </c>
      <c r="K364" s="129">
        <f t="shared" si="169"/>
        <v>0</v>
      </c>
      <c r="L364" s="1">
        <f t="shared" si="182"/>
        <v>0</v>
      </c>
      <c r="M364" s="130">
        <f t="shared" si="170"/>
        <v>0</v>
      </c>
      <c r="N364" s="131">
        <f t="shared" si="171"/>
        <v>0</v>
      </c>
      <c r="O364" s="15"/>
      <c r="P364" s="32">
        <f t="shared" si="183"/>
        <v>0</v>
      </c>
      <c r="Q364" s="33"/>
      <c r="R364" s="75">
        <f t="shared" si="184"/>
        <v>0</v>
      </c>
      <c r="V364" s="68">
        <f t="shared" si="172"/>
        <v>0</v>
      </c>
      <c r="AA364" s="4">
        <f t="shared" si="173"/>
        <v>3</v>
      </c>
      <c r="AB364" s="4">
        <f t="shared" si="174"/>
        <v>10</v>
      </c>
      <c r="AC364" s="12">
        <f t="shared" si="175"/>
        <v>30</v>
      </c>
      <c r="AJ364" s="5">
        <f t="shared" si="195"/>
        <v>0</v>
      </c>
      <c r="AK364" s="5">
        <f t="shared" si="185"/>
        <v>0</v>
      </c>
      <c r="AL364" s="77">
        <f t="shared" si="197"/>
        <v>56674</v>
      </c>
      <c r="AM364" s="27" t="str">
        <f t="shared" si="186"/>
        <v/>
      </c>
      <c r="AN364" s="76">
        <f t="shared" si="187"/>
        <v>350</v>
      </c>
      <c r="AO364" s="13">
        <f t="shared" si="188"/>
        <v>0</v>
      </c>
      <c r="AP364" s="62">
        <f t="shared" si="189"/>
        <v>0</v>
      </c>
      <c r="AQ364" s="9" t="str">
        <f t="shared" si="176"/>
        <v/>
      </c>
      <c r="AR364" s="60" t="str">
        <f t="shared" si="177"/>
        <v/>
      </c>
      <c r="AS364" s="8">
        <f t="shared" si="190"/>
        <v>0</v>
      </c>
      <c r="AT364" s="11">
        <f t="shared" si="191"/>
        <v>0</v>
      </c>
      <c r="AU364" s="15">
        <v>0</v>
      </c>
      <c r="AV364" s="32">
        <f t="shared" si="192"/>
        <v>0</v>
      </c>
      <c r="AW364" s="33"/>
      <c r="AX364" s="75">
        <f t="shared" si="193"/>
        <v>0</v>
      </c>
    </row>
    <row r="365" spans="1:50" x14ac:dyDescent="0.25">
      <c r="A365" s="5">
        <f t="shared" si="194"/>
        <v>0</v>
      </c>
      <c r="B365" s="5">
        <f t="shared" si="178"/>
        <v>0</v>
      </c>
      <c r="C365" s="77">
        <f t="shared" si="196"/>
        <v>56705</v>
      </c>
      <c r="D365" s="122" t="str">
        <f t="shared" si="165"/>
        <v/>
      </c>
      <c r="E365" s="123">
        <f t="shared" si="179"/>
        <v>351</v>
      </c>
      <c r="F365" s="124">
        <f t="shared" si="180"/>
        <v>0</v>
      </c>
      <c r="G365" s="125">
        <f t="shared" si="181"/>
        <v>0</v>
      </c>
      <c r="H365" s="126" t="str">
        <f t="shared" si="166"/>
        <v/>
      </c>
      <c r="I365" s="127" t="str">
        <f t="shared" si="167"/>
        <v/>
      </c>
      <c r="J365" s="128">
        <f t="shared" si="168"/>
        <v>0</v>
      </c>
      <c r="K365" s="129">
        <f t="shared" si="169"/>
        <v>0</v>
      </c>
      <c r="L365" s="1">
        <f t="shared" si="182"/>
        <v>0</v>
      </c>
      <c r="M365" s="130">
        <f t="shared" si="170"/>
        <v>0</v>
      </c>
      <c r="N365" s="131">
        <f t="shared" si="171"/>
        <v>0</v>
      </c>
      <c r="O365" s="15"/>
      <c r="P365" s="32">
        <f t="shared" si="183"/>
        <v>0</v>
      </c>
      <c r="Q365" s="33"/>
      <c r="R365" s="75">
        <f t="shared" si="184"/>
        <v>0</v>
      </c>
      <c r="V365" s="68">
        <f t="shared" si="172"/>
        <v>0</v>
      </c>
      <c r="AA365" s="4">
        <f t="shared" si="173"/>
        <v>3</v>
      </c>
      <c r="AB365" s="4">
        <f t="shared" si="174"/>
        <v>10</v>
      </c>
      <c r="AC365" s="12">
        <f t="shared" si="175"/>
        <v>30</v>
      </c>
      <c r="AJ365" s="5">
        <f t="shared" si="195"/>
        <v>0</v>
      </c>
      <c r="AK365" s="5">
        <f t="shared" si="185"/>
        <v>0</v>
      </c>
      <c r="AL365" s="77">
        <f t="shared" si="197"/>
        <v>56705</v>
      </c>
      <c r="AM365" s="27" t="str">
        <f t="shared" si="186"/>
        <v/>
      </c>
      <c r="AN365" s="76">
        <f t="shared" si="187"/>
        <v>351</v>
      </c>
      <c r="AO365" s="13">
        <f t="shared" si="188"/>
        <v>0</v>
      </c>
      <c r="AP365" s="62">
        <f t="shared" si="189"/>
        <v>0</v>
      </c>
      <c r="AQ365" s="9" t="str">
        <f t="shared" si="176"/>
        <v/>
      </c>
      <c r="AR365" s="60" t="str">
        <f t="shared" si="177"/>
        <v/>
      </c>
      <c r="AS365" s="8">
        <f t="shared" si="190"/>
        <v>0</v>
      </c>
      <c r="AT365" s="11">
        <f t="shared" si="191"/>
        <v>0</v>
      </c>
      <c r="AU365" s="15">
        <v>0</v>
      </c>
      <c r="AV365" s="32">
        <f t="shared" si="192"/>
        <v>0</v>
      </c>
      <c r="AW365" s="33"/>
      <c r="AX365" s="75">
        <f t="shared" si="193"/>
        <v>0</v>
      </c>
    </row>
    <row r="366" spans="1:50" x14ac:dyDescent="0.25">
      <c r="A366" s="5">
        <f t="shared" si="194"/>
        <v>0</v>
      </c>
      <c r="B366" s="5">
        <f t="shared" si="178"/>
        <v>0</v>
      </c>
      <c r="C366" s="77">
        <f t="shared" si="196"/>
        <v>56735</v>
      </c>
      <c r="D366" s="122" t="str">
        <f t="shared" si="165"/>
        <v/>
      </c>
      <c r="E366" s="123">
        <f t="shared" si="179"/>
        <v>352</v>
      </c>
      <c r="F366" s="124">
        <f t="shared" si="180"/>
        <v>0</v>
      </c>
      <c r="G366" s="125">
        <f t="shared" si="181"/>
        <v>0</v>
      </c>
      <c r="H366" s="126" t="str">
        <f t="shared" si="166"/>
        <v/>
      </c>
      <c r="I366" s="127" t="str">
        <f t="shared" si="167"/>
        <v/>
      </c>
      <c r="J366" s="128">
        <f t="shared" si="168"/>
        <v>0</v>
      </c>
      <c r="K366" s="129">
        <f t="shared" si="169"/>
        <v>0</v>
      </c>
      <c r="L366" s="1">
        <f t="shared" si="182"/>
        <v>0</v>
      </c>
      <c r="M366" s="130">
        <f t="shared" si="170"/>
        <v>0</v>
      </c>
      <c r="N366" s="131">
        <f t="shared" si="171"/>
        <v>0</v>
      </c>
      <c r="O366" s="15"/>
      <c r="P366" s="32">
        <f t="shared" si="183"/>
        <v>0</v>
      </c>
      <c r="Q366" s="33"/>
      <c r="R366" s="75">
        <f t="shared" si="184"/>
        <v>0</v>
      </c>
      <c r="V366" s="68">
        <f t="shared" si="172"/>
        <v>0</v>
      </c>
      <c r="AA366" s="4">
        <f t="shared" si="173"/>
        <v>3</v>
      </c>
      <c r="AB366" s="4">
        <f t="shared" si="174"/>
        <v>10</v>
      </c>
      <c r="AC366" s="12">
        <f t="shared" si="175"/>
        <v>30</v>
      </c>
      <c r="AJ366" s="5">
        <f t="shared" si="195"/>
        <v>0</v>
      </c>
      <c r="AK366" s="5">
        <f t="shared" si="185"/>
        <v>0</v>
      </c>
      <c r="AL366" s="77">
        <f t="shared" si="197"/>
        <v>56735</v>
      </c>
      <c r="AM366" s="27" t="str">
        <f t="shared" si="186"/>
        <v/>
      </c>
      <c r="AN366" s="76">
        <f t="shared" si="187"/>
        <v>352</v>
      </c>
      <c r="AO366" s="13">
        <f t="shared" si="188"/>
        <v>0</v>
      </c>
      <c r="AP366" s="62">
        <f t="shared" si="189"/>
        <v>0</v>
      </c>
      <c r="AQ366" s="9" t="str">
        <f t="shared" si="176"/>
        <v/>
      </c>
      <c r="AR366" s="60" t="str">
        <f t="shared" si="177"/>
        <v/>
      </c>
      <c r="AS366" s="8">
        <f t="shared" si="190"/>
        <v>0</v>
      </c>
      <c r="AT366" s="11">
        <f t="shared" si="191"/>
        <v>0</v>
      </c>
      <c r="AU366" s="15">
        <v>0</v>
      </c>
      <c r="AV366" s="32">
        <f t="shared" si="192"/>
        <v>0</v>
      </c>
      <c r="AW366" s="33"/>
      <c r="AX366" s="75">
        <f t="shared" si="193"/>
        <v>0</v>
      </c>
    </row>
    <row r="367" spans="1:50" x14ac:dyDescent="0.25">
      <c r="A367" s="5">
        <f t="shared" si="194"/>
        <v>0</v>
      </c>
      <c r="B367" s="5">
        <f t="shared" si="178"/>
        <v>0</v>
      </c>
      <c r="C367" s="77">
        <f t="shared" si="196"/>
        <v>56766</v>
      </c>
      <c r="D367" s="122" t="str">
        <f t="shared" si="165"/>
        <v/>
      </c>
      <c r="E367" s="123">
        <f t="shared" si="179"/>
        <v>353</v>
      </c>
      <c r="F367" s="124">
        <f t="shared" si="180"/>
        <v>0</v>
      </c>
      <c r="G367" s="125">
        <f t="shared" si="181"/>
        <v>0</v>
      </c>
      <c r="H367" s="126" t="str">
        <f t="shared" si="166"/>
        <v/>
      </c>
      <c r="I367" s="127" t="str">
        <f t="shared" si="167"/>
        <v/>
      </c>
      <c r="J367" s="128">
        <f t="shared" si="168"/>
        <v>0</v>
      </c>
      <c r="K367" s="129">
        <f t="shared" si="169"/>
        <v>0</v>
      </c>
      <c r="L367" s="1">
        <f t="shared" si="182"/>
        <v>0</v>
      </c>
      <c r="M367" s="130">
        <f t="shared" si="170"/>
        <v>0</v>
      </c>
      <c r="N367" s="131">
        <f t="shared" si="171"/>
        <v>0</v>
      </c>
      <c r="O367" s="15"/>
      <c r="P367" s="32">
        <f t="shared" si="183"/>
        <v>0</v>
      </c>
      <c r="Q367" s="33"/>
      <c r="R367" s="75">
        <f t="shared" si="184"/>
        <v>0</v>
      </c>
      <c r="V367" s="68">
        <f t="shared" si="172"/>
        <v>0</v>
      </c>
      <c r="AA367" s="4">
        <f t="shared" si="173"/>
        <v>3</v>
      </c>
      <c r="AB367" s="4">
        <f t="shared" si="174"/>
        <v>10</v>
      </c>
      <c r="AC367" s="12">
        <f t="shared" si="175"/>
        <v>30</v>
      </c>
      <c r="AJ367" s="5">
        <f t="shared" si="195"/>
        <v>0</v>
      </c>
      <c r="AK367" s="5">
        <f t="shared" si="185"/>
        <v>0</v>
      </c>
      <c r="AL367" s="77">
        <f t="shared" si="197"/>
        <v>56766</v>
      </c>
      <c r="AM367" s="27" t="str">
        <f t="shared" si="186"/>
        <v/>
      </c>
      <c r="AN367" s="76">
        <f t="shared" si="187"/>
        <v>353</v>
      </c>
      <c r="AO367" s="13">
        <f t="shared" si="188"/>
        <v>0</v>
      </c>
      <c r="AP367" s="62">
        <f t="shared" si="189"/>
        <v>0</v>
      </c>
      <c r="AQ367" s="9" t="str">
        <f t="shared" si="176"/>
        <v/>
      </c>
      <c r="AR367" s="60" t="str">
        <f t="shared" si="177"/>
        <v/>
      </c>
      <c r="AS367" s="8">
        <f t="shared" si="190"/>
        <v>0</v>
      </c>
      <c r="AT367" s="11">
        <f t="shared" si="191"/>
        <v>0</v>
      </c>
      <c r="AU367" s="15">
        <v>0</v>
      </c>
      <c r="AV367" s="32">
        <f t="shared" si="192"/>
        <v>0</v>
      </c>
      <c r="AW367" s="33"/>
      <c r="AX367" s="75">
        <f t="shared" si="193"/>
        <v>0</v>
      </c>
    </row>
    <row r="368" spans="1:50" x14ac:dyDescent="0.25">
      <c r="A368" s="5">
        <f t="shared" si="194"/>
        <v>0</v>
      </c>
      <c r="B368" s="5">
        <f t="shared" si="178"/>
        <v>0</v>
      </c>
      <c r="C368" s="77">
        <f t="shared" si="196"/>
        <v>56796</v>
      </c>
      <c r="D368" s="122" t="str">
        <f t="shared" si="165"/>
        <v/>
      </c>
      <c r="E368" s="123">
        <f t="shared" si="179"/>
        <v>354</v>
      </c>
      <c r="F368" s="124">
        <f t="shared" si="180"/>
        <v>0</v>
      </c>
      <c r="G368" s="125">
        <f t="shared" si="181"/>
        <v>0</v>
      </c>
      <c r="H368" s="126" t="str">
        <f t="shared" si="166"/>
        <v/>
      </c>
      <c r="I368" s="127" t="str">
        <f t="shared" si="167"/>
        <v/>
      </c>
      <c r="J368" s="128">
        <f t="shared" si="168"/>
        <v>0</v>
      </c>
      <c r="K368" s="129">
        <f t="shared" si="169"/>
        <v>0</v>
      </c>
      <c r="L368" s="1">
        <f t="shared" si="182"/>
        <v>0</v>
      </c>
      <c r="M368" s="130">
        <f t="shared" si="170"/>
        <v>0</v>
      </c>
      <c r="N368" s="131">
        <f t="shared" si="171"/>
        <v>0</v>
      </c>
      <c r="O368" s="15"/>
      <c r="P368" s="32">
        <f t="shared" si="183"/>
        <v>0</v>
      </c>
      <c r="Q368" s="33"/>
      <c r="R368" s="75">
        <f t="shared" si="184"/>
        <v>0</v>
      </c>
      <c r="V368" s="68">
        <f t="shared" si="172"/>
        <v>0</v>
      </c>
      <c r="AA368" s="4">
        <f t="shared" si="173"/>
        <v>3</v>
      </c>
      <c r="AB368" s="4">
        <f t="shared" si="174"/>
        <v>10</v>
      </c>
      <c r="AC368" s="12">
        <f t="shared" si="175"/>
        <v>30</v>
      </c>
      <c r="AJ368" s="5">
        <f t="shared" si="195"/>
        <v>0</v>
      </c>
      <c r="AK368" s="5">
        <f t="shared" si="185"/>
        <v>0</v>
      </c>
      <c r="AL368" s="77">
        <f t="shared" si="197"/>
        <v>56796</v>
      </c>
      <c r="AM368" s="27" t="str">
        <f t="shared" si="186"/>
        <v/>
      </c>
      <c r="AN368" s="76">
        <f t="shared" si="187"/>
        <v>354</v>
      </c>
      <c r="AO368" s="13">
        <f t="shared" si="188"/>
        <v>0</v>
      </c>
      <c r="AP368" s="62">
        <f t="shared" si="189"/>
        <v>0</v>
      </c>
      <c r="AQ368" s="9" t="str">
        <f t="shared" si="176"/>
        <v/>
      </c>
      <c r="AR368" s="60" t="str">
        <f t="shared" si="177"/>
        <v/>
      </c>
      <c r="AS368" s="8">
        <f t="shared" si="190"/>
        <v>0</v>
      </c>
      <c r="AT368" s="11">
        <f t="shared" si="191"/>
        <v>0</v>
      </c>
      <c r="AU368" s="15">
        <v>0</v>
      </c>
      <c r="AV368" s="32">
        <f t="shared" si="192"/>
        <v>0</v>
      </c>
      <c r="AW368" s="33"/>
      <c r="AX368" s="75">
        <f t="shared" si="193"/>
        <v>0</v>
      </c>
    </row>
    <row r="369" spans="1:50" x14ac:dyDescent="0.25">
      <c r="A369" s="5">
        <f t="shared" si="194"/>
        <v>0</v>
      </c>
      <c r="B369" s="5">
        <f t="shared" si="178"/>
        <v>0</v>
      </c>
      <c r="C369" s="77">
        <f t="shared" si="196"/>
        <v>56827</v>
      </c>
      <c r="D369" s="122" t="str">
        <f t="shared" si="165"/>
        <v/>
      </c>
      <c r="E369" s="123">
        <f t="shared" si="179"/>
        <v>355</v>
      </c>
      <c r="F369" s="124">
        <f t="shared" si="180"/>
        <v>0</v>
      </c>
      <c r="G369" s="125">
        <f t="shared" si="181"/>
        <v>0</v>
      </c>
      <c r="H369" s="126" t="str">
        <f t="shared" si="166"/>
        <v/>
      </c>
      <c r="I369" s="127" t="str">
        <f t="shared" si="167"/>
        <v/>
      </c>
      <c r="J369" s="128">
        <f t="shared" si="168"/>
        <v>0</v>
      </c>
      <c r="K369" s="129">
        <f t="shared" si="169"/>
        <v>0</v>
      </c>
      <c r="L369" s="1">
        <f t="shared" si="182"/>
        <v>0</v>
      </c>
      <c r="M369" s="130">
        <f t="shared" si="170"/>
        <v>0</v>
      </c>
      <c r="N369" s="131">
        <f t="shared" si="171"/>
        <v>0</v>
      </c>
      <c r="O369" s="15"/>
      <c r="P369" s="32">
        <f t="shared" si="183"/>
        <v>0</v>
      </c>
      <c r="Q369" s="33"/>
      <c r="R369" s="75">
        <f t="shared" si="184"/>
        <v>0</v>
      </c>
      <c r="V369" s="68">
        <f t="shared" si="172"/>
        <v>0</v>
      </c>
      <c r="AA369" s="4">
        <f t="shared" si="173"/>
        <v>3</v>
      </c>
      <c r="AB369" s="4">
        <f t="shared" si="174"/>
        <v>10</v>
      </c>
      <c r="AC369" s="12">
        <f t="shared" si="175"/>
        <v>30</v>
      </c>
      <c r="AJ369" s="5">
        <f t="shared" si="195"/>
        <v>0</v>
      </c>
      <c r="AK369" s="5">
        <f t="shared" si="185"/>
        <v>0</v>
      </c>
      <c r="AL369" s="77">
        <f t="shared" si="197"/>
        <v>56827</v>
      </c>
      <c r="AM369" s="27" t="str">
        <f t="shared" si="186"/>
        <v/>
      </c>
      <c r="AN369" s="76">
        <f t="shared" si="187"/>
        <v>355</v>
      </c>
      <c r="AO369" s="13">
        <f t="shared" si="188"/>
        <v>0</v>
      </c>
      <c r="AP369" s="62">
        <f t="shared" si="189"/>
        <v>0</v>
      </c>
      <c r="AQ369" s="9" t="str">
        <f t="shared" si="176"/>
        <v/>
      </c>
      <c r="AR369" s="60" t="str">
        <f t="shared" si="177"/>
        <v/>
      </c>
      <c r="AS369" s="8">
        <f t="shared" si="190"/>
        <v>0</v>
      </c>
      <c r="AT369" s="11">
        <f t="shared" si="191"/>
        <v>0</v>
      </c>
      <c r="AU369" s="15">
        <v>0</v>
      </c>
      <c r="AV369" s="32">
        <f t="shared" si="192"/>
        <v>0</v>
      </c>
      <c r="AW369" s="33"/>
      <c r="AX369" s="75">
        <f t="shared" si="193"/>
        <v>0</v>
      </c>
    </row>
    <row r="370" spans="1:50" x14ac:dyDescent="0.25">
      <c r="A370" s="5">
        <f t="shared" si="194"/>
        <v>0</v>
      </c>
      <c r="B370" s="5">
        <f t="shared" si="178"/>
        <v>0</v>
      </c>
      <c r="C370" s="77">
        <f t="shared" si="196"/>
        <v>56858</v>
      </c>
      <c r="D370" s="122" t="str">
        <f t="shared" si="165"/>
        <v/>
      </c>
      <c r="E370" s="123">
        <f t="shared" si="179"/>
        <v>356</v>
      </c>
      <c r="F370" s="124">
        <f t="shared" si="180"/>
        <v>0</v>
      </c>
      <c r="G370" s="125">
        <f t="shared" si="181"/>
        <v>0</v>
      </c>
      <c r="H370" s="126" t="str">
        <f t="shared" si="166"/>
        <v/>
      </c>
      <c r="I370" s="127" t="str">
        <f t="shared" si="167"/>
        <v/>
      </c>
      <c r="J370" s="128">
        <f t="shared" si="168"/>
        <v>0</v>
      </c>
      <c r="K370" s="129">
        <f t="shared" si="169"/>
        <v>0</v>
      </c>
      <c r="L370" s="1">
        <f t="shared" si="182"/>
        <v>0</v>
      </c>
      <c r="M370" s="130">
        <f t="shared" si="170"/>
        <v>0</v>
      </c>
      <c r="N370" s="131">
        <f t="shared" si="171"/>
        <v>0</v>
      </c>
      <c r="O370" s="15"/>
      <c r="P370" s="32">
        <f t="shared" si="183"/>
        <v>0</v>
      </c>
      <c r="Q370" s="33"/>
      <c r="R370" s="75">
        <f t="shared" si="184"/>
        <v>0</v>
      </c>
      <c r="V370" s="68">
        <f t="shared" si="172"/>
        <v>0</v>
      </c>
      <c r="AA370" s="4">
        <f t="shared" si="173"/>
        <v>3</v>
      </c>
      <c r="AB370" s="4">
        <f t="shared" si="174"/>
        <v>10</v>
      </c>
      <c r="AC370" s="12">
        <f t="shared" si="175"/>
        <v>30</v>
      </c>
      <c r="AJ370" s="5">
        <f t="shared" si="195"/>
        <v>0</v>
      </c>
      <c r="AK370" s="5">
        <f t="shared" si="185"/>
        <v>0</v>
      </c>
      <c r="AL370" s="77">
        <f t="shared" si="197"/>
        <v>56858</v>
      </c>
      <c r="AM370" s="27" t="str">
        <f t="shared" si="186"/>
        <v/>
      </c>
      <c r="AN370" s="76">
        <f t="shared" si="187"/>
        <v>356</v>
      </c>
      <c r="AO370" s="13">
        <f t="shared" si="188"/>
        <v>0</v>
      </c>
      <c r="AP370" s="62">
        <f t="shared" si="189"/>
        <v>0</v>
      </c>
      <c r="AQ370" s="9" t="str">
        <f t="shared" si="176"/>
        <v/>
      </c>
      <c r="AR370" s="60" t="str">
        <f t="shared" si="177"/>
        <v/>
      </c>
      <c r="AS370" s="8">
        <f t="shared" si="190"/>
        <v>0</v>
      </c>
      <c r="AT370" s="11">
        <f t="shared" si="191"/>
        <v>0</v>
      </c>
      <c r="AU370" s="15">
        <v>0</v>
      </c>
      <c r="AV370" s="32">
        <f t="shared" si="192"/>
        <v>0</v>
      </c>
      <c r="AW370" s="33"/>
      <c r="AX370" s="75">
        <f t="shared" si="193"/>
        <v>0</v>
      </c>
    </row>
    <row r="371" spans="1:50" x14ac:dyDescent="0.25">
      <c r="A371" s="5">
        <f t="shared" si="194"/>
        <v>0</v>
      </c>
      <c r="B371" s="5">
        <f t="shared" si="178"/>
        <v>0</v>
      </c>
      <c r="C371" s="77">
        <f t="shared" si="196"/>
        <v>56888</v>
      </c>
      <c r="D371" s="122" t="str">
        <f t="shared" si="165"/>
        <v/>
      </c>
      <c r="E371" s="123">
        <f t="shared" si="179"/>
        <v>357</v>
      </c>
      <c r="F371" s="124">
        <f t="shared" si="180"/>
        <v>0</v>
      </c>
      <c r="G371" s="125">
        <f t="shared" si="181"/>
        <v>0</v>
      </c>
      <c r="H371" s="126" t="str">
        <f t="shared" si="166"/>
        <v/>
      </c>
      <c r="I371" s="127" t="str">
        <f t="shared" si="167"/>
        <v/>
      </c>
      <c r="J371" s="128">
        <f t="shared" si="168"/>
        <v>0</v>
      </c>
      <c r="K371" s="129">
        <f t="shared" si="169"/>
        <v>0</v>
      </c>
      <c r="L371" s="1">
        <f t="shared" si="182"/>
        <v>0</v>
      </c>
      <c r="M371" s="130">
        <f t="shared" si="170"/>
        <v>0</v>
      </c>
      <c r="N371" s="131">
        <f t="shared" si="171"/>
        <v>0</v>
      </c>
      <c r="O371" s="15"/>
      <c r="P371" s="32">
        <f t="shared" si="183"/>
        <v>0</v>
      </c>
      <c r="Q371" s="33"/>
      <c r="R371" s="75">
        <f t="shared" si="184"/>
        <v>0</v>
      </c>
      <c r="V371" s="68">
        <f t="shared" si="172"/>
        <v>0</v>
      </c>
      <c r="AA371" s="4">
        <f t="shared" si="173"/>
        <v>3</v>
      </c>
      <c r="AB371" s="4">
        <f t="shared" si="174"/>
        <v>10</v>
      </c>
      <c r="AC371" s="12">
        <f t="shared" si="175"/>
        <v>30</v>
      </c>
      <c r="AJ371" s="5">
        <f t="shared" si="195"/>
        <v>0</v>
      </c>
      <c r="AK371" s="5">
        <f t="shared" si="185"/>
        <v>0</v>
      </c>
      <c r="AL371" s="77">
        <f t="shared" si="197"/>
        <v>56888</v>
      </c>
      <c r="AM371" s="27" t="str">
        <f t="shared" si="186"/>
        <v/>
      </c>
      <c r="AN371" s="76">
        <f t="shared" si="187"/>
        <v>357</v>
      </c>
      <c r="AO371" s="13">
        <f t="shared" si="188"/>
        <v>0</v>
      </c>
      <c r="AP371" s="62">
        <f t="shared" si="189"/>
        <v>0</v>
      </c>
      <c r="AQ371" s="9" t="str">
        <f t="shared" si="176"/>
        <v/>
      </c>
      <c r="AR371" s="60" t="str">
        <f t="shared" si="177"/>
        <v/>
      </c>
      <c r="AS371" s="8">
        <f t="shared" si="190"/>
        <v>0</v>
      </c>
      <c r="AT371" s="11">
        <f t="shared" si="191"/>
        <v>0</v>
      </c>
      <c r="AU371" s="15">
        <v>0</v>
      </c>
      <c r="AV371" s="32">
        <f t="shared" si="192"/>
        <v>0</v>
      </c>
      <c r="AW371" s="33"/>
      <c r="AX371" s="75">
        <f t="shared" si="193"/>
        <v>0</v>
      </c>
    </row>
    <row r="372" spans="1:50" x14ac:dyDescent="0.25">
      <c r="A372" s="5">
        <f t="shared" si="194"/>
        <v>0</v>
      </c>
      <c r="B372" s="5">
        <f t="shared" si="178"/>
        <v>0</v>
      </c>
      <c r="C372" s="77">
        <f t="shared" si="196"/>
        <v>56919</v>
      </c>
      <c r="D372" s="122" t="str">
        <f t="shared" si="165"/>
        <v/>
      </c>
      <c r="E372" s="123">
        <f t="shared" si="179"/>
        <v>358</v>
      </c>
      <c r="F372" s="124">
        <f t="shared" si="180"/>
        <v>0</v>
      </c>
      <c r="G372" s="125">
        <f t="shared" si="181"/>
        <v>0</v>
      </c>
      <c r="H372" s="126" t="str">
        <f t="shared" si="166"/>
        <v/>
      </c>
      <c r="I372" s="127" t="str">
        <f t="shared" si="167"/>
        <v/>
      </c>
      <c r="J372" s="128">
        <f t="shared" si="168"/>
        <v>0</v>
      </c>
      <c r="K372" s="129">
        <f t="shared" si="169"/>
        <v>0</v>
      </c>
      <c r="L372" s="1">
        <f t="shared" si="182"/>
        <v>0</v>
      </c>
      <c r="M372" s="130">
        <f t="shared" si="170"/>
        <v>0</v>
      </c>
      <c r="N372" s="131">
        <f t="shared" si="171"/>
        <v>0</v>
      </c>
      <c r="O372" s="15"/>
      <c r="P372" s="32">
        <f t="shared" si="183"/>
        <v>0</v>
      </c>
      <c r="Q372" s="33"/>
      <c r="R372" s="75">
        <f t="shared" si="184"/>
        <v>0</v>
      </c>
      <c r="V372" s="68">
        <f t="shared" si="172"/>
        <v>0</v>
      </c>
      <c r="AA372" s="4">
        <f t="shared" si="173"/>
        <v>3</v>
      </c>
      <c r="AB372" s="4">
        <f t="shared" si="174"/>
        <v>10</v>
      </c>
      <c r="AC372" s="12">
        <f t="shared" si="175"/>
        <v>30</v>
      </c>
      <c r="AJ372" s="5">
        <f t="shared" si="195"/>
        <v>0</v>
      </c>
      <c r="AK372" s="5">
        <f t="shared" si="185"/>
        <v>0</v>
      </c>
      <c r="AL372" s="77">
        <f t="shared" si="197"/>
        <v>56919</v>
      </c>
      <c r="AM372" s="27" t="str">
        <f t="shared" si="186"/>
        <v/>
      </c>
      <c r="AN372" s="76">
        <f t="shared" si="187"/>
        <v>358</v>
      </c>
      <c r="AO372" s="13">
        <f t="shared" si="188"/>
        <v>0</v>
      </c>
      <c r="AP372" s="62">
        <f t="shared" si="189"/>
        <v>0</v>
      </c>
      <c r="AQ372" s="9" t="str">
        <f t="shared" si="176"/>
        <v/>
      </c>
      <c r="AR372" s="60" t="str">
        <f t="shared" si="177"/>
        <v/>
      </c>
      <c r="AS372" s="8">
        <f t="shared" si="190"/>
        <v>0</v>
      </c>
      <c r="AT372" s="11">
        <f t="shared" si="191"/>
        <v>0</v>
      </c>
      <c r="AU372" s="15">
        <v>0</v>
      </c>
      <c r="AV372" s="32">
        <f t="shared" si="192"/>
        <v>0</v>
      </c>
      <c r="AW372" s="33"/>
      <c r="AX372" s="75">
        <f t="shared" si="193"/>
        <v>0</v>
      </c>
    </row>
    <row r="373" spans="1:50" x14ac:dyDescent="0.25">
      <c r="A373" s="5">
        <f t="shared" si="194"/>
        <v>0</v>
      </c>
      <c r="B373" s="5">
        <f t="shared" si="178"/>
        <v>0</v>
      </c>
      <c r="C373" s="77">
        <f t="shared" si="196"/>
        <v>56949</v>
      </c>
      <c r="D373" s="122" t="str">
        <f t="shared" si="165"/>
        <v/>
      </c>
      <c r="E373" s="123">
        <f t="shared" si="179"/>
        <v>359</v>
      </c>
      <c r="F373" s="124">
        <f t="shared" si="180"/>
        <v>0</v>
      </c>
      <c r="G373" s="125">
        <f t="shared" si="181"/>
        <v>0</v>
      </c>
      <c r="H373" s="126" t="str">
        <f t="shared" si="166"/>
        <v/>
      </c>
      <c r="I373" s="127" t="str">
        <f t="shared" si="167"/>
        <v/>
      </c>
      <c r="J373" s="128">
        <f t="shared" si="168"/>
        <v>0</v>
      </c>
      <c r="K373" s="129">
        <f t="shared" si="169"/>
        <v>0</v>
      </c>
      <c r="L373" s="1">
        <f t="shared" si="182"/>
        <v>0</v>
      </c>
      <c r="M373" s="130">
        <f t="shared" si="170"/>
        <v>0</v>
      </c>
      <c r="N373" s="131">
        <f t="shared" si="171"/>
        <v>0</v>
      </c>
      <c r="O373" s="15"/>
      <c r="P373" s="32">
        <f t="shared" si="183"/>
        <v>0</v>
      </c>
      <c r="Q373" s="33"/>
      <c r="R373" s="75">
        <f t="shared" si="184"/>
        <v>0</v>
      </c>
      <c r="V373" s="68">
        <f t="shared" si="172"/>
        <v>0</v>
      </c>
      <c r="AA373" s="4">
        <f t="shared" si="173"/>
        <v>3</v>
      </c>
      <c r="AB373" s="4">
        <f t="shared" si="174"/>
        <v>10</v>
      </c>
      <c r="AC373" s="12">
        <f t="shared" si="175"/>
        <v>30</v>
      </c>
      <c r="AJ373" s="5">
        <f t="shared" si="195"/>
        <v>0</v>
      </c>
      <c r="AK373" s="5">
        <f t="shared" si="185"/>
        <v>0</v>
      </c>
      <c r="AL373" s="77">
        <f t="shared" si="197"/>
        <v>56949</v>
      </c>
      <c r="AM373" s="27" t="str">
        <f t="shared" si="186"/>
        <v/>
      </c>
      <c r="AN373" s="76">
        <f t="shared" si="187"/>
        <v>359</v>
      </c>
      <c r="AO373" s="13">
        <f t="shared" si="188"/>
        <v>0</v>
      </c>
      <c r="AP373" s="62">
        <f t="shared" si="189"/>
        <v>0</v>
      </c>
      <c r="AQ373" s="9" t="str">
        <f t="shared" si="176"/>
        <v/>
      </c>
      <c r="AR373" s="60" t="str">
        <f t="shared" si="177"/>
        <v/>
      </c>
      <c r="AS373" s="8">
        <f t="shared" si="190"/>
        <v>0</v>
      </c>
      <c r="AT373" s="11">
        <f t="shared" si="191"/>
        <v>0</v>
      </c>
      <c r="AU373" s="15">
        <v>0</v>
      </c>
      <c r="AV373" s="32">
        <f t="shared" si="192"/>
        <v>0</v>
      </c>
      <c r="AW373" s="33"/>
      <c r="AX373" s="75">
        <f t="shared" si="193"/>
        <v>0</v>
      </c>
    </row>
    <row r="374" spans="1:50" x14ac:dyDescent="0.25">
      <c r="A374" s="5">
        <f t="shared" si="194"/>
        <v>0</v>
      </c>
      <c r="B374" s="5">
        <f t="shared" si="178"/>
        <v>0</v>
      </c>
      <c r="C374" s="77">
        <f t="shared" si="196"/>
        <v>56980</v>
      </c>
      <c r="D374" s="122" t="str">
        <f t="shared" si="165"/>
        <v/>
      </c>
      <c r="E374" s="123">
        <f t="shared" si="179"/>
        <v>360</v>
      </c>
      <c r="F374" s="124">
        <f t="shared" si="180"/>
        <v>0</v>
      </c>
      <c r="G374" s="125">
        <f t="shared" si="181"/>
        <v>0</v>
      </c>
      <c r="H374" s="126" t="str">
        <f t="shared" si="166"/>
        <v/>
      </c>
      <c r="I374" s="127" t="str">
        <f t="shared" si="167"/>
        <v/>
      </c>
      <c r="J374" s="128">
        <f t="shared" si="168"/>
        <v>0</v>
      </c>
      <c r="K374" s="129">
        <f t="shared" si="169"/>
        <v>0</v>
      </c>
      <c r="L374" s="1">
        <f t="shared" si="182"/>
        <v>0</v>
      </c>
      <c r="M374" s="130">
        <f t="shared" si="170"/>
        <v>0</v>
      </c>
      <c r="N374" s="131">
        <f t="shared" si="171"/>
        <v>0</v>
      </c>
      <c r="O374" s="15"/>
      <c r="P374" s="32">
        <f t="shared" si="183"/>
        <v>0</v>
      </c>
      <c r="Q374" s="33"/>
      <c r="R374" s="75">
        <f t="shared" si="184"/>
        <v>0</v>
      </c>
      <c r="V374" s="68">
        <f t="shared" si="172"/>
        <v>0</v>
      </c>
      <c r="AA374" s="4">
        <f t="shared" si="173"/>
        <v>3</v>
      </c>
      <c r="AB374" s="4">
        <f t="shared" si="174"/>
        <v>10</v>
      </c>
      <c r="AC374" s="12">
        <f t="shared" si="175"/>
        <v>30</v>
      </c>
      <c r="AJ374" s="5">
        <f t="shared" si="195"/>
        <v>0</v>
      </c>
      <c r="AK374" s="5">
        <f t="shared" si="185"/>
        <v>0</v>
      </c>
      <c r="AL374" s="77">
        <f t="shared" si="197"/>
        <v>56980</v>
      </c>
      <c r="AM374" s="27" t="str">
        <f t="shared" si="186"/>
        <v/>
      </c>
      <c r="AN374" s="76">
        <f t="shared" si="187"/>
        <v>360</v>
      </c>
      <c r="AO374" s="13">
        <f t="shared" si="188"/>
        <v>0</v>
      </c>
      <c r="AP374" s="62">
        <f t="shared" si="189"/>
        <v>0</v>
      </c>
      <c r="AQ374" s="9" t="str">
        <f t="shared" si="176"/>
        <v/>
      </c>
      <c r="AR374" s="60" t="str">
        <f t="shared" si="177"/>
        <v/>
      </c>
      <c r="AS374" s="8">
        <f t="shared" si="190"/>
        <v>0</v>
      </c>
      <c r="AT374" s="11">
        <f t="shared" si="191"/>
        <v>0</v>
      </c>
      <c r="AU374" s="15">
        <v>0</v>
      </c>
      <c r="AV374" s="32">
        <f t="shared" si="192"/>
        <v>0</v>
      </c>
      <c r="AW374" s="33"/>
      <c r="AX374" s="75">
        <f t="shared" si="193"/>
        <v>0</v>
      </c>
    </row>
    <row r="375" spans="1:50" x14ac:dyDescent="0.25">
      <c r="A375" s="5">
        <f t="shared" si="194"/>
        <v>0</v>
      </c>
      <c r="B375" s="5">
        <f t="shared" si="178"/>
        <v>0</v>
      </c>
      <c r="C375" s="77">
        <f t="shared" si="196"/>
        <v>57011</v>
      </c>
      <c r="D375" s="122" t="str">
        <f t="shared" si="165"/>
        <v/>
      </c>
      <c r="E375" s="123">
        <f t="shared" si="179"/>
        <v>361</v>
      </c>
      <c r="F375" s="124">
        <f t="shared" si="180"/>
        <v>0</v>
      </c>
      <c r="G375" s="125">
        <f t="shared" si="181"/>
        <v>0</v>
      </c>
      <c r="H375" s="126" t="str">
        <f t="shared" si="166"/>
        <v/>
      </c>
      <c r="I375" s="127" t="str">
        <f t="shared" si="167"/>
        <v/>
      </c>
      <c r="J375" s="128">
        <f t="shared" si="168"/>
        <v>0</v>
      </c>
      <c r="K375" s="129">
        <f t="shared" si="169"/>
        <v>0</v>
      </c>
      <c r="L375" s="1">
        <f t="shared" si="182"/>
        <v>0</v>
      </c>
      <c r="M375" s="130">
        <f t="shared" si="170"/>
        <v>0</v>
      </c>
      <c r="N375" s="131">
        <f t="shared" si="171"/>
        <v>0</v>
      </c>
      <c r="O375" s="15"/>
      <c r="P375" s="32">
        <f t="shared" si="183"/>
        <v>0</v>
      </c>
      <c r="Q375" s="33"/>
      <c r="R375" s="75">
        <f t="shared" si="184"/>
        <v>0</v>
      </c>
      <c r="V375" s="68">
        <f t="shared" si="172"/>
        <v>0</v>
      </c>
      <c r="AA375" s="4">
        <f t="shared" si="173"/>
        <v>4</v>
      </c>
      <c r="AB375" s="4">
        <f t="shared" si="174"/>
        <v>11</v>
      </c>
      <c r="AC375" s="12">
        <f t="shared" si="175"/>
        <v>31</v>
      </c>
      <c r="AJ375" s="5">
        <f t="shared" si="195"/>
        <v>0</v>
      </c>
      <c r="AK375" s="5">
        <f t="shared" si="185"/>
        <v>0</v>
      </c>
      <c r="AL375" s="77">
        <f t="shared" si="197"/>
        <v>57011</v>
      </c>
      <c r="AM375" s="27" t="str">
        <f t="shared" si="186"/>
        <v/>
      </c>
      <c r="AN375" s="76">
        <f t="shared" si="187"/>
        <v>361</v>
      </c>
      <c r="AO375" s="13">
        <f t="shared" si="188"/>
        <v>0</v>
      </c>
      <c r="AP375" s="62">
        <f t="shared" si="189"/>
        <v>0</v>
      </c>
      <c r="AQ375" s="9" t="str">
        <f t="shared" si="176"/>
        <v/>
      </c>
      <c r="AR375" s="60" t="str">
        <f t="shared" si="177"/>
        <v/>
      </c>
      <c r="AS375" s="8">
        <f t="shared" si="190"/>
        <v>0</v>
      </c>
      <c r="AT375" s="11">
        <f t="shared" si="191"/>
        <v>0</v>
      </c>
      <c r="AU375" s="15">
        <v>0</v>
      </c>
      <c r="AV375" s="32">
        <f t="shared" si="192"/>
        <v>0</v>
      </c>
      <c r="AW375" s="33"/>
      <c r="AX375" s="75">
        <f t="shared" si="193"/>
        <v>0</v>
      </c>
    </row>
    <row r="376" spans="1:50" x14ac:dyDescent="0.25">
      <c r="A376" s="5">
        <f t="shared" si="194"/>
        <v>0</v>
      </c>
      <c r="B376" s="5">
        <f t="shared" si="178"/>
        <v>0</v>
      </c>
      <c r="C376" s="77">
        <f t="shared" si="196"/>
        <v>57040</v>
      </c>
      <c r="D376" s="122" t="str">
        <f t="shared" si="165"/>
        <v/>
      </c>
      <c r="E376" s="123">
        <f t="shared" si="179"/>
        <v>362</v>
      </c>
      <c r="F376" s="124">
        <f t="shared" si="180"/>
        <v>0</v>
      </c>
      <c r="G376" s="125">
        <f t="shared" si="181"/>
        <v>0</v>
      </c>
      <c r="H376" s="126" t="str">
        <f t="shared" si="166"/>
        <v/>
      </c>
      <c r="I376" s="127" t="str">
        <f t="shared" si="167"/>
        <v/>
      </c>
      <c r="J376" s="128">
        <f t="shared" si="168"/>
        <v>0</v>
      </c>
      <c r="K376" s="129">
        <f t="shared" si="169"/>
        <v>0</v>
      </c>
      <c r="L376" s="1">
        <f t="shared" si="182"/>
        <v>0</v>
      </c>
      <c r="M376" s="130">
        <f t="shared" si="170"/>
        <v>0</v>
      </c>
      <c r="N376" s="131">
        <f t="shared" si="171"/>
        <v>0</v>
      </c>
      <c r="O376" s="15"/>
      <c r="P376" s="32">
        <f t="shared" si="183"/>
        <v>0</v>
      </c>
      <c r="Q376" s="33"/>
      <c r="R376" s="75">
        <f t="shared" si="184"/>
        <v>0</v>
      </c>
      <c r="V376" s="68">
        <f t="shared" si="172"/>
        <v>0</v>
      </c>
      <c r="AA376" s="4">
        <f t="shared" si="173"/>
        <v>4</v>
      </c>
      <c r="AB376" s="4">
        <f t="shared" si="174"/>
        <v>11</v>
      </c>
      <c r="AC376" s="12">
        <f t="shared" si="175"/>
        <v>31</v>
      </c>
      <c r="AJ376" s="5">
        <f t="shared" si="195"/>
        <v>0</v>
      </c>
      <c r="AK376" s="5">
        <f t="shared" si="185"/>
        <v>0</v>
      </c>
      <c r="AL376" s="77">
        <f t="shared" si="197"/>
        <v>57040</v>
      </c>
      <c r="AM376" s="27" t="str">
        <f t="shared" si="186"/>
        <v/>
      </c>
      <c r="AN376" s="76">
        <f t="shared" si="187"/>
        <v>362</v>
      </c>
      <c r="AO376" s="13">
        <f t="shared" si="188"/>
        <v>0</v>
      </c>
      <c r="AP376" s="62">
        <f t="shared" si="189"/>
        <v>0</v>
      </c>
      <c r="AQ376" s="9" t="str">
        <f t="shared" si="176"/>
        <v/>
      </c>
      <c r="AR376" s="60" t="str">
        <f t="shared" si="177"/>
        <v/>
      </c>
      <c r="AS376" s="8">
        <f t="shared" si="190"/>
        <v>0</v>
      </c>
      <c r="AT376" s="11">
        <f t="shared" si="191"/>
        <v>0</v>
      </c>
      <c r="AU376" s="15">
        <v>0</v>
      </c>
      <c r="AV376" s="32">
        <f t="shared" si="192"/>
        <v>0</v>
      </c>
      <c r="AW376" s="33"/>
      <c r="AX376" s="75">
        <f t="shared" si="193"/>
        <v>0</v>
      </c>
    </row>
    <row r="377" spans="1:50" x14ac:dyDescent="0.25">
      <c r="A377" s="5">
        <f t="shared" si="194"/>
        <v>0</v>
      </c>
      <c r="B377" s="5">
        <f t="shared" si="178"/>
        <v>0</v>
      </c>
      <c r="C377" s="77">
        <f t="shared" si="196"/>
        <v>57071</v>
      </c>
      <c r="D377" s="122" t="str">
        <f t="shared" si="165"/>
        <v/>
      </c>
      <c r="E377" s="123">
        <f t="shared" si="179"/>
        <v>363</v>
      </c>
      <c r="F377" s="124">
        <f t="shared" si="180"/>
        <v>0</v>
      </c>
      <c r="G377" s="125">
        <f t="shared" si="181"/>
        <v>0</v>
      </c>
      <c r="H377" s="126" t="str">
        <f t="shared" si="166"/>
        <v/>
      </c>
      <c r="I377" s="127" t="str">
        <f t="shared" si="167"/>
        <v/>
      </c>
      <c r="J377" s="128">
        <f t="shared" si="168"/>
        <v>0</v>
      </c>
      <c r="K377" s="129">
        <f t="shared" si="169"/>
        <v>0</v>
      </c>
      <c r="L377" s="1">
        <f t="shared" si="182"/>
        <v>0</v>
      </c>
      <c r="M377" s="130">
        <f t="shared" si="170"/>
        <v>0</v>
      </c>
      <c r="N377" s="131">
        <f t="shared" si="171"/>
        <v>0</v>
      </c>
      <c r="O377" s="15"/>
      <c r="P377" s="32">
        <f t="shared" si="183"/>
        <v>0</v>
      </c>
      <c r="Q377" s="33"/>
      <c r="R377" s="75">
        <f t="shared" si="184"/>
        <v>0</v>
      </c>
      <c r="V377" s="68">
        <f t="shared" si="172"/>
        <v>0</v>
      </c>
      <c r="AA377" s="4">
        <f t="shared" si="173"/>
        <v>4</v>
      </c>
      <c r="AB377" s="4">
        <f t="shared" si="174"/>
        <v>11</v>
      </c>
      <c r="AC377" s="12">
        <f t="shared" si="175"/>
        <v>31</v>
      </c>
      <c r="AJ377" s="5">
        <f t="shared" si="195"/>
        <v>0</v>
      </c>
      <c r="AK377" s="5">
        <f t="shared" si="185"/>
        <v>0</v>
      </c>
      <c r="AL377" s="77">
        <f t="shared" si="197"/>
        <v>57071</v>
      </c>
      <c r="AM377" s="27" t="str">
        <f t="shared" si="186"/>
        <v/>
      </c>
      <c r="AN377" s="76">
        <f t="shared" si="187"/>
        <v>363</v>
      </c>
      <c r="AO377" s="13">
        <f t="shared" si="188"/>
        <v>0</v>
      </c>
      <c r="AP377" s="62">
        <f t="shared" si="189"/>
        <v>0</v>
      </c>
      <c r="AQ377" s="9" t="str">
        <f t="shared" si="176"/>
        <v/>
      </c>
      <c r="AR377" s="60" t="str">
        <f t="shared" si="177"/>
        <v/>
      </c>
      <c r="AS377" s="8">
        <f t="shared" si="190"/>
        <v>0</v>
      </c>
      <c r="AT377" s="11">
        <f t="shared" si="191"/>
        <v>0</v>
      </c>
      <c r="AU377" s="15">
        <v>0</v>
      </c>
      <c r="AV377" s="32">
        <f t="shared" si="192"/>
        <v>0</v>
      </c>
      <c r="AW377" s="33"/>
      <c r="AX377" s="75">
        <f t="shared" si="193"/>
        <v>0</v>
      </c>
    </row>
    <row r="378" spans="1:50" x14ac:dyDescent="0.25">
      <c r="A378" s="5">
        <f t="shared" si="194"/>
        <v>0</v>
      </c>
      <c r="B378" s="5">
        <f t="shared" si="178"/>
        <v>0</v>
      </c>
      <c r="C378" s="77">
        <f t="shared" si="196"/>
        <v>57101</v>
      </c>
      <c r="D378" s="122" t="str">
        <f t="shared" si="165"/>
        <v/>
      </c>
      <c r="E378" s="123">
        <f t="shared" si="179"/>
        <v>364</v>
      </c>
      <c r="F378" s="124">
        <f t="shared" si="180"/>
        <v>0</v>
      </c>
      <c r="G378" s="125">
        <f t="shared" si="181"/>
        <v>0</v>
      </c>
      <c r="H378" s="126" t="str">
        <f t="shared" si="166"/>
        <v/>
      </c>
      <c r="I378" s="127" t="str">
        <f t="shared" si="167"/>
        <v/>
      </c>
      <c r="J378" s="128">
        <f t="shared" si="168"/>
        <v>0</v>
      </c>
      <c r="K378" s="129">
        <f t="shared" si="169"/>
        <v>0</v>
      </c>
      <c r="L378" s="1">
        <f t="shared" si="182"/>
        <v>0</v>
      </c>
      <c r="M378" s="130">
        <f t="shared" si="170"/>
        <v>0</v>
      </c>
      <c r="N378" s="131">
        <f t="shared" si="171"/>
        <v>0</v>
      </c>
      <c r="O378" s="15"/>
      <c r="P378" s="32">
        <f t="shared" si="183"/>
        <v>0</v>
      </c>
      <c r="Q378" s="33"/>
      <c r="R378" s="75">
        <f t="shared" si="184"/>
        <v>0</v>
      </c>
      <c r="V378" s="68">
        <f t="shared" si="172"/>
        <v>0</v>
      </c>
      <c r="AA378" s="4">
        <f t="shared" si="173"/>
        <v>4</v>
      </c>
      <c r="AB378" s="4">
        <f t="shared" si="174"/>
        <v>11</v>
      </c>
      <c r="AC378" s="12">
        <f t="shared" si="175"/>
        <v>31</v>
      </c>
      <c r="AJ378" s="5">
        <f t="shared" si="195"/>
        <v>0</v>
      </c>
      <c r="AK378" s="5">
        <f t="shared" si="185"/>
        <v>0</v>
      </c>
      <c r="AL378" s="77">
        <f t="shared" si="197"/>
        <v>57101</v>
      </c>
      <c r="AM378" s="27" t="str">
        <f t="shared" si="186"/>
        <v/>
      </c>
      <c r="AN378" s="76">
        <f t="shared" si="187"/>
        <v>364</v>
      </c>
      <c r="AO378" s="13">
        <f t="shared" si="188"/>
        <v>0</v>
      </c>
      <c r="AP378" s="62">
        <f t="shared" si="189"/>
        <v>0</v>
      </c>
      <c r="AQ378" s="9" t="str">
        <f t="shared" si="176"/>
        <v/>
      </c>
      <c r="AR378" s="60" t="str">
        <f t="shared" si="177"/>
        <v/>
      </c>
      <c r="AS378" s="8">
        <f t="shared" si="190"/>
        <v>0</v>
      </c>
      <c r="AT378" s="11">
        <f t="shared" si="191"/>
        <v>0</v>
      </c>
      <c r="AU378" s="15">
        <v>0</v>
      </c>
      <c r="AV378" s="32">
        <f t="shared" si="192"/>
        <v>0</v>
      </c>
      <c r="AW378" s="33"/>
      <c r="AX378" s="75">
        <f t="shared" si="193"/>
        <v>0</v>
      </c>
    </row>
    <row r="379" spans="1:50" x14ac:dyDescent="0.25">
      <c r="A379" s="5">
        <f t="shared" si="194"/>
        <v>0</v>
      </c>
      <c r="B379" s="5">
        <f t="shared" si="178"/>
        <v>0</v>
      </c>
      <c r="C379" s="77">
        <f t="shared" si="196"/>
        <v>57132</v>
      </c>
      <c r="D379" s="122" t="str">
        <f t="shared" si="165"/>
        <v/>
      </c>
      <c r="E379" s="123">
        <f t="shared" si="179"/>
        <v>365</v>
      </c>
      <c r="F379" s="124">
        <f t="shared" si="180"/>
        <v>0</v>
      </c>
      <c r="G379" s="125">
        <f t="shared" si="181"/>
        <v>0</v>
      </c>
      <c r="H379" s="126" t="str">
        <f t="shared" si="166"/>
        <v/>
      </c>
      <c r="I379" s="127" t="str">
        <f t="shared" si="167"/>
        <v/>
      </c>
      <c r="J379" s="128">
        <f t="shared" si="168"/>
        <v>0</v>
      </c>
      <c r="K379" s="129">
        <f t="shared" si="169"/>
        <v>0</v>
      </c>
      <c r="L379" s="1">
        <f t="shared" si="182"/>
        <v>0</v>
      </c>
      <c r="M379" s="130">
        <f t="shared" si="170"/>
        <v>0</v>
      </c>
      <c r="N379" s="131">
        <f t="shared" si="171"/>
        <v>0</v>
      </c>
      <c r="O379" s="15"/>
      <c r="P379" s="32">
        <f t="shared" si="183"/>
        <v>0</v>
      </c>
      <c r="Q379" s="33"/>
      <c r="R379" s="75">
        <f t="shared" si="184"/>
        <v>0</v>
      </c>
      <c r="V379" s="68">
        <f t="shared" si="172"/>
        <v>0</v>
      </c>
      <c r="AA379" s="4">
        <f t="shared" si="173"/>
        <v>4</v>
      </c>
      <c r="AB379" s="4">
        <f t="shared" si="174"/>
        <v>11</v>
      </c>
      <c r="AC379" s="12">
        <f t="shared" si="175"/>
        <v>31</v>
      </c>
      <c r="AJ379" s="5">
        <f t="shared" si="195"/>
        <v>0</v>
      </c>
      <c r="AK379" s="5">
        <f t="shared" si="185"/>
        <v>0</v>
      </c>
      <c r="AL379" s="77">
        <f t="shared" si="197"/>
        <v>57132</v>
      </c>
      <c r="AM379" s="27" t="str">
        <f t="shared" si="186"/>
        <v/>
      </c>
      <c r="AN379" s="76">
        <f t="shared" si="187"/>
        <v>365</v>
      </c>
      <c r="AO379" s="13">
        <f t="shared" si="188"/>
        <v>0</v>
      </c>
      <c r="AP379" s="62">
        <f t="shared" si="189"/>
        <v>0</v>
      </c>
      <c r="AQ379" s="9" t="str">
        <f t="shared" si="176"/>
        <v/>
      </c>
      <c r="AR379" s="60" t="str">
        <f t="shared" si="177"/>
        <v/>
      </c>
      <c r="AS379" s="8">
        <f t="shared" si="190"/>
        <v>0</v>
      </c>
      <c r="AT379" s="11">
        <f t="shared" si="191"/>
        <v>0</v>
      </c>
      <c r="AU379" s="15">
        <v>0</v>
      </c>
      <c r="AV379" s="32">
        <f t="shared" si="192"/>
        <v>0</v>
      </c>
      <c r="AW379" s="33"/>
      <c r="AX379" s="75">
        <f t="shared" si="193"/>
        <v>0</v>
      </c>
    </row>
    <row r="380" spans="1:50" x14ac:dyDescent="0.25">
      <c r="A380" s="5">
        <f t="shared" si="194"/>
        <v>0</v>
      </c>
      <c r="B380" s="5">
        <f t="shared" si="178"/>
        <v>0</v>
      </c>
      <c r="C380" s="77">
        <f t="shared" si="196"/>
        <v>57162</v>
      </c>
      <c r="D380" s="122" t="str">
        <f t="shared" si="165"/>
        <v/>
      </c>
      <c r="E380" s="123">
        <f t="shared" si="179"/>
        <v>366</v>
      </c>
      <c r="F380" s="124">
        <f t="shared" si="180"/>
        <v>0</v>
      </c>
      <c r="G380" s="125">
        <f t="shared" si="181"/>
        <v>0</v>
      </c>
      <c r="H380" s="126" t="str">
        <f t="shared" si="166"/>
        <v/>
      </c>
      <c r="I380" s="127" t="str">
        <f t="shared" si="167"/>
        <v/>
      </c>
      <c r="J380" s="128">
        <f t="shared" si="168"/>
        <v>0</v>
      </c>
      <c r="K380" s="129">
        <f t="shared" si="169"/>
        <v>0</v>
      </c>
      <c r="L380" s="1">
        <f t="shared" si="182"/>
        <v>0</v>
      </c>
      <c r="M380" s="130">
        <f t="shared" si="170"/>
        <v>0</v>
      </c>
      <c r="N380" s="131">
        <f t="shared" si="171"/>
        <v>0</v>
      </c>
      <c r="O380" s="15"/>
      <c r="P380" s="32">
        <f t="shared" si="183"/>
        <v>0</v>
      </c>
      <c r="Q380" s="33"/>
      <c r="R380" s="75">
        <f t="shared" si="184"/>
        <v>0</v>
      </c>
      <c r="V380" s="68">
        <f t="shared" si="172"/>
        <v>0</v>
      </c>
      <c r="AA380" s="4">
        <f t="shared" si="173"/>
        <v>4</v>
      </c>
      <c r="AB380" s="4">
        <f t="shared" si="174"/>
        <v>11</v>
      </c>
      <c r="AC380" s="12">
        <f t="shared" si="175"/>
        <v>31</v>
      </c>
      <c r="AJ380" s="5">
        <f t="shared" si="195"/>
        <v>0</v>
      </c>
      <c r="AK380" s="5">
        <f t="shared" si="185"/>
        <v>0</v>
      </c>
      <c r="AL380" s="77">
        <f t="shared" si="197"/>
        <v>57162</v>
      </c>
      <c r="AM380" s="27" t="str">
        <f t="shared" si="186"/>
        <v/>
      </c>
      <c r="AN380" s="76">
        <f t="shared" si="187"/>
        <v>366</v>
      </c>
      <c r="AO380" s="13">
        <f t="shared" si="188"/>
        <v>0</v>
      </c>
      <c r="AP380" s="62">
        <f t="shared" si="189"/>
        <v>0</v>
      </c>
      <c r="AQ380" s="9" t="str">
        <f t="shared" si="176"/>
        <v/>
      </c>
      <c r="AR380" s="60" t="str">
        <f t="shared" si="177"/>
        <v/>
      </c>
      <c r="AS380" s="8">
        <f t="shared" si="190"/>
        <v>0</v>
      </c>
      <c r="AT380" s="11">
        <f t="shared" si="191"/>
        <v>0</v>
      </c>
      <c r="AU380" s="15">
        <v>0</v>
      </c>
      <c r="AV380" s="32">
        <f t="shared" si="192"/>
        <v>0</v>
      </c>
      <c r="AW380" s="33"/>
      <c r="AX380" s="75">
        <f t="shared" si="193"/>
        <v>0</v>
      </c>
    </row>
    <row r="381" spans="1:50" x14ac:dyDescent="0.25">
      <c r="A381" s="5">
        <f t="shared" si="194"/>
        <v>0</v>
      </c>
      <c r="B381" s="5">
        <f t="shared" si="178"/>
        <v>0</v>
      </c>
      <c r="C381" s="77">
        <f t="shared" si="196"/>
        <v>57193</v>
      </c>
      <c r="D381" s="122" t="str">
        <f t="shared" si="165"/>
        <v/>
      </c>
      <c r="E381" s="123">
        <f t="shared" si="179"/>
        <v>367</v>
      </c>
      <c r="F381" s="124">
        <f t="shared" si="180"/>
        <v>0</v>
      </c>
      <c r="G381" s="125">
        <f t="shared" si="181"/>
        <v>0</v>
      </c>
      <c r="H381" s="126" t="str">
        <f t="shared" si="166"/>
        <v/>
      </c>
      <c r="I381" s="127" t="str">
        <f t="shared" si="167"/>
        <v/>
      </c>
      <c r="J381" s="128">
        <f t="shared" si="168"/>
        <v>0</v>
      </c>
      <c r="K381" s="129">
        <f t="shared" si="169"/>
        <v>0</v>
      </c>
      <c r="L381" s="1">
        <f t="shared" si="182"/>
        <v>0</v>
      </c>
      <c r="M381" s="130">
        <f t="shared" si="170"/>
        <v>0</v>
      </c>
      <c r="N381" s="131">
        <f t="shared" si="171"/>
        <v>0</v>
      </c>
      <c r="O381" s="15"/>
      <c r="P381" s="32">
        <f t="shared" si="183"/>
        <v>0</v>
      </c>
      <c r="Q381" s="33"/>
      <c r="R381" s="75">
        <f t="shared" si="184"/>
        <v>0</v>
      </c>
      <c r="V381" s="68">
        <f t="shared" si="172"/>
        <v>0</v>
      </c>
      <c r="AA381" s="4">
        <f t="shared" si="173"/>
        <v>4</v>
      </c>
      <c r="AB381" s="4">
        <f t="shared" si="174"/>
        <v>11</v>
      </c>
      <c r="AC381" s="12">
        <f t="shared" si="175"/>
        <v>31</v>
      </c>
      <c r="AJ381" s="5">
        <f t="shared" si="195"/>
        <v>0</v>
      </c>
      <c r="AK381" s="5">
        <f t="shared" si="185"/>
        <v>0</v>
      </c>
      <c r="AL381" s="77">
        <f t="shared" si="197"/>
        <v>57193</v>
      </c>
      <c r="AM381" s="27" t="str">
        <f t="shared" si="186"/>
        <v/>
      </c>
      <c r="AN381" s="76">
        <f t="shared" si="187"/>
        <v>367</v>
      </c>
      <c r="AO381" s="13">
        <f t="shared" si="188"/>
        <v>0</v>
      </c>
      <c r="AP381" s="62">
        <f t="shared" si="189"/>
        <v>0</v>
      </c>
      <c r="AQ381" s="9" t="str">
        <f t="shared" si="176"/>
        <v/>
      </c>
      <c r="AR381" s="60" t="str">
        <f t="shared" si="177"/>
        <v/>
      </c>
      <c r="AS381" s="8">
        <f t="shared" si="190"/>
        <v>0</v>
      </c>
      <c r="AT381" s="11">
        <f t="shared" si="191"/>
        <v>0</v>
      </c>
      <c r="AU381" s="15">
        <v>0</v>
      </c>
      <c r="AV381" s="32">
        <f t="shared" si="192"/>
        <v>0</v>
      </c>
      <c r="AW381" s="33"/>
      <c r="AX381" s="75">
        <f t="shared" si="193"/>
        <v>0</v>
      </c>
    </row>
    <row r="382" spans="1:50" x14ac:dyDescent="0.25">
      <c r="A382" s="5">
        <f t="shared" si="194"/>
        <v>0</v>
      </c>
      <c r="B382" s="5">
        <f t="shared" si="178"/>
        <v>0</v>
      </c>
      <c r="C382" s="77">
        <f t="shared" si="196"/>
        <v>57224</v>
      </c>
      <c r="D382" s="122" t="str">
        <f t="shared" si="165"/>
        <v/>
      </c>
      <c r="E382" s="123">
        <f t="shared" si="179"/>
        <v>368</v>
      </c>
      <c r="F382" s="124">
        <f t="shared" si="180"/>
        <v>0</v>
      </c>
      <c r="G382" s="125">
        <f t="shared" si="181"/>
        <v>0</v>
      </c>
      <c r="H382" s="126" t="str">
        <f t="shared" si="166"/>
        <v/>
      </c>
      <c r="I382" s="127" t="str">
        <f t="shared" si="167"/>
        <v/>
      </c>
      <c r="J382" s="128">
        <f t="shared" si="168"/>
        <v>0</v>
      </c>
      <c r="K382" s="129">
        <f t="shared" si="169"/>
        <v>0</v>
      </c>
      <c r="L382" s="1">
        <f t="shared" si="182"/>
        <v>0</v>
      </c>
      <c r="M382" s="130">
        <f t="shared" si="170"/>
        <v>0</v>
      </c>
      <c r="N382" s="131">
        <f t="shared" si="171"/>
        <v>0</v>
      </c>
      <c r="O382" s="15"/>
      <c r="P382" s="32">
        <f t="shared" si="183"/>
        <v>0</v>
      </c>
      <c r="Q382" s="33"/>
      <c r="R382" s="75">
        <f t="shared" si="184"/>
        <v>0</v>
      </c>
      <c r="V382" s="68">
        <f t="shared" si="172"/>
        <v>0</v>
      </c>
      <c r="AA382" s="4">
        <f t="shared" si="173"/>
        <v>4</v>
      </c>
      <c r="AB382" s="4">
        <f t="shared" si="174"/>
        <v>11</v>
      </c>
      <c r="AC382" s="12">
        <f t="shared" si="175"/>
        <v>31</v>
      </c>
      <c r="AJ382" s="5">
        <f t="shared" si="195"/>
        <v>0</v>
      </c>
      <c r="AK382" s="5">
        <f t="shared" si="185"/>
        <v>0</v>
      </c>
      <c r="AL382" s="77">
        <f t="shared" si="197"/>
        <v>57224</v>
      </c>
      <c r="AM382" s="27" t="str">
        <f t="shared" si="186"/>
        <v/>
      </c>
      <c r="AN382" s="76">
        <f t="shared" si="187"/>
        <v>368</v>
      </c>
      <c r="AO382" s="13">
        <f t="shared" si="188"/>
        <v>0</v>
      </c>
      <c r="AP382" s="62">
        <f t="shared" si="189"/>
        <v>0</v>
      </c>
      <c r="AQ382" s="9" t="str">
        <f t="shared" si="176"/>
        <v/>
      </c>
      <c r="AR382" s="60" t="str">
        <f t="shared" si="177"/>
        <v/>
      </c>
      <c r="AS382" s="8">
        <f t="shared" si="190"/>
        <v>0</v>
      </c>
      <c r="AT382" s="11">
        <f t="shared" si="191"/>
        <v>0</v>
      </c>
      <c r="AU382" s="15">
        <v>0</v>
      </c>
      <c r="AV382" s="32">
        <f t="shared" si="192"/>
        <v>0</v>
      </c>
      <c r="AW382" s="33"/>
      <c r="AX382" s="75">
        <f t="shared" si="193"/>
        <v>0</v>
      </c>
    </row>
    <row r="383" spans="1:50" x14ac:dyDescent="0.25">
      <c r="A383" s="5">
        <f t="shared" si="194"/>
        <v>0</v>
      </c>
      <c r="B383" s="5">
        <f t="shared" si="178"/>
        <v>0</v>
      </c>
      <c r="C383" s="77">
        <f t="shared" si="196"/>
        <v>57254</v>
      </c>
      <c r="D383" s="122" t="str">
        <f t="shared" si="165"/>
        <v/>
      </c>
      <c r="E383" s="123">
        <f t="shared" si="179"/>
        <v>369</v>
      </c>
      <c r="F383" s="124">
        <f t="shared" si="180"/>
        <v>0</v>
      </c>
      <c r="G383" s="125">
        <f t="shared" si="181"/>
        <v>0</v>
      </c>
      <c r="H383" s="126" t="str">
        <f t="shared" si="166"/>
        <v/>
      </c>
      <c r="I383" s="127" t="str">
        <f t="shared" si="167"/>
        <v/>
      </c>
      <c r="J383" s="128">
        <f t="shared" si="168"/>
        <v>0</v>
      </c>
      <c r="K383" s="129">
        <f t="shared" si="169"/>
        <v>0</v>
      </c>
      <c r="L383" s="1">
        <f t="shared" si="182"/>
        <v>0</v>
      </c>
      <c r="M383" s="130">
        <f t="shared" si="170"/>
        <v>0</v>
      </c>
      <c r="N383" s="131">
        <f t="shared" si="171"/>
        <v>0</v>
      </c>
      <c r="O383" s="15"/>
      <c r="P383" s="32">
        <f t="shared" si="183"/>
        <v>0</v>
      </c>
      <c r="Q383" s="33"/>
      <c r="R383" s="75">
        <f t="shared" si="184"/>
        <v>0</v>
      </c>
      <c r="V383" s="68">
        <f t="shared" si="172"/>
        <v>0</v>
      </c>
      <c r="AA383" s="4">
        <f t="shared" si="173"/>
        <v>4</v>
      </c>
      <c r="AB383" s="4">
        <f t="shared" si="174"/>
        <v>11</v>
      </c>
      <c r="AC383" s="12">
        <f t="shared" si="175"/>
        <v>31</v>
      </c>
      <c r="AJ383" s="5">
        <f t="shared" si="195"/>
        <v>0</v>
      </c>
      <c r="AK383" s="5">
        <f t="shared" si="185"/>
        <v>0</v>
      </c>
      <c r="AL383" s="77">
        <f t="shared" si="197"/>
        <v>57254</v>
      </c>
      <c r="AM383" s="27" t="str">
        <f t="shared" si="186"/>
        <v/>
      </c>
      <c r="AN383" s="76">
        <f t="shared" si="187"/>
        <v>369</v>
      </c>
      <c r="AO383" s="13">
        <f t="shared" si="188"/>
        <v>0</v>
      </c>
      <c r="AP383" s="62">
        <f t="shared" si="189"/>
        <v>0</v>
      </c>
      <c r="AQ383" s="9" t="str">
        <f t="shared" si="176"/>
        <v/>
      </c>
      <c r="AR383" s="60" t="str">
        <f t="shared" si="177"/>
        <v/>
      </c>
      <c r="AS383" s="8">
        <f t="shared" si="190"/>
        <v>0</v>
      </c>
      <c r="AT383" s="11">
        <f t="shared" si="191"/>
        <v>0</v>
      </c>
      <c r="AU383" s="15">
        <v>0</v>
      </c>
      <c r="AV383" s="32">
        <f t="shared" si="192"/>
        <v>0</v>
      </c>
      <c r="AW383" s="33"/>
      <c r="AX383" s="75">
        <f t="shared" si="193"/>
        <v>0</v>
      </c>
    </row>
    <row r="384" spans="1:50" x14ac:dyDescent="0.25">
      <c r="A384" s="5">
        <f t="shared" si="194"/>
        <v>0</v>
      </c>
      <c r="B384" s="5">
        <f t="shared" si="178"/>
        <v>0</v>
      </c>
      <c r="C384" s="77">
        <f t="shared" si="196"/>
        <v>57285</v>
      </c>
      <c r="D384" s="122" t="str">
        <f t="shared" si="165"/>
        <v/>
      </c>
      <c r="E384" s="123">
        <f t="shared" si="179"/>
        <v>370</v>
      </c>
      <c r="F384" s="124">
        <f t="shared" si="180"/>
        <v>0</v>
      </c>
      <c r="G384" s="125">
        <f t="shared" si="181"/>
        <v>0</v>
      </c>
      <c r="H384" s="126" t="str">
        <f t="shared" si="166"/>
        <v/>
      </c>
      <c r="I384" s="127" t="str">
        <f t="shared" si="167"/>
        <v/>
      </c>
      <c r="J384" s="128">
        <f t="shared" si="168"/>
        <v>0</v>
      </c>
      <c r="K384" s="129">
        <f t="shared" si="169"/>
        <v>0</v>
      </c>
      <c r="L384" s="1">
        <f t="shared" si="182"/>
        <v>0</v>
      </c>
      <c r="M384" s="130">
        <f t="shared" si="170"/>
        <v>0</v>
      </c>
      <c r="N384" s="131">
        <f t="shared" si="171"/>
        <v>0</v>
      </c>
      <c r="O384" s="15"/>
      <c r="P384" s="32">
        <f t="shared" si="183"/>
        <v>0</v>
      </c>
      <c r="Q384" s="33"/>
      <c r="R384" s="75">
        <f t="shared" si="184"/>
        <v>0</v>
      </c>
      <c r="V384" s="68">
        <f t="shared" si="172"/>
        <v>0</v>
      </c>
      <c r="AA384" s="4">
        <f t="shared" si="173"/>
        <v>4</v>
      </c>
      <c r="AB384" s="4">
        <f t="shared" si="174"/>
        <v>11</v>
      </c>
      <c r="AC384" s="12">
        <f t="shared" si="175"/>
        <v>31</v>
      </c>
      <c r="AJ384" s="5">
        <f t="shared" si="195"/>
        <v>0</v>
      </c>
      <c r="AK384" s="5">
        <f t="shared" si="185"/>
        <v>0</v>
      </c>
      <c r="AL384" s="77">
        <f t="shared" si="197"/>
        <v>57285</v>
      </c>
      <c r="AM384" s="27" t="str">
        <f t="shared" si="186"/>
        <v/>
      </c>
      <c r="AN384" s="76">
        <f t="shared" si="187"/>
        <v>370</v>
      </c>
      <c r="AO384" s="13">
        <f t="shared" si="188"/>
        <v>0</v>
      </c>
      <c r="AP384" s="62">
        <f t="shared" si="189"/>
        <v>0</v>
      </c>
      <c r="AQ384" s="9" t="str">
        <f t="shared" si="176"/>
        <v/>
      </c>
      <c r="AR384" s="60" t="str">
        <f t="shared" si="177"/>
        <v/>
      </c>
      <c r="AS384" s="8">
        <f t="shared" si="190"/>
        <v>0</v>
      </c>
      <c r="AT384" s="11">
        <f t="shared" si="191"/>
        <v>0</v>
      </c>
      <c r="AU384" s="15">
        <v>0</v>
      </c>
      <c r="AV384" s="32">
        <f t="shared" si="192"/>
        <v>0</v>
      </c>
      <c r="AW384" s="33"/>
      <c r="AX384" s="75">
        <f t="shared" si="193"/>
        <v>0</v>
      </c>
    </row>
    <row r="385" spans="1:50" x14ac:dyDescent="0.25">
      <c r="A385" s="5">
        <f t="shared" si="194"/>
        <v>0</v>
      </c>
      <c r="B385" s="5">
        <f t="shared" si="178"/>
        <v>0</v>
      </c>
      <c r="C385" s="77">
        <f t="shared" si="196"/>
        <v>57315</v>
      </c>
      <c r="D385" s="122" t="str">
        <f t="shared" si="165"/>
        <v/>
      </c>
      <c r="E385" s="123">
        <f t="shared" si="179"/>
        <v>371</v>
      </c>
      <c r="F385" s="124">
        <f t="shared" si="180"/>
        <v>0</v>
      </c>
      <c r="G385" s="125">
        <f t="shared" si="181"/>
        <v>0</v>
      </c>
      <c r="H385" s="126" t="str">
        <f t="shared" si="166"/>
        <v/>
      </c>
      <c r="I385" s="127" t="str">
        <f t="shared" si="167"/>
        <v/>
      </c>
      <c r="J385" s="128">
        <f t="shared" si="168"/>
        <v>0</v>
      </c>
      <c r="K385" s="129">
        <f t="shared" si="169"/>
        <v>0</v>
      </c>
      <c r="L385" s="1">
        <f t="shared" si="182"/>
        <v>0</v>
      </c>
      <c r="M385" s="130">
        <f t="shared" si="170"/>
        <v>0</v>
      </c>
      <c r="N385" s="131">
        <f t="shared" si="171"/>
        <v>0</v>
      </c>
      <c r="O385" s="15"/>
      <c r="P385" s="32">
        <f t="shared" si="183"/>
        <v>0</v>
      </c>
      <c r="Q385" s="33"/>
      <c r="R385" s="75">
        <f t="shared" si="184"/>
        <v>0</v>
      </c>
      <c r="V385" s="68">
        <f t="shared" si="172"/>
        <v>0</v>
      </c>
      <c r="AA385" s="4">
        <f t="shared" si="173"/>
        <v>4</v>
      </c>
      <c r="AB385" s="4">
        <f t="shared" si="174"/>
        <v>11</v>
      </c>
      <c r="AC385" s="12">
        <f t="shared" si="175"/>
        <v>31</v>
      </c>
      <c r="AJ385" s="5">
        <f t="shared" si="195"/>
        <v>0</v>
      </c>
      <c r="AK385" s="5">
        <f t="shared" si="185"/>
        <v>0</v>
      </c>
      <c r="AL385" s="77">
        <f t="shared" si="197"/>
        <v>57315</v>
      </c>
      <c r="AM385" s="27" t="str">
        <f t="shared" si="186"/>
        <v/>
      </c>
      <c r="AN385" s="76">
        <f t="shared" si="187"/>
        <v>371</v>
      </c>
      <c r="AO385" s="13">
        <f t="shared" si="188"/>
        <v>0</v>
      </c>
      <c r="AP385" s="62">
        <f t="shared" si="189"/>
        <v>0</v>
      </c>
      <c r="AQ385" s="9" t="str">
        <f t="shared" si="176"/>
        <v/>
      </c>
      <c r="AR385" s="60" t="str">
        <f t="shared" si="177"/>
        <v/>
      </c>
      <c r="AS385" s="8">
        <f t="shared" si="190"/>
        <v>0</v>
      </c>
      <c r="AT385" s="11">
        <f t="shared" si="191"/>
        <v>0</v>
      </c>
      <c r="AU385" s="15">
        <v>0</v>
      </c>
      <c r="AV385" s="32">
        <f t="shared" si="192"/>
        <v>0</v>
      </c>
      <c r="AW385" s="33"/>
      <c r="AX385" s="75">
        <f t="shared" si="193"/>
        <v>0</v>
      </c>
    </row>
    <row r="386" spans="1:50" x14ac:dyDescent="0.25">
      <c r="A386" s="5">
        <f t="shared" si="194"/>
        <v>0</v>
      </c>
      <c r="B386" s="5">
        <f t="shared" si="178"/>
        <v>0</v>
      </c>
      <c r="C386" s="77">
        <f t="shared" si="196"/>
        <v>57346</v>
      </c>
      <c r="D386" s="122" t="str">
        <f t="shared" si="165"/>
        <v/>
      </c>
      <c r="E386" s="123">
        <f t="shared" si="179"/>
        <v>372</v>
      </c>
      <c r="F386" s="124">
        <f t="shared" si="180"/>
        <v>0</v>
      </c>
      <c r="G386" s="125">
        <f t="shared" si="181"/>
        <v>0</v>
      </c>
      <c r="H386" s="126" t="str">
        <f t="shared" si="166"/>
        <v/>
      </c>
      <c r="I386" s="127" t="str">
        <f t="shared" si="167"/>
        <v/>
      </c>
      <c r="J386" s="128">
        <f t="shared" si="168"/>
        <v>0</v>
      </c>
      <c r="K386" s="129">
        <f t="shared" si="169"/>
        <v>0</v>
      </c>
      <c r="L386" s="1">
        <f t="shared" si="182"/>
        <v>0</v>
      </c>
      <c r="M386" s="130">
        <f t="shared" si="170"/>
        <v>0</v>
      </c>
      <c r="N386" s="131">
        <f t="shared" si="171"/>
        <v>0</v>
      </c>
      <c r="O386" s="15"/>
      <c r="P386" s="32">
        <f t="shared" si="183"/>
        <v>0</v>
      </c>
      <c r="Q386" s="33"/>
      <c r="R386" s="75">
        <f t="shared" si="184"/>
        <v>0</v>
      </c>
      <c r="V386" s="68">
        <f t="shared" si="172"/>
        <v>0</v>
      </c>
      <c r="AA386" s="4">
        <f t="shared" si="173"/>
        <v>4</v>
      </c>
      <c r="AB386" s="4">
        <f t="shared" si="174"/>
        <v>11</v>
      </c>
      <c r="AC386" s="12">
        <f t="shared" si="175"/>
        <v>31</v>
      </c>
      <c r="AJ386" s="5">
        <f t="shared" si="195"/>
        <v>0</v>
      </c>
      <c r="AK386" s="5">
        <f t="shared" si="185"/>
        <v>0</v>
      </c>
      <c r="AL386" s="77">
        <f t="shared" si="197"/>
        <v>57346</v>
      </c>
      <c r="AM386" s="27" t="str">
        <f t="shared" si="186"/>
        <v/>
      </c>
      <c r="AN386" s="76">
        <f t="shared" si="187"/>
        <v>372</v>
      </c>
      <c r="AO386" s="13">
        <f t="shared" si="188"/>
        <v>0</v>
      </c>
      <c r="AP386" s="62">
        <f t="shared" si="189"/>
        <v>0</v>
      </c>
      <c r="AQ386" s="9" t="str">
        <f t="shared" si="176"/>
        <v/>
      </c>
      <c r="AR386" s="60" t="str">
        <f t="shared" si="177"/>
        <v/>
      </c>
      <c r="AS386" s="8">
        <f t="shared" si="190"/>
        <v>0</v>
      </c>
      <c r="AT386" s="11">
        <f t="shared" si="191"/>
        <v>0</v>
      </c>
      <c r="AU386" s="15">
        <v>0</v>
      </c>
      <c r="AV386" s="32">
        <f t="shared" si="192"/>
        <v>0</v>
      </c>
      <c r="AW386" s="33"/>
      <c r="AX386" s="75">
        <f t="shared" si="193"/>
        <v>0</v>
      </c>
    </row>
    <row r="387" spans="1:50" x14ac:dyDescent="0.25">
      <c r="A387" s="5">
        <f t="shared" si="194"/>
        <v>0</v>
      </c>
      <c r="B387" s="5">
        <f t="shared" si="178"/>
        <v>0</v>
      </c>
      <c r="C387" s="77">
        <f t="shared" si="196"/>
        <v>57377</v>
      </c>
      <c r="D387" s="122" t="str">
        <f t="shared" si="165"/>
        <v/>
      </c>
      <c r="E387" s="123">
        <f t="shared" si="179"/>
        <v>373</v>
      </c>
      <c r="F387" s="124">
        <f t="shared" si="180"/>
        <v>0</v>
      </c>
      <c r="G387" s="125">
        <f t="shared" si="181"/>
        <v>0</v>
      </c>
      <c r="H387" s="126" t="str">
        <f t="shared" si="166"/>
        <v/>
      </c>
      <c r="I387" s="127" t="str">
        <f t="shared" si="167"/>
        <v/>
      </c>
      <c r="J387" s="128">
        <f t="shared" si="168"/>
        <v>0</v>
      </c>
      <c r="K387" s="129">
        <f t="shared" si="169"/>
        <v>0</v>
      </c>
      <c r="L387" s="1">
        <f t="shared" si="182"/>
        <v>0</v>
      </c>
      <c r="M387" s="130">
        <f t="shared" si="170"/>
        <v>0</v>
      </c>
      <c r="N387" s="131">
        <f t="shared" si="171"/>
        <v>0</v>
      </c>
      <c r="O387" s="15"/>
      <c r="P387" s="32">
        <f t="shared" si="183"/>
        <v>0</v>
      </c>
      <c r="Q387" s="33"/>
      <c r="R387" s="75">
        <f t="shared" si="184"/>
        <v>0</v>
      </c>
      <c r="V387" s="68">
        <f t="shared" si="172"/>
        <v>0</v>
      </c>
      <c r="AA387" s="4">
        <f t="shared" si="173"/>
        <v>4</v>
      </c>
      <c r="AB387" s="4">
        <f t="shared" si="174"/>
        <v>11</v>
      </c>
      <c r="AC387" s="12">
        <f t="shared" si="175"/>
        <v>32</v>
      </c>
      <c r="AJ387" s="5">
        <f t="shared" si="195"/>
        <v>0</v>
      </c>
      <c r="AK387" s="5">
        <f t="shared" si="185"/>
        <v>0</v>
      </c>
      <c r="AL387" s="77">
        <f t="shared" si="197"/>
        <v>57377</v>
      </c>
      <c r="AM387" s="27" t="str">
        <f t="shared" si="186"/>
        <v/>
      </c>
      <c r="AN387" s="76">
        <f t="shared" si="187"/>
        <v>373</v>
      </c>
      <c r="AO387" s="13">
        <f t="shared" si="188"/>
        <v>0</v>
      </c>
      <c r="AP387" s="62">
        <f t="shared" si="189"/>
        <v>0</v>
      </c>
      <c r="AQ387" s="9" t="str">
        <f t="shared" si="176"/>
        <v/>
      </c>
      <c r="AR387" s="60" t="str">
        <f t="shared" si="177"/>
        <v/>
      </c>
      <c r="AS387" s="8">
        <f t="shared" si="190"/>
        <v>0</v>
      </c>
      <c r="AT387" s="11">
        <f t="shared" si="191"/>
        <v>0</v>
      </c>
      <c r="AU387" s="15">
        <v>0</v>
      </c>
      <c r="AV387" s="32">
        <f t="shared" si="192"/>
        <v>0</v>
      </c>
      <c r="AW387" s="33"/>
      <c r="AX387" s="75">
        <f t="shared" si="193"/>
        <v>0</v>
      </c>
    </row>
    <row r="388" spans="1:50" x14ac:dyDescent="0.25">
      <c r="A388" s="5">
        <f t="shared" si="194"/>
        <v>0</v>
      </c>
      <c r="B388" s="5">
        <f t="shared" si="178"/>
        <v>0</v>
      </c>
      <c r="C388" s="77">
        <f t="shared" si="196"/>
        <v>57405</v>
      </c>
      <c r="D388" s="122" t="str">
        <f t="shared" si="165"/>
        <v/>
      </c>
      <c r="E388" s="123">
        <f t="shared" si="179"/>
        <v>374</v>
      </c>
      <c r="F388" s="124">
        <f t="shared" si="180"/>
        <v>0</v>
      </c>
      <c r="G388" s="125">
        <f t="shared" si="181"/>
        <v>0</v>
      </c>
      <c r="H388" s="126" t="str">
        <f t="shared" si="166"/>
        <v/>
      </c>
      <c r="I388" s="127" t="str">
        <f t="shared" si="167"/>
        <v/>
      </c>
      <c r="J388" s="128">
        <f t="shared" si="168"/>
        <v>0</v>
      </c>
      <c r="K388" s="129">
        <f t="shared" si="169"/>
        <v>0</v>
      </c>
      <c r="L388" s="1">
        <f t="shared" si="182"/>
        <v>0</v>
      </c>
      <c r="M388" s="130">
        <f t="shared" si="170"/>
        <v>0</v>
      </c>
      <c r="N388" s="131">
        <f t="shared" si="171"/>
        <v>0</v>
      </c>
      <c r="O388" s="15"/>
      <c r="P388" s="32">
        <f t="shared" si="183"/>
        <v>0</v>
      </c>
      <c r="Q388" s="33"/>
      <c r="R388" s="75">
        <f t="shared" si="184"/>
        <v>0</v>
      </c>
      <c r="V388" s="68">
        <f t="shared" si="172"/>
        <v>0</v>
      </c>
      <c r="AA388" s="4">
        <f t="shared" si="173"/>
        <v>4</v>
      </c>
      <c r="AB388" s="4">
        <f t="shared" si="174"/>
        <v>11</v>
      </c>
      <c r="AC388" s="12">
        <f t="shared" si="175"/>
        <v>32</v>
      </c>
      <c r="AJ388" s="5">
        <f t="shared" si="195"/>
        <v>0</v>
      </c>
      <c r="AK388" s="5">
        <f t="shared" si="185"/>
        <v>0</v>
      </c>
      <c r="AL388" s="77">
        <f t="shared" si="197"/>
        <v>57405</v>
      </c>
      <c r="AM388" s="27" t="str">
        <f t="shared" si="186"/>
        <v/>
      </c>
      <c r="AN388" s="76">
        <f t="shared" si="187"/>
        <v>374</v>
      </c>
      <c r="AO388" s="13">
        <f t="shared" si="188"/>
        <v>0</v>
      </c>
      <c r="AP388" s="62">
        <f t="shared" si="189"/>
        <v>0</v>
      </c>
      <c r="AQ388" s="9" t="str">
        <f t="shared" si="176"/>
        <v/>
      </c>
      <c r="AR388" s="60" t="str">
        <f t="shared" si="177"/>
        <v/>
      </c>
      <c r="AS388" s="8">
        <f t="shared" si="190"/>
        <v>0</v>
      </c>
      <c r="AT388" s="11">
        <f t="shared" si="191"/>
        <v>0</v>
      </c>
      <c r="AU388" s="15">
        <v>0</v>
      </c>
      <c r="AV388" s="32">
        <f t="shared" si="192"/>
        <v>0</v>
      </c>
      <c r="AW388" s="33"/>
      <c r="AX388" s="75">
        <f t="shared" si="193"/>
        <v>0</v>
      </c>
    </row>
    <row r="389" spans="1:50" x14ac:dyDescent="0.25">
      <c r="A389" s="5">
        <f t="shared" si="194"/>
        <v>0</v>
      </c>
      <c r="B389" s="5">
        <f t="shared" si="178"/>
        <v>0</v>
      </c>
      <c r="C389" s="77">
        <f t="shared" si="196"/>
        <v>57436</v>
      </c>
      <c r="D389" s="122" t="str">
        <f t="shared" si="165"/>
        <v/>
      </c>
      <c r="E389" s="123">
        <f t="shared" si="179"/>
        <v>375</v>
      </c>
      <c r="F389" s="124">
        <f t="shared" si="180"/>
        <v>0</v>
      </c>
      <c r="G389" s="125">
        <f t="shared" si="181"/>
        <v>0</v>
      </c>
      <c r="H389" s="126" t="str">
        <f t="shared" si="166"/>
        <v/>
      </c>
      <c r="I389" s="127" t="str">
        <f t="shared" si="167"/>
        <v/>
      </c>
      <c r="J389" s="128">
        <f t="shared" si="168"/>
        <v>0</v>
      </c>
      <c r="K389" s="129">
        <f t="shared" si="169"/>
        <v>0</v>
      </c>
      <c r="L389" s="1">
        <f t="shared" si="182"/>
        <v>0</v>
      </c>
      <c r="M389" s="130">
        <f t="shared" si="170"/>
        <v>0</v>
      </c>
      <c r="N389" s="131">
        <f t="shared" si="171"/>
        <v>0</v>
      </c>
      <c r="O389" s="15"/>
      <c r="P389" s="32">
        <f t="shared" si="183"/>
        <v>0</v>
      </c>
      <c r="Q389" s="33"/>
      <c r="R389" s="75">
        <f t="shared" si="184"/>
        <v>0</v>
      </c>
      <c r="V389" s="68">
        <f t="shared" si="172"/>
        <v>0</v>
      </c>
      <c r="AA389" s="4">
        <f t="shared" si="173"/>
        <v>4</v>
      </c>
      <c r="AB389" s="4">
        <f t="shared" si="174"/>
        <v>11</v>
      </c>
      <c r="AC389" s="12">
        <f t="shared" si="175"/>
        <v>32</v>
      </c>
      <c r="AJ389" s="5">
        <f t="shared" si="195"/>
        <v>0</v>
      </c>
      <c r="AK389" s="5">
        <f t="shared" si="185"/>
        <v>0</v>
      </c>
      <c r="AL389" s="77">
        <f t="shared" si="197"/>
        <v>57436</v>
      </c>
      <c r="AM389" s="27" t="str">
        <f t="shared" si="186"/>
        <v/>
      </c>
      <c r="AN389" s="76">
        <f t="shared" si="187"/>
        <v>375</v>
      </c>
      <c r="AO389" s="13">
        <f t="shared" si="188"/>
        <v>0</v>
      </c>
      <c r="AP389" s="62">
        <f t="shared" si="189"/>
        <v>0</v>
      </c>
      <c r="AQ389" s="9" t="str">
        <f t="shared" si="176"/>
        <v/>
      </c>
      <c r="AR389" s="60" t="str">
        <f t="shared" si="177"/>
        <v/>
      </c>
      <c r="AS389" s="8">
        <f t="shared" si="190"/>
        <v>0</v>
      </c>
      <c r="AT389" s="11">
        <f t="shared" si="191"/>
        <v>0</v>
      </c>
      <c r="AU389" s="15">
        <v>0</v>
      </c>
      <c r="AV389" s="32">
        <f t="shared" si="192"/>
        <v>0</v>
      </c>
      <c r="AW389" s="33"/>
      <c r="AX389" s="75">
        <f t="shared" si="193"/>
        <v>0</v>
      </c>
    </row>
    <row r="390" spans="1:50" x14ac:dyDescent="0.25">
      <c r="A390" s="5">
        <f t="shared" si="194"/>
        <v>0</v>
      </c>
      <c r="B390" s="5">
        <f t="shared" si="178"/>
        <v>0</v>
      </c>
      <c r="C390" s="77">
        <f t="shared" si="196"/>
        <v>57466</v>
      </c>
      <c r="D390" s="122" t="str">
        <f t="shared" si="165"/>
        <v/>
      </c>
      <c r="E390" s="123">
        <f t="shared" si="179"/>
        <v>376</v>
      </c>
      <c r="F390" s="124">
        <f t="shared" si="180"/>
        <v>0</v>
      </c>
      <c r="G390" s="125">
        <f t="shared" si="181"/>
        <v>0</v>
      </c>
      <c r="H390" s="126" t="str">
        <f t="shared" si="166"/>
        <v/>
      </c>
      <c r="I390" s="127" t="str">
        <f t="shared" si="167"/>
        <v/>
      </c>
      <c r="J390" s="128">
        <f t="shared" si="168"/>
        <v>0</v>
      </c>
      <c r="K390" s="129">
        <f t="shared" si="169"/>
        <v>0</v>
      </c>
      <c r="L390" s="1">
        <f t="shared" si="182"/>
        <v>0</v>
      </c>
      <c r="M390" s="130">
        <f t="shared" si="170"/>
        <v>0</v>
      </c>
      <c r="N390" s="131">
        <f t="shared" si="171"/>
        <v>0</v>
      </c>
      <c r="O390" s="15"/>
      <c r="P390" s="32">
        <f t="shared" si="183"/>
        <v>0</v>
      </c>
      <c r="Q390" s="33"/>
      <c r="R390" s="75">
        <f t="shared" si="184"/>
        <v>0</v>
      </c>
      <c r="V390" s="68">
        <f t="shared" si="172"/>
        <v>0</v>
      </c>
      <c r="AA390" s="4">
        <f t="shared" si="173"/>
        <v>4</v>
      </c>
      <c r="AB390" s="4">
        <f t="shared" si="174"/>
        <v>11</v>
      </c>
      <c r="AC390" s="12">
        <f t="shared" si="175"/>
        <v>32</v>
      </c>
      <c r="AJ390" s="5">
        <f t="shared" si="195"/>
        <v>0</v>
      </c>
      <c r="AK390" s="5">
        <f t="shared" si="185"/>
        <v>0</v>
      </c>
      <c r="AL390" s="77">
        <f t="shared" si="197"/>
        <v>57466</v>
      </c>
      <c r="AM390" s="27" t="str">
        <f t="shared" si="186"/>
        <v/>
      </c>
      <c r="AN390" s="76">
        <f t="shared" si="187"/>
        <v>376</v>
      </c>
      <c r="AO390" s="13">
        <f t="shared" si="188"/>
        <v>0</v>
      </c>
      <c r="AP390" s="62">
        <f t="shared" si="189"/>
        <v>0</v>
      </c>
      <c r="AQ390" s="9" t="str">
        <f t="shared" si="176"/>
        <v/>
      </c>
      <c r="AR390" s="60" t="str">
        <f t="shared" si="177"/>
        <v/>
      </c>
      <c r="AS390" s="8">
        <f t="shared" si="190"/>
        <v>0</v>
      </c>
      <c r="AT390" s="11">
        <f t="shared" si="191"/>
        <v>0</v>
      </c>
      <c r="AU390" s="15">
        <v>0</v>
      </c>
      <c r="AV390" s="32">
        <f t="shared" si="192"/>
        <v>0</v>
      </c>
      <c r="AW390" s="33"/>
      <c r="AX390" s="75">
        <f t="shared" si="193"/>
        <v>0</v>
      </c>
    </row>
    <row r="391" spans="1:50" x14ac:dyDescent="0.25">
      <c r="A391" s="5">
        <f t="shared" si="194"/>
        <v>0</v>
      </c>
      <c r="B391" s="5">
        <f t="shared" si="178"/>
        <v>0</v>
      </c>
      <c r="C391" s="77">
        <f t="shared" si="196"/>
        <v>57497</v>
      </c>
      <c r="D391" s="122" t="str">
        <f t="shared" si="165"/>
        <v/>
      </c>
      <c r="E391" s="123">
        <f t="shared" si="179"/>
        <v>377</v>
      </c>
      <c r="F391" s="124">
        <f t="shared" si="180"/>
        <v>0</v>
      </c>
      <c r="G391" s="125">
        <f t="shared" si="181"/>
        <v>0</v>
      </c>
      <c r="H391" s="126" t="str">
        <f t="shared" si="166"/>
        <v/>
      </c>
      <c r="I391" s="127" t="str">
        <f t="shared" si="167"/>
        <v/>
      </c>
      <c r="J391" s="128">
        <f t="shared" si="168"/>
        <v>0</v>
      </c>
      <c r="K391" s="129">
        <f t="shared" si="169"/>
        <v>0</v>
      </c>
      <c r="L391" s="1">
        <f t="shared" si="182"/>
        <v>0</v>
      </c>
      <c r="M391" s="130">
        <f t="shared" si="170"/>
        <v>0</v>
      </c>
      <c r="N391" s="131">
        <f t="shared" si="171"/>
        <v>0</v>
      </c>
      <c r="O391" s="15"/>
      <c r="P391" s="32">
        <f t="shared" si="183"/>
        <v>0</v>
      </c>
      <c r="Q391" s="33"/>
      <c r="R391" s="75">
        <f t="shared" si="184"/>
        <v>0</v>
      </c>
      <c r="V391" s="68">
        <f t="shared" si="172"/>
        <v>0</v>
      </c>
      <c r="AA391" s="4">
        <f t="shared" si="173"/>
        <v>4</v>
      </c>
      <c r="AB391" s="4">
        <f t="shared" si="174"/>
        <v>11</v>
      </c>
      <c r="AC391" s="12">
        <f t="shared" si="175"/>
        <v>32</v>
      </c>
      <c r="AJ391" s="5">
        <f t="shared" si="195"/>
        <v>0</v>
      </c>
      <c r="AK391" s="5">
        <f t="shared" si="185"/>
        <v>0</v>
      </c>
      <c r="AL391" s="77">
        <f t="shared" si="197"/>
        <v>57497</v>
      </c>
      <c r="AM391" s="27" t="str">
        <f t="shared" si="186"/>
        <v/>
      </c>
      <c r="AN391" s="76">
        <f t="shared" si="187"/>
        <v>377</v>
      </c>
      <c r="AO391" s="13">
        <f t="shared" si="188"/>
        <v>0</v>
      </c>
      <c r="AP391" s="62">
        <f t="shared" si="189"/>
        <v>0</v>
      </c>
      <c r="AQ391" s="9" t="str">
        <f t="shared" si="176"/>
        <v/>
      </c>
      <c r="AR391" s="60" t="str">
        <f t="shared" si="177"/>
        <v/>
      </c>
      <c r="AS391" s="8">
        <f t="shared" si="190"/>
        <v>0</v>
      </c>
      <c r="AT391" s="11">
        <f t="shared" si="191"/>
        <v>0</v>
      </c>
      <c r="AU391" s="15">
        <v>0</v>
      </c>
      <c r="AV391" s="32">
        <f t="shared" si="192"/>
        <v>0</v>
      </c>
      <c r="AW391" s="33"/>
      <c r="AX391" s="75">
        <f t="shared" si="193"/>
        <v>0</v>
      </c>
    </row>
    <row r="392" spans="1:50" x14ac:dyDescent="0.25">
      <c r="A392" s="5">
        <f t="shared" si="194"/>
        <v>0</v>
      </c>
      <c r="B392" s="5">
        <f t="shared" si="178"/>
        <v>0</v>
      </c>
      <c r="C392" s="77">
        <f t="shared" si="196"/>
        <v>57527</v>
      </c>
      <c r="D392" s="122" t="str">
        <f t="shared" si="165"/>
        <v/>
      </c>
      <c r="E392" s="123">
        <f t="shared" si="179"/>
        <v>378</v>
      </c>
      <c r="F392" s="124">
        <f t="shared" si="180"/>
        <v>0</v>
      </c>
      <c r="G392" s="125">
        <f t="shared" si="181"/>
        <v>0</v>
      </c>
      <c r="H392" s="126" t="str">
        <f t="shared" si="166"/>
        <v/>
      </c>
      <c r="I392" s="127" t="str">
        <f t="shared" si="167"/>
        <v/>
      </c>
      <c r="J392" s="128">
        <f t="shared" si="168"/>
        <v>0</v>
      </c>
      <c r="K392" s="129">
        <f t="shared" si="169"/>
        <v>0</v>
      </c>
      <c r="L392" s="1">
        <f t="shared" si="182"/>
        <v>0</v>
      </c>
      <c r="M392" s="130">
        <f t="shared" si="170"/>
        <v>0</v>
      </c>
      <c r="N392" s="131">
        <f t="shared" si="171"/>
        <v>0</v>
      </c>
      <c r="O392" s="15"/>
      <c r="P392" s="32">
        <f t="shared" si="183"/>
        <v>0</v>
      </c>
      <c r="Q392" s="33"/>
      <c r="R392" s="75">
        <f t="shared" si="184"/>
        <v>0</v>
      </c>
      <c r="V392" s="68">
        <f t="shared" si="172"/>
        <v>0</v>
      </c>
      <c r="AA392" s="4">
        <f t="shared" si="173"/>
        <v>4</v>
      </c>
      <c r="AB392" s="4">
        <f t="shared" si="174"/>
        <v>11</v>
      </c>
      <c r="AC392" s="12">
        <f t="shared" si="175"/>
        <v>32</v>
      </c>
      <c r="AJ392" s="5">
        <f t="shared" si="195"/>
        <v>0</v>
      </c>
      <c r="AK392" s="5">
        <f t="shared" si="185"/>
        <v>0</v>
      </c>
      <c r="AL392" s="77">
        <f t="shared" si="197"/>
        <v>57527</v>
      </c>
      <c r="AM392" s="27" t="str">
        <f t="shared" si="186"/>
        <v/>
      </c>
      <c r="AN392" s="76">
        <f t="shared" si="187"/>
        <v>378</v>
      </c>
      <c r="AO392" s="13">
        <f t="shared" si="188"/>
        <v>0</v>
      </c>
      <c r="AP392" s="62">
        <f t="shared" si="189"/>
        <v>0</v>
      </c>
      <c r="AQ392" s="9" t="str">
        <f t="shared" si="176"/>
        <v/>
      </c>
      <c r="AR392" s="60" t="str">
        <f t="shared" si="177"/>
        <v/>
      </c>
      <c r="AS392" s="8">
        <f t="shared" si="190"/>
        <v>0</v>
      </c>
      <c r="AT392" s="11">
        <f t="shared" si="191"/>
        <v>0</v>
      </c>
      <c r="AU392" s="15">
        <v>0</v>
      </c>
      <c r="AV392" s="32">
        <f t="shared" si="192"/>
        <v>0</v>
      </c>
      <c r="AW392" s="33"/>
      <c r="AX392" s="75">
        <f t="shared" si="193"/>
        <v>0</v>
      </c>
    </row>
    <row r="393" spans="1:50" x14ac:dyDescent="0.25">
      <c r="A393" s="5">
        <f t="shared" si="194"/>
        <v>0</v>
      </c>
      <c r="B393" s="5">
        <f t="shared" si="178"/>
        <v>0</v>
      </c>
      <c r="C393" s="77">
        <f t="shared" si="196"/>
        <v>57558</v>
      </c>
      <c r="D393" s="122" t="str">
        <f t="shared" si="165"/>
        <v/>
      </c>
      <c r="E393" s="123">
        <f t="shared" si="179"/>
        <v>379</v>
      </c>
      <c r="F393" s="124">
        <f t="shared" si="180"/>
        <v>0</v>
      </c>
      <c r="G393" s="125">
        <f t="shared" si="181"/>
        <v>0</v>
      </c>
      <c r="H393" s="126" t="str">
        <f t="shared" si="166"/>
        <v/>
      </c>
      <c r="I393" s="127" t="str">
        <f t="shared" si="167"/>
        <v/>
      </c>
      <c r="J393" s="128">
        <f t="shared" si="168"/>
        <v>0</v>
      </c>
      <c r="K393" s="129">
        <f t="shared" si="169"/>
        <v>0</v>
      </c>
      <c r="L393" s="1">
        <f t="shared" si="182"/>
        <v>0</v>
      </c>
      <c r="M393" s="130">
        <f t="shared" si="170"/>
        <v>0</v>
      </c>
      <c r="N393" s="131">
        <f t="shared" si="171"/>
        <v>0</v>
      </c>
      <c r="O393" s="15"/>
      <c r="P393" s="32">
        <f t="shared" si="183"/>
        <v>0</v>
      </c>
      <c r="Q393" s="33"/>
      <c r="R393" s="75">
        <f t="shared" si="184"/>
        <v>0</v>
      </c>
      <c r="V393" s="68">
        <f t="shared" si="172"/>
        <v>0</v>
      </c>
      <c r="AA393" s="4">
        <f t="shared" si="173"/>
        <v>4</v>
      </c>
      <c r="AB393" s="4">
        <f t="shared" si="174"/>
        <v>11</v>
      </c>
      <c r="AC393" s="12">
        <f t="shared" si="175"/>
        <v>32</v>
      </c>
      <c r="AJ393" s="5">
        <f t="shared" si="195"/>
        <v>0</v>
      </c>
      <c r="AK393" s="5">
        <f t="shared" si="185"/>
        <v>0</v>
      </c>
      <c r="AL393" s="77">
        <f t="shared" si="197"/>
        <v>57558</v>
      </c>
      <c r="AM393" s="27" t="str">
        <f t="shared" si="186"/>
        <v/>
      </c>
      <c r="AN393" s="76">
        <f t="shared" si="187"/>
        <v>379</v>
      </c>
      <c r="AO393" s="13">
        <f t="shared" si="188"/>
        <v>0</v>
      </c>
      <c r="AP393" s="62">
        <f t="shared" si="189"/>
        <v>0</v>
      </c>
      <c r="AQ393" s="9" t="str">
        <f t="shared" si="176"/>
        <v/>
      </c>
      <c r="AR393" s="60" t="str">
        <f t="shared" si="177"/>
        <v/>
      </c>
      <c r="AS393" s="8">
        <f t="shared" si="190"/>
        <v>0</v>
      </c>
      <c r="AT393" s="11">
        <f t="shared" si="191"/>
        <v>0</v>
      </c>
      <c r="AU393" s="15">
        <v>0</v>
      </c>
      <c r="AV393" s="32">
        <f t="shared" si="192"/>
        <v>0</v>
      </c>
      <c r="AW393" s="33"/>
      <c r="AX393" s="75">
        <f t="shared" si="193"/>
        <v>0</v>
      </c>
    </row>
    <row r="394" spans="1:50" x14ac:dyDescent="0.25">
      <c r="A394" s="5">
        <f t="shared" si="194"/>
        <v>0</v>
      </c>
      <c r="B394" s="5">
        <f t="shared" si="178"/>
        <v>0</v>
      </c>
      <c r="C394" s="77">
        <f t="shared" si="196"/>
        <v>57589</v>
      </c>
      <c r="D394" s="122" t="str">
        <f t="shared" si="165"/>
        <v/>
      </c>
      <c r="E394" s="123">
        <f t="shared" si="179"/>
        <v>380</v>
      </c>
      <c r="F394" s="124">
        <f t="shared" si="180"/>
        <v>0</v>
      </c>
      <c r="G394" s="125">
        <f t="shared" si="181"/>
        <v>0</v>
      </c>
      <c r="H394" s="126" t="str">
        <f t="shared" si="166"/>
        <v/>
      </c>
      <c r="I394" s="127" t="str">
        <f t="shared" si="167"/>
        <v/>
      </c>
      <c r="J394" s="128">
        <f t="shared" si="168"/>
        <v>0</v>
      </c>
      <c r="K394" s="129">
        <f t="shared" si="169"/>
        <v>0</v>
      </c>
      <c r="L394" s="1">
        <f t="shared" si="182"/>
        <v>0</v>
      </c>
      <c r="M394" s="130">
        <f t="shared" si="170"/>
        <v>0</v>
      </c>
      <c r="N394" s="131">
        <f t="shared" si="171"/>
        <v>0</v>
      </c>
      <c r="O394" s="15"/>
      <c r="P394" s="32">
        <f t="shared" si="183"/>
        <v>0</v>
      </c>
      <c r="Q394" s="33"/>
      <c r="R394" s="75">
        <f t="shared" si="184"/>
        <v>0</v>
      </c>
      <c r="V394" s="68">
        <f t="shared" si="172"/>
        <v>0</v>
      </c>
      <c r="AA394" s="4">
        <f t="shared" si="173"/>
        <v>4</v>
      </c>
      <c r="AB394" s="4">
        <f t="shared" si="174"/>
        <v>11</v>
      </c>
      <c r="AC394" s="12">
        <f t="shared" si="175"/>
        <v>32</v>
      </c>
      <c r="AJ394" s="5">
        <f t="shared" si="195"/>
        <v>0</v>
      </c>
      <c r="AK394" s="5">
        <f t="shared" si="185"/>
        <v>0</v>
      </c>
      <c r="AL394" s="77">
        <f t="shared" si="197"/>
        <v>57589</v>
      </c>
      <c r="AM394" s="27" t="str">
        <f t="shared" si="186"/>
        <v/>
      </c>
      <c r="AN394" s="76">
        <f t="shared" si="187"/>
        <v>380</v>
      </c>
      <c r="AO394" s="13">
        <f t="shared" si="188"/>
        <v>0</v>
      </c>
      <c r="AP394" s="62">
        <f t="shared" si="189"/>
        <v>0</v>
      </c>
      <c r="AQ394" s="9" t="str">
        <f t="shared" si="176"/>
        <v/>
      </c>
      <c r="AR394" s="60" t="str">
        <f t="shared" si="177"/>
        <v/>
      </c>
      <c r="AS394" s="8">
        <f t="shared" si="190"/>
        <v>0</v>
      </c>
      <c r="AT394" s="11">
        <f t="shared" si="191"/>
        <v>0</v>
      </c>
      <c r="AU394" s="15">
        <v>0</v>
      </c>
      <c r="AV394" s="32">
        <f t="shared" si="192"/>
        <v>0</v>
      </c>
      <c r="AW394" s="33"/>
      <c r="AX394" s="75">
        <f t="shared" si="193"/>
        <v>0</v>
      </c>
    </row>
    <row r="395" spans="1:50" x14ac:dyDescent="0.25">
      <c r="A395" s="5">
        <f t="shared" si="194"/>
        <v>0</v>
      </c>
      <c r="B395" s="5">
        <f t="shared" si="178"/>
        <v>0</v>
      </c>
      <c r="C395" s="77">
        <f t="shared" si="196"/>
        <v>57619</v>
      </c>
      <c r="D395" s="122" t="str">
        <f t="shared" si="165"/>
        <v/>
      </c>
      <c r="E395" s="123">
        <f t="shared" si="179"/>
        <v>381</v>
      </c>
      <c r="F395" s="124">
        <f t="shared" si="180"/>
        <v>0</v>
      </c>
      <c r="G395" s="125">
        <f t="shared" si="181"/>
        <v>0</v>
      </c>
      <c r="H395" s="126" t="str">
        <f t="shared" si="166"/>
        <v/>
      </c>
      <c r="I395" s="127" t="str">
        <f t="shared" si="167"/>
        <v/>
      </c>
      <c r="J395" s="128">
        <f t="shared" si="168"/>
        <v>0</v>
      </c>
      <c r="K395" s="129">
        <f t="shared" si="169"/>
        <v>0</v>
      </c>
      <c r="L395" s="1">
        <f t="shared" si="182"/>
        <v>0</v>
      </c>
      <c r="M395" s="130">
        <f t="shared" si="170"/>
        <v>0</v>
      </c>
      <c r="N395" s="131">
        <f t="shared" si="171"/>
        <v>0</v>
      </c>
      <c r="O395" s="15"/>
      <c r="P395" s="32">
        <f t="shared" si="183"/>
        <v>0</v>
      </c>
      <c r="Q395" s="33"/>
      <c r="R395" s="75">
        <f t="shared" si="184"/>
        <v>0</v>
      </c>
      <c r="V395" s="68">
        <f t="shared" si="172"/>
        <v>0</v>
      </c>
      <c r="AA395" s="4">
        <f t="shared" si="173"/>
        <v>4</v>
      </c>
      <c r="AB395" s="4">
        <f t="shared" si="174"/>
        <v>11</v>
      </c>
      <c r="AC395" s="12">
        <f t="shared" si="175"/>
        <v>32</v>
      </c>
      <c r="AJ395" s="5">
        <f t="shared" si="195"/>
        <v>0</v>
      </c>
      <c r="AK395" s="5">
        <f t="shared" si="185"/>
        <v>0</v>
      </c>
      <c r="AL395" s="77">
        <f t="shared" si="197"/>
        <v>57619</v>
      </c>
      <c r="AM395" s="27" t="str">
        <f t="shared" si="186"/>
        <v/>
      </c>
      <c r="AN395" s="76">
        <f t="shared" si="187"/>
        <v>381</v>
      </c>
      <c r="AO395" s="13">
        <f t="shared" si="188"/>
        <v>0</v>
      </c>
      <c r="AP395" s="62">
        <f t="shared" si="189"/>
        <v>0</v>
      </c>
      <c r="AQ395" s="9" t="str">
        <f t="shared" si="176"/>
        <v/>
      </c>
      <c r="AR395" s="60" t="str">
        <f t="shared" si="177"/>
        <v/>
      </c>
      <c r="AS395" s="8">
        <f t="shared" si="190"/>
        <v>0</v>
      </c>
      <c r="AT395" s="11">
        <f t="shared" si="191"/>
        <v>0</v>
      </c>
      <c r="AU395" s="15">
        <v>0</v>
      </c>
      <c r="AV395" s="32">
        <f t="shared" si="192"/>
        <v>0</v>
      </c>
      <c r="AW395" s="33"/>
      <c r="AX395" s="75">
        <f t="shared" si="193"/>
        <v>0</v>
      </c>
    </row>
    <row r="396" spans="1:50" x14ac:dyDescent="0.25">
      <c r="A396" s="5">
        <f t="shared" si="194"/>
        <v>0</v>
      </c>
      <c r="B396" s="5">
        <f t="shared" si="178"/>
        <v>0</v>
      </c>
      <c r="C396" s="77">
        <f t="shared" si="196"/>
        <v>57650</v>
      </c>
      <c r="D396" s="122" t="str">
        <f t="shared" si="165"/>
        <v/>
      </c>
      <c r="E396" s="123">
        <f t="shared" si="179"/>
        <v>382</v>
      </c>
      <c r="F396" s="124">
        <f t="shared" si="180"/>
        <v>0</v>
      </c>
      <c r="G396" s="125">
        <f t="shared" si="181"/>
        <v>0</v>
      </c>
      <c r="H396" s="126" t="str">
        <f t="shared" si="166"/>
        <v/>
      </c>
      <c r="I396" s="127" t="str">
        <f t="shared" si="167"/>
        <v/>
      </c>
      <c r="J396" s="128">
        <f t="shared" si="168"/>
        <v>0</v>
      </c>
      <c r="K396" s="129">
        <f t="shared" si="169"/>
        <v>0</v>
      </c>
      <c r="L396" s="1">
        <f t="shared" si="182"/>
        <v>0</v>
      </c>
      <c r="M396" s="130">
        <f t="shared" si="170"/>
        <v>0</v>
      </c>
      <c r="N396" s="131">
        <f t="shared" si="171"/>
        <v>0</v>
      </c>
      <c r="O396" s="15"/>
      <c r="P396" s="32">
        <f t="shared" si="183"/>
        <v>0</v>
      </c>
      <c r="Q396" s="33"/>
      <c r="R396" s="75">
        <f t="shared" si="184"/>
        <v>0</v>
      </c>
      <c r="V396" s="68">
        <f t="shared" si="172"/>
        <v>0</v>
      </c>
      <c r="AA396" s="4">
        <f t="shared" si="173"/>
        <v>4</v>
      </c>
      <c r="AB396" s="4">
        <f t="shared" si="174"/>
        <v>11</v>
      </c>
      <c r="AC396" s="12">
        <f t="shared" si="175"/>
        <v>32</v>
      </c>
      <c r="AJ396" s="5">
        <f t="shared" si="195"/>
        <v>0</v>
      </c>
      <c r="AK396" s="5">
        <f t="shared" si="185"/>
        <v>0</v>
      </c>
      <c r="AL396" s="77">
        <f t="shared" si="197"/>
        <v>57650</v>
      </c>
      <c r="AM396" s="27" t="str">
        <f t="shared" si="186"/>
        <v/>
      </c>
      <c r="AN396" s="76">
        <f t="shared" si="187"/>
        <v>382</v>
      </c>
      <c r="AO396" s="13">
        <f t="shared" si="188"/>
        <v>0</v>
      </c>
      <c r="AP396" s="62">
        <f t="shared" si="189"/>
        <v>0</v>
      </c>
      <c r="AQ396" s="9" t="str">
        <f t="shared" si="176"/>
        <v/>
      </c>
      <c r="AR396" s="60" t="str">
        <f t="shared" si="177"/>
        <v/>
      </c>
      <c r="AS396" s="8">
        <f t="shared" si="190"/>
        <v>0</v>
      </c>
      <c r="AT396" s="11">
        <f t="shared" si="191"/>
        <v>0</v>
      </c>
      <c r="AU396" s="15">
        <v>0</v>
      </c>
      <c r="AV396" s="32">
        <f t="shared" si="192"/>
        <v>0</v>
      </c>
      <c r="AW396" s="33"/>
      <c r="AX396" s="75">
        <f t="shared" si="193"/>
        <v>0</v>
      </c>
    </row>
    <row r="397" spans="1:50" x14ac:dyDescent="0.25">
      <c r="A397" s="5">
        <f t="shared" si="194"/>
        <v>0</v>
      </c>
      <c r="B397" s="5">
        <f t="shared" si="178"/>
        <v>0</v>
      </c>
      <c r="C397" s="77">
        <f t="shared" si="196"/>
        <v>57680</v>
      </c>
      <c r="D397" s="122" t="str">
        <f t="shared" si="165"/>
        <v/>
      </c>
      <c r="E397" s="123">
        <f t="shared" si="179"/>
        <v>383</v>
      </c>
      <c r="F397" s="124">
        <f t="shared" si="180"/>
        <v>0</v>
      </c>
      <c r="G397" s="125">
        <f t="shared" si="181"/>
        <v>0</v>
      </c>
      <c r="H397" s="126" t="str">
        <f t="shared" si="166"/>
        <v/>
      </c>
      <c r="I397" s="127" t="str">
        <f t="shared" si="167"/>
        <v/>
      </c>
      <c r="J397" s="128">
        <f t="shared" si="168"/>
        <v>0</v>
      </c>
      <c r="K397" s="129">
        <f t="shared" si="169"/>
        <v>0</v>
      </c>
      <c r="L397" s="1">
        <f t="shared" si="182"/>
        <v>0</v>
      </c>
      <c r="M397" s="130">
        <f t="shared" si="170"/>
        <v>0</v>
      </c>
      <c r="N397" s="131">
        <f t="shared" si="171"/>
        <v>0</v>
      </c>
      <c r="O397" s="15"/>
      <c r="P397" s="32">
        <f t="shared" si="183"/>
        <v>0</v>
      </c>
      <c r="Q397" s="33"/>
      <c r="R397" s="75">
        <f t="shared" si="184"/>
        <v>0</v>
      </c>
      <c r="V397" s="68">
        <f t="shared" si="172"/>
        <v>0</v>
      </c>
      <c r="AA397" s="4">
        <f t="shared" si="173"/>
        <v>4</v>
      </c>
      <c r="AB397" s="4">
        <f t="shared" si="174"/>
        <v>11</v>
      </c>
      <c r="AC397" s="12">
        <f t="shared" si="175"/>
        <v>32</v>
      </c>
      <c r="AJ397" s="5">
        <f t="shared" si="195"/>
        <v>0</v>
      </c>
      <c r="AK397" s="5">
        <f t="shared" si="185"/>
        <v>0</v>
      </c>
      <c r="AL397" s="77">
        <f t="shared" si="197"/>
        <v>57680</v>
      </c>
      <c r="AM397" s="27" t="str">
        <f t="shared" si="186"/>
        <v/>
      </c>
      <c r="AN397" s="76">
        <f t="shared" si="187"/>
        <v>383</v>
      </c>
      <c r="AO397" s="13">
        <f t="shared" si="188"/>
        <v>0</v>
      </c>
      <c r="AP397" s="62">
        <f t="shared" si="189"/>
        <v>0</v>
      </c>
      <c r="AQ397" s="9" t="str">
        <f t="shared" si="176"/>
        <v/>
      </c>
      <c r="AR397" s="60" t="str">
        <f t="shared" si="177"/>
        <v/>
      </c>
      <c r="AS397" s="8">
        <f t="shared" si="190"/>
        <v>0</v>
      </c>
      <c r="AT397" s="11">
        <f t="shared" si="191"/>
        <v>0</v>
      </c>
      <c r="AU397" s="15">
        <v>0</v>
      </c>
      <c r="AV397" s="32">
        <f t="shared" si="192"/>
        <v>0</v>
      </c>
      <c r="AW397" s="33"/>
      <c r="AX397" s="75">
        <f t="shared" si="193"/>
        <v>0</v>
      </c>
    </row>
    <row r="398" spans="1:50" x14ac:dyDescent="0.25">
      <c r="A398" s="5">
        <f t="shared" si="194"/>
        <v>0</v>
      </c>
      <c r="B398" s="5">
        <f t="shared" si="178"/>
        <v>0</v>
      </c>
      <c r="C398" s="77">
        <f t="shared" si="196"/>
        <v>57711</v>
      </c>
      <c r="D398" s="122" t="str">
        <f t="shared" si="165"/>
        <v/>
      </c>
      <c r="E398" s="123">
        <f t="shared" si="179"/>
        <v>384</v>
      </c>
      <c r="F398" s="124">
        <f t="shared" si="180"/>
        <v>0</v>
      </c>
      <c r="G398" s="125">
        <f t="shared" si="181"/>
        <v>0</v>
      </c>
      <c r="H398" s="126" t="str">
        <f t="shared" si="166"/>
        <v/>
      </c>
      <c r="I398" s="127" t="str">
        <f t="shared" si="167"/>
        <v/>
      </c>
      <c r="J398" s="128">
        <f t="shared" si="168"/>
        <v>0</v>
      </c>
      <c r="K398" s="129">
        <f t="shared" si="169"/>
        <v>0</v>
      </c>
      <c r="L398" s="1">
        <f t="shared" si="182"/>
        <v>0</v>
      </c>
      <c r="M398" s="130">
        <f t="shared" si="170"/>
        <v>0</v>
      </c>
      <c r="N398" s="131">
        <f t="shared" si="171"/>
        <v>0</v>
      </c>
      <c r="O398" s="15"/>
      <c r="P398" s="32">
        <f t="shared" si="183"/>
        <v>0</v>
      </c>
      <c r="Q398" s="33"/>
      <c r="R398" s="75">
        <f t="shared" si="184"/>
        <v>0</v>
      </c>
      <c r="V398" s="68">
        <f t="shared" si="172"/>
        <v>0</v>
      </c>
      <c r="AA398" s="4">
        <f t="shared" si="173"/>
        <v>4</v>
      </c>
      <c r="AB398" s="4">
        <f t="shared" si="174"/>
        <v>11</v>
      </c>
      <c r="AC398" s="12">
        <f t="shared" si="175"/>
        <v>32</v>
      </c>
      <c r="AJ398" s="5">
        <f t="shared" si="195"/>
        <v>0</v>
      </c>
      <c r="AK398" s="5">
        <f t="shared" si="185"/>
        <v>0</v>
      </c>
      <c r="AL398" s="77">
        <f t="shared" si="197"/>
        <v>57711</v>
      </c>
      <c r="AM398" s="27" t="str">
        <f t="shared" si="186"/>
        <v/>
      </c>
      <c r="AN398" s="76">
        <f t="shared" si="187"/>
        <v>384</v>
      </c>
      <c r="AO398" s="13">
        <f t="shared" si="188"/>
        <v>0</v>
      </c>
      <c r="AP398" s="62">
        <f t="shared" si="189"/>
        <v>0</v>
      </c>
      <c r="AQ398" s="9" t="str">
        <f t="shared" si="176"/>
        <v/>
      </c>
      <c r="AR398" s="60" t="str">
        <f t="shared" si="177"/>
        <v/>
      </c>
      <c r="AS398" s="8">
        <f t="shared" si="190"/>
        <v>0</v>
      </c>
      <c r="AT398" s="11">
        <f t="shared" si="191"/>
        <v>0</v>
      </c>
      <c r="AU398" s="15">
        <v>0</v>
      </c>
      <c r="AV398" s="32">
        <f t="shared" si="192"/>
        <v>0</v>
      </c>
      <c r="AW398" s="33"/>
      <c r="AX398" s="75">
        <f t="shared" si="193"/>
        <v>0</v>
      </c>
    </row>
    <row r="399" spans="1:50" x14ac:dyDescent="0.25">
      <c r="A399" s="5">
        <f t="shared" si="194"/>
        <v>0</v>
      </c>
      <c r="B399" s="5">
        <f t="shared" si="178"/>
        <v>0</v>
      </c>
      <c r="C399" s="77">
        <f t="shared" si="196"/>
        <v>57742</v>
      </c>
      <c r="D399" s="122" t="str">
        <f t="shared" ref="D399:D434" si="198">IF(N398&gt;0,G399/N398,"")</f>
        <v/>
      </c>
      <c r="E399" s="123">
        <f t="shared" si="179"/>
        <v>385</v>
      </c>
      <c r="F399" s="124">
        <f t="shared" si="180"/>
        <v>0</v>
      </c>
      <c r="G399" s="125">
        <f t="shared" si="181"/>
        <v>0</v>
      </c>
      <c r="H399" s="126" t="str">
        <f t="shared" ref="H399:H434" si="199">IF(L399&lt;1,"",IF(G399/L399&gt;90%,"🛩",IF(G399/L399&gt;70%,"🏎",IF(G399/L399&gt;50%,"🚙",IF(G399/L399&gt;30%,"🛵",IF(G399/L399&gt;15%,"🐢","⚓️"))))))</f>
        <v/>
      </c>
      <c r="I399" s="127" t="str">
        <f t="shared" ref="I399:I434" si="200">IFERROR(IF((G399+O399-R399)/L399&lt;0,"🗑️",IF((G399+O399-R399)/L399&lt;10%,"🥾",IF((G399+O399-R399)/L399&lt;20%,"🛴",IF((G399+O399-R399)/L399&lt;50%,"🚴‍♂️",IF((G399+O399-R399)/L399&lt;75%,"🚖","🚁"))))),"")</f>
        <v/>
      </c>
      <c r="J399" s="128">
        <f t="shared" ref="J399:J434" si="201">G399+O399-R399</f>
        <v>0</v>
      </c>
      <c r="K399" s="129">
        <f t="shared" ref="K399:K434" si="202">IFERROR(J399/(L399+O399),0)</f>
        <v>0</v>
      </c>
      <c r="L399" s="1">
        <f t="shared" si="182"/>
        <v>0</v>
      </c>
      <c r="M399" s="130">
        <f t="shared" ref="M399:M434" si="203">IFERROR(N398/P399-G399+L399,0)</f>
        <v>0</v>
      </c>
      <c r="N399" s="131">
        <f t="shared" ref="N399:N434" si="204">IF(N398-O399-G399&lt;0,0,IF(N398-G399&gt;0,N398-G399,0)-IF(N398-G399&gt;0,O399-R399,0))</f>
        <v>0</v>
      </c>
      <c r="O399" s="15"/>
      <c r="P399" s="32">
        <f t="shared" si="183"/>
        <v>0</v>
      </c>
      <c r="Q399" s="33"/>
      <c r="R399" s="75">
        <f t="shared" si="184"/>
        <v>0</v>
      </c>
      <c r="V399" s="68">
        <f t="shared" ref="V399:V434" si="205">-L399-O399</f>
        <v>0</v>
      </c>
      <c r="AA399" s="4">
        <f t="shared" ref="AA399:AA434" si="206">ROUNDUP(E399/120,0)</f>
        <v>4</v>
      </c>
      <c r="AB399" s="4">
        <f t="shared" ref="AB399:AB434" si="207">ROUNDUP(E399/36,0)</f>
        <v>11</v>
      </c>
      <c r="AC399" s="12">
        <f t="shared" ref="AC399:AC434" si="208">ROUNDUP(E399/12,0)</f>
        <v>33</v>
      </c>
      <c r="AJ399" s="5">
        <f t="shared" si="195"/>
        <v>0</v>
      </c>
      <c r="AK399" s="5">
        <f t="shared" si="185"/>
        <v>0</v>
      </c>
      <c r="AL399" s="77">
        <f t="shared" si="197"/>
        <v>57742</v>
      </c>
      <c r="AM399" s="27" t="str">
        <f t="shared" si="186"/>
        <v/>
      </c>
      <c r="AN399" s="76">
        <f t="shared" si="187"/>
        <v>385</v>
      </c>
      <c r="AO399" s="13">
        <f t="shared" si="188"/>
        <v>0</v>
      </c>
      <c r="AP399" s="62">
        <f t="shared" si="189"/>
        <v>0</v>
      </c>
      <c r="AQ399" s="9" t="str">
        <f t="shared" ref="AQ399:AQ434" si="209">IF(AS399&lt;1,"",IF(AP399/AS399&gt;90%,"🛩",IF(AP399/AS399&gt;70%,"🏎",IF(AP399/AS399&gt;50%,"🚙",IF(AP399/AS399&gt;30%,"🛵",IF(AP399/AS399&gt;15%,"🐢","⚓️"))))))</f>
        <v/>
      </c>
      <c r="AR399" s="60" t="str">
        <f t="shared" ref="AR399:AR434" si="210">IFERROR(IF((AP399+AU399-AX399)/AS399&lt;0,"🗑️",IF((AP399+AU399-AX399)/AS399&lt;10%,"🥾",IF((AP399+AU399-AX399)/AS399&lt;20%,"🛴",IF((AP399+AU399-AX399)/AS399&lt;50%,"🚴‍♂️",IF((AP399+AU399-AX399)/AS399&lt;75%,"🚖","🚁"))))),"")</f>
        <v/>
      </c>
      <c r="AS399" s="8">
        <f t="shared" si="190"/>
        <v>0</v>
      </c>
      <c r="AT399" s="11">
        <f t="shared" si="191"/>
        <v>0</v>
      </c>
      <c r="AU399" s="15">
        <v>0</v>
      </c>
      <c r="AV399" s="32">
        <f t="shared" si="192"/>
        <v>0</v>
      </c>
      <c r="AW399" s="33"/>
      <c r="AX399" s="75">
        <f t="shared" si="193"/>
        <v>0</v>
      </c>
    </row>
    <row r="400" spans="1:50" x14ac:dyDescent="0.25">
      <c r="A400" s="5">
        <f t="shared" si="194"/>
        <v>0</v>
      </c>
      <c r="B400" s="5">
        <f t="shared" ref="B400:B434" si="211">IF(N399&lt;1,0,B399)</f>
        <v>0</v>
      </c>
      <c r="C400" s="77">
        <f t="shared" si="196"/>
        <v>57770</v>
      </c>
      <c r="D400" s="122" t="str">
        <f t="shared" si="198"/>
        <v/>
      </c>
      <c r="E400" s="123">
        <f t="shared" ref="E400:E434" si="212">E399+1</f>
        <v>386</v>
      </c>
      <c r="F400" s="124">
        <f t="shared" ref="F400:F434" si="213">IF(N399&gt;0,N399*$E$7,0)</f>
        <v>0</v>
      </c>
      <c r="G400" s="125">
        <f t="shared" ref="G400:G434" si="214">IF(N399&gt;G399,L400-F400-A400-B400,N399)</f>
        <v>0</v>
      </c>
      <c r="H400" s="126" t="str">
        <f t="shared" si="199"/>
        <v/>
      </c>
      <c r="I400" s="127" t="str">
        <f t="shared" si="200"/>
        <v/>
      </c>
      <c r="J400" s="128">
        <f t="shared" si="201"/>
        <v>0</v>
      </c>
      <c r="K400" s="129">
        <f t="shared" si="202"/>
        <v>0</v>
      </c>
      <c r="L400" s="1">
        <f t="shared" ref="L400:L434" si="215">IF(INT(N399)=0,0,IF(N399&lt;G399,N399+F400+A400+B400,-PMT($E$7,IF(Q399="V",P399,NPER($E$7,-L399+A400+B400,N399)),N399+R399)+A400+B400))+IF(INT(P399)=1,R400,0)</f>
        <v>0</v>
      </c>
      <c r="M400" s="130">
        <f t="shared" si="203"/>
        <v>0</v>
      </c>
      <c r="N400" s="131">
        <f t="shared" si="204"/>
        <v>0</v>
      </c>
      <c r="O400" s="15"/>
      <c r="P400" s="32">
        <f t="shared" ref="P400:P434" si="216">IFERROR(NPER($E$7,-L400+A399+B399,N399+R399)-1,0)</f>
        <v>0</v>
      </c>
      <c r="Q400" s="33"/>
      <c r="R400" s="75">
        <f t="shared" ref="R400:R434" si="217">N399*$D$9</f>
        <v>0</v>
      </c>
      <c r="V400" s="68">
        <f t="shared" si="205"/>
        <v>0</v>
      </c>
      <c r="AA400" s="4">
        <f t="shared" si="206"/>
        <v>4</v>
      </c>
      <c r="AB400" s="4">
        <f t="shared" si="207"/>
        <v>11</v>
      </c>
      <c r="AC400" s="12">
        <f t="shared" si="208"/>
        <v>33</v>
      </c>
      <c r="AJ400" s="5">
        <f t="shared" si="195"/>
        <v>0</v>
      </c>
      <c r="AK400" s="5">
        <f t="shared" ref="AK400:AK434" si="218">IF(AT399&lt;1,0,AK399)</f>
        <v>0</v>
      </c>
      <c r="AL400" s="77">
        <f t="shared" si="197"/>
        <v>57770</v>
      </c>
      <c r="AM400" s="27" t="str">
        <f t="shared" ref="AM400:AM434" si="219">IF(AT399&gt;0,AP400/AT399,"")</f>
        <v/>
      </c>
      <c r="AN400" s="76">
        <f t="shared" ref="AN400:AN434" si="220">AN399+1</f>
        <v>386</v>
      </c>
      <c r="AO400" s="13">
        <f t="shared" ref="AO400:AO434" si="221">IF(AT399&gt;0,AT399*$E$7,0)</f>
        <v>0</v>
      </c>
      <c r="AP400" s="62">
        <f t="shared" ref="AP400:AP434" si="222">IF(AT399&gt;AP399,AS400-AO400-AJ400-AK400,AT399)</f>
        <v>0</v>
      </c>
      <c r="AQ400" s="9" t="str">
        <f t="shared" si="209"/>
        <v/>
      </c>
      <c r="AR400" s="60" t="str">
        <f t="shared" si="210"/>
        <v/>
      </c>
      <c r="AS400" s="8">
        <f t="shared" ref="AS400:AS434" si="223">IF(INT(AT399)=0,0,IF(AT399&lt;AP399,AT399+AO400+AJ400+AK400,-PMT($E$7,IF(AW399="V",AV399,NPER($E$7,-AS399+AJ400+AK400,AT399)),AT399+AX399)+AJ400+AK400))+IF(INT(AV399)=1,AX400,0)</f>
        <v>0</v>
      </c>
      <c r="AT400" s="11">
        <f t="shared" ref="AT400:AT434" si="224">IF(AT399-AU400-AP400&lt;0,0,IF(AT399-AP400&gt;0,AT399-AP400,0)-IF(AT399-AP400&gt;0,AU400-AX400,0))</f>
        <v>0</v>
      </c>
      <c r="AU400" s="15">
        <v>0</v>
      </c>
      <c r="AV400" s="32">
        <f t="shared" ref="AV400:AV434" si="225">IFERROR(NPER($E$7,-AS400+AJ399+AK399,AT399+AX399)-1,0)</f>
        <v>0</v>
      </c>
      <c r="AW400" s="33"/>
      <c r="AX400" s="75">
        <f t="shared" ref="AX400:AX434" si="226">AT399*$D$9</f>
        <v>0</v>
      </c>
    </row>
    <row r="401" spans="1:50" x14ac:dyDescent="0.25">
      <c r="A401" s="5">
        <f t="shared" ref="A401:A434" si="227">IF(N400&lt;1,0,A400)</f>
        <v>0</v>
      </c>
      <c r="B401" s="5">
        <f t="shared" si="211"/>
        <v>0</v>
      </c>
      <c r="C401" s="77">
        <f t="shared" si="196"/>
        <v>57801</v>
      </c>
      <c r="D401" s="122" t="str">
        <f t="shared" si="198"/>
        <v/>
      </c>
      <c r="E401" s="123">
        <f t="shared" si="212"/>
        <v>387</v>
      </c>
      <c r="F401" s="124">
        <f t="shared" si="213"/>
        <v>0</v>
      </c>
      <c r="G401" s="125">
        <f t="shared" si="214"/>
        <v>0</v>
      </c>
      <c r="H401" s="126" t="str">
        <f t="shared" si="199"/>
        <v/>
      </c>
      <c r="I401" s="127" t="str">
        <f t="shared" si="200"/>
        <v/>
      </c>
      <c r="J401" s="128">
        <f t="shared" si="201"/>
        <v>0</v>
      </c>
      <c r="K401" s="129">
        <f t="shared" si="202"/>
        <v>0</v>
      </c>
      <c r="L401" s="1">
        <f t="shared" si="215"/>
        <v>0</v>
      </c>
      <c r="M401" s="130">
        <f t="shared" si="203"/>
        <v>0</v>
      </c>
      <c r="N401" s="131">
        <f t="shared" si="204"/>
        <v>0</v>
      </c>
      <c r="O401" s="15"/>
      <c r="P401" s="32">
        <f t="shared" si="216"/>
        <v>0</v>
      </c>
      <c r="Q401" s="33"/>
      <c r="R401" s="75">
        <f t="shared" si="217"/>
        <v>0</v>
      </c>
      <c r="V401" s="68">
        <f t="shared" si="205"/>
        <v>0</v>
      </c>
      <c r="AA401" s="4">
        <f t="shared" si="206"/>
        <v>4</v>
      </c>
      <c r="AB401" s="4">
        <f t="shared" si="207"/>
        <v>11</v>
      </c>
      <c r="AC401" s="12">
        <f t="shared" si="208"/>
        <v>33</v>
      </c>
      <c r="AJ401" s="5">
        <f t="shared" ref="AJ401:AJ434" si="228">IF(AT400&lt;1,0,AJ400)</f>
        <v>0</v>
      </c>
      <c r="AK401" s="5">
        <f t="shared" si="218"/>
        <v>0</v>
      </c>
      <c r="AL401" s="77">
        <f t="shared" si="197"/>
        <v>57801</v>
      </c>
      <c r="AM401" s="27" t="str">
        <f t="shared" si="219"/>
        <v/>
      </c>
      <c r="AN401" s="76">
        <f t="shared" si="220"/>
        <v>387</v>
      </c>
      <c r="AO401" s="13">
        <f t="shared" si="221"/>
        <v>0</v>
      </c>
      <c r="AP401" s="62">
        <f t="shared" si="222"/>
        <v>0</v>
      </c>
      <c r="AQ401" s="9" t="str">
        <f t="shared" si="209"/>
        <v/>
      </c>
      <c r="AR401" s="60" t="str">
        <f t="shared" si="210"/>
        <v/>
      </c>
      <c r="AS401" s="8">
        <f t="shared" si="223"/>
        <v>0</v>
      </c>
      <c r="AT401" s="11">
        <f t="shared" si="224"/>
        <v>0</v>
      </c>
      <c r="AU401" s="15">
        <v>0</v>
      </c>
      <c r="AV401" s="32">
        <f t="shared" si="225"/>
        <v>0</v>
      </c>
      <c r="AW401" s="33"/>
      <c r="AX401" s="75">
        <f t="shared" si="226"/>
        <v>0</v>
      </c>
    </row>
    <row r="402" spans="1:50" x14ac:dyDescent="0.25">
      <c r="A402" s="5">
        <f t="shared" si="227"/>
        <v>0</v>
      </c>
      <c r="B402" s="5">
        <f t="shared" si="211"/>
        <v>0</v>
      </c>
      <c r="C402" s="77">
        <f t="shared" ref="C402:C433" si="229">DATE(YEAR(C401),MONTH(C401)+1,1)</f>
        <v>57831</v>
      </c>
      <c r="D402" s="122" t="str">
        <f t="shared" si="198"/>
        <v/>
      </c>
      <c r="E402" s="123">
        <f t="shared" si="212"/>
        <v>388</v>
      </c>
      <c r="F402" s="124">
        <f t="shared" si="213"/>
        <v>0</v>
      </c>
      <c r="G402" s="125">
        <f t="shared" si="214"/>
        <v>0</v>
      </c>
      <c r="H402" s="126" t="str">
        <f t="shared" si="199"/>
        <v/>
      </c>
      <c r="I402" s="127" t="str">
        <f t="shared" si="200"/>
        <v/>
      </c>
      <c r="J402" s="128">
        <f t="shared" si="201"/>
        <v>0</v>
      </c>
      <c r="K402" s="129">
        <f t="shared" si="202"/>
        <v>0</v>
      </c>
      <c r="L402" s="1">
        <f t="shared" si="215"/>
        <v>0</v>
      </c>
      <c r="M402" s="130">
        <f t="shared" si="203"/>
        <v>0</v>
      </c>
      <c r="N402" s="131">
        <f t="shared" si="204"/>
        <v>0</v>
      </c>
      <c r="O402" s="15"/>
      <c r="P402" s="32">
        <f t="shared" si="216"/>
        <v>0</v>
      </c>
      <c r="Q402" s="33"/>
      <c r="R402" s="75">
        <f t="shared" si="217"/>
        <v>0</v>
      </c>
      <c r="V402" s="68">
        <f t="shared" si="205"/>
        <v>0</v>
      </c>
      <c r="AA402" s="4">
        <f t="shared" si="206"/>
        <v>4</v>
      </c>
      <c r="AB402" s="4">
        <f t="shared" si="207"/>
        <v>11</v>
      </c>
      <c r="AC402" s="12">
        <f t="shared" si="208"/>
        <v>33</v>
      </c>
      <c r="AJ402" s="5">
        <f t="shared" si="228"/>
        <v>0</v>
      </c>
      <c r="AK402" s="5">
        <f t="shared" si="218"/>
        <v>0</v>
      </c>
      <c r="AL402" s="77">
        <f t="shared" ref="AL402:AL433" si="230">DATE(YEAR(AL401),MONTH(AL401)+1,1)</f>
        <v>57831</v>
      </c>
      <c r="AM402" s="27" t="str">
        <f t="shared" si="219"/>
        <v/>
      </c>
      <c r="AN402" s="76">
        <f t="shared" si="220"/>
        <v>388</v>
      </c>
      <c r="AO402" s="13">
        <f t="shared" si="221"/>
        <v>0</v>
      </c>
      <c r="AP402" s="62">
        <f t="shared" si="222"/>
        <v>0</v>
      </c>
      <c r="AQ402" s="9" t="str">
        <f t="shared" si="209"/>
        <v/>
      </c>
      <c r="AR402" s="60" t="str">
        <f t="shared" si="210"/>
        <v/>
      </c>
      <c r="AS402" s="8">
        <f t="shared" si="223"/>
        <v>0</v>
      </c>
      <c r="AT402" s="11">
        <f t="shared" si="224"/>
        <v>0</v>
      </c>
      <c r="AU402" s="15">
        <v>0</v>
      </c>
      <c r="AV402" s="32">
        <f t="shared" si="225"/>
        <v>0</v>
      </c>
      <c r="AW402" s="33"/>
      <c r="AX402" s="75">
        <f t="shared" si="226"/>
        <v>0</v>
      </c>
    </row>
    <row r="403" spans="1:50" x14ac:dyDescent="0.25">
      <c r="A403" s="5">
        <f t="shared" si="227"/>
        <v>0</v>
      </c>
      <c r="B403" s="5">
        <f t="shared" si="211"/>
        <v>0</v>
      </c>
      <c r="C403" s="77">
        <f t="shared" si="229"/>
        <v>57862</v>
      </c>
      <c r="D403" s="122" t="str">
        <f t="shared" si="198"/>
        <v/>
      </c>
      <c r="E403" s="123">
        <f t="shared" si="212"/>
        <v>389</v>
      </c>
      <c r="F403" s="124">
        <f t="shared" si="213"/>
        <v>0</v>
      </c>
      <c r="G403" s="125">
        <f t="shared" si="214"/>
        <v>0</v>
      </c>
      <c r="H403" s="126" t="str">
        <f t="shared" si="199"/>
        <v/>
      </c>
      <c r="I403" s="127" t="str">
        <f t="shared" si="200"/>
        <v/>
      </c>
      <c r="J403" s="128">
        <f t="shared" si="201"/>
        <v>0</v>
      </c>
      <c r="K403" s="129">
        <f t="shared" si="202"/>
        <v>0</v>
      </c>
      <c r="L403" s="1">
        <f t="shared" si="215"/>
        <v>0</v>
      </c>
      <c r="M403" s="130">
        <f t="shared" si="203"/>
        <v>0</v>
      </c>
      <c r="N403" s="131">
        <f t="shared" si="204"/>
        <v>0</v>
      </c>
      <c r="O403" s="15"/>
      <c r="P403" s="32">
        <f t="shared" si="216"/>
        <v>0</v>
      </c>
      <c r="Q403" s="33"/>
      <c r="R403" s="75">
        <f t="shared" si="217"/>
        <v>0</v>
      </c>
      <c r="V403" s="68">
        <f t="shared" si="205"/>
        <v>0</v>
      </c>
      <c r="AA403" s="4">
        <f t="shared" si="206"/>
        <v>4</v>
      </c>
      <c r="AB403" s="4">
        <f t="shared" si="207"/>
        <v>11</v>
      </c>
      <c r="AC403" s="12">
        <f t="shared" si="208"/>
        <v>33</v>
      </c>
      <c r="AJ403" s="5">
        <f t="shared" si="228"/>
        <v>0</v>
      </c>
      <c r="AK403" s="5">
        <f t="shared" si="218"/>
        <v>0</v>
      </c>
      <c r="AL403" s="77">
        <f t="shared" si="230"/>
        <v>57862</v>
      </c>
      <c r="AM403" s="27" t="str">
        <f t="shared" si="219"/>
        <v/>
      </c>
      <c r="AN403" s="76">
        <f t="shared" si="220"/>
        <v>389</v>
      </c>
      <c r="AO403" s="13">
        <f t="shared" si="221"/>
        <v>0</v>
      </c>
      <c r="AP403" s="62">
        <f t="shared" si="222"/>
        <v>0</v>
      </c>
      <c r="AQ403" s="9" t="str">
        <f t="shared" si="209"/>
        <v/>
      </c>
      <c r="AR403" s="60" t="str">
        <f t="shared" si="210"/>
        <v/>
      </c>
      <c r="AS403" s="8">
        <f t="shared" si="223"/>
        <v>0</v>
      </c>
      <c r="AT403" s="11">
        <f t="shared" si="224"/>
        <v>0</v>
      </c>
      <c r="AU403" s="15">
        <v>0</v>
      </c>
      <c r="AV403" s="32">
        <f t="shared" si="225"/>
        <v>0</v>
      </c>
      <c r="AW403" s="33"/>
      <c r="AX403" s="75">
        <f t="shared" si="226"/>
        <v>0</v>
      </c>
    </row>
    <row r="404" spans="1:50" x14ac:dyDescent="0.25">
      <c r="A404" s="5">
        <f t="shared" si="227"/>
        <v>0</v>
      </c>
      <c r="B404" s="5">
        <f t="shared" si="211"/>
        <v>0</v>
      </c>
      <c r="C404" s="77">
        <f t="shared" si="229"/>
        <v>57892</v>
      </c>
      <c r="D404" s="122" t="str">
        <f t="shared" si="198"/>
        <v/>
      </c>
      <c r="E404" s="123">
        <f t="shared" si="212"/>
        <v>390</v>
      </c>
      <c r="F404" s="124">
        <f t="shared" si="213"/>
        <v>0</v>
      </c>
      <c r="G404" s="125">
        <f t="shared" si="214"/>
        <v>0</v>
      </c>
      <c r="H404" s="126" t="str">
        <f t="shared" si="199"/>
        <v/>
      </c>
      <c r="I404" s="127" t="str">
        <f t="shared" si="200"/>
        <v/>
      </c>
      <c r="J404" s="128">
        <f t="shared" si="201"/>
        <v>0</v>
      </c>
      <c r="K404" s="129">
        <f t="shared" si="202"/>
        <v>0</v>
      </c>
      <c r="L404" s="1">
        <f t="shared" si="215"/>
        <v>0</v>
      </c>
      <c r="M404" s="130">
        <f t="shared" si="203"/>
        <v>0</v>
      </c>
      <c r="N404" s="131">
        <f t="shared" si="204"/>
        <v>0</v>
      </c>
      <c r="O404" s="15"/>
      <c r="P404" s="32">
        <f t="shared" si="216"/>
        <v>0</v>
      </c>
      <c r="Q404" s="33"/>
      <c r="R404" s="75">
        <f t="shared" si="217"/>
        <v>0</v>
      </c>
      <c r="V404" s="68">
        <f t="shared" si="205"/>
        <v>0</v>
      </c>
      <c r="AA404" s="4">
        <f t="shared" si="206"/>
        <v>4</v>
      </c>
      <c r="AB404" s="4">
        <f t="shared" si="207"/>
        <v>11</v>
      </c>
      <c r="AC404" s="12">
        <f t="shared" si="208"/>
        <v>33</v>
      </c>
      <c r="AJ404" s="5">
        <f t="shared" si="228"/>
        <v>0</v>
      </c>
      <c r="AK404" s="5">
        <f t="shared" si="218"/>
        <v>0</v>
      </c>
      <c r="AL404" s="77">
        <f t="shared" si="230"/>
        <v>57892</v>
      </c>
      <c r="AM404" s="27" t="str">
        <f t="shared" si="219"/>
        <v/>
      </c>
      <c r="AN404" s="76">
        <f t="shared" si="220"/>
        <v>390</v>
      </c>
      <c r="AO404" s="13">
        <f t="shared" si="221"/>
        <v>0</v>
      </c>
      <c r="AP404" s="62">
        <f t="shared" si="222"/>
        <v>0</v>
      </c>
      <c r="AQ404" s="9" t="str">
        <f t="shared" si="209"/>
        <v/>
      </c>
      <c r="AR404" s="60" t="str">
        <f t="shared" si="210"/>
        <v/>
      </c>
      <c r="AS404" s="8">
        <f t="shared" si="223"/>
        <v>0</v>
      </c>
      <c r="AT404" s="11">
        <f t="shared" si="224"/>
        <v>0</v>
      </c>
      <c r="AU404" s="15">
        <v>0</v>
      </c>
      <c r="AV404" s="32">
        <f t="shared" si="225"/>
        <v>0</v>
      </c>
      <c r="AW404" s="33"/>
      <c r="AX404" s="75">
        <f t="shared" si="226"/>
        <v>0</v>
      </c>
    </row>
    <row r="405" spans="1:50" x14ac:dyDescent="0.25">
      <c r="A405" s="5">
        <f t="shared" si="227"/>
        <v>0</v>
      </c>
      <c r="B405" s="5">
        <f t="shared" si="211"/>
        <v>0</v>
      </c>
      <c r="C405" s="77">
        <f t="shared" si="229"/>
        <v>57923</v>
      </c>
      <c r="D405" s="122" t="str">
        <f t="shared" si="198"/>
        <v/>
      </c>
      <c r="E405" s="123">
        <f t="shared" si="212"/>
        <v>391</v>
      </c>
      <c r="F405" s="124">
        <f t="shared" si="213"/>
        <v>0</v>
      </c>
      <c r="G405" s="125">
        <f t="shared" si="214"/>
        <v>0</v>
      </c>
      <c r="H405" s="126" t="str">
        <f t="shared" si="199"/>
        <v/>
      </c>
      <c r="I405" s="127" t="str">
        <f t="shared" si="200"/>
        <v/>
      </c>
      <c r="J405" s="128">
        <f t="shared" si="201"/>
        <v>0</v>
      </c>
      <c r="K405" s="129">
        <f t="shared" si="202"/>
        <v>0</v>
      </c>
      <c r="L405" s="1">
        <f t="shared" si="215"/>
        <v>0</v>
      </c>
      <c r="M405" s="130">
        <f t="shared" si="203"/>
        <v>0</v>
      </c>
      <c r="N405" s="131">
        <f t="shared" si="204"/>
        <v>0</v>
      </c>
      <c r="O405" s="15"/>
      <c r="P405" s="32">
        <f t="shared" si="216"/>
        <v>0</v>
      </c>
      <c r="Q405" s="33"/>
      <c r="R405" s="75">
        <f t="shared" si="217"/>
        <v>0</v>
      </c>
      <c r="V405" s="68">
        <f t="shared" si="205"/>
        <v>0</v>
      </c>
      <c r="AA405" s="4">
        <f t="shared" si="206"/>
        <v>4</v>
      </c>
      <c r="AB405" s="4">
        <f t="shared" si="207"/>
        <v>11</v>
      </c>
      <c r="AC405" s="12">
        <f t="shared" si="208"/>
        <v>33</v>
      </c>
      <c r="AJ405" s="5">
        <f t="shared" si="228"/>
        <v>0</v>
      </c>
      <c r="AK405" s="5">
        <f t="shared" si="218"/>
        <v>0</v>
      </c>
      <c r="AL405" s="77">
        <f t="shared" si="230"/>
        <v>57923</v>
      </c>
      <c r="AM405" s="27" t="str">
        <f t="shared" si="219"/>
        <v/>
      </c>
      <c r="AN405" s="76">
        <f t="shared" si="220"/>
        <v>391</v>
      </c>
      <c r="AO405" s="13">
        <f t="shared" si="221"/>
        <v>0</v>
      </c>
      <c r="AP405" s="62">
        <f t="shared" si="222"/>
        <v>0</v>
      </c>
      <c r="AQ405" s="9" t="str">
        <f t="shared" si="209"/>
        <v/>
      </c>
      <c r="AR405" s="60" t="str">
        <f t="shared" si="210"/>
        <v/>
      </c>
      <c r="AS405" s="8">
        <f t="shared" si="223"/>
        <v>0</v>
      </c>
      <c r="AT405" s="11">
        <f t="shared" si="224"/>
        <v>0</v>
      </c>
      <c r="AU405" s="15">
        <v>0</v>
      </c>
      <c r="AV405" s="32">
        <f t="shared" si="225"/>
        <v>0</v>
      </c>
      <c r="AW405" s="33"/>
      <c r="AX405" s="75">
        <f t="shared" si="226"/>
        <v>0</v>
      </c>
    </row>
    <row r="406" spans="1:50" x14ac:dyDescent="0.25">
      <c r="A406" s="5">
        <f t="shared" si="227"/>
        <v>0</v>
      </c>
      <c r="B406" s="5">
        <f t="shared" si="211"/>
        <v>0</v>
      </c>
      <c r="C406" s="77">
        <f t="shared" si="229"/>
        <v>57954</v>
      </c>
      <c r="D406" s="122" t="str">
        <f t="shared" si="198"/>
        <v/>
      </c>
      <c r="E406" s="123">
        <f t="shared" si="212"/>
        <v>392</v>
      </c>
      <c r="F406" s="124">
        <f t="shared" si="213"/>
        <v>0</v>
      </c>
      <c r="G406" s="125">
        <f t="shared" si="214"/>
        <v>0</v>
      </c>
      <c r="H406" s="126" t="str">
        <f t="shared" si="199"/>
        <v/>
      </c>
      <c r="I406" s="127" t="str">
        <f t="shared" si="200"/>
        <v/>
      </c>
      <c r="J406" s="128">
        <f t="shared" si="201"/>
        <v>0</v>
      </c>
      <c r="K406" s="129">
        <f t="shared" si="202"/>
        <v>0</v>
      </c>
      <c r="L406" s="1">
        <f t="shared" si="215"/>
        <v>0</v>
      </c>
      <c r="M406" s="130">
        <f t="shared" si="203"/>
        <v>0</v>
      </c>
      <c r="N406" s="131">
        <f t="shared" si="204"/>
        <v>0</v>
      </c>
      <c r="O406" s="15"/>
      <c r="P406" s="32">
        <f t="shared" si="216"/>
        <v>0</v>
      </c>
      <c r="Q406" s="33"/>
      <c r="R406" s="75">
        <f t="shared" si="217"/>
        <v>0</v>
      </c>
      <c r="V406" s="68">
        <f t="shared" si="205"/>
        <v>0</v>
      </c>
      <c r="AA406" s="4">
        <f t="shared" si="206"/>
        <v>4</v>
      </c>
      <c r="AB406" s="4">
        <f t="shared" si="207"/>
        <v>11</v>
      </c>
      <c r="AC406" s="12">
        <f t="shared" si="208"/>
        <v>33</v>
      </c>
      <c r="AJ406" s="5">
        <f t="shared" si="228"/>
        <v>0</v>
      </c>
      <c r="AK406" s="5">
        <f t="shared" si="218"/>
        <v>0</v>
      </c>
      <c r="AL406" s="77">
        <f t="shared" si="230"/>
        <v>57954</v>
      </c>
      <c r="AM406" s="27" t="str">
        <f t="shared" si="219"/>
        <v/>
      </c>
      <c r="AN406" s="76">
        <f t="shared" si="220"/>
        <v>392</v>
      </c>
      <c r="AO406" s="13">
        <f t="shared" si="221"/>
        <v>0</v>
      </c>
      <c r="AP406" s="62">
        <f t="shared" si="222"/>
        <v>0</v>
      </c>
      <c r="AQ406" s="9" t="str">
        <f t="shared" si="209"/>
        <v/>
      </c>
      <c r="AR406" s="60" t="str">
        <f t="shared" si="210"/>
        <v/>
      </c>
      <c r="AS406" s="8">
        <f t="shared" si="223"/>
        <v>0</v>
      </c>
      <c r="AT406" s="11">
        <f t="shared" si="224"/>
        <v>0</v>
      </c>
      <c r="AU406" s="15">
        <v>0</v>
      </c>
      <c r="AV406" s="32">
        <f t="shared" si="225"/>
        <v>0</v>
      </c>
      <c r="AW406" s="33"/>
      <c r="AX406" s="75">
        <f t="shared" si="226"/>
        <v>0</v>
      </c>
    </row>
    <row r="407" spans="1:50" x14ac:dyDescent="0.25">
      <c r="A407" s="5">
        <f t="shared" si="227"/>
        <v>0</v>
      </c>
      <c r="B407" s="5">
        <f t="shared" si="211"/>
        <v>0</v>
      </c>
      <c r="C407" s="77">
        <f t="shared" si="229"/>
        <v>57984</v>
      </c>
      <c r="D407" s="122" t="str">
        <f t="shared" si="198"/>
        <v/>
      </c>
      <c r="E407" s="123">
        <f t="shared" si="212"/>
        <v>393</v>
      </c>
      <c r="F407" s="124">
        <f t="shared" si="213"/>
        <v>0</v>
      </c>
      <c r="G407" s="125">
        <f t="shared" si="214"/>
        <v>0</v>
      </c>
      <c r="H407" s="126" t="str">
        <f t="shared" si="199"/>
        <v/>
      </c>
      <c r="I407" s="127" t="str">
        <f t="shared" si="200"/>
        <v/>
      </c>
      <c r="J407" s="128">
        <f t="shared" si="201"/>
        <v>0</v>
      </c>
      <c r="K407" s="129">
        <f t="shared" si="202"/>
        <v>0</v>
      </c>
      <c r="L407" s="1">
        <f t="shared" si="215"/>
        <v>0</v>
      </c>
      <c r="M407" s="130">
        <f t="shared" si="203"/>
        <v>0</v>
      </c>
      <c r="N407" s="131">
        <f t="shared" si="204"/>
        <v>0</v>
      </c>
      <c r="O407" s="15"/>
      <c r="P407" s="32">
        <f t="shared" si="216"/>
        <v>0</v>
      </c>
      <c r="Q407" s="33"/>
      <c r="R407" s="75">
        <f t="shared" si="217"/>
        <v>0</v>
      </c>
      <c r="V407" s="68">
        <f t="shared" si="205"/>
        <v>0</v>
      </c>
      <c r="AA407" s="4">
        <f t="shared" si="206"/>
        <v>4</v>
      </c>
      <c r="AB407" s="4">
        <f t="shared" si="207"/>
        <v>11</v>
      </c>
      <c r="AC407" s="12">
        <f t="shared" si="208"/>
        <v>33</v>
      </c>
      <c r="AJ407" s="5">
        <f t="shared" si="228"/>
        <v>0</v>
      </c>
      <c r="AK407" s="5">
        <f t="shared" si="218"/>
        <v>0</v>
      </c>
      <c r="AL407" s="77">
        <f t="shared" si="230"/>
        <v>57984</v>
      </c>
      <c r="AM407" s="27" t="str">
        <f t="shared" si="219"/>
        <v/>
      </c>
      <c r="AN407" s="76">
        <f t="shared" si="220"/>
        <v>393</v>
      </c>
      <c r="AO407" s="13">
        <f t="shared" si="221"/>
        <v>0</v>
      </c>
      <c r="AP407" s="62">
        <f t="shared" si="222"/>
        <v>0</v>
      </c>
      <c r="AQ407" s="9" t="str">
        <f t="shared" si="209"/>
        <v/>
      </c>
      <c r="AR407" s="60" t="str">
        <f t="shared" si="210"/>
        <v/>
      </c>
      <c r="AS407" s="8">
        <f t="shared" si="223"/>
        <v>0</v>
      </c>
      <c r="AT407" s="11">
        <f t="shared" si="224"/>
        <v>0</v>
      </c>
      <c r="AU407" s="15">
        <v>0</v>
      </c>
      <c r="AV407" s="32">
        <f t="shared" si="225"/>
        <v>0</v>
      </c>
      <c r="AW407" s="33"/>
      <c r="AX407" s="75">
        <f t="shared" si="226"/>
        <v>0</v>
      </c>
    </row>
    <row r="408" spans="1:50" x14ac:dyDescent="0.25">
      <c r="A408" s="5">
        <f t="shared" si="227"/>
        <v>0</v>
      </c>
      <c r="B408" s="5">
        <f t="shared" si="211"/>
        <v>0</v>
      </c>
      <c r="C408" s="77">
        <f t="shared" si="229"/>
        <v>58015</v>
      </c>
      <c r="D408" s="122" t="str">
        <f t="shared" si="198"/>
        <v/>
      </c>
      <c r="E408" s="123">
        <f t="shared" si="212"/>
        <v>394</v>
      </c>
      <c r="F408" s="124">
        <f t="shared" si="213"/>
        <v>0</v>
      </c>
      <c r="G408" s="125">
        <f t="shared" si="214"/>
        <v>0</v>
      </c>
      <c r="H408" s="126" t="str">
        <f t="shared" si="199"/>
        <v/>
      </c>
      <c r="I408" s="127" t="str">
        <f t="shared" si="200"/>
        <v/>
      </c>
      <c r="J408" s="128">
        <f t="shared" si="201"/>
        <v>0</v>
      </c>
      <c r="K408" s="129">
        <f t="shared" si="202"/>
        <v>0</v>
      </c>
      <c r="L408" s="1">
        <f t="shared" si="215"/>
        <v>0</v>
      </c>
      <c r="M408" s="130">
        <f t="shared" si="203"/>
        <v>0</v>
      </c>
      <c r="N408" s="131">
        <f t="shared" si="204"/>
        <v>0</v>
      </c>
      <c r="O408" s="15"/>
      <c r="P408" s="32">
        <f t="shared" si="216"/>
        <v>0</v>
      </c>
      <c r="Q408" s="33"/>
      <c r="R408" s="75">
        <f t="shared" si="217"/>
        <v>0</v>
      </c>
      <c r="V408" s="68">
        <f t="shared" si="205"/>
        <v>0</v>
      </c>
      <c r="AA408" s="4">
        <f t="shared" si="206"/>
        <v>4</v>
      </c>
      <c r="AB408" s="4">
        <f t="shared" si="207"/>
        <v>11</v>
      </c>
      <c r="AC408" s="12">
        <f t="shared" si="208"/>
        <v>33</v>
      </c>
      <c r="AJ408" s="5">
        <f t="shared" si="228"/>
        <v>0</v>
      </c>
      <c r="AK408" s="5">
        <f t="shared" si="218"/>
        <v>0</v>
      </c>
      <c r="AL408" s="77">
        <f t="shared" si="230"/>
        <v>58015</v>
      </c>
      <c r="AM408" s="27" t="str">
        <f t="shared" si="219"/>
        <v/>
      </c>
      <c r="AN408" s="76">
        <f t="shared" si="220"/>
        <v>394</v>
      </c>
      <c r="AO408" s="13">
        <f t="shared" si="221"/>
        <v>0</v>
      </c>
      <c r="AP408" s="62">
        <f t="shared" si="222"/>
        <v>0</v>
      </c>
      <c r="AQ408" s="9" t="str">
        <f t="shared" si="209"/>
        <v/>
      </c>
      <c r="AR408" s="60" t="str">
        <f t="shared" si="210"/>
        <v/>
      </c>
      <c r="AS408" s="8">
        <f t="shared" si="223"/>
        <v>0</v>
      </c>
      <c r="AT408" s="11">
        <f t="shared" si="224"/>
        <v>0</v>
      </c>
      <c r="AU408" s="15">
        <v>0</v>
      </c>
      <c r="AV408" s="32">
        <f t="shared" si="225"/>
        <v>0</v>
      </c>
      <c r="AW408" s="33"/>
      <c r="AX408" s="75">
        <f t="shared" si="226"/>
        <v>0</v>
      </c>
    </row>
    <row r="409" spans="1:50" x14ac:dyDescent="0.25">
      <c r="A409" s="5">
        <f t="shared" si="227"/>
        <v>0</v>
      </c>
      <c r="B409" s="5">
        <f t="shared" si="211"/>
        <v>0</v>
      </c>
      <c r="C409" s="77">
        <f t="shared" si="229"/>
        <v>58045</v>
      </c>
      <c r="D409" s="122" t="str">
        <f t="shared" si="198"/>
        <v/>
      </c>
      <c r="E409" s="123">
        <f t="shared" si="212"/>
        <v>395</v>
      </c>
      <c r="F409" s="124">
        <f t="shared" si="213"/>
        <v>0</v>
      </c>
      <c r="G409" s="125">
        <f t="shared" si="214"/>
        <v>0</v>
      </c>
      <c r="H409" s="126" t="str">
        <f t="shared" si="199"/>
        <v/>
      </c>
      <c r="I409" s="127" t="str">
        <f t="shared" si="200"/>
        <v/>
      </c>
      <c r="J409" s="128">
        <f t="shared" si="201"/>
        <v>0</v>
      </c>
      <c r="K409" s="129">
        <f t="shared" si="202"/>
        <v>0</v>
      </c>
      <c r="L409" s="1">
        <f t="shared" si="215"/>
        <v>0</v>
      </c>
      <c r="M409" s="130">
        <f t="shared" si="203"/>
        <v>0</v>
      </c>
      <c r="N409" s="131">
        <f t="shared" si="204"/>
        <v>0</v>
      </c>
      <c r="O409" s="15"/>
      <c r="P409" s="32">
        <f t="shared" si="216"/>
        <v>0</v>
      </c>
      <c r="Q409" s="33"/>
      <c r="R409" s="75">
        <f t="shared" si="217"/>
        <v>0</v>
      </c>
      <c r="V409" s="68">
        <f t="shared" si="205"/>
        <v>0</v>
      </c>
      <c r="AA409" s="4">
        <f t="shared" si="206"/>
        <v>4</v>
      </c>
      <c r="AB409" s="4">
        <f t="shared" si="207"/>
        <v>11</v>
      </c>
      <c r="AC409" s="12">
        <f t="shared" si="208"/>
        <v>33</v>
      </c>
      <c r="AJ409" s="5">
        <f t="shared" si="228"/>
        <v>0</v>
      </c>
      <c r="AK409" s="5">
        <f t="shared" si="218"/>
        <v>0</v>
      </c>
      <c r="AL409" s="77">
        <f t="shared" si="230"/>
        <v>58045</v>
      </c>
      <c r="AM409" s="27" t="str">
        <f t="shared" si="219"/>
        <v/>
      </c>
      <c r="AN409" s="76">
        <f t="shared" si="220"/>
        <v>395</v>
      </c>
      <c r="AO409" s="13">
        <f t="shared" si="221"/>
        <v>0</v>
      </c>
      <c r="AP409" s="62">
        <f t="shared" si="222"/>
        <v>0</v>
      </c>
      <c r="AQ409" s="9" t="str">
        <f t="shared" si="209"/>
        <v/>
      </c>
      <c r="AR409" s="60" t="str">
        <f t="shared" si="210"/>
        <v/>
      </c>
      <c r="AS409" s="8">
        <f t="shared" si="223"/>
        <v>0</v>
      </c>
      <c r="AT409" s="11">
        <f t="shared" si="224"/>
        <v>0</v>
      </c>
      <c r="AU409" s="15">
        <v>0</v>
      </c>
      <c r="AV409" s="32">
        <f t="shared" si="225"/>
        <v>0</v>
      </c>
      <c r="AW409" s="33"/>
      <c r="AX409" s="75">
        <f t="shared" si="226"/>
        <v>0</v>
      </c>
    </row>
    <row r="410" spans="1:50" x14ac:dyDescent="0.25">
      <c r="A410" s="5">
        <f t="shared" si="227"/>
        <v>0</v>
      </c>
      <c r="B410" s="5">
        <f t="shared" si="211"/>
        <v>0</v>
      </c>
      <c r="C410" s="77">
        <f t="shared" si="229"/>
        <v>58076</v>
      </c>
      <c r="D410" s="122" t="str">
        <f t="shared" si="198"/>
        <v/>
      </c>
      <c r="E410" s="123">
        <f t="shared" si="212"/>
        <v>396</v>
      </c>
      <c r="F410" s="124">
        <f t="shared" si="213"/>
        <v>0</v>
      </c>
      <c r="G410" s="125">
        <f t="shared" si="214"/>
        <v>0</v>
      </c>
      <c r="H410" s="126" t="str">
        <f t="shared" si="199"/>
        <v/>
      </c>
      <c r="I410" s="127" t="str">
        <f t="shared" si="200"/>
        <v/>
      </c>
      <c r="J410" s="128">
        <f t="shared" si="201"/>
        <v>0</v>
      </c>
      <c r="K410" s="129">
        <f t="shared" si="202"/>
        <v>0</v>
      </c>
      <c r="L410" s="1">
        <f t="shared" si="215"/>
        <v>0</v>
      </c>
      <c r="M410" s="130">
        <f t="shared" si="203"/>
        <v>0</v>
      </c>
      <c r="N410" s="131">
        <f t="shared" si="204"/>
        <v>0</v>
      </c>
      <c r="O410" s="15"/>
      <c r="P410" s="32">
        <f t="shared" si="216"/>
        <v>0</v>
      </c>
      <c r="Q410" s="33"/>
      <c r="R410" s="75">
        <f t="shared" si="217"/>
        <v>0</v>
      </c>
      <c r="V410" s="68">
        <f t="shared" si="205"/>
        <v>0</v>
      </c>
      <c r="AA410" s="4">
        <f t="shared" si="206"/>
        <v>4</v>
      </c>
      <c r="AB410" s="4">
        <f t="shared" si="207"/>
        <v>11</v>
      </c>
      <c r="AC410" s="12">
        <f t="shared" si="208"/>
        <v>33</v>
      </c>
      <c r="AJ410" s="5">
        <f t="shared" si="228"/>
        <v>0</v>
      </c>
      <c r="AK410" s="5">
        <f t="shared" si="218"/>
        <v>0</v>
      </c>
      <c r="AL410" s="77">
        <f t="shared" si="230"/>
        <v>58076</v>
      </c>
      <c r="AM410" s="27" t="str">
        <f t="shared" si="219"/>
        <v/>
      </c>
      <c r="AN410" s="76">
        <f t="shared" si="220"/>
        <v>396</v>
      </c>
      <c r="AO410" s="13">
        <f t="shared" si="221"/>
        <v>0</v>
      </c>
      <c r="AP410" s="62">
        <f t="shared" si="222"/>
        <v>0</v>
      </c>
      <c r="AQ410" s="9" t="str">
        <f t="shared" si="209"/>
        <v/>
      </c>
      <c r="AR410" s="60" t="str">
        <f t="shared" si="210"/>
        <v/>
      </c>
      <c r="AS410" s="8">
        <f t="shared" si="223"/>
        <v>0</v>
      </c>
      <c r="AT410" s="11">
        <f t="shared" si="224"/>
        <v>0</v>
      </c>
      <c r="AU410" s="15">
        <v>0</v>
      </c>
      <c r="AV410" s="32">
        <f t="shared" si="225"/>
        <v>0</v>
      </c>
      <c r="AW410" s="33"/>
      <c r="AX410" s="75">
        <f t="shared" si="226"/>
        <v>0</v>
      </c>
    </row>
    <row r="411" spans="1:50" x14ac:dyDescent="0.25">
      <c r="A411" s="5">
        <f t="shared" si="227"/>
        <v>0</v>
      </c>
      <c r="B411" s="5">
        <f t="shared" si="211"/>
        <v>0</v>
      </c>
      <c r="C411" s="77">
        <f t="shared" si="229"/>
        <v>58107</v>
      </c>
      <c r="D411" s="122" t="str">
        <f t="shared" si="198"/>
        <v/>
      </c>
      <c r="E411" s="123">
        <f t="shared" si="212"/>
        <v>397</v>
      </c>
      <c r="F411" s="124">
        <f t="shared" si="213"/>
        <v>0</v>
      </c>
      <c r="G411" s="125">
        <f t="shared" si="214"/>
        <v>0</v>
      </c>
      <c r="H411" s="126" t="str">
        <f t="shared" si="199"/>
        <v/>
      </c>
      <c r="I411" s="127" t="str">
        <f t="shared" si="200"/>
        <v/>
      </c>
      <c r="J411" s="128">
        <f t="shared" si="201"/>
        <v>0</v>
      </c>
      <c r="K411" s="129">
        <f t="shared" si="202"/>
        <v>0</v>
      </c>
      <c r="L411" s="1">
        <f t="shared" si="215"/>
        <v>0</v>
      </c>
      <c r="M411" s="130">
        <f t="shared" si="203"/>
        <v>0</v>
      </c>
      <c r="N411" s="131">
        <f t="shared" si="204"/>
        <v>0</v>
      </c>
      <c r="O411" s="15"/>
      <c r="P411" s="32">
        <f t="shared" si="216"/>
        <v>0</v>
      </c>
      <c r="Q411" s="33"/>
      <c r="R411" s="75">
        <f t="shared" si="217"/>
        <v>0</v>
      </c>
      <c r="V411" s="68">
        <f t="shared" si="205"/>
        <v>0</v>
      </c>
      <c r="AA411" s="4">
        <f t="shared" si="206"/>
        <v>4</v>
      </c>
      <c r="AB411" s="4">
        <f t="shared" si="207"/>
        <v>12</v>
      </c>
      <c r="AC411" s="12">
        <f t="shared" si="208"/>
        <v>34</v>
      </c>
      <c r="AJ411" s="5">
        <f t="shared" si="228"/>
        <v>0</v>
      </c>
      <c r="AK411" s="5">
        <f t="shared" si="218"/>
        <v>0</v>
      </c>
      <c r="AL411" s="77">
        <f t="shared" si="230"/>
        <v>58107</v>
      </c>
      <c r="AM411" s="27" t="str">
        <f t="shared" si="219"/>
        <v/>
      </c>
      <c r="AN411" s="76">
        <f t="shared" si="220"/>
        <v>397</v>
      </c>
      <c r="AO411" s="13">
        <f t="shared" si="221"/>
        <v>0</v>
      </c>
      <c r="AP411" s="62">
        <f t="shared" si="222"/>
        <v>0</v>
      </c>
      <c r="AQ411" s="9" t="str">
        <f t="shared" si="209"/>
        <v/>
      </c>
      <c r="AR411" s="60" t="str">
        <f t="shared" si="210"/>
        <v/>
      </c>
      <c r="AS411" s="8">
        <f t="shared" si="223"/>
        <v>0</v>
      </c>
      <c r="AT411" s="11">
        <f t="shared" si="224"/>
        <v>0</v>
      </c>
      <c r="AU411" s="15">
        <v>0</v>
      </c>
      <c r="AV411" s="32">
        <f t="shared" si="225"/>
        <v>0</v>
      </c>
      <c r="AW411" s="33"/>
      <c r="AX411" s="75">
        <f t="shared" si="226"/>
        <v>0</v>
      </c>
    </row>
    <row r="412" spans="1:50" x14ac:dyDescent="0.25">
      <c r="A412" s="5">
        <f t="shared" si="227"/>
        <v>0</v>
      </c>
      <c r="B412" s="5">
        <f t="shared" si="211"/>
        <v>0</v>
      </c>
      <c r="C412" s="77">
        <f t="shared" si="229"/>
        <v>58135</v>
      </c>
      <c r="D412" s="122" t="str">
        <f t="shared" si="198"/>
        <v/>
      </c>
      <c r="E412" s="123">
        <f t="shared" si="212"/>
        <v>398</v>
      </c>
      <c r="F412" s="124">
        <f t="shared" si="213"/>
        <v>0</v>
      </c>
      <c r="G412" s="125">
        <f t="shared" si="214"/>
        <v>0</v>
      </c>
      <c r="H412" s="126" t="str">
        <f t="shared" si="199"/>
        <v/>
      </c>
      <c r="I412" s="127" t="str">
        <f t="shared" si="200"/>
        <v/>
      </c>
      <c r="J412" s="128">
        <f t="shared" si="201"/>
        <v>0</v>
      </c>
      <c r="K412" s="129">
        <f t="shared" si="202"/>
        <v>0</v>
      </c>
      <c r="L412" s="1">
        <f t="shared" si="215"/>
        <v>0</v>
      </c>
      <c r="M412" s="130">
        <f t="shared" si="203"/>
        <v>0</v>
      </c>
      <c r="N412" s="131">
        <f t="shared" si="204"/>
        <v>0</v>
      </c>
      <c r="O412" s="15"/>
      <c r="P412" s="32">
        <f t="shared" si="216"/>
        <v>0</v>
      </c>
      <c r="Q412" s="33"/>
      <c r="R412" s="75">
        <f t="shared" si="217"/>
        <v>0</v>
      </c>
      <c r="V412" s="68">
        <f t="shared" si="205"/>
        <v>0</v>
      </c>
      <c r="AA412" s="4">
        <f t="shared" si="206"/>
        <v>4</v>
      </c>
      <c r="AB412" s="4">
        <f t="shared" si="207"/>
        <v>12</v>
      </c>
      <c r="AC412" s="12">
        <f t="shared" si="208"/>
        <v>34</v>
      </c>
      <c r="AJ412" s="5">
        <f t="shared" si="228"/>
        <v>0</v>
      </c>
      <c r="AK412" s="5">
        <f t="shared" si="218"/>
        <v>0</v>
      </c>
      <c r="AL412" s="77">
        <f t="shared" si="230"/>
        <v>58135</v>
      </c>
      <c r="AM412" s="27" t="str">
        <f t="shared" si="219"/>
        <v/>
      </c>
      <c r="AN412" s="76">
        <f t="shared" si="220"/>
        <v>398</v>
      </c>
      <c r="AO412" s="13">
        <f t="shared" si="221"/>
        <v>0</v>
      </c>
      <c r="AP412" s="62">
        <f t="shared" si="222"/>
        <v>0</v>
      </c>
      <c r="AQ412" s="9" t="str">
        <f t="shared" si="209"/>
        <v/>
      </c>
      <c r="AR412" s="60" t="str">
        <f t="shared" si="210"/>
        <v/>
      </c>
      <c r="AS412" s="8">
        <f t="shared" si="223"/>
        <v>0</v>
      </c>
      <c r="AT412" s="11">
        <f t="shared" si="224"/>
        <v>0</v>
      </c>
      <c r="AU412" s="15">
        <v>0</v>
      </c>
      <c r="AV412" s="32">
        <f t="shared" si="225"/>
        <v>0</v>
      </c>
      <c r="AW412" s="33"/>
      <c r="AX412" s="75">
        <f t="shared" si="226"/>
        <v>0</v>
      </c>
    </row>
    <row r="413" spans="1:50" x14ac:dyDescent="0.25">
      <c r="A413" s="5">
        <f t="shared" si="227"/>
        <v>0</v>
      </c>
      <c r="B413" s="5">
        <f t="shared" si="211"/>
        <v>0</v>
      </c>
      <c r="C413" s="77">
        <f t="shared" si="229"/>
        <v>58166</v>
      </c>
      <c r="D413" s="122" t="str">
        <f t="shared" si="198"/>
        <v/>
      </c>
      <c r="E413" s="123">
        <f t="shared" si="212"/>
        <v>399</v>
      </c>
      <c r="F413" s="124">
        <f t="shared" si="213"/>
        <v>0</v>
      </c>
      <c r="G413" s="125">
        <f t="shared" si="214"/>
        <v>0</v>
      </c>
      <c r="H413" s="126" t="str">
        <f t="shared" si="199"/>
        <v/>
      </c>
      <c r="I413" s="127" t="str">
        <f t="shared" si="200"/>
        <v/>
      </c>
      <c r="J413" s="128">
        <f t="shared" si="201"/>
        <v>0</v>
      </c>
      <c r="K413" s="129">
        <f t="shared" si="202"/>
        <v>0</v>
      </c>
      <c r="L413" s="1">
        <f t="shared" si="215"/>
        <v>0</v>
      </c>
      <c r="M413" s="130">
        <f t="shared" si="203"/>
        <v>0</v>
      </c>
      <c r="N413" s="131">
        <f t="shared" si="204"/>
        <v>0</v>
      </c>
      <c r="O413" s="15"/>
      <c r="P413" s="32">
        <f t="shared" si="216"/>
        <v>0</v>
      </c>
      <c r="Q413" s="33"/>
      <c r="R413" s="75">
        <f t="shared" si="217"/>
        <v>0</v>
      </c>
      <c r="V413" s="68">
        <f t="shared" si="205"/>
        <v>0</v>
      </c>
      <c r="AA413" s="4">
        <f t="shared" si="206"/>
        <v>4</v>
      </c>
      <c r="AB413" s="4">
        <f t="shared" si="207"/>
        <v>12</v>
      </c>
      <c r="AC413" s="12">
        <f t="shared" si="208"/>
        <v>34</v>
      </c>
      <c r="AJ413" s="5">
        <f t="shared" si="228"/>
        <v>0</v>
      </c>
      <c r="AK413" s="5">
        <f t="shared" si="218"/>
        <v>0</v>
      </c>
      <c r="AL413" s="77">
        <f t="shared" si="230"/>
        <v>58166</v>
      </c>
      <c r="AM413" s="27" t="str">
        <f t="shared" si="219"/>
        <v/>
      </c>
      <c r="AN413" s="76">
        <f t="shared" si="220"/>
        <v>399</v>
      </c>
      <c r="AO413" s="13">
        <f t="shared" si="221"/>
        <v>0</v>
      </c>
      <c r="AP413" s="62">
        <f t="shared" si="222"/>
        <v>0</v>
      </c>
      <c r="AQ413" s="9" t="str">
        <f t="shared" si="209"/>
        <v/>
      </c>
      <c r="AR413" s="60" t="str">
        <f t="shared" si="210"/>
        <v/>
      </c>
      <c r="AS413" s="8">
        <f t="shared" si="223"/>
        <v>0</v>
      </c>
      <c r="AT413" s="11">
        <f t="shared" si="224"/>
        <v>0</v>
      </c>
      <c r="AU413" s="15">
        <v>0</v>
      </c>
      <c r="AV413" s="32">
        <f t="shared" si="225"/>
        <v>0</v>
      </c>
      <c r="AW413" s="33"/>
      <c r="AX413" s="75">
        <f t="shared" si="226"/>
        <v>0</v>
      </c>
    </row>
    <row r="414" spans="1:50" x14ac:dyDescent="0.25">
      <c r="A414" s="5">
        <f t="shared" si="227"/>
        <v>0</v>
      </c>
      <c r="B414" s="5">
        <f t="shared" si="211"/>
        <v>0</v>
      </c>
      <c r="C414" s="77">
        <f t="shared" si="229"/>
        <v>58196</v>
      </c>
      <c r="D414" s="122" t="str">
        <f t="shared" si="198"/>
        <v/>
      </c>
      <c r="E414" s="123">
        <f t="shared" si="212"/>
        <v>400</v>
      </c>
      <c r="F414" s="124">
        <f t="shared" si="213"/>
        <v>0</v>
      </c>
      <c r="G414" s="125">
        <f t="shared" si="214"/>
        <v>0</v>
      </c>
      <c r="H414" s="126" t="str">
        <f t="shared" si="199"/>
        <v/>
      </c>
      <c r="I414" s="127" t="str">
        <f t="shared" si="200"/>
        <v/>
      </c>
      <c r="J414" s="128">
        <f t="shared" si="201"/>
        <v>0</v>
      </c>
      <c r="K414" s="129">
        <f t="shared" si="202"/>
        <v>0</v>
      </c>
      <c r="L414" s="1">
        <f t="shared" si="215"/>
        <v>0</v>
      </c>
      <c r="M414" s="130">
        <f t="shared" si="203"/>
        <v>0</v>
      </c>
      <c r="N414" s="131">
        <f t="shared" si="204"/>
        <v>0</v>
      </c>
      <c r="O414" s="15"/>
      <c r="P414" s="32">
        <f t="shared" si="216"/>
        <v>0</v>
      </c>
      <c r="Q414" s="33"/>
      <c r="R414" s="75">
        <f t="shared" si="217"/>
        <v>0</v>
      </c>
      <c r="V414" s="68">
        <f t="shared" si="205"/>
        <v>0</v>
      </c>
      <c r="AA414" s="4">
        <f t="shared" si="206"/>
        <v>4</v>
      </c>
      <c r="AB414" s="4">
        <f t="shared" si="207"/>
        <v>12</v>
      </c>
      <c r="AC414" s="12">
        <f t="shared" si="208"/>
        <v>34</v>
      </c>
      <c r="AJ414" s="5">
        <f t="shared" si="228"/>
        <v>0</v>
      </c>
      <c r="AK414" s="5">
        <f t="shared" si="218"/>
        <v>0</v>
      </c>
      <c r="AL414" s="77">
        <f t="shared" si="230"/>
        <v>58196</v>
      </c>
      <c r="AM414" s="27" t="str">
        <f t="shared" si="219"/>
        <v/>
      </c>
      <c r="AN414" s="76">
        <f t="shared" si="220"/>
        <v>400</v>
      </c>
      <c r="AO414" s="13">
        <f t="shared" si="221"/>
        <v>0</v>
      </c>
      <c r="AP414" s="62">
        <f t="shared" si="222"/>
        <v>0</v>
      </c>
      <c r="AQ414" s="9" t="str">
        <f t="shared" si="209"/>
        <v/>
      </c>
      <c r="AR414" s="60" t="str">
        <f t="shared" si="210"/>
        <v/>
      </c>
      <c r="AS414" s="8">
        <f t="shared" si="223"/>
        <v>0</v>
      </c>
      <c r="AT414" s="11">
        <f t="shared" si="224"/>
        <v>0</v>
      </c>
      <c r="AU414" s="15">
        <v>0</v>
      </c>
      <c r="AV414" s="32">
        <f t="shared" si="225"/>
        <v>0</v>
      </c>
      <c r="AW414" s="33"/>
      <c r="AX414" s="75">
        <f t="shared" si="226"/>
        <v>0</v>
      </c>
    </row>
    <row r="415" spans="1:50" x14ac:dyDescent="0.25">
      <c r="A415" s="5">
        <f t="shared" si="227"/>
        <v>0</v>
      </c>
      <c r="B415" s="5">
        <f t="shared" si="211"/>
        <v>0</v>
      </c>
      <c r="C415" s="77">
        <f t="shared" si="229"/>
        <v>58227</v>
      </c>
      <c r="D415" s="122" t="str">
        <f t="shared" si="198"/>
        <v/>
      </c>
      <c r="E415" s="123">
        <f t="shared" si="212"/>
        <v>401</v>
      </c>
      <c r="F415" s="124">
        <f t="shared" si="213"/>
        <v>0</v>
      </c>
      <c r="G415" s="125">
        <f t="shared" si="214"/>
        <v>0</v>
      </c>
      <c r="H415" s="126" t="str">
        <f t="shared" si="199"/>
        <v/>
      </c>
      <c r="I415" s="127" t="str">
        <f t="shared" si="200"/>
        <v/>
      </c>
      <c r="J415" s="128">
        <f t="shared" si="201"/>
        <v>0</v>
      </c>
      <c r="K415" s="129">
        <f t="shared" si="202"/>
        <v>0</v>
      </c>
      <c r="L415" s="1">
        <f t="shared" si="215"/>
        <v>0</v>
      </c>
      <c r="M415" s="130">
        <f t="shared" si="203"/>
        <v>0</v>
      </c>
      <c r="N415" s="131">
        <f t="shared" si="204"/>
        <v>0</v>
      </c>
      <c r="O415" s="15"/>
      <c r="P415" s="32">
        <f t="shared" si="216"/>
        <v>0</v>
      </c>
      <c r="Q415" s="33"/>
      <c r="R415" s="75">
        <f t="shared" si="217"/>
        <v>0</v>
      </c>
      <c r="V415" s="68">
        <f t="shared" si="205"/>
        <v>0</v>
      </c>
      <c r="AA415" s="4">
        <f t="shared" si="206"/>
        <v>4</v>
      </c>
      <c r="AB415" s="4">
        <f t="shared" si="207"/>
        <v>12</v>
      </c>
      <c r="AC415" s="12">
        <f t="shared" si="208"/>
        <v>34</v>
      </c>
      <c r="AJ415" s="5">
        <f t="shared" si="228"/>
        <v>0</v>
      </c>
      <c r="AK415" s="5">
        <f t="shared" si="218"/>
        <v>0</v>
      </c>
      <c r="AL415" s="77">
        <f t="shared" si="230"/>
        <v>58227</v>
      </c>
      <c r="AM415" s="27" t="str">
        <f t="shared" si="219"/>
        <v/>
      </c>
      <c r="AN415" s="76">
        <f t="shared" si="220"/>
        <v>401</v>
      </c>
      <c r="AO415" s="13">
        <f t="shared" si="221"/>
        <v>0</v>
      </c>
      <c r="AP415" s="62">
        <f t="shared" si="222"/>
        <v>0</v>
      </c>
      <c r="AQ415" s="9" t="str">
        <f t="shared" si="209"/>
        <v/>
      </c>
      <c r="AR415" s="60" t="str">
        <f t="shared" si="210"/>
        <v/>
      </c>
      <c r="AS415" s="8">
        <f t="shared" si="223"/>
        <v>0</v>
      </c>
      <c r="AT415" s="11">
        <f t="shared" si="224"/>
        <v>0</v>
      </c>
      <c r="AU415" s="15">
        <v>0</v>
      </c>
      <c r="AV415" s="32">
        <f t="shared" si="225"/>
        <v>0</v>
      </c>
      <c r="AW415" s="33"/>
      <c r="AX415" s="75">
        <f t="shared" si="226"/>
        <v>0</v>
      </c>
    </row>
    <row r="416" spans="1:50" x14ac:dyDescent="0.25">
      <c r="A416" s="5">
        <f t="shared" si="227"/>
        <v>0</v>
      </c>
      <c r="B416" s="5">
        <f t="shared" si="211"/>
        <v>0</v>
      </c>
      <c r="C416" s="77">
        <f t="shared" si="229"/>
        <v>58257</v>
      </c>
      <c r="D416" s="122" t="str">
        <f t="shared" si="198"/>
        <v/>
      </c>
      <c r="E416" s="123">
        <f t="shared" si="212"/>
        <v>402</v>
      </c>
      <c r="F416" s="124">
        <f t="shared" si="213"/>
        <v>0</v>
      </c>
      <c r="G416" s="125">
        <f t="shared" si="214"/>
        <v>0</v>
      </c>
      <c r="H416" s="126" t="str">
        <f t="shared" si="199"/>
        <v/>
      </c>
      <c r="I416" s="127" t="str">
        <f t="shared" si="200"/>
        <v/>
      </c>
      <c r="J416" s="128">
        <f t="shared" si="201"/>
        <v>0</v>
      </c>
      <c r="K416" s="129">
        <f t="shared" si="202"/>
        <v>0</v>
      </c>
      <c r="L416" s="1">
        <f t="shared" si="215"/>
        <v>0</v>
      </c>
      <c r="M416" s="130">
        <f t="shared" si="203"/>
        <v>0</v>
      </c>
      <c r="N416" s="131">
        <f t="shared" si="204"/>
        <v>0</v>
      </c>
      <c r="O416" s="15"/>
      <c r="P416" s="32">
        <f t="shared" si="216"/>
        <v>0</v>
      </c>
      <c r="Q416" s="33"/>
      <c r="R416" s="75">
        <f t="shared" si="217"/>
        <v>0</v>
      </c>
      <c r="V416" s="68">
        <f t="shared" si="205"/>
        <v>0</v>
      </c>
      <c r="AA416" s="4">
        <f t="shared" si="206"/>
        <v>4</v>
      </c>
      <c r="AB416" s="4">
        <f t="shared" si="207"/>
        <v>12</v>
      </c>
      <c r="AC416" s="12">
        <f t="shared" si="208"/>
        <v>34</v>
      </c>
      <c r="AJ416" s="5">
        <f t="shared" si="228"/>
        <v>0</v>
      </c>
      <c r="AK416" s="5">
        <f t="shared" si="218"/>
        <v>0</v>
      </c>
      <c r="AL416" s="77">
        <f t="shared" si="230"/>
        <v>58257</v>
      </c>
      <c r="AM416" s="27" t="str">
        <f t="shared" si="219"/>
        <v/>
      </c>
      <c r="AN416" s="76">
        <f t="shared" si="220"/>
        <v>402</v>
      </c>
      <c r="AO416" s="13">
        <f t="shared" si="221"/>
        <v>0</v>
      </c>
      <c r="AP416" s="62">
        <f t="shared" si="222"/>
        <v>0</v>
      </c>
      <c r="AQ416" s="9" t="str">
        <f t="shared" si="209"/>
        <v/>
      </c>
      <c r="AR416" s="60" t="str">
        <f t="shared" si="210"/>
        <v/>
      </c>
      <c r="AS416" s="8">
        <f t="shared" si="223"/>
        <v>0</v>
      </c>
      <c r="AT416" s="11">
        <f t="shared" si="224"/>
        <v>0</v>
      </c>
      <c r="AU416" s="15">
        <v>0</v>
      </c>
      <c r="AV416" s="32">
        <f t="shared" si="225"/>
        <v>0</v>
      </c>
      <c r="AW416" s="33"/>
      <c r="AX416" s="75">
        <f t="shared" si="226"/>
        <v>0</v>
      </c>
    </row>
    <row r="417" spans="1:50" x14ac:dyDescent="0.25">
      <c r="A417" s="5">
        <f t="shared" si="227"/>
        <v>0</v>
      </c>
      <c r="B417" s="5">
        <f t="shared" si="211"/>
        <v>0</v>
      </c>
      <c r="C417" s="77">
        <f t="shared" si="229"/>
        <v>58288</v>
      </c>
      <c r="D417" s="122" t="str">
        <f t="shared" si="198"/>
        <v/>
      </c>
      <c r="E417" s="123">
        <f t="shared" si="212"/>
        <v>403</v>
      </c>
      <c r="F417" s="124">
        <f t="shared" si="213"/>
        <v>0</v>
      </c>
      <c r="G417" s="125">
        <f t="shared" si="214"/>
        <v>0</v>
      </c>
      <c r="H417" s="126" t="str">
        <f t="shared" si="199"/>
        <v/>
      </c>
      <c r="I417" s="127" t="str">
        <f t="shared" si="200"/>
        <v/>
      </c>
      <c r="J417" s="128">
        <f t="shared" si="201"/>
        <v>0</v>
      </c>
      <c r="K417" s="129">
        <f t="shared" si="202"/>
        <v>0</v>
      </c>
      <c r="L417" s="1">
        <f t="shared" si="215"/>
        <v>0</v>
      </c>
      <c r="M417" s="130">
        <f t="shared" si="203"/>
        <v>0</v>
      </c>
      <c r="N417" s="131">
        <f t="shared" si="204"/>
        <v>0</v>
      </c>
      <c r="O417" s="15"/>
      <c r="P417" s="32">
        <f t="shared" si="216"/>
        <v>0</v>
      </c>
      <c r="Q417" s="33"/>
      <c r="R417" s="75">
        <f t="shared" si="217"/>
        <v>0</v>
      </c>
      <c r="V417" s="68">
        <f t="shared" si="205"/>
        <v>0</v>
      </c>
      <c r="AA417" s="4">
        <f t="shared" si="206"/>
        <v>4</v>
      </c>
      <c r="AB417" s="4">
        <f t="shared" si="207"/>
        <v>12</v>
      </c>
      <c r="AC417" s="12">
        <f t="shared" si="208"/>
        <v>34</v>
      </c>
      <c r="AJ417" s="5">
        <f t="shared" si="228"/>
        <v>0</v>
      </c>
      <c r="AK417" s="5">
        <f t="shared" si="218"/>
        <v>0</v>
      </c>
      <c r="AL417" s="77">
        <f t="shared" si="230"/>
        <v>58288</v>
      </c>
      <c r="AM417" s="27" t="str">
        <f t="shared" si="219"/>
        <v/>
      </c>
      <c r="AN417" s="76">
        <f t="shared" si="220"/>
        <v>403</v>
      </c>
      <c r="AO417" s="13">
        <f t="shared" si="221"/>
        <v>0</v>
      </c>
      <c r="AP417" s="62">
        <f t="shared" si="222"/>
        <v>0</v>
      </c>
      <c r="AQ417" s="9" t="str">
        <f t="shared" si="209"/>
        <v/>
      </c>
      <c r="AR417" s="60" t="str">
        <f t="shared" si="210"/>
        <v/>
      </c>
      <c r="AS417" s="8">
        <f t="shared" si="223"/>
        <v>0</v>
      </c>
      <c r="AT417" s="11">
        <f t="shared" si="224"/>
        <v>0</v>
      </c>
      <c r="AU417" s="15">
        <v>0</v>
      </c>
      <c r="AV417" s="32">
        <f t="shared" si="225"/>
        <v>0</v>
      </c>
      <c r="AW417" s="33"/>
      <c r="AX417" s="75">
        <f t="shared" si="226"/>
        <v>0</v>
      </c>
    </row>
    <row r="418" spans="1:50" x14ac:dyDescent="0.25">
      <c r="A418" s="5">
        <f t="shared" si="227"/>
        <v>0</v>
      </c>
      <c r="B418" s="5">
        <f t="shared" si="211"/>
        <v>0</v>
      </c>
      <c r="C418" s="77">
        <f t="shared" si="229"/>
        <v>58319</v>
      </c>
      <c r="D418" s="122" t="str">
        <f t="shared" si="198"/>
        <v/>
      </c>
      <c r="E418" s="123">
        <f t="shared" si="212"/>
        <v>404</v>
      </c>
      <c r="F418" s="124">
        <f t="shared" si="213"/>
        <v>0</v>
      </c>
      <c r="G418" s="125">
        <f t="shared" si="214"/>
        <v>0</v>
      </c>
      <c r="H418" s="126" t="str">
        <f t="shared" si="199"/>
        <v/>
      </c>
      <c r="I418" s="127" t="str">
        <f t="shared" si="200"/>
        <v/>
      </c>
      <c r="J418" s="128">
        <f t="shared" si="201"/>
        <v>0</v>
      </c>
      <c r="K418" s="129">
        <f t="shared" si="202"/>
        <v>0</v>
      </c>
      <c r="L418" s="1">
        <f t="shared" si="215"/>
        <v>0</v>
      </c>
      <c r="M418" s="130">
        <f t="shared" si="203"/>
        <v>0</v>
      </c>
      <c r="N418" s="131">
        <f t="shared" si="204"/>
        <v>0</v>
      </c>
      <c r="O418" s="15"/>
      <c r="P418" s="32">
        <f t="shared" si="216"/>
        <v>0</v>
      </c>
      <c r="Q418" s="33"/>
      <c r="R418" s="75">
        <f t="shared" si="217"/>
        <v>0</v>
      </c>
      <c r="V418" s="68">
        <f t="shared" si="205"/>
        <v>0</v>
      </c>
      <c r="AA418" s="4">
        <f t="shared" si="206"/>
        <v>4</v>
      </c>
      <c r="AB418" s="4">
        <f t="shared" si="207"/>
        <v>12</v>
      </c>
      <c r="AC418" s="12">
        <f t="shared" si="208"/>
        <v>34</v>
      </c>
      <c r="AJ418" s="5">
        <f t="shared" si="228"/>
        <v>0</v>
      </c>
      <c r="AK418" s="5">
        <f t="shared" si="218"/>
        <v>0</v>
      </c>
      <c r="AL418" s="77">
        <f t="shared" si="230"/>
        <v>58319</v>
      </c>
      <c r="AM418" s="27" t="str">
        <f t="shared" si="219"/>
        <v/>
      </c>
      <c r="AN418" s="76">
        <f t="shared" si="220"/>
        <v>404</v>
      </c>
      <c r="AO418" s="13">
        <f t="shared" si="221"/>
        <v>0</v>
      </c>
      <c r="AP418" s="62">
        <f t="shared" si="222"/>
        <v>0</v>
      </c>
      <c r="AQ418" s="9" t="str">
        <f t="shared" si="209"/>
        <v/>
      </c>
      <c r="AR418" s="60" t="str">
        <f t="shared" si="210"/>
        <v/>
      </c>
      <c r="AS418" s="8">
        <f t="shared" si="223"/>
        <v>0</v>
      </c>
      <c r="AT418" s="11">
        <f t="shared" si="224"/>
        <v>0</v>
      </c>
      <c r="AU418" s="15">
        <v>0</v>
      </c>
      <c r="AV418" s="32">
        <f t="shared" si="225"/>
        <v>0</v>
      </c>
      <c r="AW418" s="33"/>
      <c r="AX418" s="75">
        <f t="shared" si="226"/>
        <v>0</v>
      </c>
    </row>
    <row r="419" spans="1:50" x14ac:dyDescent="0.25">
      <c r="A419" s="5">
        <f t="shared" si="227"/>
        <v>0</v>
      </c>
      <c r="B419" s="5">
        <f t="shared" si="211"/>
        <v>0</v>
      </c>
      <c r="C419" s="77">
        <f t="shared" si="229"/>
        <v>58349</v>
      </c>
      <c r="D419" s="122" t="str">
        <f t="shared" si="198"/>
        <v/>
      </c>
      <c r="E419" s="123">
        <f t="shared" si="212"/>
        <v>405</v>
      </c>
      <c r="F419" s="124">
        <f t="shared" si="213"/>
        <v>0</v>
      </c>
      <c r="G419" s="125">
        <f t="shared" si="214"/>
        <v>0</v>
      </c>
      <c r="H419" s="126" t="str">
        <f t="shared" si="199"/>
        <v/>
      </c>
      <c r="I419" s="127" t="str">
        <f t="shared" si="200"/>
        <v/>
      </c>
      <c r="J419" s="128">
        <f t="shared" si="201"/>
        <v>0</v>
      </c>
      <c r="K419" s="129">
        <f t="shared" si="202"/>
        <v>0</v>
      </c>
      <c r="L419" s="1">
        <f t="shared" si="215"/>
        <v>0</v>
      </c>
      <c r="M419" s="130">
        <f t="shared" si="203"/>
        <v>0</v>
      </c>
      <c r="N419" s="131">
        <f t="shared" si="204"/>
        <v>0</v>
      </c>
      <c r="O419" s="15"/>
      <c r="P419" s="32">
        <f t="shared" si="216"/>
        <v>0</v>
      </c>
      <c r="Q419" s="33"/>
      <c r="R419" s="75">
        <f t="shared" si="217"/>
        <v>0</v>
      </c>
      <c r="V419" s="68">
        <f t="shared" si="205"/>
        <v>0</v>
      </c>
      <c r="AA419" s="4">
        <f t="shared" si="206"/>
        <v>4</v>
      </c>
      <c r="AB419" s="4">
        <f t="shared" si="207"/>
        <v>12</v>
      </c>
      <c r="AC419" s="12">
        <f t="shared" si="208"/>
        <v>34</v>
      </c>
      <c r="AJ419" s="5">
        <f t="shared" si="228"/>
        <v>0</v>
      </c>
      <c r="AK419" s="5">
        <f t="shared" si="218"/>
        <v>0</v>
      </c>
      <c r="AL419" s="77">
        <f t="shared" si="230"/>
        <v>58349</v>
      </c>
      <c r="AM419" s="27" t="str">
        <f t="shared" si="219"/>
        <v/>
      </c>
      <c r="AN419" s="76">
        <f t="shared" si="220"/>
        <v>405</v>
      </c>
      <c r="AO419" s="13">
        <f t="shared" si="221"/>
        <v>0</v>
      </c>
      <c r="AP419" s="62">
        <f t="shared" si="222"/>
        <v>0</v>
      </c>
      <c r="AQ419" s="9" t="str">
        <f t="shared" si="209"/>
        <v/>
      </c>
      <c r="AR419" s="60" t="str">
        <f t="shared" si="210"/>
        <v/>
      </c>
      <c r="AS419" s="8">
        <f t="shared" si="223"/>
        <v>0</v>
      </c>
      <c r="AT419" s="11">
        <f t="shared" si="224"/>
        <v>0</v>
      </c>
      <c r="AU419" s="15">
        <v>0</v>
      </c>
      <c r="AV419" s="32">
        <f t="shared" si="225"/>
        <v>0</v>
      </c>
      <c r="AW419" s="33"/>
      <c r="AX419" s="75">
        <f t="shared" si="226"/>
        <v>0</v>
      </c>
    </row>
    <row r="420" spans="1:50" x14ac:dyDescent="0.25">
      <c r="A420" s="5">
        <f t="shared" si="227"/>
        <v>0</v>
      </c>
      <c r="B420" s="5">
        <f t="shared" si="211"/>
        <v>0</v>
      </c>
      <c r="C420" s="77">
        <f t="shared" si="229"/>
        <v>58380</v>
      </c>
      <c r="D420" s="122" t="str">
        <f t="shared" si="198"/>
        <v/>
      </c>
      <c r="E420" s="123">
        <f t="shared" si="212"/>
        <v>406</v>
      </c>
      <c r="F420" s="124">
        <f t="shared" si="213"/>
        <v>0</v>
      </c>
      <c r="G420" s="125">
        <f t="shared" si="214"/>
        <v>0</v>
      </c>
      <c r="H420" s="126" t="str">
        <f t="shared" si="199"/>
        <v/>
      </c>
      <c r="I420" s="127" t="str">
        <f t="shared" si="200"/>
        <v/>
      </c>
      <c r="J420" s="128">
        <f t="shared" si="201"/>
        <v>0</v>
      </c>
      <c r="K420" s="129">
        <f t="shared" si="202"/>
        <v>0</v>
      </c>
      <c r="L420" s="1">
        <f t="shared" si="215"/>
        <v>0</v>
      </c>
      <c r="M420" s="130">
        <f t="shared" si="203"/>
        <v>0</v>
      </c>
      <c r="N420" s="131">
        <f t="shared" si="204"/>
        <v>0</v>
      </c>
      <c r="O420" s="15"/>
      <c r="P420" s="32">
        <f t="shared" si="216"/>
        <v>0</v>
      </c>
      <c r="Q420" s="33"/>
      <c r="R420" s="75">
        <f t="shared" si="217"/>
        <v>0</v>
      </c>
      <c r="V420" s="68">
        <f t="shared" si="205"/>
        <v>0</v>
      </c>
      <c r="AA420" s="4">
        <f t="shared" si="206"/>
        <v>4</v>
      </c>
      <c r="AB420" s="4">
        <f t="shared" si="207"/>
        <v>12</v>
      </c>
      <c r="AC420" s="12">
        <f t="shared" si="208"/>
        <v>34</v>
      </c>
      <c r="AJ420" s="5">
        <f t="shared" si="228"/>
        <v>0</v>
      </c>
      <c r="AK420" s="5">
        <f t="shared" si="218"/>
        <v>0</v>
      </c>
      <c r="AL420" s="77">
        <f t="shared" si="230"/>
        <v>58380</v>
      </c>
      <c r="AM420" s="27" t="str">
        <f t="shared" si="219"/>
        <v/>
      </c>
      <c r="AN420" s="76">
        <f t="shared" si="220"/>
        <v>406</v>
      </c>
      <c r="AO420" s="13">
        <f t="shared" si="221"/>
        <v>0</v>
      </c>
      <c r="AP420" s="62">
        <f t="shared" si="222"/>
        <v>0</v>
      </c>
      <c r="AQ420" s="9" t="str">
        <f t="shared" si="209"/>
        <v/>
      </c>
      <c r="AR420" s="60" t="str">
        <f t="shared" si="210"/>
        <v/>
      </c>
      <c r="AS420" s="8">
        <f t="shared" si="223"/>
        <v>0</v>
      </c>
      <c r="AT420" s="11">
        <f t="shared" si="224"/>
        <v>0</v>
      </c>
      <c r="AU420" s="15">
        <v>0</v>
      </c>
      <c r="AV420" s="32">
        <f t="shared" si="225"/>
        <v>0</v>
      </c>
      <c r="AW420" s="33"/>
      <c r="AX420" s="75">
        <f t="shared" si="226"/>
        <v>0</v>
      </c>
    </row>
    <row r="421" spans="1:50" x14ac:dyDescent="0.25">
      <c r="A421" s="5">
        <f t="shared" si="227"/>
        <v>0</v>
      </c>
      <c r="B421" s="5">
        <f t="shared" si="211"/>
        <v>0</v>
      </c>
      <c r="C421" s="77">
        <f t="shared" si="229"/>
        <v>58410</v>
      </c>
      <c r="D421" s="122" t="str">
        <f t="shared" si="198"/>
        <v/>
      </c>
      <c r="E421" s="123">
        <f t="shared" si="212"/>
        <v>407</v>
      </c>
      <c r="F421" s="124">
        <f t="shared" si="213"/>
        <v>0</v>
      </c>
      <c r="G421" s="125">
        <f t="shared" si="214"/>
        <v>0</v>
      </c>
      <c r="H421" s="126" t="str">
        <f t="shared" si="199"/>
        <v/>
      </c>
      <c r="I421" s="127" t="str">
        <f t="shared" si="200"/>
        <v/>
      </c>
      <c r="J421" s="128">
        <f t="shared" si="201"/>
        <v>0</v>
      </c>
      <c r="K421" s="129">
        <f t="shared" si="202"/>
        <v>0</v>
      </c>
      <c r="L421" s="1">
        <f t="shared" si="215"/>
        <v>0</v>
      </c>
      <c r="M421" s="130">
        <f t="shared" si="203"/>
        <v>0</v>
      </c>
      <c r="N421" s="131">
        <f t="shared" si="204"/>
        <v>0</v>
      </c>
      <c r="O421" s="15"/>
      <c r="P421" s="32">
        <f t="shared" si="216"/>
        <v>0</v>
      </c>
      <c r="Q421" s="33"/>
      <c r="R421" s="75">
        <f t="shared" si="217"/>
        <v>0</v>
      </c>
      <c r="V421" s="68">
        <f t="shared" si="205"/>
        <v>0</v>
      </c>
      <c r="AA421" s="4">
        <f t="shared" si="206"/>
        <v>4</v>
      </c>
      <c r="AB421" s="4">
        <f t="shared" si="207"/>
        <v>12</v>
      </c>
      <c r="AC421" s="12">
        <f t="shared" si="208"/>
        <v>34</v>
      </c>
      <c r="AJ421" s="5">
        <f t="shared" si="228"/>
        <v>0</v>
      </c>
      <c r="AK421" s="5">
        <f t="shared" si="218"/>
        <v>0</v>
      </c>
      <c r="AL421" s="77">
        <f t="shared" si="230"/>
        <v>58410</v>
      </c>
      <c r="AM421" s="27" t="str">
        <f t="shared" si="219"/>
        <v/>
      </c>
      <c r="AN421" s="76">
        <f t="shared" si="220"/>
        <v>407</v>
      </c>
      <c r="AO421" s="13">
        <f t="shared" si="221"/>
        <v>0</v>
      </c>
      <c r="AP421" s="62">
        <f t="shared" si="222"/>
        <v>0</v>
      </c>
      <c r="AQ421" s="9" t="str">
        <f t="shared" si="209"/>
        <v/>
      </c>
      <c r="AR421" s="60" t="str">
        <f t="shared" si="210"/>
        <v/>
      </c>
      <c r="AS421" s="8">
        <f t="shared" si="223"/>
        <v>0</v>
      </c>
      <c r="AT421" s="11">
        <f t="shared" si="224"/>
        <v>0</v>
      </c>
      <c r="AU421" s="15">
        <v>0</v>
      </c>
      <c r="AV421" s="32">
        <f t="shared" si="225"/>
        <v>0</v>
      </c>
      <c r="AW421" s="33"/>
      <c r="AX421" s="75">
        <f t="shared" si="226"/>
        <v>0</v>
      </c>
    </row>
    <row r="422" spans="1:50" x14ac:dyDescent="0.25">
      <c r="A422" s="5">
        <f t="shared" si="227"/>
        <v>0</v>
      </c>
      <c r="B422" s="5">
        <f t="shared" si="211"/>
        <v>0</v>
      </c>
      <c r="C422" s="77">
        <f t="shared" si="229"/>
        <v>58441</v>
      </c>
      <c r="D422" s="122" t="str">
        <f t="shared" si="198"/>
        <v/>
      </c>
      <c r="E422" s="123">
        <f t="shared" si="212"/>
        <v>408</v>
      </c>
      <c r="F422" s="124">
        <f t="shared" si="213"/>
        <v>0</v>
      </c>
      <c r="G422" s="125">
        <f t="shared" si="214"/>
        <v>0</v>
      </c>
      <c r="H422" s="126" t="str">
        <f t="shared" si="199"/>
        <v/>
      </c>
      <c r="I422" s="127" t="str">
        <f t="shared" si="200"/>
        <v/>
      </c>
      <c r="J422" s="128">
        <f t="shared" si="201"/>
        <v>0</v>
      </c>
      <c r="K422" s="129">
        <f t="shared" si="202"/>
        <v>0</v>
      </c>
      <c r="L422" s="1">
        <f t="shared" si="215"/>
        <v>0</v>
      </c>
      <c r="M422" s="130">
        <f t="shared" si="203"/>
        <v>0</v>
      </c>
      <c r="N422" s="131">
        <f t="shared" si="204"/>
        <v>0</v>
      </c>
      <c r="O422" s="15"/>
      <c r="P422" s="32">
        <f t="shared" si="216"/>
        <v>0</v>
      </c>
      <c r="Q422" s="33"/>
      <c r="R422" s="75">
        <f t="shared" si="217"/>
        <v>0</v>
      </c>
      <c r="V422" s="68">
        <f t="shared" si="205"/>
        <v>0</v>
      </c>
      <c r="AA422" s="4">
        <f t="shared" si="206"/>
        <v>4</v>
      </c>
      <c r="AB422" s="4">
        <f t="shared" si="207"/>
        <v>12</v>
      </c>
      <c r="AC422" s="12">
        <f t="shared" si="208"/>
        <v>34</v>
      </c>
      <c r="AJ422" s="5">
        <f t="shared" si="228"/>
        <v>0</v>
      </c>
      <c r="AK422" s="5">
        <f t="shared" si="218"/>
        <v>0</v>
      </c>
      <c r="AL422" s="77">
        <f t="shared" si="230"/>
        <v>58441</v>
      </c>
      <c r="AM422" s="27" t="str">
        <f t="shared" si="219"/>
        <v/>
      </c>
      <c r="AN422" s="76">
        <f t="shared" si="220"/>
        <v>408</v>
      </c>
      <c r="AO422" s="13">
        <f t="shared" si="221"/>
        <v>0</v>
      </c>
      <c r="AP422" s="62">
        <f t="shared" si="222"/>
        <v>0</v>
      </c>
      <c r="AQ422" s="9" t="str">
        <f t="shared" si="209"/>
        <v/>
      </c>
      <c r="AR422" s="60" t="str">
        <f t="shared" si="210"/>
        <v/>
      </c>
      <c r="AS422" s="8">
        <f t="shared" si="223"/>
        <v>0</v>
      </c>
      <c r="AT422" s="11">
        <f t="shared" si="224"/>
        <v>0</v>
      </c>
      <c r="AU422" s="15">
        <v>0</v>
      </c>
      <c r="AV422" s="32">
        <f t="shared" si="225"/>
        <v>0</v>
      </c>
      <c r="AW422" s="33"/>
      <c r="AX422" s="75">
        <f t="shared" si="226"/>
        <v>0</v>
      </c>
    </row>
    <row r="423" spans="1:50" x14ac:dyDescent="0.25">
      <c r="A423" s="5">
        <f t="shared" si="227"/>
        <v>0</v>
      </c>
      <c r="B423" s="5">
        <f t="shared" si="211"/>
        <v>0</v>
      </c>
      <c r="C423" s="77">
        <f t="shared" si="229"/>
        <v>58472</v>
      </c>
      <c r="D423" s="122" t="str">
        <f t="shared" si="198"/>
        <v/>
      </c>
      <c r="E423" s="123">
        <f t="shared" si="212"/>
        <v>409</v>
      </c>
      <c r="F423" s="124">
        <f t="shared" si="213"/>
        <v>0</v>
      </c>
      <c r="G423" s="125">
        <f t="shared" si="214"/>
        <v>0</v>
      </c>
      <c r="H423" s="126" t="str">
        <f t="shared" si="199"/>
        <v/>
      </c>
      <c r="I423" s="127" t="str">
        <f t="shared" si="200"/>
        <v/>
      </c>
      <c r="J423" s="128">
        <f t="shared" si="201"/>
        <v>0</v>
      </c>
      <c r="K423" s="129">
        <f t="shared" si="202"/>
        <v>0</v>
      </c>
      <c r="L423" s="1">
        <f t="shared" si="215"/>
        <v>0</v>
      </c>
      <c r="M423" s="130">
        <f t="shared" si="203"/>
        <v>0</v>
      </c>
      <c r="N423" s="131">
        <f t="shared" si="204"/>
        <v>0</v>
      </c>
      <c r="O423" s="15"/>
      <c r="P423" s="32">
        <f t="shared" si="216"/>
        <v>0</v>
      </c>
      <c r="Q423" s="33"/>
      <c r="R423" s="75">
        <f t="shared" si="217"/>
        <v>0</v>
      </c>
      <c r="V423" s="68">
        <f t="shared" si="205"/>
        <v>0</v>
      </c>
      <c r="AA423" s="4">
        <f t="shared" si="206"/>
        <v>4</v>
      </c>
      <c r="AB423" s="4">
        <f t="shared" si="207"/>
        <v>12</v>
      </c>
      <c r="AC423" s="12">
        <f t="shared" si="208"/>
        <v>35</v>
      </c>
      <c r="AJ423" s="5">
        <f t="shared" si="228"/>
        <v>0</v>
      </c>
      <c r="AK423" s="5">
        <f t="shared" si="218"/>
        <v>0</v>
      </c>
      <c r="AL423" s="77">
        <f t="shared" si="230"/>
        <v>58472</v>
      </c>
      <c r="AM423" s="27" t="str">
        <f t="shared" si="219"/>
        <v/>
      </c>
      <c r="AN423" s="76">
        <f t="shared" si="220"/>
        <v>409</v>
      </c>
      <c r="AO423" s="13">
        <f t="shared" si="221"/>
        <v>0</v>
      </c>
      <c r="AP423" s="62">
        <f t="shared" si="222"/>
        <v>0</v>
      </c>
      <c r="AQ423" s="9" t="str">
        <f t="shared" si="209"/>
        <v/>
      </c>
      <c r="AR423" s="60" t="str">
        <f t="shared" si="210"/>
        <v/>
      </c>
      <c r="AS423" s="8">
        <f t="shared" si="223"/>
        <v>0</v>
      </c>
      <c r="AT423" s="11">
        <f t="shared" si="224"/>
        <v>0</v>
      </c>
      <c r="AU423" s="15">
        <v>0</v>
      </c>
      <c r="AV423" s="32">
        <f t="shared" si="225"/>
        <v>0</v>
      </c>
      <c r="AW423" s="33"/>
      <c r="AX423" s="75">
        <f t="shared" si="226"/>
        <v>0</v>
      </c>
    </row>
    <row r="424" spans="1:50" x14ac:dyDescent="0.25">
      <c r="A424" s="5">
        <f t="shared" si="227"/>
        <v>0</v>
      </c>
      <c r="B424" s="5">
        <f t="shared" si="211"/>
        <v>0</v>
      </c>
      <c r="C424" s="77">
        <f t="shared" si="229"/>
        <v>58501</v>
      </c>
      <c r="D424" s="122" t="str">
        <f t="shared" si="198"/>
        <v/>
      </c>
      <c r="E424" s="123">
        <f t="shared" si="212"/>
        <v>410</v>
      </c>
      <c r="F424" s="124">
        <f t="shared" si="213"/>
        <v>0</v>
      </c>
      <c r="G424" s="125">
        <f t="shared" si="214"/>
        <v>0</v>
      </c>
      <c r="H424" s="126" t="str">
        <f t="shared" si="199"/>
        <v/>
      </c>
      <c r="I424" s="127" t="str">
        <f t="shared" si="200"/>
        <v/>
      </c>
      <c r="J424" s="128">
        <f t="shared" si="201"/>
        <v>0</v>
      </c>
      <c r="K424" s="129">
        <f t="shared" si="202"/>
        <v>0</v>
      </c>
      <c r="L424" s="1">
        <f t="shared" si="215"/>
        <v>0</v>
      </c>
      <c r="M424" s="130">
        <f t="shared" si="203"/>
        <v>0</v>
      </c>
      <c r="N424" s="131">
        <f t="shared" si="204"/>
        <v>0</v>
      </c>
      <c r="O424" s="15"/>
      <c r="P424" s="32">
        <f t="shared" si="216"/>
        <v>0</v>
      </c>
      <c r="Q424" s="33"/>
      <c r="R424" s="75">
        <f t="shared" si="217"/>
        <v>0</v>
      </c>
      <c r="V424" s="68">
        <f t="shared" si="205"/>
        <v>0</v>
      </c>
      <c r="AA424" s="4">
        <f t="shared" si="206"/>
        <v>4</v>
      </c>
      <c r="AB424" s="4">
        <f t="shared" si="207"/>
        <v>12</v>
      </c>
      <c r="AC424" s="12">
        <f t="shared" si="208"/>
        <v>35</v>
      </c>
      <c r="AJ424" s="5">
        <f t="shared" si="228"/>
        <v>0</v>
      </c>
      <c r="AK424" s="5">
        <f t="shared" si="218"/>
        <v>0</v>
      </c>
      <c r="AL424" s="77">
        <f t="shared" si="230"/>
        <v>58501</v>
      </c>
      <c r="AM424" s="27" t="str">
        <f t="shared" si="219"/>
        <v/>
      </c>
      <c r="AN424" s="76">
        <f t="shared" si="220"/>
        <v>410</v>
      </c>
      <c r="AO424" s="13">
        <f t="shared" si="221"/>
        <v>0</v>
      </c>
      <c r="AP424" s="62">
        <f t="shared" si="222"/>
        <v>0</v>
      </c>
      <c r="AQ424" s="9" t="str">
        <f t="shared" si="209"/>
        <v/>
      </c>
      <c r="AR424" s="60" t="str">
        <f t="shared" si="210"/>
        <v/>
      </c>
      <c r="AS424" s="8">
        <f t="shared" si="223"/>
        <v>0</v>
      </c>
      <c r="AT424" s="11">
        <f t="shared" si="224"/>
        <v>0</v>
      </c>
      <c r="AU424" s="15">
        <v>0</v>
      </c>
      <c r="AV424" s="32">
        <f t="shared" si="225"/>
        <v>0</v>
      </c>
      <c r="AW424" s="33"/>
      <c r="AX424" s="75">
        <f t="shared" si="226"/>
        <v>0</v>
      </c>
    </row>
    <row r="425" spans="1:50" x14ac:dyDescent="0.25">
      <c r="A425" s="5">
        <f t="shared" si="227"/>
        <v>0</v>
      </c>
      <c r="B425" s="5">
        <f t="shared" si="211"/>
        <v>0</v>
      </c>
      <c r="C425" s="77">
        <f t="shared" si="229"/>
        <v>58532</v>
      </c>
      <c r="D425" s="122" t="str">
        <f t="shared" si="198"/>
        <v/>
      </c>
      <c r="E425" s="123">
        <f t="shared" si="212"/>
        <v>411</v>
      </c>
      <c r="F425" s="124">
        <f t="shared" si="213"/>
        <v>0</v>
      </c>
      <c r="G425" s="125">
        <f t="shared" si="214"/>
        <v>0</v>
      </c>
      <c r="H425" s="126" t="str">
        <f t="shared" si="199"/>
        <v/>
      </c>
      <c r="I425" s="127" t="str">
        <f t="shared" si="200"/>
        <v/>
      </c>
      <c r="J425" s="128">
        <f t="shared" si="201"/>
        <v>0</v>
      </c>
      <c r="K425" s="129">
        <f t="shared" si="202"/>
        <v>0</v>
      </c>
      <c r="L425" s="1">
        <f t="shared" si="215"/>
        <v>0</v>
      </c>
      <c r="M425" s="130">
        <f t="shared" si="203"/>
        <v>0</v>
      </c>
      <c r="N425" s="131">
        <f t="shared" si="204"/>
        <v>0</v>
      </c>
      <c r="O425" s="15"/>
      <c r="P425" s="32">
        <f t="shared" si="216"/>
        <v>0</v>
      </c>
      <c r="Q425" s="33"/>
      <c r="R425" s="75">
        <f t="shared" si="217"/>
        <v>0</v>
      </c>
      <c r="V425" s="68">
        <f t="shared" si="205"/>
        <v>0</v>
      </c>
      <c r="AA425" s="4">
        <f t="shared" si="206"/>
        <v>4</v>
      </c>
      <c r="AB425" s="4">
        <f t="shared" si="207"/>
        <v>12</v>
      </c>
      <c r="AC425" s="12">
        <f t="shared" si="208"/>
        <v>35</v>
      </c>
      <c r="AJ425" s="5">
        <f t="shared" si="228"/>
        <v>0</v>
      </c>
      <c r="AK425" s="5">
        <f t="shared" si="218"/>
        <v>0</v>
      </c>
      <c r="AL425" s="77">
        <f t="shared" si="230"/>
        <v>58532</v>
      </c>
      <c r="AM425" s="27" t="str">
        <f t="shared" si="219"/>
        <v/>
      </c>
      <c r="AN425" s="76">
        <f t="shared" si="220"/>
        <v>411</v>
      </c>
      <c r="AO425" s="13">
        <f t="shared" si="221"/>
        <v>0</v>
      </c>
      <c r="AP425" s="62">
        <f t="shared" si="222"/>
        <v>0</v>
      </c>
      <c r="AQ425" s="9" t="str">
        <f t="shared" si="209"/>
        <v/>
      </c>
      <c r="AR425" s="60" t="str">
        <f t="shared" si="210"/>
        <v/>
      </c>
      <c r="AS425" s="8">
        <f t="shared" si="223"/>
        <v>0</v>
      </c>
      <c r="AT425" s="11">
        <f t="shared" si="224"/>
        <v>0</v>
      </c>
      <c r="AU425" s="15">
        <v>0</v>
      </c>
      <c r="AV425" s="32">
        <f t="shared" si="225"/>
        <v>0</v>
      </c>
      <c r="AW425" s="33"/>
      <c r="AX425" s="75">
        <f t="shared" si="226"/>
        <v>0</v>
      </c>
    </row>
    <row r="426" spans="1:50" x14ac:dyDescent="0.25">
      <c r="A426" s="5">
        <f t="shared" si="227"/>
        <v>0</v>
      </c>
      <c r="B426" s="5">
        <f t="shared" si="211"/>
        <v>0</v>
      </c>
      <c r="C426" s="77">
        <f t="shared" si="229"/>
        <v>58562</v>
      </c>
      <c r="D426" s="122" t="str">
        <f t="shared" si="198"/>
        <v/>
      </c>
      <c r="E426" s="123">
        <f t="shared" si="212"/>
        <v>412</v>
      </c>
      <c r="F426" s="124">
        <f t="shared" si="213"/>
        <v>0</v>
      </c>
      <c r="G426" s="125">
        <f t="shared" si="214"/>
        <v>0</v>
      </c>
      <c r="H426" s="126" t="str">
        <f t="shared" si="199"/>
        <v/>
      </c>
      <c r="I426" s="127" t="str">
        <f t="shared" si="200"/>
        <v/>
      </c>
      <c r="J426" s="128">
        <f t="shared" si="201"/>
        <v>0</v>
      </c>
      <c r="K426" s="129">
        <f t="shared" si="202"/>
        <v>0</v>
      </c>
      <c r="L426" s="1">
        <f t="shared" si="215"/>
        <v>0</v>
      </c>
      <c r="M426" s="130">
        <f t="shared" si="203"/>
        <v>0</v>
      </c>
      <c r="N426" s="131">
        <f t="shared" si="204"/>
        <v>0</v>
      </c>
      <c r="O426" s="15"/>
      <c r="P426" s="32">
        <f t="shared" si="216"/>
        <v>0</v>
      </c>
      <c r="Q426" s="33"/>
      <c r="R426" s="75">
        <f t="shared" si="217"/>
        <v>0</v>
      </c>
      <c r="V426" s="68">
        <f t="shared" si="205"/>
        <v>0</v>
      </c>
      <c r="AA426" s="4">
        <f t="shared" si="206"/>
        <v>4</v>
      </c>
      <c r="AB426" s="4">
        <f t="shared" si="207"/>
        <v>12</v>
      </c>
      <c r="AC426" s="12">
        <f t="shared" si="208"/>
        <v>35</v>
      </c>
      <c r="AJ426" s="5">
        <f t="shared" si="228"/>
        <v>0</v>
      </c>
      <c r="AK426" s="5">
        <f t="shared" si="218"/>
        <v>0</v>
      </c>
      <c r="AL426" s="77">
        <f t="shared" si="230"/>
        <v>58562</v>
      </c>
      <c r="AM426" s="27" t="str">
        <f t="shared" si="219"/>
        <v/>
      </c>
      <c r="AN426" s="76">
        <f t="shared" si="220"/>
        <v>412</v>
      </c>
      <c r="AO426" s="13">
        <f t="shared" si="221"/>
        <v>0</v>
      </c>
      <c r="AP426" s="62">
        <f t="shared" si="222"/>
        <v>0</v>
      </c>
      <c r="AQ426" s="9" t="str">
        <f t="shared" si="209"/>
        <v/>
      </c>
      <c r="AR426" s="60" t="str">
        <f t="shared" si="210"/>
        <v/>
      </c>
      <c r="AS426" s="8">
        <f t="shared" si="223"/>
        <v>0</v>
      </c>
      <c r="AT426" s="11">
        <f t="shared" si="224"/>
        <v>0</v>
      </c>
      <c r="AU426" s="15">
        <v>0</v>
      </c>
      <c r="AV426" s="32">
        <f t="shared" si="225"/>
        <v>0</v>
      </c>
      <c r="AW426" s="33"/>
      <c r="AX426" s="75">
        <f t="shared" si="226"/>
        <v>0</v>
      </c>
    </row>
    <row r="427" spans="1:50" x14ac:dyDescent="0.25">
      <c r="A427" s="5">
        <f t="shared" si="227"/>
        <v>0</v>
      </c>
      <c r="B427" s="5">
        <f t="shared" si="211"/>
        <v>0</v>
      </c>
      <c r="C427" s="77">
        <f t="shared" si="229"/>
        <v>58593</v>
      </c>
      <c r="D427" s="122" t="str">
        <f t="shared" si="198"/>
        <v/>
      </c>
      <c r="E427" s="123">
        <f t="shared" si="212"/>
        <v>413</v>
      </c>
      <c r="F427" s="124">
        <f t="shared" si="213"/>
        <v>0</v>
      </c>
      <c r="G427" s="125">
        <f t="shared" si="214"/>
        <v>0</v>
      </c>
      <c r="H427" s="126" t="str">
        <f t="shared" si="199"/>
        <v/>
      </c>
      <c r="I427" s="127" t="str">
        <f t="shared" si="200"/>
        <v/>
      </c>
      <c r="J427" s="128">
        <f t="shared" si="201"/>
        <v>0</v>
      </c>
      <c r="K427" s="129">
        <f t="shared" si="202"/>
        <v>0</v>
      </c>
      <c r="L427" s="1">
        <f t="shared" si="215"/>
        <v>0</v>
      </c>
      <c r="M427" s="130">
        <f t="shared" si="203"/>
        <v>0</v>
      </c>
      <c r="N427" s="131">
        <f t="shared" si="204"/>
        <v>0</v>
      </c>
      <c r="O427" s="15"/>
      <c r="P427" s="32">
        <f t="shared" si="216"/>
        <v>0</v>
      </c>
      <c r="Q427" s="33"/>
      <c r="R427" s="75">
        <f t="shared" si="217"/>
        <v>0</v>
      </c>
      <c r="V427" s="68">
        <f t="shared" si="205"/>
        <v>0</v>
      </c>
      <c r="AA427" s="4">
        <f t="shared" si="206"/>
        <v>4</v>
      </c>
      <c r="AB427" s="4">
        <f t="shared" si="207"/>
        <v>12</v>
      </c>
      <c r="AC427" s="12">
        <f t="shared" si="208"/>
        <v>35</v>
      </c>
      <c r="AJ427" s="5">
        <f t="shared" si="228"/>
        <v>0</v>
      </c>
      <c r="AK427" s="5">
        <f t="shared" si="218"/>
        <v>0</v>
      </c>
      <c r="AL427" s="77">
        <f t="shared" si="230"/>
        <v>58593</v>
      </c>
      <c r="AM427" s="27" t="str">
        <f t="shared" si="219"/>
        <v/>
      </c>
      <c r="AN427" s="76">
        <f t="shared" si="220"/>
        <v>413</v>
      </c>
      <c r="AO427" s="13">
        <f t="shared" si="221"/>
        <v>0</v>
      </c>
      <c r="AP427" s="62">
        <f t="shared" si="222"/>
        <v>0</v>
      </c>
      <c r="AQ427" s="9" t="str">
        <f t="shared" si="209"/>
        <v/>
      </c>
      <c r="AR427" s="60" t="str">
        <f t="shared" si="210"/>
        <v/>
      </c>
      <c r="AS427" s="8">
        <f t="shared" si="223"/>
        <v>0</v>
      </c>
      <c r="AT427" s="11">
        <f t="shared" si="224"/>
        <v>0</v>
      </c>
      <c r="AU427" s="15">
        <v>0</v>
      </c>
      <c r="AV427" s="32">
        <f t="shared" si="225"/>
        <v>0</v>
      </c>
      <c r="AW427" s="33"/>
      <c r="AX427" s="75">
        <f t="shared" si="226"/>
        <v>0</v>
      </c>
    </row>
    <row r="428" spans="1:50" x14ac:dyDescent="0.25">
      <c r="A428" s="5">
        <f t="shared" si="227"/>
        <v>0</v>
      </c>
      <c r="B428" s="5">
        <f t="shared" si="211"/>
        <v>0</v>
      </c>
      <c r="C428" s="77">
        <f t="shared" si="229"/>
        <v>58623</v>
      </c>
      <c r="D428" s="122" t="str">
        <f t="shared" si="198"/>
        <v/>
      </c>
      <c r="E428" s="123">
        <f t="shared" si="212"/>
        <v>414</v>
      </c>
      <c r="F428" s="124">
        <f t="shared" si="213"/>
        <v>0</v>
      </c>
      <c r="G428" s="125">
        <f t="shared" si="214"/>
        <v>0</v>
      </c>
      <c r="H428" s="126" t="str">
        <f t="shared" si="199"/>
        <v/>
      </c>
      <c r="I428" s="127" t="str">
        <f t="shared" si="200"/>
        <v/>
      </c>
      <c r="J428" s="128">
        <f t="shared" si="201"/>
        <v>0</v>
      </c>
      <c r="K428" s="129">
        <f t="shared" si="202"/>
        <v>0</v>
      </c>
      <c r="L428" s="1">
        <f t="shared" si="215"/>
        <v>0</v>
      </c>
      <c r="M428" s="130">
        <f t="shared" si="203"/>
        <v>0</v>
      </c>
      <c r="N428" s="131">
        <f t="shared" si="204"/>
        <v>0</v>
      </c>
      <c r="O428" s="15"/>
      <c r="P428" s="32">
        <f t="shared" si="216"/>
        <v>0</v>
      </c>
      <c r="Q428" s="33"/>
      <c r="R428" s="75">
        <f t="shared" si="217"/>
        <v>0</v>
      </c>
      <c r="V428" s="68">
        <f t="shared" si="205"/>
        <v>0</v>
      </c>
      <c r="AA428" s="4">
        <f t="shared" si="206"/>
        <v>4</v>
      </c>
      <c r="AB428" s="4">
        <f t="shared" si="207"/>
        <v>12</v>
      </c>
      <c r="AC428" s="12">
        <f t="shared" si="208"/>
        <v>35</v>
      </c>
      <c r="AJ428" s="5">
        <f t="shared" si="228"/>
        <v>0</v>
      </c>
      <c r="AK428" s="5">
        <f t="shared" si="218"/>
        <v>0</v>
      </c>
      <c r="AL428" s="77">
        <f t="shared" si="230"/>
        <v>58623</v>
      </c>
      <c r="AM428" s="27" t="str">
        <f t="shared" si="219"/>
        <v/>
      </c>
      <c r="AN428" s="76">
        <f t="shared" si="220"/>
        <v>414</v>
      </c>
      <c r="AO428" s="13">
        <f t="shared" si="221"/>
        <v>0</v>
      </c>
      <c r="AP428" s="62">
        <f t="shared" si="222"/>
        <v>0</v>
      </c>
      <c r="AQ428" s="9" t="str">
        <f t="shared" si="209"/>
        <v/>
      </c>
      <c r="AR428" s="60" t="str">
        <f t="shared" si="210"/>
        <v/>
      </c>
      <c r="AS428" s="8">
        <f t="shared" si="223"/>
        <v>0</v>
      </c>
      <c r="AT428" s="11">
        <f t="shared" si="224"/>
        <v>0</v>
      </c>
      <c r="AU428" s="15">
        <v>0</v>
      </c>
      <c r="AV428" s="32">
        <f t="shared" si="225"/>
        <v>0</v>
      </c>
      <c r="AW428" s="33"/>
      <c r="AX428" s="75">
        <f t="shared" si="226"/>
        <v>0</v>
      </c>
    </row>
    <row r="429" spans="1:50" x14ac:dyDescent="0.25">
      <c r="A429" s="5">
        <f t="shared" si="227"/>
        <v>0</v>
      </c>
      <c r="B429" s="5">
        <f t="shared" si="211"/>
        <v>0</v>
      </c>
      <c r="C429" s="77">
        <f t="shared" si="229"/>
        <v>58654</v>
      </c>
      <c r="D429" s="122" t="str">
        <f t="shared" si="198"/>
        <v/>
      </c>
      <c r="E429" s="123">
        <f t="shared" si="212"/>
        <v>415</v>
      </c>
      <c r="F429" s="124">
        <f t="shared" si="213"/>
        <v>0</v>
      </c>
      <c r="G429" s="125">
        <f t="shared" si="214"/>
        <v>0</v>
      </c>
      <c r="H429" s="126" t="str">
        <f t="shared" si="199"/>
        <v/>
      </c>
      <c r="I429" s="127" t="str">
        <f t="shared" si="200"/>
        <v/>
      </c>
      <c r="J429" s="128">
        <f t="shared" si="201"/>
        <v>0</v>
      </c>
      <c r="K429" s="129">
        <f t="shared" si="202"/>
        <v>0</v>
      </c>
      <c r="L429" s="1">
        <f t="shared" si="215"/>
        <v>0</v>
      </c>
      <c r="M429" s="130">
        <f t="shared" si="203"/>
        <v>0</v>
      </c>
      <c r="N429" s="131">
        <f t="shared" si="204"/>
        <v>0</v>
      </c>
      <c r="O429" s="15"/>
      <c r="P429" s="32">
        <f t="shared" si="216"/>
        <v>0</v>
      </c>
      <c r="Q429" s="33"/>
      <c r="R429" s="75">
        <f t="shared" si="217"/>
        <v>0</v>
      </c>
      <c r="V429" s="68">
        <f t="shared" si="205"/>
        <v>0</v>
      </c>
      <c r="AA429" s="4">
        <f t="shared" si="206"/>
        <v>4</v>
      </c>
      <c r="AB429" s="4">
        <f t="shared" si="207"/>
        <v>12</v>
      </c>
      <c r="AC429" s="12">
        <f t="shared" si="208"/>
        <v>35</v>
      </c>
      <c r="AJ429" s="5">
        <f t="shared" si="228"/>
        <v>0</v>
      </c>
      <c r="AK429" s="5">
        <f t="shared" si="218"/>
        <v>0</v>
      </c>
      <c r="AL429" s="77">
        <f t="shared" si="230"/>
        <v>58654</v>
      </c>
      <c r="AM429" s="27" t="str">
        <f t="shared" si="219"/>
        <v/>
      </c>
      <c r="AN429" s="76">
        <f t="shared" si="220"/>
        <v>415</v>
      </c>
      <c r="AO429" s="13">
        <f t="shared" si="221"/>
        <v>0</v>
      </c>
      <c r="AP429" s="62">
        <f t="shared" si="222"/>
        <v>0</v>
      </c>
      <c r="AQ429" s="9" t="str">
        <f t="shared" si="209"/>
        <v/>
      </c>
      <c r="AR429" s="60" t="str">
        <f t="shared" si="210"/>
        <v/>
      </c>
      <c r="AS429" s="8">
        <f t="shared" si="223"/>
        <v>0</v>
      </c>
      <c r="AT429" s="11">
        <f t="shared" si="224"/>
        <v>0</v>
      </c>
      <c r="AU429" s="15">
        <v>0</v>
      </c>
      <c r="AV429" s="32">
        <f t="shared" si="225"/>
        <v>0</v>
      </c>
      <c r="AW429" s="33"/>
      <c r="AX429" s="75">
        <f t="shared" si="226"/>
        <v>0</v>
      </c>
    </row>
    <row r="430" spans="1:50" x14ac:dyDescent="0.25">
      <c r="A430" s="5">
        <f t="shared" si="227"/>
        <v>0</v>
      </c>
      <c r="B430" s="5">
        <f t="shared" si="211"/>
        <v>0</v>
      </c>
      <c r="C430" s="77">
        <f t="shared" si="229"/>
        <v>58685</v>
      </c>
      <c r="D430" s="122" t="str">
        <f t="shared" si="198"/>
        <v/>
      </c>
      <c r="E430" s="123">
        <f t="shared" si="212"/>
        <v>416</v>
      </c>
      <c r="F430" s="124">
        <f t="shared" si="213"/>
        <v>0</v>
      </c>
      <c r="G430" s="125">
        <f t="shared" si="214"/>
        <v>0</v>
      </c>
      <c r="H430" s="126" t="str">
        <f t="shared" si="199"/>
        <v/>
      </c>
      <c r="I430" s="127" t="str">
        <f t="shared" si="200"/>
        <v/>
      </c>
      <c r="J430" s="128">
        <f t="shared" si="201"/>
        <v>0</v>
      </c>
      <c r="K430" s="129">
        <f t="shared" si="202"/>
        <v>0</v>
      </c>
      <c r="L430" s="1">
        <f t="shared" si="215"/>
        <v>0</v>
      </c>
      <c r="M430" s="130">
        <f t="shared" si="203"/>
        <v>0</v>
      </c>
      <c r="N430" s="131">
        <f t="shared" si="204"/>
        <v>0</v>
      </c>
      <c r="O430" s="15"/>
      <c r="P430" s="32">
        <f t="shared" si="216"/>
        <v>0</v>
      </c>
      <c r="Q430" s="33"/>
      <c r="R430" s="75">
        <f t="shared" si="217"/>
        <v>0</v>
      </c>
      <c r="V430" s="68">
        <f t="shared" si="205"/>
        <v>0</v>
      </c>
      <c r="AA430" s="4">
        <f t="shared" si="206"/>
        <v>4</v>
      </c>
      <c r="AB430" s="4">
        <f t="shared" si="207"/>
        <v>12</v>
      </c>
      <c r="AC430" s="12">
        <f t="shared" si="208"/>
        <v>35</v>
      </c>
      <c r="AJ430" s="5">
        <f t="shared" si="228"/>
        <v>0</v>
      </c>
      <c r="AK430" s="5">
        <f t="shared" si="218"/>
        <v>0</v>
      </c>
      <c r="AL430" s="77">
        <f t="shared" si="230"/>
        <v>58685</v>
      </c>
      <c r="AM430" s="27" t="str">
        <f t="shared" si="219"/>
        <v/>
      </c>
      <c r="AN430" s="76">
        <f t="shared" si="220"/>
        <v>416</v>
      </c>
      <c r="AO430" s="13">
        <f t="shared" si="221"/>
        <v>0</v>
      </c>
      <c r="AP430" s="62">
        <f t="shared" si="222"/>
        <v>0</v>
      </c>
      <c r="AQ430" s="9" t="str">
        <f t="shared" si="209"/>
        <v/>
      </c>
      <c r="AR430" s="60" t="str">
        <f t="shared" si="210"/>
        <v/>
      </c>
      <c r="AS430" s="8">
        <f t="shared" si="223"/>
        <v>0</v>
      </c>
      <c r="AT430" s="11">
        <f t="shared" si="224"/>
        <v>0</v>
      </c>
      <c r="AU430" s="15">
        <v>0</v>
      </c>
      <c r="AV430" s="32">
        <f t="shared" si="225"/>
        <v>0</v>
      </c>
      <c r="AW430" s="33"/>
      <c r="AX430" s="75">
        <f t="shared" si="226"/>
        <v>0</v>
      </c>
    </row>
    <row r="431" spans="1:50" x14ac:dyDescent="0.25">
      <c r="A431" s="5">
        <f t="shared" si="227"/>
        <v>0</v>
      </c>
      <c r="B431" s="5">
        <f t="shared" si="211"/>
        <v>0</v>
      </c>
      <c r="C431" s="77">
        <f t="shared" si="229"/>
        <v>58715</v>
      </c>
      <c r="D431" s="122" t="str">
        <f t="shared" si="198"/>
        <v/>
      </c>
      <c r="E431" s="123">
        <f t="shared" si="212"/>
        <v>417</v>
      </c>
      <c r="F431" s="124">
        <f t="shared" si="213"/>
        <v>0</v>
      </c>
      <c r="G431" s="125">
        <f t="shared" si="214"/>
        <v>0</v>
      </c>
      <c r="H431" s="126" t="str">
        <f t="shared" si="199"/>
        <v/>
      </c>
      <c r="I431" s="127" t="str">
        <f t="shared" si="200"/>
        <v/>
      </c>
      <c r="J431" s="128">
        <f t="shared" si="201"/>
        <v>0</v>
      </c>
      <c r="K431" s="129">
        <f t="shared" si="202"/>
        <v>0</v>
      </c>
      <c r="L431" s="1">
        <f t="shared" si="215"/>
        <v>0</v>
      </c>
      <c r="M431" s="130">
        <f t="shared" si="203"/>
        <v>0</v>
      </c>
      <c r="N431" s="131">
        <f t="shared" si="204"/>
        <v>0</v>
      </c>
      <c r="O431" s="15"/>
      <c r="P431" s="32">
        <f t="shared" si="216"/>
        <v>0</v>
      </c>
      <c r="Q431" s="33"/>
      <c r="R431" s="75">
        <f t="shared" si="217"/>
        <v>0</v>
      </c>
      <c r="V431" s="68">
        <f t="shared" si="205"/>
        <v>0</v>
      </c>
      <c r="AA431" s="4">
        <f t="shared" si="206"/>
        <v>4</v>
      </c>
      <c r="AB431" s="4">
        <f t="shared" si="207"/>
        <v>12</v>
      </c>
      <c r="AC431" s="12">
        <f t="shared" si="208"/>
        <v>35</v>
      </c>
      <c r="AJ431" s="5">
        <f t="shared" si="228"/>
        <v>0</v>
      </c>
      <c r="AK431" s="5">
        <f t="shared" si="218"/>
        <v>0</v>
      </c>
      <c r="AL431" s="77">
        <f t="shared" si="230"/>
        <v>58715</v>
      </c>
      <c r="AM431" s="27" t="str">
        <f t="shared" si="219"/>
        <v/>
      </c>
      <c r="AN431" s="76">
        <f t="shared" si="220"/>
        <v>417</v>
      </c>
      <c r="AO431" s="13">
        <f t="shared" si="221"/>
        <v>0</v>
      </c>
      <c r="AP431" s="62">
        <f t="shared" si="222"/>
        <v>0</v>
      </c>
      <c r="AQ431" s="9" t="str">
        <f t="shared" si="209"/>
        <v/>
      </c>
      <c r="AR431" s="60" t="str">
        <f t="shared" si="210"/>
        <v/>
      </c>
      <c r="AS431" s="8">
        <f t="shared" si="223"/>
        <v>0</v>
      </c>
      <c r="AT431" s="11">
        <f t="shared" si="224"/>
        <v>0</v>
      </c>
      <c r="AU431" s="15">
        <v>0</v>
      </c>
      <c r="AV431" s="32">
        <f t="shared" si="225"/>
        <v>0</v>
      </c>
      <c r="AW431" s="33"/>
      <c r="AX431" s="75">
        <f t="shared" si="226"/>
        <v>0</v>
      </c>
    </row>
    <row r="432" spans="1:50" x14ac:dyDescent="0.25">
      <c r="A432" s="5">
        <f t="shared" si="227"/>
        <v>0</v>
      </c>
      <c r="B432" s="5">
        <f t="shared" si="211"/>
        <v>0</v>
      </c>
      <c r="C432" s="77">
        <f t="shared" si="229"/>
        <v>58746</v>
      </c>
      <c r="D432" s="122" t="str">
        <f t="shared" si="198"/>
        <v/>
      </c>
      <c r="E432" s="123">
        <f t="shared" si="212"/>
        <v>418</v>
      </c>
      <c r="F432" s="124">
        <f t="shared" si="213"/>
        <v>0</v>
      </c>
      <c r="G432" s="125">
        <f t="shared" si="214"/>
        <v>0</v>
      </c>
      <c r="H432" s="126" t="str">
        <f t="shared" si="199"/>
        <v/>
      </c>
      <c r="I432" s="127" t="str">
        <f t="shared" si="200"/>
        <v/>
      </c>
      <c r="J432" s="128">
        <f t="shared" si="201"/>
        <v>0</v>
      </c>
      <c r="K432" s="129">
        <f t="shared" si="202"/>
        <v>0</v>
      </c>
      <c r="L432" s="1">
        <f t="shared" si="215"/>
        <v>0</v>
      </c>
      <c r="M432" s="130">
        <f t="shared" si="203"/>
        <v>0</v>
      </c>
      <c r="N432" s="131">
        <f t="shared" si="204"/>
        <v>0</v>
      </c>
      <c r="O432" s="15"/>
      <c r="P432" s="32">
        <f t="shared" si="216"/>
        <v>0</v>
      </c>
      <c r="Q432" s="33"/>
      <c r="R432" s="75">
        <f t="shared" si="217"/>
        <v>0</v>
      </c>
      <c r="V432" s="68">
        <f t="shared" si="205"/>
        <v>0</v>
      </c>
      <c r="AA432" s="4">
        <f t="shared" si="206"/>
        <v>4</v>
      </c>
      <c r="AB432" s="4">
        <f t="shared" si="207"/>
        <v>12</v>
      </c>
      <c r="AC432" s="12">
        <f t="shared" si="208"/>
        <v>35</v>
      </c>
      <c r="AJ432" s="5">
        <f t="shared" si="228"/>
        <v>0</v>
      </c>
      <c r="AK432" s="5">
        <f t="shared" si="218"/>
        <v>0</v>
      </c>
      <c r="AL432" s="77">
        <f t="shared" si="230"/>
        <v>58746</v>
      </c>
      <c r="AM432" s="27" t="str">
        <f t="shared" si="219"/>
        <v/>
      </c>
      <c r="AN432" s="76">
        <f t="shared" si="220"/>
        <v>418</v>
      </c>
      <c r="AO432" s="13">
        <f t="shared" si="221"/>
        <v>0</v>
      </c>
      <c r="AP432" s="62">
        <f t="shared" si="222"/>
        <v>0</v>
      </c>
      <c r="AQ432" s="9" t="str">
        <f t="shared" si="209"/>
        <v/>
      </c>
      <c r="AR432" s="60" t="str">
        <f t="shared" si="210"/>
        <v/>
      </c>
      <c r="AS432" s="8">
        <f t="shared" si="223"/>
        <v>0</v>
      </c>
      <c r="AT432" s="11">
        <f t="shared" si="224"/>
        <v>0</v>
      </c>
      <c r="AU432" s="15">
        <v>0</v>
      </c>
      <c r="AV432" s="32">
        <f t="shared" si="225"/>
        <v>0</v>
      </c>
      <c r="AW432" s="33"/>
      <c r="AX432" s="75">
        <f t="shared" si="226"/>
        <v>0</v>
      </c>
    </row>
    <row r="433" spans="1:50" x14ac:dyDescent="0.25">
      <c r="A433" s="5">
        <f t="shared" si="227"/>
        <v>0</v>
      </c>
      <c r="B433" s="5">
        <f t="shared" si="211"/>
        <v>0</v>
      </c>
      <c r="C433" s="77">
        <f t="shared" si="229"/>
        <v>58776</v>
      </c>
      <c r="D433" s="122" t="str">
        <f t="shared" si="198"/>
        <v/>
      </c>
      <c r="E433" s="123">
        <f t="shared" si="212"/>
        <v>419</v>
      </c>
      <c r="F433" s="124">
        <f t="shared" si="213"/>
        <v>0</v>
      </c>
      <c r="G433" s="125">
        <f t="shared" si="214"/>
        <v>0</v>
      </c>
      <c r="H433" s="126" t="str">
        <f t="shared" si="199"/>
        <v/>
      </c>
      <c r="I433" s="127" t="str">
        <f t="shared" si="200"/>
        <v/>
      </c>
      <c r="J433" s="128">
        <f t="shared" si="201"/>
        <v>0</v>
      </c>
      <c r="K433" s="129">
        <f t="shared" si="202"/>
        <v>0</v>
      </c>
      <c r="L433" s="1">
        <f t="shared" si="215"/>
        <v>0</v>
      </c>
      <c r="M433" s="130">
        <f t="shared" si="203"/>
        <v>0</v>
      </c>
      <c r="N433" s="131">
        <f t="shared" si="204"/>
        <v>0</v>
      </c>
      <c r="O433" s="15"/>
      <c r="P433" s="32">
        <f t="shared" si="216"/>
        <v>0</v>
      </c>
      <c r="Q433" s="33"/>
      <c r="R433" s="75">
        <f t="shared" si="217"/>
        <v>0</v>
      </c>
      <c r="V433" s="68">
        <f t="shared" si="205"/>
        <v>0</v>
      </c>
      <c r="AA433" s="4">
        <f t="shared" si="206"/>
        <v>4</v>
      </c>
      <c r="AB433" s="4">
        <f t="shared" si="207"/>
        <v>12</v>
      </c>
      <c r="AC433" s="12">
        <f t="shared" si="208"/>
        <v>35</v>
      </c>
      <c r="AJ433" s="5">
        <f t="shared" si="228"/>
        <v>0</v>
      </c>
      <c r="AK433" s="5">
        <f t="shared" si="218"/>
        <v>0</v>
      </c>
      <c r="AL433" s="77">
        <f t="shared" si="230"/>
        <v>58776</v>
      </c>
      <c r="AM433" s="27" t="str">
        <f t="shared" si="219"/>
        <v/>
      </c>
      <c r="AN433" s="76">
        <f t="shared" si="220"/>
        <v>419</v>
      </c>
      <c r="AO433" s="13">
        <f t="shared" si="221"/>
        <v>0</v>
      </c>
      <c r="AP433" s="62">
        <f t="shared" si="222"/>
        <v>0</v>
      </c>
      <c r="AQ433" s="9" t="str">
        <f t="shared" si="209"/>
        <v/>
      </c>
      <c r="AR433" s="60" t="str">
        <f t="shared" si="210"/>
        <v/>
      </c>
      <c r="AS433" s="8">
        <f t="shared" si="223"/>
        <v>0</v>
      </c>
      <c r="AT433" s="11">
        <f t="shared" si="224"/>
        <v>0</v>
      </c>
      <c r="AU433" s="15">
        <v>0</v>
      </c>
      <c r="AV433" s="32">
        <f t="shared" si="225"/>
        <v>0</v>
      </c>
      <c r="AW433" s="33"/>
      <c r="AX433" s="75">
        <f t="shared" si="226"/>
        <v>0</v>
      </c>
    </row>
    <row r="434" spans="1:50" x14ac:dyDescent="0.25">
      <c r="A434" s="5">
        <f t="shared" si="227"/>
        <v>0</v>
      </c>
      <c r="B434" s="5">
        <f t="shared" si="211"/>
        <v>0</v>
      </c>
      <c r="C434" s="27"/>
      <c r="D434" s="122" t="str">
        <f t="shared" si="198"/>
        <v/>
      </c>
      <c r="E434" s="123">
        <f t="shared" si="212"/>
        <v>420</v>
      </c>
      <c r="F434" s="124">
        <f t="shared" si="213"/>
        <v>0</v>
      </c>
      <c r="G434" s="125">
        <f t="shared" si="214"/>
        <v>0</v>
      </c>
      <c r="H434" s="126" t="str">
        <f t="shared" si="199"/>
        <v/>
      </c>
      <c r="I434" s="127" t="str">
        <f t="shared" si="200"/>
        <v/>
      </c>
      <c r="J434" s="128">
        <f t="shared" si="201"/>
        <v>0</v>
      </c>
      <c r="K434" s="129">
        <f t="shared" si="202"/>
        <v>0</v>
      </c>
      <c r="L434" s="1">
        <f t="shared" si="215"/>
        <v>0</v>
      </c>
      <c r="M434" s="130">
        <f t="shared" si="203"/>
        <v>0</v>
      </c>
      <c r="N434" s="131">
        <f t="shared" si="204"/>
        <v>0</v>
      </c>
      <c r="O434" s="15"/>
      <c r="P434" s="32">
        <f t="shared" si="216"/>
        <v>0</v>
      </c>
      <c r="Q434" s="33"/>
      <c r="R434" s="75">
        <f t="shared" si="217"/>
        <v>0</v>
      </c>
      <c r="V434" s="68">
        <f t="shared" si="205"/>
        <v>0</v>
      </c>
      <c r="AA434" s="4">
        <f t="shared" si="206"/>
        <v>4</v>
      </c>
      <c r="AB434" s="4">
        <f t="shared" si="207"/>
        <v>12</v>
      </c>
      <c r="AC434" s="12">
        <f t="shared" si="208"/>
        <v>35</v>
      </c>
      <c r="AJ434" s="5">
        <f t="shared" si="228"/>
        <v>0</v>
      </c>
      <c r="AK434" s="5">
        <f t="shared" si="218"/>
        <v>0</v>
      </c>
      <c r="AL434" s="27"/>
      <c r="AM434" s="27" t="str">
        <f t="shared" si="219"/>
        <v/>
      </c>
      <c r="AN434" s="76">
        <f t="shared" si="220"/>
        <v>420</v>
      </c>
      <c r="AO434" s="13">
        <f t="shared" si="221"/>
        <v>0</v>
      </c>
      <c r="AP434" s="62">
        <f t="shared" si="222"/>
        <v>0</v>
      </c>
      <c r="AQ434" s="9" t="str">
        <f t="shared" si="209"/>
        <v/>
      </c>
      <c r="AR434" s="60" t="str">
        <f t="shared" si="210"/>
        <v/>
      </c>
      <c r="AS434" s="8">
        <f t="shared" si="223"/>
        <v>0</v>
      </c>
      <c r="AT434" s="11">
        <f t="shared" si="224"/>
        <v>0</v>
      </c>
      <c r="AU434" s="15">
        <v>0</v>
      </c>
      <c r="AV434" s="32">
        <f t="shared" si="225"/>
        <v>0</v>
      </c>
      <c r="AW434" s="33"/>
      <c r="AX434" s="75">
        <f t="shared" si="226"/>
        <v>0</v>
      </c>
    </row>
  </sheetData>
  <sheetProtection algorithmName="SHA-512" hashValue="Cy7DELXJp0FE6mU3gtv+BnCdIXXZW34GTxFcduVObhJGmgu1sdN1W5TcHSoOSFeThBMTiq5uXJ9wykI+mOV5MQ==" saltValue="Co1WwFcc4ZwXdOZoagb3Iw==" spinCount="100000" sheet="1" formatCells="0" formatColumns="0" formatRows="0" insertColumns="0" insertRows="0" sort="0" autoFilter="0" pivotTables="0"/>
  <dataConsolidate/>
  <mergeCells count="10">
    <mergeCell ref="H7:I7"/>
    <mergeCell ref="H8:I8"/>
    <mergeCell ref="H10:I10"/>
    <mergeCell ref="H9:I9"/>
    <mergeCell ref="F6:I6"/>
    <mergeCell ref="B6:D6"/>
    <mergeCell ref="AQ5:AR5"/>
    <mergeCell ref="AK6:AM6"/>
    <mergeCell ref="AP6:AS6"/>
    <mergeCell ref="N6:O6"/>
  </mergeCells>
  <conditionalFormatting sqref="D15:I434 L15:N434">
    <cfRule type="expression" dxfId="3" priority="456" stopIfTrue="1">
      <formula>$D15&lt;$D$9</formula>
    </cfRule>
  </conditionalFormatting>
  <conditionalFormatting sqref="F15:F434">
    <cfRule type="dataBar" priority="4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{88D17A52-6807-BE4F-AAC2-9EA4D39724FB}</x14:id>
        </ext>
      </extLst>
    </cfRule>
  </conditionalFormatting>
  <conditionalFormatting sqref="G15:G434"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{51B7A688-FB74-404B-99DB-2D3A491CE90E}</x14:id>
        </ext>
      </extLst>
    </cfRule>
  </conditionalFormatting>
  <conditionalFormatting sqref="Q15:Q434">
    <cfRule type="containsText" dxfId="2" priority="65" operator="containsText" text="V">
      <formula>NOT(ISERROR(SEARCH("V",Q15)))</formula>
    </cfRule>
  </conditionalFormatting>
  <conditionalFormatting sqref="AM15:AT434">
    <cfRule type="expression" dxfId="1" priority="4" stopIfTrue="1">
      <formula>$D15&lt;$D$9</formula>
    </cfRule>
  </conditionalFormatting>
  <conditionalFormatting sqref="AO15:AO434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{A67C00FA-37A8-5A40-8617-552C160F93D6}</x14:id>
        </ext>
      </extLst>
    </cfRule>
  </conditionalFormatting>
  <conditionalFormatting sqref="AP15:AP43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{6356CB73-7999-C740-9B0C-FBA92E2F6E8C}</x14:id>
        </ext>
      </extLst>
    </cfRule>
  </conditionalFormatting>
  <conditionalFormatting sqref="AW15:AW434">
    <cfRule type="containsText" dxfId="0" priority="1" operator="containsText" text="V">
      <formula>NOT(ISERROR(SEARCH("V",AW15)))</formula>
    </cfRule>
  </conditionalFormatting>
  <hyperlinks>
    <hyperlink ref="X4" r:id="rId1" xr:uid="{47A43217-7D05-F24C-8480-0EF04551F5B5}"/>
    <hyperlink ref="F4" r:id="rId2" xr:uid="{DF856F71-A3A5-E145-BC4F-5DA8691AC112}"/>
  </hyperlinks>
  <pageMargins left="0.511811024" right="0.511811024" top="0.78740157499999996" bottom="0.78740157499999996" header="0.31496062000000002" footer="0.31496062000000002"/>
  <pageSetup paperSize="9" orientation="portrait" horizontalDpi="0" verticalDpi="0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D17A52-6807-BE4F-AAC2-9EA4D39724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F15:F434</xm:sqref>
        </x14:conditionalFormatting>
        <x14:conditionalFormatting xmlns:xm="http://schemas.microsoft.com/office/excel/2006/main">
          <x14:cfRule type="dataBar" id="{51B7A688-FB74-404B-99DB-2D3A491CE9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G15:G434</xm:sqref>
        </x14:conditionalFormatting>
        <x14:conditionalFormatting xmlns:xm="http://schemas.microsoft.com/office/excel/2006/main">
          <x14:cfRule type="dataBar" id="{A67C00FA-37A8-5A40-8617-552C160F9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AO15:AO434</xm:sqref>
        </x14:conditionalFormatting>
        <x14:conditionalFormatting xmlns:xm="http://schemas.microsoft.com/office/excel/2006/main">
          <x14:cfRule type="dataBar" id="{6356CB73-7999-C740-9B0C-FBA92E2F6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AP15:AP434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B594-BCB4-BE4C-8DFC-60C4ABBD6B10}">
  <dimension ref="B2:K60"/>
  <sheetViews>
    <sheetView showGridLines="0" zoomScale="130" zoomScaleNormal="130" workbookViewId="0">
      <selection activeCell="C33" sqref="C33:C34"/>
    </sheetView>
  </sheetViews>
  <sheetFormatPr baseColWidth="10" defaultColWidth="10.83203125" defaultRowHeight="16" x14ac:dyDescent="0.2"/>
  <cols>
    <col min="1" max="1" width="5" customWidth="1"/>
    <col min="2" max="2" width="7.5" customWidth="1"/>
    <col min="3" max="3" width="15" customWidth="1"/>
    <col min="4" max="4" width="15.83203125" customWidth="1"/>
    <col min="5" max="5" width="16.1640625" customWidth="1"/>
    <col min="6" max="6" width="16.6640625" customWidth="1"/>
    <col min="7" max="7" width="14.1640625" customWidth="1"/>
    <col min="8" max="8" width="15.6640625" customWidth="1"/>
    <col min="9" max="10" width="14.1640625" customWidth="1"/>
  </cols>
  <sheetData>
    <row r="2" spans="2:11" ht="21" x14ac:dyDescent="0.25">
      <c r="C2" s="37" t="s">
        <v>49</v>
      </c>
      <c r="G2" s="53" t="s">
        <v>48</v>
      </c>
      <c r="H2" s="40">
        <f>'BASE PRICE @amigodopairico'!$D$8</f>
        <v>100000</v>
      </c>
      <c r="I2" s="53" t="s">
        <v>13</v>
      </c>
      <c r="J2" s="40">
        <f>'BASE PRICE @amigodopairico'!$L$15</f>
        <v>1554.9210468803735</v>
      </c>
    </row>
    <row r="3" spans="2:11" ht="21" x14ac:dyDescent="0.25">
      <c r="C3" s="37" t="s">
        <v>11</v>
      </c>
      <c r="D3" s="1"/>
      <c r="E3" s="1"/>
      <c r="F3" s="1"/>
      <c r="G3" s="53" t="s">
        <v>12</v>
      </c>
      <c r="H3" s="41">
        <f>'BASE PRICE @amigodopairico'!$D$7</f>
        <v>0.1</v>
      </c>
      <c r="J3" s="1"/>
      <c r="K3" s="1"/>
    </row>
    <row r="4" spans="2:11" x14ac:dyDescent="0.2">
      <c r="D4" s="1"/>
      <c r="E4" s="1"/>
      <c r="F4" s="1"/>
      <c r="G4" s="3"/>
      <c r="I4" s="34"/>
      <c r="J4" s="1"/>
      <c r="K4" s="1"/>
    </row>
    <row r="5" spans="2:11" x14ac:dyDescent="0.2">
      <c r="B5" s="36" t="s">
        <v>33</v>
      </c>
      <c r="C5" s="36" t="s">
        <v>28</v>
      </c>
      <c r="D5" s="35" t="s">
        <v>45</v>
      </c>
      <c r="E5" s="35" t="s">
        <v>2</v>
      </c>
      <c r="F5" s="35" t="s">
        <v>1</v>
      </c>
      <c r="G5" s="36" t="s">
        <v>46</v>
      </c>
      <c r="H5" s="36" t="s">
        <v>47</v>
      </c>
      <c r="I5" s="35" t="s">
        <v>32</v>
      </c>
      <c r="J5" s="35"/>
      <c r="K5" s="1"/>
    </row>
    <row r="6" spans="2:11" ht="33" customHeight="1" x14ac:dyDescent="0.2">
      <c r="B6" s="54">
        <v>1</v>
      </c>
      <c r="C6" s="50" t="s">
        <v>35</v>
      </c>
      <c r="D6" s="51">
        <f>SUMIF('BASE PRICE @amigodopairico'!$AB$15:$AB$434,"="&amp;$B6,Price_Parcela)</f>
        <v>57575.958659255666</v>
      </c>
      <c r="E6" s="51">
        <f>SUMIF('BASE PRICE @amigodopairico'!$AB$15:$AB$434,"="&amp;$B6,Price_Juros)</f>
        <v>25810.63192946864</v>
      </c>
      <c r="F6" s="51">
        <f>SUMIF('BASE PRICE @amigodopairico'!$AB$15:$AB$434,"="&amp;$B6,Price_Amortizacao)</f>
        <v>28165.326729787026</v>
      </c>
      <c r="G6" s="51">
        <f>SUMIF('BASE PRICE @amigodopairico'!$AB$15:$AB$434,"="&amp;$B6,Price_QuedaSaldoDevedor)</f>
        <v>22662.780759935235</v>
      </c>
      <c r="H6" s="51">
        <f>SUMIF('BASE PRICE @amigodopairico'!$AB$15:$AB$434,"="&amp;$B6,Price_Adiantamento)</f>
        <v>0</v>
      </c>
      <c r="I6" s="51">
        <f>SUMIF('BASE PRICE @amigodopairico'!$AB$15:$AB$434,"="&amp;$B6,Price_PrevisaoAtualizacaoMonetaria)</f>
        <v>5502.5459698517952</v>
      </c>
      <c r="J6" s="51"/>
      <c r="K6" s="45">
        <f>'BASE PRICE @amigodopairico'!D50</f>
        <v>1.1797579498678181E-2</v>
      </c>
    </row>
    <row r="7" spans="2:11" ht="33" customHeight="1" x14ac:dyDescent="0.2">
      <c r="B7" s="54">
        <f>B6+1</f>
        <v>2</v>
      </c>
      <c r="C7" s="50" t="s">
        <v>36</v>
      </c>
      <c r="D7" s="51">
        <f>SUMIF('BASE PRICE @amigodopairico'!$AB$15:$AB$434,"="&amp;$B7,Price_Parcela)</f>
        <v>61018.732676530992</v>
      </c>
      <c r="E7" s="51">
        <f>SUMIF('BASE PRICE @amigodopairico'!$AB$15:$AB$434,"="&amp;$B7,Price_Juros)</f>
        <v>17541.784535584437</v>
      </c>
      <c r="F7" s="51">
        <f>SUMIF('BASE PRICE @amigodopairico'!$AB$15:$AB$434,"="&amp;$B7,Price_Amortizacao)</f>
        <v>39876.948140946559</v>
      </c>
      <c r="G7" s="51">
        <f>SUMIF('BASE PRICE @amigodopairico'!$AB$15:$AB$434,"="&amp;$B7,Price_QuedaSaldoDevedor)</f>
        <v>36137.23049032659</v>
      </c>
      <c r="H7" s="51">
        <f>SUMIF('BASE PRICE @amigodopairico'!$AB$15:$AB$434,"="&amp;$B7,Price_Adiantamento)</f>
        <v>0</v>
      </c>
      <c r="I7" s="51">
        <f>SUMIF('BASE PRICE @amigodopairico'!$AB$15:$AB$434,"="&amp;$B7,Price_PrevisaoAtualizacaoMonetaria)</f>
        <v>3739.7176506199498</v>
      </c>
      <c r="J7" s="51"/>
      <c r="K7" s="45">
        <f>'BASE PRICE @amigodopairico'!D86</f>
        <v>3.0764488218851464E-2</v>
      </c>
    </row>
    <row r="8" spans="2:11" ht="33" customHeight="1" x14ac:dyDescent="0.2">
      <c r="B8" s="54">
        <f t="shared" ref="B8:B15" si="0">B7+1</f>
        <v>3</v>
      </c>
      <c r="C8" s="50" t="s">
        <v>37</v>
      </c>
      <c r="D8" s="51">
        <f>SUMIF('BASE PRICE @amigodopairico'!$AB$15:$AB$434,"="&amp;$B8,Price_Parcela)</f>
        <v>50189.395827052409</v>
      </c>
      <c r="E8" s="51">
        <f>SUMIF('BASE PRICE @amigodopairico'!$AB$15:$AB$434,"="&amp;$B8,Price_Juros)</f>
        <v>5019.3858209001128</v>
      </c>
      <c r="F8" s="51">
        <f>SUMIF('BASE PRICE @amigodopairico'!$AB$15:$AB$434,"="&amp;$B8,Price_Amortizacao)</f>
        <v>42270.010006152304</v>
      </c>
      <c r="G8" s="51">
        <f>SUMIF('BASE PRICE @amigodopairico'!$AB$15:$AB$434,"="&amp;$B8,Price_QuedaSaldoDevedor)</f>
        <v>41199.931547965025</v>
      </c>
      <c r="H8" s="51">
        <f>SUMIF('BASE PRICE @amigodopairico'!$AB$15:$AB$434,"="&amp;$B8,Price_Adiantamento)</f>
        <v>0</v>
      </c>
      <c r="I8" s="51">
        <f>SUMIF('BASE PRICE @amigodopairico'!$AB$15:$AB$434,"="&amp;$B8,Price_PrevisaoAtualizacaoMonetaria)</f>
        <v>1070.0784581872792</v>
      </c>
      <c r="J8" s="51"/>
      <c r="K8" s="45" t="str">
        <f>'BASE PRICE @amigodopairico'!D122</f>
        <v/>
      </c>
    </row>
    <row r="9" spans="2:11" ht="33" customHeight="1" x14ac:dyDescent="0.2">
      <c r="B9" s="55">
        <f t="shared" si="0"/>
        <v>4</v>
      </c>
      <c r="C9" s="46" t="s">
        <v>38</v>
      </c>
      <c r="D9" s="47">
        <f>SUMIF('BASE PRICE @amigodopairico'!$AB$15:$AB$434,"="&amp;$B9,Price_Parcela)</f>
        <v>0</v>
      </c>
      <c r="E9" s="47">
        <f>SUMIF('BASE PRICE @amigodopairico'!$AB$15:$AB$434,"="&amp;$B9,Price_Juros)</f>
        <v>0</v>
      </c>
      <c r="F9" s="47">
        <f>SUMIF('BASE PRICE @amigodopairico'!$AB$15:$AB$434,"="&amp;$B9,Price_Amortizacao)</f>
        <v>0</v>
      </c>
      <c r="G9" s="47">
        <f>SUMIF('BASE PRICE @amigodopairico'!$AB$15:$AB$434,"="&amp;$B9,Price_QuedaSaldoDevedor)</f>
        <v>0</v>
      </c>
      <c r="H9" s="47">
        <f>SUMIF('BASE PRICE @amigodopairico'!$AB$15:$AB$434,"="&amp;$B9,Price_Adiantamento)</f>
        <v>0</v>
      </c>
      <c r="I9" s="47">
        <f>SUMIF('BASE PRICE @amigodopairico'!$AB$15:$AB$434,"="&amp;$B9,Price_PrevisaoAtualizacaoMonetaria)</f>
        <v>0</v>
      </c>
      <c r="J9" s="47"/>
      <c r="K9" s="45" t="str">
        <f>'BASE PRICE @amigodopairico'!D158</f>
        <v/>
      </c>
    </row>
    <row r="10" spans="2:11" ht="33" customHeight="1" x14ac:dyDescent="0.2">
      <c r="B10" s="55">
        <f t="shared" si="0"/>
        <v>5</v>
      </c>
      <c r="C10" s="46" t="s">
        <v>39</v>
      </c>
      <c r="D10" s="47">
        <f>SUMIF('BASE PRICE @amigodopairico'!$AB$15:$AB$434,"="&amp;$B10,Price_Parcela)</f>
        <v>0</v>
      </c>
      <c r="E10" s="47">
        <f>SUMIF('BASE PRICE @amigodopairico'!$AB$15:$AB$434,"="&amp;$B10,Price_Juros)</f>
        <v>0</v>
      </c>
      <c r="F10" s="47">
        <f>SUMIF('BASE PRICE @amigodopairico'!$AB$15:$AB$434,"="&amp;$B10,Price_Amortizacao)</f>
        <v>0</v>
      </c>
      <c r="G10" s="47">
        <f>SUMIF('BASE PRICE @amigodopairico'!$AB$15:$AB$434,"="&amp;$B10,Price_QuedaSaldoDevedor)</f>
        <v>0</v>
      </c>
      <c r="H10" s="47">
        <f>SUMIF('BASE PRICE @amigodopairico'!$AB$15:$AB$434,"="&amp;$B10,Price_Adiantamento)</f>
        <v>0</v>
      </c>
      <c r="I10" s="47">
        <f>SUMIF('BASE PRICE @amigodopairico'!$AB$15:$AB$434,"="&amp;$B10,Price_PrevisaoAtualizacaoMonetaria)</f>
        <v>0</v>
      </c>
      <c r="J10" s="47"/>
      <c r="K10" s="45" t="str">
        <f>'BASE PRICE @amigodopairico'!D194</f>
        <v/>
      </c>
    </row>
    <row r="11" spans="2:11" ht="33" customHeight="1" x14ac:dyDescent="0.2">
      <c r="B11" s="55">
        <f t="shared" si="0"/>
        <v>6</v>
      </c>
      <c r="C11" s="46" t="s">
        <v>40</v>
      </c>
      <c r="D11" s="47">
        <f>SUMIF('BASE PRICE @amigodopairico'!$AB$15:$AB$434,"="&amp;$B11,Price_Parcela)</f>
        <v>0</v>
      </c>
      <c r="E11" s="47">
        <f>SUMIF('BASE PRICE @amigodopairico'!$AB$15:$AB$434,"="&amp;$B11,Price_Juros)</f>
        <v>0</v>
      </c>
      <c r="F11" s="47">
        <f>SUMIF('BASE PRICE @amigodopairico'!$AB$15:$AB$434,"="&amp;$B11,Price_Amortizacao)</f>
        <v>0</v>
      </c>
      <c r="G11" s="47">
        <f>SUMIF('BASE PRICE @amigodopairico'!$AB$15:$AB$434,"="&amp;$B11,Price_QuedaSaldoDevedor)</f>
        <v>0</v>
      </c>
      <c r="H11" s="47">
        <f>SUMIF('BASE PRICE @amigodopairico'!$AB$15:$AB$434,"="&amp;$B11,Price_Adiantamento)</f>
        <v>0</v>
      </c>
      <c r="I11" s="47">
        <f>SUMIF('BASE PRICE @amigodopairico'!$AB$15:$AB$434,"="&amp;$B11,Price_PrevisaoAtualizacaoMonetaria)</f>
        <v>0</v>
      </c>
      <c r="J11" s="47"/>
      <c r="K11" s="45" t="str">
        <f>'BASE PRICE @amigodopairico'!D230</f>
        <v/>
      </c>
    </row>
    <row r="12" spans="2:11" ht="33" customHeight="1" x14ac:dyDescent="0.2">
      <c r="B12" s="56">
        <f t="shared" si="0"/>
        <v>7</v>
      </c>
      <c r="C12" s="48" t="s">
        <v>41</v>
      </c>
      <c r="D12" s="49">
        <f>SUMIF('BASE PRICE @amigodopairico'!$AB$15:$AB$434,"="&amp;$B12,Price_Parcela)</f>
        <v>0</v>
      </c>
      <c r="E12" s="49">
        <f>SUMIF('BASE PRICE @amigodopairico'!$AB$15:$AB$434,"="&amp;$B12,Price_Juros)</f>
        <v>0</v>
      </c>
      <c r="F12" s="49">
        <f>SUMIF('BASE PRICE @amigodopairico'!$AB$15:$AB$434,"="&amp;$B12,Price_Amortizacao)</f>
        <v>0</v>
      </c>
      <c r="G12" s="49">
        <f>SUMIF('BASE PRICE @amigodopairico'!$AB$15:$AB$434,"="&amp;$B12,Price_QuedaSaldoDevedor)</f>
        <v>0</v>
      </c>
      <c r="H12" s="49">
        <f>SUMIF('BASE PRICE @amigodopairico'!$AB$15:$AB$434,"="&amp;$B12,Price_Adiantamento)</f>
        <v>0</v>
      </c>
      <c r="I12" s="49">
        <f>SUMIF('BASE PRICE @amigodopairico'!$AB$15:$AB$434,"="&amp;$B12,Price_PrevisaoAtualizacaoMonetaria)</f>
        <v>0</v>
      </c>
      <c r="J12" s="49"/>
      <c r="K12" s="45" t="str">
        <f>'BASE PRICE @amigodopairico'!D266</f>
        <v/>
      </c>
    </row>
    <row r="13" spans="2:11" ht="33" customHeight="1" x14ac:dyDescent="0.2">
      <c r="B13" s="56">
        <f t="shared" si="0"/>
        <v>8</v>
      </c>
      <c r="C13" s="48" t="s">
        <v>42</v>
      </c>
      <c r="D13" s="49">
        <f>SUMIF('BASE PRICE @amigodopairico'!$AB$15:$AB$434,"="&amp;$B13,Price_Parcela)</f>
        <v>0</v>
      </c>
      <c r="E13" s="49">
        <f>SUMIF('BASE PRICE @amigodopairico'!$AB$15:$AB$434,"="&amp;$B13,Price_Juros)</f>
        <v>0</v>
      </c>
      <c r="F13" s="49">
        <f>SUMIF('BASE PRICE @amigodopairico'!$AB$15:$AB$434,"="&amp;$B13,Price_Amortizacao)</f>
        <v>0</v>
      </c>
      <c r="G13" s="49">
        <f>SUMIF('BASE PRICE @amigodopairico'!$AB$15:$AB$434,"="&amp;$B13,Price_QuedaSaldoDevedor)</f>
        <v>0</v>
      </c>
      <c r="H13" s="49">
        <f>SUMIF('BASE PRICE @amigodopairico'!$AB$15:$AB$434,"="&amp;$B13,Price_Adiantamento)</f>
        <v>0</v>
      </c>
      <c r="I13" s="49">
        <f>SUMIF('BASE PRICE @amigodopairico'!$AB$15:$AB$434,"="&amp;$B13,Price_PrevisaoAtualizacaoMonetaria)</f>
        <v>0</v>
      </c>
      <c r="J13" s="49"/>
      <c r="K13" s="45" t="str">
        <f>'BASE PRICE @amigodopairico'!D302</f>
        <v/>
      </c>
    </row>
    <row r="14" spans="2:11" ht="33" customHeight="1" x14ac:dyDescent="0.2">
      <c r="B14" s="56">
        <f t="shared" si="0"/>
        <v>9</v>
      </c>
      <c r="C14" s="48" t="s">
        <v>43</v>
      </c>
      <c r="D14" s="49">
        <f>SUMIF('BASE PRICE @amigodopairico'!$AB$15:$AB$434,"="&amp;$B14,Price_Parcela)</f>
        <v>0</v>
      </c>
      <c r="E14" s="49">
        <f>SUMIF('BASE PRICE @amigodopairico'!$AB$15:$AB$434,"="&amp;$B14,Price_Juros)</f>
        <v>0</v>
      </c>
      <c r="F14" s="49">
        <f>SUMIF('BASE PRICE @amigodopairico'!$AB$15:$AB$434,"="&amp;$B14,Price_Amortizacao)</f>
        <v>0</v>
      </c>
      <c r="G14" s="49">
        <f>SUMIF('BASE PRICE @amigodopairico'!$AB$15:$AB$434,"="&amp;$B14,Price_QuedaSaldoDevedor)</f>
        <v>0</v>
      </c>
      <c r="H14" s="49">
        <f>SUMIF('BASE PRICE @amigodopairico'!$AB$15:$AB$434,"="&amp;$B14,Price_Adiantamento)</f>
        <v>0</v>
      </c>
      <c r="I14" s="49">
        <f>SUMIF('BASE PRICE @amigodopairico'!$AB$15:$AB$434,"="&amp;$B14,Price_PrevisaoAtualizacaoMonetaria)</f>
        <v>0</v>
      </c>
      <c r="J14" s="49"/>
      <c r="K14" s="45" t="str">
        <f>'BASE PRICE @amigodopairico'!D338</f>
        <v/>
      </c>
    </row>
    <row r="15" spans="2:11" ht="33" customHeight="1" x14ac:dyDescent="0.2">
      <c r="B15" s="54">
        <f t="shared" si="0"/>
        <v>10</v>
      </c>
      <c r="C15" s="50" t="s">
        <v>44</v>
      </c>
      <c r="D15" s="51">
        <f>SUMIF('BASE PRICE @amigodopairico'!$AB$15:$AB$434,"="&amp;$B15,Price_Parcela)</f>
        <v>0</v>
      </c>
      <c r="E15" s="51">
        <f>SUMIF('BASE PRICE @amigodopairico'!$AB$15:$AB$434,"="&amp;$B15,Price_Juros)</f>
        <v>0</v>
      </c>
      <c r="F15" s="51">
        <f>SUMIF('BASE PRICE @amigodopairico'!$AB$15:$AB$434,"="&amp;$B15,Price_Amortizacao)</f>
        <v>0</v>
      </c>
      <c r="G15" s="51">
        <f>SUMIF('BASE PRICE @amigodopairico'!$AB$15:$AB$434,"="&amp;$B15,Price_QuedaSaldoDevedor)</f>
        <v>0</v>
      </c>
      <c r="H15" s="52"/>
      <c r="I15" s="51">
        <f>SUMIF('BASE PRICE @amigodopairico'!$AB$15:$AB$434,"="&amp;$B15,Price_PrevisaoAtualizacaoMonetaria)</f>
        <v>0</v>
      </c>
      <c r="J15" s="51"/>
      <c r="K15" s="45" t="str">
        <f>'BASE PRICE @amigodopairico'!D339</f>
        <v/>
      </c>
    </row>
    <row r="16" spans="2:11" ht="21" x14ac:dyDescent="0.25">
      <c r="D16" s="39"/>
      <c r="E16" s="39"/>
      <c r="F16" s="39"/>
      <c r="G16" s="39"/>
      <c r="H16" s="39"/>
      <c r="I16" s="39"/>
      <c r="J16" s="39"/>
    </row>
    <row r="17" spans="3:10" ht="32" customHeight="1" x14ac:dyDescent="0.2">
      <c r="C17" s="42" t="s">
        <v>34</v>
      </c>
      <c r="D17" s="43">
        <f>SUM(D6:D15)</f>
        <v>168784.08716283907</v>
      </c>
      <c r="E17" s="43">
        <f>SUM(E6:E15)</f>
        <v>48371.802285953185</v>
      </c>
      <c r="F17" s="43">
        <f>SUM(F6:F15)</f>
        <v>110312.28487688588</v>
      </c>
      <c r="G17" s="43">
        <f>SUM(G6:G15)</f>
        <v>99999.942798226853</v>
      </c>
      <c r="H17" s="43">
        <f>SUM(H6:H15)</f>
        <v>0</v>
      </c>
      <c r="I17" s="44"/>
      <c r="J17" s="44"/>
    </row>
    <row r="18" spans="3:10" ht="21" x14ac:dyDescent="0.25">
      <c r="E18" s="38"/>
    </row>
    <row r="20" spans="3:10" ht="19" x14ac:dyDescent="0.25">
      <c r="C20" s="112" t="s">
        <v>65</v>
      </c>
    </row>
    <row r="21" spans="3:10" ht="21" x14ac:dyDescent="0.25">
      <c r="C21" s="113">
        <f>'BASE PRICE @amigodopairico'!H10</f>
        <v>58471.802285953214</v>
      </c>
      <c r="E21" s="38"/>
    </row>
    <row r="22" spans="3:10" ht="21" x14ac:dyDescent="0.25">
      <c r="C22" s="114"/>
      <c r="E22" s="38"/>
    </row>
    <row r="23" spans="3:10" ht="21" x14ac:dyDescent="0.25">
      <c r="C23" s="112" t="s">
        <v>69</v>
      </c>
      <c r="E23" s="38"/>
    </row>
    <row r="24" spans="3:10" ht="21" x14ac:dyDescent="0.25">
      <c r="C24" s="113">
        <f>'BASE PRICE @amigodopairico'!O10</f>
        <v>58471.802285953214</v>
      </c>
      <c r="E24" s="38"/>
    </row>
    <row r="25" spans="3:10" ht="21" x14ac:dyDescent="0.25">
      <c r="C25" s="118"/>
      <c r="E25" s="38"/>
    </row>
    <row r="26" spans="3:10" ht="21" x14ac:dyDescent="0.25">
      <c r="C26" s="112" t="s">
        <v>68</v>
      </c>
      <c r="E26" s="38"/>
    </row>
    <row r="27" spans="3:10" ht="19" x14ac:dyDescent="0.25">
      <c r="C27" s="114">
        <f>'BASE PRICE @amigodopairico'!O7</f>
        <v>100</v>
      </c>
      <c r="D27" s="2"/>
    </row>
    <row r="28" spans="3:10" ht="19" x14ac:dyDescent="0.25">
      <c r="C28" s="118"/>
    </row>
    <row r="29" spans="3:10" ht="19" x14ac:dyDescent="0.25">
      <c r="C29" s="114">
        <f>'BASE PRICE @amigodopairico'!O8</f>
        <v>0</v>
      </c>
    </row>
    <row r="30" spans="3:10" ht="19" x14ac:dyDescent="0.25">
      <c r="C30" s="112" t="s">
        <v>86</v>
      </c>
    </row>
    <row r="31" spans="3:10" x14ac:dyDescent="0.2">
      <c r="C31" s="115"/>
    </row>
    <row r="33" spans="3:10" ht="24" x14ac:dyDescent="0.3">
      <c r="C33" s="116" t="s">
        <v>87</v>
      </c>
    </row>
    <row r="34" spans="3:10" ht="24" x14ac:dyDescent="0.3">
      <c r="C34" s="117">
        <f>'BASE PRICE @amigodopairico'!O11</f>
        <v>0</v>
      </c>
    </row>
    <row r="45" spans="3:10" x14ac:dyDescent="0.2">
      <c r="C45" s="1"/>
      <c r="D45" s="1"/>
      <c r="E45" s="1"/>
      <c r="F45" s="1"/>
      <c r="G45" s="1"/>
      <c r="H45" s="1"/>
      <c r="I45" s="1"/>
      <c r="J45" s="1"/>
    </row>
    <row r="46" spans="3:10" x14ac:dyDescent="0.2">
      <c r="C46" s="1"/>
      <c r="D46" s="1"/>
      <c r="E46" s="1"/>
      <c r="F46" s="1"/>
      <c r="G46" s="1"/>
      <c r="H46" s="1"/>
      <c r="I46" s="1"/>
      <c r="J46" s="1"/>
    </row>
    <row r="47" spans="3:10" x14ac:dyDescent="0.2">
      <c r="C47" s="1"/>
      <c r="D47" s="1"/>
      <c r="E47" s="1"/>
      <c r="F47" s="1"/>
      <c r="G47" s="1"/>
      <c r="H47" s="1"/>
      <c r="I47" s="1"/>
      <c r="J47" s="1"/>
    </row>
    <row r="48" spans="3:10" x14ac:dyDescent="0.2">
      <c r="C48" s="1"/>
      <c r="D48" s="1"/>
      <c r="E48" s="1"/>
      <c r="F48" s="1"/>
      <c r="G48" s="1"/>
      <c r="H48" s="1"/>
      <c r="I48" s="1"/>
      <c r="J48" s="1"/>
    </row>
    <row r="49" spans="3:10" x14ac:dyDescent="0.2">
      <c r="C49" s="1"/>
      <c r="D49" s="1"/>
      <c r="E49" s="1"/>
      <c r="F49" s="1"/>
      <c r="G49" s="1"/>
      <c r="H49" s="1"/>
      <c r="I49" s="1"/>
      <c r="J49" s="1"/>
    </row>
    <row r="50" spans="3:10" x14ac:dyDescent="0.2">
      <c r="C50" s="1"/>
      <c r="D50" s="1"/>
      <c r="E50" s="1"/>
      <c r="F50" s="1"/>
      <c r="G50" s="1"/>
      <c r="H50" s="1"/>
      <c r="I50" s="1"/>
      <c r="J50" s="1"/>
    </row>
    <row r="51" spans="3:10" x14ac:dyDescent="0.2">
      <c r="C51" s="1"/>
      <c r="D51" s="1"/>
      <c r="E51" s="1"/>
      <c r="F51" s="1"/>
      <c r="G51" s="1"/>
      <c r="H51" s="1"/>
      <c r="I51" s="1"/>
      <c r="J51" s="1"/>
    </row>
    <row r="52" spans="3:10" x14ac:dyDescent="0.2">
      <c r="C52" s="1"/>
      <c r="D52" s="1"/>
      <c r="E52" s="1"/>
      <c r="F52" s="1"/>
      <c r="G52" s="1"/>
      <c r="H52" s="1"/>
      <c r="I52" s="1"/>
      <c r="J52" s="1"/>
    </row>
    <row r="53" spans="3:10" x14ac:dyDescent="0.2">
      <c r="C53" s="1"/>
      <c r="D53" s="1"/>
      <c r="E53" s="1"/>
      <c r="F53" s="1"/>
      <c r="G53" s="1"/>
      <c r="H53" s="1"/>
      <c r="I53" s="1"/>
      <c r="J53" s="1"/>
    </row>
    <row r="54" spans="3:10" x14ac:dyDescent="0.2">
      <c r="C54" s="1"/>
      <c r="D54" s="1"/>
      <c r="E54" s="1"/>
      <c r="F54" s="1"/>
      <c r="G54" s="1"/>
      <c r="H54" s="1"/>
      <c r="I54" s="1"/>
      <c r="J54" s="1"/>
    </row>
    <row r="55" spans="3:10" x14ac:dyDescent="0.2">
      <c r="C55" s="1"/>
      <c r="D55" s="1"/>
      <c r="E55" s="1"/>
      <c r="F55" s="1"/>
      <c r="G55" s="1"/>
      <c r="H55" s="1"/>
      <c r="I55" s="1"/>
      <c r="J55" s="1"/>
    </row>
    <row r="56" spans="3:10" x14ac:dyDescent="0.2">
      <c r="C56" s="1"/>
      <c r="D56" s="1"/>
      <c r="E56" s="1"/>
      <c r="F56" s="1"/>
      <c r="G56" s="1"/>
      <c r="H56" s="1"/>
      <c r="I56" s="1"/>
      <c r="J56" s="1"/>
    </row>
    <row r="57" spans="3:10" x14ac:dyDescent="0.2">
      <c r="C57" s="1"/>
      <c r="D57" s="1"/>
      <c r="E57" s="1"/>
      <c r="F57" s="1"/>
      <c r="G57" s="1"/>
      <c r="H57" s="1"/>
      <c r="I57" s="1"/>
      <c r="J57" s="1"/>
    </row>
    <row r="58" spans="3:10" x14ac:dyDescent="0.2">
      <c r="C58" s="1"/>
      <c r="D58" s="1"/>
      <c r="E58" s="1"/>
      <c r="F58" s="1"/>
      <c r="G58" s="1"/>
      <c r="H58" s="1"/>
      <c r="I58" s="1"/>
      <c r="J58" s="1"/>
    </row>
    <row r="59" spans="3:10" x14ac:dyDescent="0.2">
      <c r="C59" s="1"/>
      <c r="D59" s="1"/>
      <c r="E59" s="1"/>
      <c r="F59" s="1"/>
      <c r="G59" s="1"/>
      <c r="H59" s="1"/>
      <c r="I59" s="1"/>
      <c r="J59" s="1"/>
    </row>
    <row r="60" spans="3:10" x14ac:dyDescent="0.2">
      <c r="C60" s="1"/>
      <c r="D60" s="1"/>
      <c r="E60" s="1"/>
      <c r="F60" s="1"/>
      <c r="G60" s="1"/>
      <c r="H60" s="1"/>
      <c r="I60" s="1"/>
      <c r="J60" s="1"/>
    </row>
  </sheetData>
  <conditionalFormatting sqref="E6:E1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{84E74220-B1B9-1846-81A0-9C27070D3EF5}</x14:id>
        </ext>
      </extLst>
    </cfRule>
  </conditionalFormatting>
  <conditionalFormatting sqref="F6:F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{B95701C2-3273-3A4D-A4A0-F768CDC2DD43}</x14:id>
        </ext>
      </extLst>
    </cfRule>
  </conditionalFormatting>
  <conditionalFormatting sqref="G6:G15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{40127291-B657-0B43-8BED-13DE77BCC7C0}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E74220-B1B9-1846-81A0-9C27070D3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E6:E15</xm:sqref>
        </x14:conditionalFormatting>
        <x14:conditionalFormatting xmlns:xm="http://schemas.microsoft.com/office/excel/2006/main">
          <x14:cfRule type="dataBar" id="{B95701C2-3273-3A4D-A4A0-F768CDC2D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F6:F15</xm:sqref>
        </x14:conditionalFormatting>
        <x14:conditionalFormatting xmlns:xm="http://schemas.microsoft.com/office/excel/2006/main">
          <x14:cfRule type="dataBar" id="{40127291-B657-0B43-8BED-13DE77BCC7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152C-FDFF-C049-9FA3-CE38325BB27C}">
  <dimension ref="A1:A6"/>
  <sheetViews>
    <sheetView showGridLines="0" zoomScale="220" zoomScaleNormal="220" workbookViewId="0">
      <selection activeCell="A6" sqref="A6"/>
    </sheetView>
  </sheetViews>
  <sheetFormatPr baseColWidth="10" defaultRowHeight="16" x14ac:dyDescent="0.2"/>
  <cols>
    <col min="1" max="1" width="14" customWidth="1"/>
  </cols>
  <sheetData>
    <row r="1" spans="1:1" x14ac:dyDescent="0.2">
      <c r="A1" t="s">
        <v>55</v>
      </c>
    </row>
    <row r="2" spans="1:1" x14ac:dyDescent="0.2">
      <c r="A2" t="s">
        <v>56</v>
      </c>
    </row>
    <row r="3" spans="1:1" x14ac:dyDescent="0.2">
      <c r="A3" t="s">
        <v>57</v>
      </c>
    </row>
    <row r="4" spans="1:1" x14ac:dyDescent="0.2">
      <c r="A4" t="s">
        <v>58</v>
      </c>
    </row>
    <row r="5" spans="1:1" x14ac:dyDescent="0.2">
      <c r="A5" t="s">
        <v>60</v>
      </c>
    </row>
    <row r="6" spans="1:1" x14ac:dyDescent="0.2">
      <c r="A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9</vt:i4>
      </vt:variant>
    </vt:vector>
  </HeadingPairs>
  <TitlesOfParts>
    <vt:vector size="12" baseType="lpstr">
      <vt:lpstr>BASE PRICE @amigodopairico</vt:lpstr>
      <vt:lpstr>Painel de Acompanhamento PRICE</vt:lpstr>
      <vt:lpstr>Configurações</vt:lpstr>
      <vt:lpstr>Price_Adiantamento</vt:lpstr>
      <vt:lpstr>Price_Amortizacao</vt:lpstr>
      <vt:lpstr>Price_AtualizacaoMonetaria</vt:lpstr>
      <vt:lpstr>Price_Juros</vt:lpstr>
      <vt:lpstr>Price_Parcela</vt:lpstr>
      <vt:lpstr>Price_PrevisaoAtualizacaoMonetaria</vt:lpstr>
      <vt:lpstr>Price_QuedaSaldoDevedor</vt:lpstr>
      <vt:lpstr>Price_Trienio</vt:lpstr>
      <vt:lpstr>Price_Trienio2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Gonçalves</dc:creator>
  <cp:lastModifiedBy>Ale Gon</cp:lastModifiedBy>
  <dcterms:created xsi:type="dcterms:W3CDTF">2022-03-19T01:24:11Z</dcterms:created>
  <dcterms:modified xsi:type="dcterms:W3CDTF">2026-03-03T00:49:12Z</dcterms:modified>
</cp:coreProperties>
</file>